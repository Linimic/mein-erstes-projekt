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ANLEITUNG" sheetId="1" state="visible" r:id="rId1"/>
    <sheet name="ERFASSUNG" sheetId="2" state="visible" r:id="rId2"/>
    <sheet name="WOCHE" sheetId="3" state="visible" r:id="rId3"/>
    <sheet name="MONAT" sheetId="4" state="visible" r:id="rId4"/>
    <sheet name="JAHRESBERICHT" sheetId="5" state="visible" r:id="rId5"/>
    <sheet name="LISTEN" sheetId="6" state="visible" r:id="rId6"/>
    <sheet name="KALENDER" sheetId="7" state="visible" r:id="rId7"/>
  </sheets>
  <definedNames>
    <definedName name="_xlnm._FilterDatabase" localSheetId="1" hidden="1">'ERFASSUNG'!$A$5:$T$3005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.MM.YYYY"/>
    <numFmt numFmtId="165" formatCode="0.0#"/>
    <numFmt numFmtId="166" formatCode="0.0"/>
    <numFmt numFmtId="167" formatCode="0.#"/>
    <numFmt numFmtId="168" formatCode="DD.MM."/>
    <numFmt numFmtId="169" formatCode="+0%;-0%;0%"/>
  </numFmts>
  <fonts count="20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FFFFFF"/>
      <sz val="9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1F3864"/>
      <sz val="11"/>
    </font>
    <font>
      <name val="Arial"/>
      <sz val="9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595959"/>
      <sz val="9"/>
    </font>
    <font>
      <name val="Arial"/>
      <b val="1"/>
      <color rgb="001F3864"/>
      <sz val="16"/>
    </font>
    <font>
      <name val="Arial"/>
      <b val="1"/>
      <sz val="9"/>
    </font>
    <font>
      <name val="Arial"/>
      <b val="1"/>
      <color rgb="00000000"/>
      <sz val="9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color rgb="00595959"/>
      <sz val="8"/>
    </font>
    <font>
      <name val="Arial"/>
      <color rgb="00000000"/>
      <sz val="9"/>
    </font>
    <font>
      <name val="Arial"/>
      <i val="1"/>
      <sz val="8"/>
    </font>
    <font>
      <name val="Arial"/>
      <b val="1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8CBAD"/>
      </patternFill>
    </fill>
    <fill>
      <patternFill patternType="solid">
        <fgColor rgb="00F7F9FC"/>
      </patternFill>
    </fill>
    <fill>
      <patternFill patternType="solid">
        <fgColor rgb="00FBFBFB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0" fillId="5" borderId="1" pivotButton="0" quotePrefix="0" xfId="0"/>
    <xf numFmtId="0" fontId="4" fillId="0" borderId="0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7" borderId="1" pivotButton="0" quotePrefix="0" xfId="0"/>
    <xf numFmtId="0" fontId="7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12" fillId="0" borderId="0" applyAlignment="1" pivotButton="0" quotePrefix="0" xfId="0">
      <alignment horizontal="right"/>
    </xf>
    <xf numFmtId="0" fontId="13" fillId="3" borderId="1" applyAlignment="1" pivotButton="0" quotePrefix="0" xfId="0">
      <alignment horizontal="center" vertical="center"/>
    </xf>
    <xf numFmtId="164" fontId="4" fillId="0" borderId="1" applyAlignment="1" applyProtection="1" pivotButton="0" quotePrefix="0" xfId="0">
      <alignment horizontal="center"/>
      <protection locked="0" hidden="0"/>
    </xf>
    <xf numFmtId="0" fontId="4" fillId="4" borderId="1" applyAlignment="1" pivotButton="0" quotePrefix="0" xfId="0">
      <alignment horizontal="center"/>
    </xf>
    <xf numFmtId="0" fontId="4" fillId="0" borderId="1" applyProtection="1" pivotButton="0" quotePrefix="0" xfId="0">
      <protection locked="0" hidden="0"/>
    </xf>
    <xf numFmtId="165" fontId="4" fillId="0" borderId="1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top" wrapText="1"/>
      <protection locked="0" hidden="0"/>
    </xf>
    <xf numFmtId="0" fontId="14" fillId="0" borderId="1" pivotButton="0" quotePrefix="0" xfId="0"/>
    <xf numFmtId="0" fontId="15" fillId="5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16" fillId="3" borderId="1" applyAlignment="1" pivotButton="0" quotePrefix="0" xfId="0">
      <alignment horizontal="center" vertical="bottom" wrapText="1"/>
    </xf>
    <xf numFmtId="0" fontId="0" fillId="3" borderId="1" pivotButton="0" quotePrefix="0" xfId="0"/>
    <xf numFmtId="1" fontId="11" fillId="3" borderId="1" applyAlignment="1" pivotButton="0" quotePrefix="0" xfId="0">
      <alignment horizontal="center" vertical="center"/>
    </xf>
    <xf numFmtId="166" fontId="11" fillId="3" borderId="1" applyAlignment="1" pivotButton="0" quotePrefix="0" xfId="0">
      <alignment horizontal="center" vertical="center"/>
    </xf>
    <xf numFmtId="167" fontId="11" fillId="3" borderId="1" applyAlignment="1" pivotButton="0" quotePrefix="0" xfId="0">
      <alignment horizontal="center" vertical="center"/>
    </xf>
    <xf numFmtId="9" fontId="11" fillId="3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/>
    </xf>
    <xf numFmtId="167" fontId="6" fillId="0" borderId="1" applyAlignment="1" pivotButton="0" quotePrefix="0" xfId="0">
      <alignment horizontal="center"/>
    </xf>
    <xf numFmtId="0" fontId="13" fillId="3" borderId="1" pivotButton="0" quotePrefix="0" xfId="0"/>
    <xf numFmtId="0" fontId="6" fillId="0" borderId="1" pivotButton="0" quotePrefix="0" xfId="0"/>
    <xf numFmtId="9" fontId="6" fillId="0" borderId="1" applyAlignment="1" pivotButton="0" quotePrefix="0" xfId="0">
      <alignment horizontal="center"/>
    </xf>
    <xf numFmtId="0" fontId="6" fillId="8" borderId="1" pivotButton="0" quotePrefix="0" xfId="0"/>
    <xf numFmtId="0" fontId="6" fillId="8" borderId="1" applyAlignment="1" pivotButton="0" quotePrefix="0" xfId="0">
      <alignment horizontal="center"/>
    </xf>
    <xf numFmtId="9" fontId="6" fillId="8" borderId="1" applyAlignment="1" pivotButton="0" quotePrefix="0" xfId="0">
      <alignment horizontal="center"/>
    </xf>
    <xf numFmtId="168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167" fontId="6" fillId="8" borderId="1" applyAlignment="1" pivotButton="0" quotePrefix="0" xfId="0">
      <alignment horizontal="center"/>
    </xf>
    <xf numFmtId="0" fontId="13" fillId="0" borderId="1" pivotButton="0" quotePrefix="0" xfId="0"/>
    <xf numFmtId="0" fontId="17" fillId="4" borderId="1" applyAlignment="1" pivotButton="0" quotePrefix="0" xfId="0">
      <alignment horizontal="center" vertical="center"/>
    </xf>
    <xf numFmtId="9" fontId="13" fillId="4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top" wrapText="1"/>
    </xf>
    <xf numFmtId="0" fontId="0" fillId="9" borderId="1" pivotButton="0" quotePrefix="0" xfId="0"/>
    <xf numFmtId="0" fontId="17" fillId="0" borderId="1" pivotButton="0" quotePrefix="0" xfId="0"/>
    <xf numFmtId="0" fontId="17" fillId="0" borderId="1" applyAlignment="1" pivotButton="0" quotePrefix="0" xfId="0">
      <alignment horizontal="center" vertical="center"/>
    </xf>
    <xf numFmtId="1" fontId="13" fillId="4" borderId="1" applyAlignment="1" pivotButton="0" quotePrefix="0" xfId="0">
      <alignment horizontal="center" vertical="center"/>
    </xf>
    <xf numFmtId="1" fontId="17" fillId="5" borderId="1" applyAlignment="1" applyProtection="1" pivotButton="0" quotePrefix="0" xfId="0">
      <alignment horizontal="center" vertical="center"/>
      <protection locked="0" hidden="0"/>
    </xf>
    <xf numFmtId="169" fontId="17" fillId="4" borderId="1" applyAlignment="1" pivotButton="0" quotePrefix="0" xfId="0">
      <alignment horizontal="center" vertical="center"/>
    </xf>
    <xf numFmtId="166" fontId="13" fillId="4" borderId="1" applyAlignment="1" pivotButton="0" quotePrefix="0" xfId="0">
      <alignment horizontal="center" vertical="center"/>
    </xf>
    <xf numFmtId="166" fontId="17" fillId="5" borderId="1" applyAlignment="1" applyProtection="1" pivotButton="0" quotePrefix="0" xfId="0">
      <alignment horizontal="center" vertical="center"/>
      <protection locked="0" hidden="0"/>
    </xf>
    <xf numFmtId="167" fontId="13" fillId="4" borderId="1" applyAlignment="1" pivotButton="0" quotePrefix="0" xfId="0">
      <alignment horizontal="center" vertical="center"/>
    </xf>
    <xf numFmtId="167" fontId="17" fillId="5" borderId="1" applyAlignment="1" applyProtection="1" pivotButton="0" quotePrefix="0" xfId="0">
      <alignment horizontal="center" vertical="center"/>
      <protection locked="0" hidden="0"/>
    </xf>
    <xf numFmtId="166" fontId="6" fillId="0" borderId="1" applyAlignment="1" pivotButton="0" quotePrefix="0" xfId="0">
      <alignment horizontal="center"/>
    </xf>
    <xf numFmtId="166" fontId="6" fillId="8" borderId="1" applyAlignment="1" pivotButton="0" quotePrefix="0" xfId="0">
      <alignment horizontal="center"/>
    </xf>
    <xf numFmtId="167" fontId="13" fillId="3" borderId="1" applyAlignment="1" pivotButton="0" quotePrefix="0" xfId="0">
      <alignment horizontal="center" vertical="center"/>
    </xf>
    <xf numFmtId="166" fontId="13" fillId="3" borderId="1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0" fontId="8" fillId="5" borderId="1" pivotButton="0" quotePrefix="0" xfId="0"/>
    <xf numFmtId="0" fontId="8" fillId="0" borderId="1" pivotButton="0" quotePrefix="0" xfId="0"/>
    <xf numFmtId="0" fontId="9" fillId="5" borderId="1" applyAlignment="1" pivotButton="0" quotePrefix="0" xfId="0">
      <alignment horizontal="center" vertical="center"/>
    </xf>
    <xf numFmtId="0" fontId="8" fillId="4" borderId="1" pivotButton="0" quotePrefix="0" xfId="0"/>
    <xf numFmtId="164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EAF1FB"/>
        </patternFill>
      </fill>
    </dxf>
    <dxf>
      <font>
        <b val="1"/>
        <color rgb="009C0006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Kontakte pro Tag (w / d / 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'WOCHE'!E9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'WOCHE'!$A$10:$A$16</f>
            </numRef>
          </cat>
          <val>
            <numRef>
              <f>'WOCHE'!$E$10:$E$16</f>
            </numRef>
          </val>
        </ser>
        <ser>
          <idx val="1"/>
          <order val="1"/>
          <tx>
            <strRef>
              <f>'WOCHE'!F9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'WOCHE'!$A$10:$A$16</f>
            </numRef>
          </cat>
          <val>
            <numRef>
              <f>'WOCHE'!$F$10:$F$16</f>
            </numRef>
          </val>
        </ser>
        <ser>
          <idx val="2"/>
          <order val="2"/>
          <tx>
            <strRef>
              <f>'WOCHE'!G9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'WOCHE'!$A$10:$A$16</f>
            </numRef>
          </cat>
          <val>
            <numRef>
              <f>'WOCHE'!$G$10:$G$16</f>
            </numRef>
          </val>
        </ser>
        <gapWidth val="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Kontakte pro Angebot – diese Woche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'WOCHE'!D20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'WOCHE'!$A$21:$A$50</f>
            </numRef>
          </cat>
          <val>
            <numRef>
              <f>'WOCHE'!$D$21:$D$50</f>
            </numRef>
          </val>
        </ser>
        <ser>
          <idx val="1"/>
          <order val="1"/>
          <tx>
            <strRef>
              <f>'WOCHE'!E20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'WOCHE'!$A$21:$A$50</f>
            </numRef>
          </cat>
          <val>
            <numRef>
              <f>'WOCHE'!$E$21:$E$50</f>
            </numRef>
          </val>
        </ser>
        <ser>
          <idx val="2"/>
          <order val="2"/>
          <tx>
            <strRef>
              <f>'WOCHE'!F20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'WOCHE'!$A$21:$A$50</f>
            </numRef>
          </cat>
          <val>
            <numRef>
              <f>'WOCHE'!$F$21:$F$50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Geschlecht – Monat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8E6CC4"/>
              </a:solidFill>
              <a:ln>
                <a:prstDash val="solid"/>
              </a:ln>
            </spPr>
          </dPt>
          <dPt>
            <idx val="1"/>
            <spPr>
              <a:solidFill>
                <a:srgbClr val="F2A541"/>
              </a:solidFill>
              <a:ln>
                <a:prstDash val="solid"/>
              </a:ln>
            </spPr>
          </dPt>
          <dPt>
            <idx val="2"/>
            <spPr>
              <a:solidFill>
                <a:srgbClr val="3E8EC2"/>
              </a:solidFill>
              <a:ln>
                <a:prstDash val="solid"/>
              </a:ln>
            </spPr>
          </dPt>
          <cat>
            <numRef>
              <f>'MONAT'!$B$9:$D$9</f>
            </numRef>
          </cat>
          <val>
            <numRef>
              <f>'MONAT'!$B$10:$D$10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Altersgruppen – Monat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C9DDF0"/>
              </a:solidFill>
              <a:ln>
                <a:prstDash val="solid"/>
              </a:ln>
            </spPr>
          </dPt>
          <dPt>
            <idx val="1"/>
            <spPr>
              <a:solidFill>
                <a:srgbClr val="9CC3E6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3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4"/>
            <spPr>
              <a:solidFill>
                <a:srgbClr val="1F4E79"/>
              </a:solidFill>
              <a:ln>
                <a:prstDash val="solid"/>
              </a:ln>
            </spPr>
          </dPt>
          <cat>
            <numRef>
              <f>'MONAT'!$E$9:$I$9</f>
            </numRef>
          </cat>
          <val>
            <numRef>
              <f>'MONAT'!$E$10:$I$10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Kontakte pro Angebot – Monat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'MONAT'!D14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'MONAT'!$A$15:$A$44</f>
            </numRef>
          </cat>
          <val>
            <numRef>
              <f>'MONAT'!$D$15:$D$44</f>
            </numRef>
          </val>
        </ser>
        <ser>
          <idx val="1"/>
          <order val="1"/>
          <tx>
            <strRef>
              <f>'MONAT'!E14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'MONAT'!$A$15:$A$44</f>
            </numRef>
          </cat>
          <val>
            <numRef>
              <f>'MONAT'!$E$15:$E$44</f>
            </numRef>
          </val>
        </ser>
        <ser>
          <idx val="2"/>
          <order val="2"/>
          <tx>
            <strRef>
              <f>'MONAT'!F14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'MONAT'!$A$15:$A$44</f>
            </numRef>
          </cat>
          <val>
            <numRef>
              <f>'MONAT'!$F$15:$F$44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Kontakte pro Tag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'MONAT'!D81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'MONAT'!$A$82:$A$112</f>
            </numRef>
          </cat>
          <val>
            <numRef>
              <f>'MONAT'!$D$82:$D$112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Kontakte pro Monat (w / d / 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'JAHRESBERICHT'!E19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'JAHRESBERICHT'!$A$20:$A$31</f>
            </numRef>
          </cat>
          <val>
            <numRef>
              <f>'JAHRESBERICHT'!$E$20:$E$31</f>
            </numRef>
          </val>
        </ser>
        <ser>
          <idx val="1"/>
          <order val="1"/>
          <tx>
            <strRef>
              <f>'JAHRESBERICHT'!F19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'JAHRESBERICHT'!$A$20:$A$31</f>
            </numRef>
          </cat>
          <val>
            <numRef>
              <f>'JAHRESBERICHT'!$F$20:$F$31</f>
            </numRef>
          </val>
        </ser>
        <ser>
          <idx val="2"/>
          <order val="2"/>
          <tx>
            <strRef>
              <f>'JAHRESBERICHT'!G19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'JAHRESBERICHT'!$A$20:$A$31</f>
            </numRef>
          </cat>
          <val>
            <numRef>
              <f>'JAHRESBERICHT'!$G$20:$G$31</f>
            </numRef>
          </val>
        </ser>
        <gapWidth val="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Geschlecht – Jahr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8E6CC4"/>
              </a:solidFill>
              <a:ln>
                <a:prstDash val="solid"/>
              </a:ln>
            </spPr>
          </dPt>
          <dPt>
            <idx val="1"/>
            <spPr>
              <a:solidFill>
                <a:srgbClr val="F2A541"/>
              </a:solidFill>
              <a:ln>
                <a:prstDash val="solid"/>
              </a:ln>
            </spPr>
          </dPt>
          <dPt>
            <idx val="2"/>
            <spPr>
              <a:solidFill>
                <a:srgbClr val="3E8EC2"/>
              </a:solidFill>
              <a:ln>
                <a:prstDash val="solid"/>
              </a:ln>
            </spPr>
          </dPt>
          <cat>
            <numRef>
              <f>'JAHRESBERICHT'!$B$40:$D$40</f>
            </numRef>
          </cat>
          <val>
            <numRef>
              <f>'JAHRESBERICHT'!$B$41:$D$41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Altersgruppen – Jahr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C9DDF0"/>
              </a:solidFill>
              <a:ln>
                <a:prstDash val="solid"/>
              </a:ln>
            </spPr>
          </dPt>
          <dPt>
            <idx val="1"/>
            <spPr>
              <a:solidFill>
                <a:srgbClr val="9CC3E6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3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4"/>
            <spPr>
              <a:solidFill>
                <a:srgbClr val="1F4E79"/>
              </a:solidFill>
              <a:ln>
                <a:prstDash val="solid"/>
              </a:ln>
            </spPr>
          </dPt>
          <cat>
            <numRef>
              <f>'JAHRESBERICHT'!$E$40:$I$40</f>
            </numRef>
          </cat>
          <val>
            <numRef>
              <f>'JAHRESBERICHT'!$E$41:$I$41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Kontakte pro Angebot – Jahr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'JAHRESBERICHT'!D45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'JAHRESBERICHT'!$A$46:$A$75</f>
            </numRef>
          </cat>
          <val>
            <numRef>
              <f>'JAHRESBERICHT'!$D$46:$D$75</f>
            </numRef>
          </val>
        </ser>
        <ser>
          <idx val="1"/>
          <order val="1"/>
          <tx>
            <strRef>
              <f>'JAHRESBERICHT'!E45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'JAHRESBERICHT'!$A$46:$A$75</f>
            </numRef>
          </cat>
          <val>
            <numRef>
              <f>'JAHRESBERICHT'!$E$46:$E$75</f>
            </numRef>
          </val>
        </ser>
        <ser>
          <idx val="2"/>
          <order val="2"/>
          <tx>
            <strRef>
              <f>'JAHRESBERICHT'!F45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'JAHRESBERICHT'!$A$46:$A$75</f>
            </numRef>
          </cat>
          <val>
            <numRef>
              <f>'JAHRESBERICHT'!$F$46:$F$75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Ø Kontakte pro Öffnungstag nach Wochentag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'JAHRESBERICHT'!D79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'JAHRESBERICHT'!$A$80:$A$86</f>
            </numRef>
          </cat>
          <val>
            <numRef>
              <f>'JAHRESBERICHT'!$D$80:$D$86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Kontakte pro Kalenderwoche</a:t>
            </a:r>
          </a:p>
        </rich>
      </tx>
    </title>
    <plotArea>
      <lineChart>
        <grouping val="standard"/>
        <ser>
          <idx val="0"/>
          <order val="0"/>
          <tx>
            <strRef>
              <f>'JAHRESBERICHT'!G112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'JAHRESBERICHT'!$A$113:$A$165</f>
            </numRef>
          </cat>
          <val>
            <numRef>
              <f>'JAHRESBERICHT'!$G$113:$G$165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Relationship Type="http://schemas.openxmlformats.org/officeDocument/2006/relationships/chart" Target="/xl/charts/chart12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21</row>
      <rowOff>0</rowOff>
    </from>
    <ext cx="7200000" cy="64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4</row>
      <rowOff>0</rowOff>
    </from>
    <ext cx="36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23</col>
      <colOff>0</colOff>
      <row>4</row>
      <rowOff>0</rowOff>
    </from>
    <ext cx="36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20</row>
      <rowOff>0</rowOff>
    </from>
    <ext cx="7200000" cy="64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57</row>
      <rowOff>0</rowOff>
    </from>
    <ext cx="72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3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20</row>
      <rowOff>0</rowOff>
    </from>
    <ext cx="36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23</col>
      <colOff>0</colOff>
      <row>20</row>
      <rowOff>0</rowOff>
    </from>
    <ext cx="36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36</row>
      <rowOff>0</rowOff>
    </from>
    <ext cx="7200000" cy="64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17</col>
      <colOff>0</colOff>
      <row>73</row>
      <rowOff>0</rowOff>
    </from>
    <ext cx="720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17</col>
      <colOff>0</colOff>
      <row>90</row>
      <rowOff>0</rowOff>
    </from>
    <ext cx="720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U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8" customWidth="1" min="20" max="20"/>
    <col width="22" customWidth="1" min="21" max="21"/>
    <col width="11" customWidth="1" min="22" max="22"/>
  </cols>
  <sheetData>
    <row r="2">
      <c r="B2" s="1" t="inlineStr">
        <is>
          <t>Dienstdokumentation – so funktioniert's</t>
        </is>
      </c>
    </row>
    <row r="4" ht="30" customHeight="1">
      <c r="B4" s="2" t="inlineStr">
        <is>
          <t>EINMALIG</t>
        </is>
      </c>
      <c r="C4" s="3" t="inlineStr">
        <is>
          <t>LISTEN</t>
        </is>
      </c>
      <c r="D4" s="4" t="inlineStr">
        <is>
          <t>Jahr, Einrichtung, Angebote und Namen des Teams eintragen (gelbe Zellen). Neue Angebote/Namen erscheinen sofort in allen Dropdowns und Auswertungen.</t>
        </is>
      </c>
    </row>
    <row r="5" ht="30" customHeight="1">
      <c r="B5" s="2" t="inlineStr">
        <is>
          <t>TÄGLICH</t>
        </is>
      </c>
      <c r="C5" s="3" t="inlineStr">
        <is>
          <t>ERFASSUNG</t>
        </is>
      </c>
      <c r="D5" s="4" t="inlineStr">
        <is>
          <t>Pro durchgeführtem Angebot EINE Zeile: Datum, Angebot, Stunden, Anzahl w/d/m, Altersgruppen, wer Dienst hatte und Notizen. Einfach unten weiterschreiben.</t>
        </is>
      </c>
    </row>
    <row r="6" ht="30" customHeight="1">
      <c r="B6" s="2" t="inlineStr">
        <is>
          <t>WÖCHENTLICH</t>
        </is>
      </c>
      <c r="C6" s="3" t="inlineStr">
        <is>
          <t>WOCHE</t>
        </is>
      </c>
      <c r="D6" s="4" t="inlineStr">
        <is>
          <t>Kalenderwoche oben eintragen → Tage, Angebote, Team-Einsätze und 'Wichtiges der Woche' auf einen Blick (z. B. für die Teamsitzung).</t>
        </is>
      </c>
    </row>
    <row r="7" ht="30" customHeight="1">
      <c r="B7" s="2" t="inlineStr">
        <is>
          <t>MONATLICH</t>
        </is>
      </c>
      <c r="C7" s="3" t="inlineStr">
        <is>
          <t>MONAT</t>
        </is>
      </c>
      <c r="D7" s="4" t="inlineStr">
        <is>
          <t>Monat oben auswählen → Monatszusammenfassung mit Kennzahlen, Tabellen und Diagrammen.</t>
        </is>
      </c>
    </row>
    <row r="8" ht="30" customHeight="1">
      <c r="B8" s="2" t="inlineStr">
        <is>
          <t>JÄHRLICH</t>
        </is>
      </c>
      <c r="C8" s="3" t="inlineStr">
        <is>
          <t>JAHRESBERICHT</t>
        </is>
      </c>
      <c r="D8" s="4" t="inlineStr">
        <is>
          <t>Alles für den Jahresbericht: Kennzahlen mit Vorjahresvergleich, fertiger Textbaustein, Monats-, Angebots-, Wochentags- und Wochenstatistik, Diagramme.</t>
        </is>
      </c>
    </row>
    <row r="10">
      <c r="B10" s="5" t="inlineStr">
        <is>
          <t>Beispiel – so sieht eine Zeile in ERFASSUNG aus</t>
        </is>
      </c>
    </row>
    <row r="11" ht="30" customHeight="1">
      <c r="B11" s="6" t="inlineStr">
        <is>
          <t>Datum</t>
        </is>
      </c>
      <c r="C11" s="6" t="inlineStr">
        <is>
          <t>Tag</t>
        </is>
      </c>
      <c r="D11" s="6" t="inlineStr">
        <is>
          <t>KW</t>
        </is>
      </c>
      <c r="E11" s="6" t="inlineStr">
        <is>
          <t>Angebot</t>
        </is>
      </c>
      <c r="F11" s="6" t="inlineStr">
        <is>
          <t>Stunden</t>
        </is>
      </c>
      <c r="G11" s="6" t="inlineStr">
        <is>
          <t>w</t>
        </is>
      </c>
      <c r="H11" s="6" t="inlineStr">
        <is>
          <t>d</t>
        </is>
      </c>
      <c r="I11" s="6" t="inlineStr">
        <is>
          <t>m</t>
        </is>
      </c>
      <c r="J11" s="6" t="inlineStr">
        <is>
          <t>gesamt</t>
        </is>
      </c>
      <c r="K11" s="6" t="inlineStr">
        <is>
          <t>unter 10</t>
        </is>
      </c>
      <c r="L11" s="6" t="inlineStr">
        <is>
          <t>ab 10</t>
        </is>
      </c>
      <c r="M11" s="6" t="inlineStr">
        <is>
          <t>ab 14</t>
        </is>
      </c>
      <c r="N11" s="6" t="inlineStr">
        <is>
          <t>ab 16</t>
        </is>
      </c>
      <c r="O11" s="6" t="inlineStr">
        <is>
          <t>ab 18</t>
        </is>
      </c>
      <c r="P11" s="6" t="inlineStr">
        <is>
          <t>Alters-Check</t>
        </is>
      </c>
      <c r="Q11" s="6" t="inlineStr">
        <is>
          <t>Dienst 1</t>
        </is>
      </c>
      <c r="R11" s="6" t="inlineStr">
        <is>
          <t>Dienst 2</t>
        </is>
      </c>
      <c r="S11" s="6" t="inlineStr">
        <is>
          <t>Dienst 3</t>
        </is>
      </c>
      <c r="T11" s="6" t="inlineStr">
        <is>
          <t>Was war los?</t>
        </is>
      </c>
      <c r="U11" s="6" t="inlineStr">
        <is>
          <t>Wichtig / Vorkommnisse</t>
        </is>
      </c>
    </row>
    <row r="12">
      <c r="B12" s="7" t="inlineStr">
        <is>
          <t>22.09.2026</t>
        </is>
      </c>
      <c r="C12" s="8" t="inlineStr">
        <is>
          <t>Di</t>
        </is>
      </c>
      <c r="D12" s="8" t="n">
        <v>39</v>
      </c>
      <c r="E12" s="7" t="inlineStr">
        <is>
          <t>JUGENDCAFE</t>
        </is>
      </c>
      <c r="F12" s="7" t="n">
        <v>4</v>
      </c>
      <c r="G12" s="7" t="n">
        <v>7</v>
      </c>
      <c r="H12" s="7" t="n">
        <v>1</v>
      </c>
      <c r="I12" s="7" t="n">
        <v>12</v>
      </c>
      <c r="J12" s="8" t="n">
        <v>20</v>
      </c>
      <c r="K12" s="7" t="n">
        <v>0</v>
      </c>
      <c r="L12" s="7" t="n">
        <v>5</v>
      </c>
      <c r="M12" s="7" t="n">
        <v>9</v>
      </c>
      <c r="N12" s="7" t="n">
        <v>4</v>
      </c>
      <c r="O12" s="7" t="n">
        <v>2</v>
      </c>
      <c r="P12" s="8" t="inlineStr">
        <is>
          <t>✓</t>
        </is>
      </c>
      <c r="Q12" s="7" t="inlineStr">
        <is>
          <t>Anna</t>
        </is>
      </c>
      <c r="R12" s="7" t="inlineStr">
        <is>
          <t>Max</t>
        </is>
      </c>
      <c r="S12" s="7" t="inlineStr"/>
      <c r="T12" s="7" t="inlineStr">
        <is>
          <t>Billard-Turnier</t>
        </is>
      </c>
      <c r="U12" s="7" t="inlineStr">
        <is>
          <t>Fenster WC defekt</t>
        </is>
      </c>
    </row>
    <row r="14">
      <c r="B14" s="5" t="inlineStr">
        <is>
          <t>Farben</t>
        </is>
      </c>
    </row>
    <row r="15">
      <c r="B15" s="9" t="n"/>
      <c r="C15" s="10" t="inlineStr">
        <is>
          <t>Auswahl / Einstellung (z. B. Kalenderwoche, Monat, Jahr, Listen)</t>
        </is>
      </c>
    </row>
    <row r="16">
      <c r="B16" s="11" t="n"/>
      <c r="C16" s="10" t="inlineStr">
        <is>
          <t>Eingabe</t>
        </is>
      </c>
    </row>
    <row r="17">
      <c r="B17" s="12" t="n"/>
      <c r="C17" s="10" t="inlineStr">
        <is>
          <t>rechnet automatisch – nicht überschreiben (Blätter sind ohne Passwort geschützt: Überprüfen → Blattschutz aufheben)</t>
        </is>
      </c>
    </row>
    <row r="18">
      <c r="B18" s="13" t="n"/>
      <c r="C18" s="10" t="inlineStr">
        <is>
          <t>Alters-Check passt nicht: Summe der Altersgruppen ≠ gesamt</t>
        </is>
      </c>
    </row>
    <row r="20">
      <c r="B20" s="5" t="inlineStr">
        <is>
          <t>Begriffe</t>
        </is>
      </c>
    </row>
    <row r="21">
      <c r="B21" s="14" t="inlineStr">
        <is>
          <t>Kontakte</t>
        </is>
      </c>
      <c r="C21" s="10" t="inlineStr">
        <is>
          <t>Anzahl Besuche. Wer an 3 Tagen kommt, zählt 3 Kontakte.</t>
        </is>
      </c>
    </row>
    <row r="22">
      <c r="B22" s="14" t="inlineStr">
        <is>
          <t>Einträge</t>
        </is>
      </c>
      <c r="C22" s="10" t="inlineStr">
        <is>
          <t>Wie oft ein Angebot stattgefunden hat (= Anzahl Zeilen).</t>
        </is>
      </c>
    </row>
    <row r="23">
      <c r="B23" s="14" t="inlineStr">
        <is>
          <t>Öffnungstage</t>
        </is>
      </c>
      <c r="C23" s="10" t="inlineStr">
        <is>
          <t>Tage mit mindestens einem Eintrag.</t>
        </is>
      </c>
    </row>
    <row r="24">
      <c r="B24" s="14" t="inlineStr">
        <is>
          <t>Altersgruppen</t>
        </is>
      </c>
      <c r="C24" s="10" t="inlineStr">
        <is>
          <t>unter 10 · ab 10 = 10–13 · ab 14 = 14–15 · ab 16 = 16–17 · ab 18 = 18+</t>
        </is>
      </c>
    </row>
    <row r="25">
      <c r="B25" s="14" t="inlineStr">
        <is>
          <t>Team-Stunden</t>
        </is>
      </c>
      <c r="C25" s="10" t="inlineStr">
        <is>
          <t>Stunden des Angebots, bei dem die Person im Dienst eingetragen ist.</t>
        </is>
      </c>
    </row>
  </sheetData>
  <mergeCells count="5">
    <mergeCell ref="D4:P4"/>
    <mergeCell ref="D5:P5"/>
    <mergeCell ref="D6:P6"/>
    <mergeCell ref="D7:P7"/>
    <mergeCell ref="D8:P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X300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20" customWidth="1" min="4" max="4"/>
    <col width="8" customWidth="1" min="5" max="5"/>
    <col width="6" customWidth="1" min="6" max="6"/>
    <col width="6" customWidth="1" min="7" max="7"/>
    <col width="6" customWidth="1" min="8" max="8"/>
    <col width="8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1" customWidth="1" min="15" max="15"/>
    <col width="13" customWidth="1" min="16" max="16"/>
    <col width="13" customWidth="1" min="17" max="17"/>
    <col width="13" customWidth="1" min="18" max="18"/>
    <col width="34" customWidth="1" min="19" max="19"/>
    <col width="34" customWidth="1" min="20" max="20"/>
    <col hidden="1" width="13" customWidth="1" min="22" max="22"/>
    <col hidden="1" width="13" customWidth="1" min="23" max="23"/>
    <col hidden="1" width="13" customWidth="1" min="24" max="24"/>
  </cols>
  <sheetData>
    <row r="1">
      <c r="A1" s="15">
        <f>"Tägliche Erfassung "&amp;LISTEN!$F$2&amp;" – "&amp;LISTEN!$F$3</f>
        <v/>
      </c>
    </row>
    <row r="2">
      <c r="A2" s="16" t="inlineStr">
        <is>
          <t>Pro durchgeführtem Angebot eine Zeile. Weiß = eingeben, grau = rechnet automatisch. Dropdowns für Angebot und Dienst kommen aus dem Blatt LISTEN.</t>
        </is>
      </c>
    </row>
    <row r="4">
      <c r="D4" s="17" t="inlineStr">
        <is>
          <t>SUMME (Filter beachtet)</t>
        </is>
      </c>
      <c r="E4" s="18">
        <f>SUBTOTAL(9,E6:E3005)</f>
        <v/>
      </c>
      <c r="F4" s="18">
        <f>SUBTOTAL(9,F6:F3005)</f>
        <v/>
      </c>
      <c r="G4" s="18">
        <f>SUBTOTAL(9,G6:G3005)</f>
        <v/>
      </c>
      <c r="H4" s="18">
        <f>SUBTOTAL(9,H6:H3005)</f>
        <v/>
      </c>
      <c r="I4" s="18">
        <f>SUBTOTAL(9,I6:I3005)</f>
        <v/>
      </c>
      <c r="J4" s="18">
        <f>SUBTOTAL(9,J6:J3005)</f>
        <v/>
      </c>
      <c r="K4" s="18">
        <f>SUBTOTAL(9,K6:K3005)</f>
        <v/>
      </c>
      <c r="L4" s="18">
        <f>SUBTOTAL(9,L6:L3005)</f>
        <v/>
      </c>
      <c r="M4" s="18">
        <f>SUBTOTAL(9,M6:M3005)</f>
        <v/>
      </c>
      <c r="N4" s="18">
        <f>SUBTOTAL(9,N6:N3005)</f>
        <v/>
      </c>
    </row>
    <row r="5" ht="30" customHeight="1">
      <c r="A5" s="6" t="inlineStr">
        <is>
          <t>Datum</t>
        </is>
      </c>
      <c r="B5" s="6" t="inlineStr">
        <is>
          <t>Tag</t>
        </is>
      </c>
      <c r="C5" s="6" t="inlineStr">
        <is>
          <t>KW</t>
        </is>
      </c>
      <c r="D5" s="6" t="inlineStr">
        <is>
          <t>Angebot</t>
        </is>
      </c>
      <c r="E5" s="6" t="inlineStr">
        <is>
          <t>Stunden</t>
        </is>
      </c>
      <c r="F5" s="6" t="inlineStr">
        <is>
          <t>w</t>
        </is>
      </c>
      <c r="G5" s="6" t="inlineStr">
        <is>
          <t>d</t>
        </is>
      </c>
      <c r="H5" s="6" t="inlineStr">
        <is>
          <t>m</t>
        </is>
      </c>
      <c r="I5" s="6" t="inlineStr">
        <is>
          <t>gesamt</t>
        </is>
      </c>
      <c r="J5" s="6" t="inlineStr">
        <is>
          <t>unter 10</t>
        </is>
      </c>
      <c r="K5" s="6" t="inlineStr">
        <is>
          <t>ab 10</t>
        </is>
      </c>
      <c r="L5" s="6" t="inlineStr">
        <is>
          <t>ab 14</t>
        </is>
      </c>
      <c r="M5" s="6" t="inlineStr">
        <is>
          <t>ab 16</t>
        </is>
      </c>
      <c r="N5" s="6" t="inlineStr">
        <is>
          <t>ab 18</t>
        </is>
      </c>
      <c r="O5" s="6" t="inlineStr">
        <is>
          <t>Alters-Check</t>
        </is>
      </c>
      <c r="P5" s="6" t="inlineStr">
        <is>
          <t>Dienst 1</t>
        </is>
      </c>
      <c r="Q5" s="6" t="inlineStr">
        <is>
          <t>Dienst 2</t>
        </is>
      </c>
      <c r="R5" s="6" t="inlineStr">
        <is>
          <t>Dienst 3</t>
        </is>
      </c>
      <c r="S5" s="6" t="inlineStr">
        <is>
          <t>Was war los?</t>
        </is>
      </c>
      <c r="T5" s="6" t="inlineStr">
        <is>
          <t>Wichtig / Vorkommnisse</t>
        </is>
      </c>
      <c r="V5" t="inlineStr">
        <is>
          <t>Monat</t>
        </is>
      </c>
      <c r="W5" t="inlineStr">
        <is>
          <t>lfd Wichtig Woche</t>
        </is>
      </c>
      <c r="X5" t="inlineStr">
        <is>
          <t>lfd Wichtig Monat</t>
        </is>
      </c>
    </row>
    <row r="6">
      <c r="A6" s="19" t="n"/>
      <c r="B6" s="20">
        <f>IF(A6="","",CHOOSE(WEEKDAY(A6,2),"Mo","Di","Mi","Do","Fr","Sa","So"))</f>
        <v/>
      </c>
      <c r="C6" s="20">
        <f>IF(A6="","",INT((A6-DATE(YEAR(A6-WEEKDAY(A6-1)+4),1,3)+WEEKDAY(DATE(YEAR(A6-WEEKDAY(A6-1)+4),1,3))+5)/7))</f>
        <v/>
      </c>
      <c r="D6" s="21" t="n"/>
      <c r="E6" s="22" t="n"/>
      <c r="F6" s="23" t="n"/>
      <c r="G6" s="23" t="n"/>
      <c r="H6" s="23" t="n"/>
      <c r="I6" s="20">
        <f>IF(COUNT(F6:H6)=0,"",SUM(F6:H6))</f>
        <v/>
      </c>
      <c r="J6" s="23" t="n"/>
      <c r="K6" s="23" t="n"/>
      <c r="L6" s="23" t="n"/>
      <c r="M6" s="23" t="n"/>
      <c r="N6" s="23" t="n"/>
      <c r="O6" s="20">
        <f>IF(OR(I6="",COUNT(J6:N6)=0),"",IF(SUM(J6:N6)=I6,"✓","⚠ "&amp;SUM(J6:N6)&amp;" statt "&amp;I6))</f>
        <v/>
      </c>
      <c r="P6" s="21" t="n"/>
      <c r="Q6" s="21" t="n"/>
      <c r="R6" s="21" t="n"/>
      <c r="S6" s="24" t="n"/>
      <c r="T6" s="24" t="n"/>
      <c r="V6">
        <f>IF(A6="","",MONTH(A6))</f>
        <v/>
      </c>
      <c r="W6">
        <f>N(W5)+IF(AND(C6&lt;&gt;"",T6&lt;&gt;""),IF(C6=WOCHE!$B$3,1,0),0)</f>
        <v/>
      </c>
      <c r="X6">
        <f>N(X5)+IF(AND(V6&lt;&gt;"",T6&lt;&gt;""),IF(V6=MONAT!$AZ$3,1,0),0)</f>
        <v/>
      </c>
    </row>
    <row r="7">
      <c r="A7" s="19" t="n"/>
      <c r="B7" s="20">
        <f>IF(A7="","",CHOOSE(WEEKDAY(A7,2),"Mo","Di","Mi","Do","Fr","Sa","So"))</f>
        <v/>
      </c>
      <c r="C7" s="20">
        <f>IF(A7="","",INT((A7-DATE(YEAR(A7-WEEKDAY(A7-1)+4),1,3)+WEEKDAY(DATE(YEAR(A7-WEEKDAY(A7-1)+4),1,3))+5)/7))</f>
        <v/>
      </c>
      <c r="D7" s="21" t="n"/>
      <c r="E7" s="22" t="n"/>
      <c r="F7" s="23" t="n"/>
      <c r="G7" s="23" t="n"/>
      <c r="H7" s="23" t="n"/>
      <c r="I7" s="20">
        <f>IF(COUNT(F7:H7)=0,"",SUM(F7:H7))</f>
        <v/>
      </c>
      <c r="J7" s="23" t="n"/>
      <c r="K7" s="23" t="n"/>
      <c r="L7" s="23" t="n"/>
      <c r="M7" s="23" t="n"/>
      <c r="N7" s="23" t="n"/>
      <c r="O7" s="20">
        <f>IF(OR(I7="",COUNT(J7:N7)=0),"",IF(SUM(J7:N7)=I7,"✓","⚠ "&amp;SUM(J7:N7)&amp;" statt "&amp;I7))</f>
        <v/>
      </c>
      <c r="P7" s="21" t="n"/>
      <c r="Q7" s="21" t="n"/>
      <c r="R7" s="21" t="n"/>
      <c r="S7" s="24" t="n"/>
      <c r="T7" s="24" t="n"/>
      <c r="V7">
        <f>IF(A7="","",MONTH(A7))</f>
        <v/>
      </c>
      <c r="W7">
        <f>N(W6)+IF(AND(C7&lt;&gt;"",T7&lt;&gt;""),IF(C7=WOCHE!$B$3,1,0),0)</f>
        <v/>
      </c>
      <c r="X7">
        <f>N(X6)+IF(AND(V7&lt;&gt;"",T7&lt;&gt;""),IF(V7=MONAT!$AZ$3,1,0),0)</f>
        <v/>
      </c>
    </row>
    <row r="8">
      <c r="A8" s="19" t="n"/>
      <c r="B8" s="20">
        <f>IF(A8="","",CHOOSE(WEEKDAY(A8,2),"Mo","Di","Mi","Do","Fr","Sa","So"))</f>
        <v/>
      </c>
      <c r="C8" s="20">
        <f>IF(A8="","",INT((A8-DATE(YEAR(A8-WEEKDAY(A8-1)+4),1,3)+WEEKDAY(DATE(YEAR(A8-WEEKDAY(A8-1)+4),1,3))+5)/7))</f>
        <v/>
      </c>
      <c r="D8" s="21" t="n"/>
      <c r="E8" s="22" t="n"/>
      <c r="F8" s="23" t="n"/>
      <c r="G8" s="23" t="n"/>
      <c r="H8" s="23" t="n"/>
      <c r="I8" s="20">
        <f>IF(COUNT(F8:H8)=0,"",SUM(F8:H8))</f>
        <v/>
      </c>
      <c r="J8" s="23" t="n"/>
      <c r="K8" s="23" t="n"/>
      <c r="L8" s="23" t="n"/>
      <c r="M8" s="23" t="n"/>
      <c r="N8" s="23" t="n"/>
      <c r="O8" s="20">
        <f>IF(OR(I8="",COUNT(J8:N8)=0),"",IF(SUM(J8:N8)=I8,"✓","⚠ "&amp;SUM(J8:N8)&amp;" statt "&amp;I8))</f>
        <v/>
      </c>
      <c r="P8" s="21" t="n"/>
      <c r="Q8" s="21" t="n"/>
      <c r="R8" s="21" t="n"/>
      <c r="S8" s="24" t="n"/>
      <c r="T8" s="24" t="n"/>
      <c r="V8">
        <f>IF(A8="","",MONTH(A8))</f>
        <v/>
      </c>
      <c r="W8">
        <f>N(W7)+IF(AND(C8&lt;&gt;"",T8&lt;&gt;""),IF(C8=WOCHE!$B$3,1,0),0)</f>
        <v/>
      </c>
      <c r="X8">
        <f>N(X7)+IF(AND(V8&lt;&gt;"",T8&lt;&gt;""),IF(V8=MONAT!$AZ$3,1,0),0)</f>
        <v/>
      </c>
    </row>
    <row r="9">
      <c r="A9" s="19" t="n"/>
      <c r="B9" s="20">
        <f>IF(A9="","",CHOOSE(WEEKDAY(A9,2),"Mo","Di","Mi","Do","Fr","Sa","So"))</f>
        <v/>
      </c>
      <c r="C9" s="20">
        <f>IF(A9="","",INT((A9-DATE(YEAR(A9-WEEKDAY(A9-1)+4),1,3)+WEEKDAY(DATE(YEAR(A9-WEEKDAY(A9-1)+4),1,3))+5)/7))</f>
        <v/>
      </c>
      <c r="D9" s="21" t="n"/>
      <c r="E9" s="22" t="n"/>
      <c r="F9" s="23" t="n"/>
      <c r="G9" s="23" t="n"/>
      <c r="H9" s="23" t="n"/>
      <c r="I9" s="20">
        <f>IF(COUNT(F9:H9)=0,"",SUM(F9:H9))</f>
        <v/>
      </c>
      <c r="J9" s="23" t="n"/>
      <c r="K9" s="23" t="n"/>
      <c r="L9" s="23" t="n"/>
      <c r="M9" s="23" t="n"/>
      <c r="N9" s="23" t="n"/>
      <c r="O9" s="20">
        <f>IF(OR(I9="",COUNT(J9:N9)=0),"",IF(SUM(J9:N9)=I9,"✓","⚠ "&amp;SUM(J9:N9)&amp;" statt "&amp;I9))</f>
        <v/>
      </c>
      <c r="P9" s="21" t="n"/>
      <c r="Q9" s="21" t="n"/>
      <c r="R9" s="21" t="n"/>
      <c r="S9" s="24" t="n"/>
      <c r="T9" s="24" t="n"/>
      <c r="V9">
        <f>IF(A9="","",MONTH(A9))</f>
        <v/>
      </c>
      <c r="W9">
        <f>N(W8)+IF(AND(C9&lt;&gt;"",T9&lt;&gt;""),IF(C9=WOCHE!$B$3,1,0),0)</f>
        <v/>
      </c>
      <c r="X9">
        <f>N(X8)+IF(AND(V9&lt;&gt;"",T9&lt;&gt;""),IF(V9=MONAT!$AZ$3,1,0),0)</f>
        <v/>
      </c>
    </row>
    <row r="10">
      <c r="A10" s="19" t="n"/>
      <c r="B10" s="20">
        <f>IF(A10="","",CHOOSE(WEEKDAY(A10,2),"Mo","Di","Mi","Do","Fr","Sa","So"))</f>
        <v/>
      </c>
      <c r="C10" s="20">
        <f>IF(A10="","",INT((A10-DATE(YEAR(A10-WEEKDAY(A10-1)+4),1,3)+WEEKDAY(DATE(YEAR(A10-WEEKDAY(A10-1)+4),1,3))+5)/7))</f>
        <v/>
      </c>
      <c r="D10" s="21" t="n"/>
      <c r="E10" s="22" t="n"/>
      <c r="F10" s="23" t="n"/>
      <c r="G10" s="23" t="n"/>
      <c r="H10" s="23" t="n"/>
      <c r="I10" s="20">
        <f>IF(COUNT(F10:H10)=0,"",SUM(F10:H10))</f>
        <v/>
      </c>
      <c r="J10" s="23" t="n"/>
      <c r="K10" s="23" t="n"/>
      <c r="L10" s="23" t="n"/>
      <c r="M10" s="23" t="n"/>
      <c r="N10" s="23" t="n"/>
      <c r="O10" s="20">
        <f>IF(OR(I10="",COUNT(J10:N10)=0),"",IF(SUM(J10:N10)=I10,"✓","⚠ "&amp;SUM(J10:N10)&amp;" statt "&amp;I10))</f>
        <v/>
      </c>
      <c r="P10" s="21" t="n"/>
      <c r="Q10" s="21" t="n"/>
      <c r="R10" s="21" t="n"/>
      <c r="S10" s="24" t="n"/>
      <c r="T10" s="24" t="n"/>
      <c r="V10">
        <f>IF(A10="","",MONTH(A10))</f>
        <v/>
      </c>
      <c r="W10">
        <f>N(W9)+IF(AND(C10&lt;&gt;"",T10&lt;&gt;""),IF(C10=WOCHE!$B$3,1,0),0)</f>
        <v/>
      </c>
      <c r="X10">
        <f>N(X9)+IF(AND(V10&lt;&gt;"",T10&lt;&gt;""),IF(V10=MONAT!$AZ$3,1,0),0)</f>
        <v/>
      </c>
    </row>
    <row r="11">
      <c r="A11" s="19" t="n"/>
      <c r="B11" s="20">
        <f>IF(A11="","",CHOOSE(WEEKDAY(A11,2),"Mo","Di","Mi","Do","Fr","Sa","So"))</f>
        <v/>
      </c>
      <c r="C11" s="20">
        <f>IF(A11="","",INT((A11-DATE(YEAR(A11-WEEKDAY(A11-1)+4),1,3)+WEEKDAY(DATE(YEAR(A11-WEEKDAY(A11-1)+4),1,3))+5)/7))</f>
        <v/>
      </c>
      <c r="D11" s="21" t="n"/>
      <c r="E11" s="22" t="n"/>
      <c r="F11" s="23" t="n"/>
      <c r="G11" s="23" t="n"/>
      <c r="H11" s="23" t="n"/>
      <c r="I11" s="20">
        <f>IF(COUNT(F11:H11)=0,"",SUM(F11:H11))</f>
        <v/>
      </c>
      <c r="J11" s="23" t="n"/>
      <c r="K11" s="23" t="n"/>
      <c r="L11" s="23" t="n"/>
      <c r="M11" s="23" t="n"/>
      <c r="N11" s="23" t="n"/>
      <c r="O11" s="20">
        <f>IF(OR(I11="",COUNT(J11:N11)=0),"",IF(SUM(J11:N11)=I11,"✓","⚠ "&amp;SUM(J11:N11)&amp;" statt "&amp;I11))</f>
        <v/>
      </c>
      <c r="P11" s="21" t="n"/>
      <c r="Q11" s="21" t="n"/>
      <c r="R11" s="21" t="n"/>
      <c r="S11" s="24" t="n"/>
      <c r="T11" s="24" t="n"/>
      <c r="V11">
        <f>IF(A11="","",MONTH(A11))</f>
        <v/>
      </c>
      <c r="W11">
        <f>N(W10)+IF(AND(C11&lt;&gt;"",T11&lt;&gt;""),IF(C11=WOCHE!$B$3,1,0),0)</f>
        <v/>
      </c>
      <c r="X11">
        <f>N(X10)+IF(AND(V11&lt;&gt;"",T11&lt;&gt;""),IF(V11=MONAT!$AZ$3,1,0),0)</f>
        <v/>
      </c>
    </row>
    <row r="12">
      <c r="A12" s="19" t="n"/>
      <c r="B12" s="20">
        <f>IF(A12="","",CHOOSE(WEEKDAY(A12,2),"Mo","Di","Mi","Do","Fr","Sa","So"))</f>
        <v/>
      </c>
      <c r="C12" s="20">
        <f>IF(A12="","",INT((A12-DATE(YEAR(A12-WEEKDAY(A12-1)+4),1,3)+WEEKDAY(DATE(YEAR(A12-WEEKDAY(A12-1)+4),1,3))+5)/7))</f>
        <v/>
      </c>
      <c r="D12" s="21" t="n"/>
      <c r="E12" s="22" t="n"/>
      <c r="F12" s="23" t="n"/>
      <c r="G12" s="23" t="n"/>
      <c r="H12" s="23" t="n"/>
      <c r="I12" s="20">
        <f>IF(COUNT(F12:H12)=0,"",SUM(F12:H12))</f>
        <v/>
      </c>
      <c r="J12" s="23" t="n"/>
      <c r="K12" s="23" t="n"/>
      <c r="L12" s="23" t="n"/>
      <c r="M12" s="23" t="n"/>
      <c r="N12" s="23" t="n"/>
      <c r="O12" s="20">
        <f>IF(OR(I12="",COUNT(J12:N12)=0),"",IF(SUM(J12:N12)=I12,"✓","⚠ "&amp;SUM(J12:N12)&amp;" statt "&amp;I12))</f>
        <v/>
      </c>
      <c r="P12" s="21" t="n"/>
      <c r="Q12" s="21" t="n"/>
      <c r="R12" s="21" t="n"/>
      <c r="S12" s="24" t="n"/>
      <c r="T12" s="24" t="n"/>
      <c r="V12">
        <f>IF(A12="","",MONTH(A12))</f>
        <v/>
      </c>
      <c r="W12">
        <f>N(W11)+IF(AND(C12&lt;&gt;"",T12&lt;&gt;""),IF(C12=WOCHE!$B$3,1,0),0)</f>
        <v/>
      </c>
      <c r="X12">
        <f>N(X11)+IF(AND(V12&lt;&gt;"",T12&lt;&gt;""),IF(V12=MONAT!$AZ$3,1,0),0)</f>
        <v/>
      </c>
    </row>
    <row r="13">
      <c r="A13" s="19" t="n"/>
      <c r="B13" s="20">
        <f>IF(A13="","",CHOOSE(WEEKDAY(A13,2),"Mo","Di","Mi","Do","Fr","Sa","So"))</f>
        <v/>
      </c>
      <c r="C13" s="20">
        <f>IF(A13="","",INT((A13-DATE(YEAR(A13-WEEKDAY(A13-1)+4),1,3)+WEEKDAY(DATE(YEAR(A13-WEEKDAY(A13-1)+4),1,3))+5)/7))</f>
        <v/>
      </c>
      <c r="D13" s="21" t="n"/>
      <c r="E13" s="22" t="n"/>
      <c r="F13" s="23" t="n"/>
      <c r="G13" s="23" t="n"/>
      <c r="H13" s="23" t="n"/>
      <c r="I13" s="20">
        <f>IF(COUNT(F13:H13)=0,"",SUM(F13:H13))</f>
        <v/>
      </c>
      <c r="J13" s="23" t="n"/>
      <c r="K13" s="23" t="n"/>
      <c r="L13" s="23" t="n"/>
      <c r="M13" s="23" t="n"/>
      <c r="N13" s="23" t="n"/>
      <c r="O13" s="20">
        <f>IF(OR(I13="",COUNT(J13:N13)=0),"",IF(SUM(J13:N13)=I13,"✓","⚠ "&amp;SUM(J13:N13)&amp;" statt "&amp;I13))</f>
        <v/>
      </c>
      <c r="P13" s="21" t="n"/>
      <c r="Q13" s="21" t="n"/>
      <c r="R13" s="21" t="n"/>
      <c r="S13" s="24" t="n"/>
      <c r="T13" s="24" t="n"/>
      <c r="V13">
        <f>IF(A13="","",MONTH(A13))</f>
        <v/>
      </c>
      <c r="W13">
        <f>N(W12)+IF(AND(C13&lt;&gt;"",T13&lt;&gt;""),IF(C13=WOCHE!$B$3,1,0),0)</f>
        <v/>
      </c>
      <c r="X13">
        <f>N(X12)+IF(AND(V13&lt;&gt;"",T13&lt;&gt;""),IF(V13=MONAT!$AZ$3,1,0),0)</f>
        <v/>
      </c>
    </row>
    <row r="14">
      <c r="A14" s="19" t="n"/>
      <c r="B14" s="20">
        <f>IF(A14="","",CHOOSE(WEEKDAY(A14,2),"Mo","Di","Mi","Do","Fr","Sa","So"))</f>
        <v/>
      </c>
      <c r="C14" s="20">
        <f>IF(A14="","",INT((A14-DATE(YEAR(A14-WEEKDAY(A14-1)+4),1,3)+WEEKDAY(DATE(YEAR(A14-WEEKDAY(A14-1)+4),1,3))+5)/7))</f>
        <v/>
      </c>
      <c r="D14" s="21" t="n"/>
      <c r="E14" s="22" t="n"/>
      <c r="F14" s="23" t="n"/>
      <c r="G14" s="23" t="n"/>
      <c r="H14" s="23" t="n"/>
      <c r="I14" s="20">
        <f>IF(COUNT(F14:H14)=0,"",SUM(F14:H14))</f>
        <v/>
      </c>
      <c r="J14" s="23" t="n"/>
      <c r="K14" s="23" t="n"/>
      <c r="L14" s="23" t="n"/>
      <c r="M14" s="23" t="n"/>
      <c r="N14" s="23" t="n"/>
      <c r="O14" s="20">
        <f>IF(OR(I14="",COUNT(J14:N14)=0),"",IF(SUM(J14:N14)=I14,"✓","⚠ "&amp;SUM(J14:N14)&amp;" statt "&amp;I14))</f>
        <v/>
      </c>
      <c r="P14" s="21" t="n"/>
      <c r="Q14" s="21" t="n"/>
      <c r="R14" s="21" t="n"/>
      <c r="S14" s="24" t="n"/>
      <c r="T14" s="24" t="n"/>
      <c r="V14">
        <f>IF(A14="","",MONTH(A14))</f>
        <v/>
      </c>
      <c r="W14">
        <f>N(W13)+IF(AND(C14&lt;&gt;"",T14&lt;&gt;""),IF(C14=WOCHE!$B$3,1,0),0)</f>
        <v/>
      </c>
      <c r="X14">
        <f>N(X13)+IF(AND(V14&lt;&gt;"",T14&lt;&gt;""),IF(V14=MONAT!$AZ$3,1,0),0)</f>
        <v/>
      </c>
    </row>
    <row r="15">
      <c r="A15" s="19" t="n"/>
      <c r="B15" s="20">
        <f>IF(A15="","",CHOOSE(WEEKDAY(A15,2),"Mo","Di","Mi","Do","Fr","Sa","So"))</f>
        <v/>
      </c>
      <c r="C15" s="20">
        <f>IF(A15="","",INT((A15-DATE(YEAR(A15-WEEKDAY(A15-1)+4),1,3)+WEEKDAY(DATE(YEAR(A15-WEEKDAY(A15-1)+4),1,3))+5)/7))</f>
        <v/>
      </c>
      <c r="D15" s="21" t="n"/>
      <c r="E15" s="22" t="n"/>
      <c r="F15" s="23" t="n"/>
      <c r="G15" s="23" t="n"/>
      <c r="H15" s="23" t="n"/>
      <c r="I15" s="20">
        <f>IF(COUNT(F15:H15)=0,"",SUM(F15:H15))</f>
        <v/>
      </c>
      <c r="J15" s="23" t="n"/>
      <c r="K15" s="23" t="n"/>
      <c r="L15" s="23" t="n"/>
      <c r="M15" s="23" t="n"/>
      <c r="N15" s="23" t="n"/>
      <c r="O15" s="20">
        <f>IF(OR(I15="",COUNT(J15:N15)=0),"",IF(SUM(J15:N15)=I15,"✓","⚠ "&amp;SUM(J15:N15)&amp;" statt "&amp;I15))</f>
        <v/>
      </c>
      <c r="P15" s="21" t="n"/>
      <c r="Q15" s="21" t="n"/>
      <c r="R15" s="21" t="n"/>
      <c r="S15" s="24" t="n"/>
      <c r="T15" s="24" t="n"/>
      <c r="V15">
        <f>IF(A15="","",MONTH(A15))</f>
        <v/>
      </c>
      <c r="W15">
        <f>N(W14)+IF(AND(C15&lt;&gt;"",T15&lt;&gt;""),IF(C15=WOCHE!$B$3,1,0),0)</f>
        <v/>
      </c>
      <c r="X15">
        <f>N(X14)+IF(AND(V15&lt;&gt;"",T15&lt;&gt;""),IF(V15=MONAT!$AZ$3,1,0),0)</f>
        <v/>
      </c>
    </row>
    <row r="16">
      <c r="A16" s="19" t="n"/>
      <c r="B16" s="20">
        <f>IF(A16="","",CHOOSE(WEEKDAY(A16,2),"Mo","Di","Mi","Do","Fr","Sa","So"))</f>
        <v/>
      </c>
      <c r="C16" s="20">
        <f>IF(A16="","",INT((A16-DATE(YEAR(A16-WEEKDAY(A16-1)+4),1,3)+WEEKDAY(DATE(YEAR(A16-WEEKDAY(A16-1)+4),1,3))+5)/7))</f>
        <v/>
      </c>
      <c r="D16" s="21" t="n"/>
      <c r="E16" s="22" t="n"/>
      <c r="F16" s="23" t="n"/>
      <c r="G16" s="23" t="n"/>
      <c r="H16" s="23" t="n"/>
      <c r="I16" s="20">
        <f>IF(COUNT(F16:H16)=0,"",SUM(F16:H16))</f>
        <v/>
      </c>
      <c r="J16" s="23" t="n"/>
      <c r="K16" s="23" t="n"/>
      <c r="L16" s="23" t="n"/>
      <c r="M16" s="23" t="n"/>
      <c r="N16" s="23" t="n"/>
      <c r="O16" s="20">
        <f>IF(OR(I16="",COUNT(J16:N16)=0),"",IF(SUM(J16:N16)=I16,"✓","⚠ "&amp;SUM(J16:N16)&amp;" statt "&amp;I16))</f>
        <v/>
      </c>
      <c r="P16" s="21" t="n"/>
      <c r="Q16" s="21" t="n"/>
      <c r="R16" s="21" t="n"/>
      <c r="S16" s="24" t="n"/>
      <c r="T16" s="24" t="n"/>
      <c r="V16">
        <f>IF(A16="","",MONTH(A16))</f>
        <v/>
      </c>
      <c r="W16">
        <f>N(W15)+IF(AND(C16&lt;&gt;"",T16&lt;&gt;""),IF(C16=WOCHE!$B$3,1,0),0)</f>
        <v/>
      </c>
      <c r="X16">
        <f>N(X15)+IF(AND(V16&lt;&gt;"",T16&lt;&gt;""),IF(V16=MONAT!$AZ$3,1,0),0)</f>
        <v/>
      </c>
    </row>
    <row r="17">
      <c r="A17" s="19" t="n"/>
      <c r="B17" s="20">
        <f>IF(A17="","",CHOOSE(WEEKDAY(A17,2),"Mo","Di","Mi","Do","Fr","Sa","So"))</f>
        <v/>
      </c>
      <c r="C17" s="20">
        <f>IF(A17="","",INT((A17-DATE(YEAR(A17-WEEKDAY(A17-1)+4),1,3)+WEEKDAY(DATE(YEAR(A17-WEEKDAY(A17-1)+4),1,3))+5)/7))</f>
        <v/>
      </c>
      <c r="D17" s="21" t="n"/>
      <c r="E17" s="22" t="n"/>
      <c r="F17" s="23" t="n"/>
      <c r="G17" s="23" t="n"/>
      <c r="H17" s="23" t="n"/>
      <c r="I17" s="20">
        <f>IF(COUNT(F17:H17)=0,"",SUM(F17:H17))</f>
        <v/>
      </c>
      <c r="J17" s="23" t="n"/>
      <c r="K17" s="23" t="n"/>
      <c r="L17" s="23" t="n"/>
      <c r="M17" s="23" t="n"/>
      <c r="N17" s="23" t="n"/>
      <c r="O17" s="20">
        <f>IF(OR(I17="",COUNT(J17:N17)=0),"",IF(SUM(J17:N17)=I17,"✓","⚠ "&amp;SUM(J17:N17)&amp;" statt "&amp;I17))</f>
        <v/>
      </c>
      <c r="P17" s="21" t="n"/>
      <c r="Q17" s="21" t="n"/>
      <c r="R17" s="21" t="n"/>
      <c r="S17" s="24" t="n"/>
      <c r="T17" s="24" t="n"/>
      <c r="V17">
        <f>IF(A17="","",MONTH(A17))</f>
        <v/>
      </c>
      <c r="W17">
        <f>N(W16)+IF(AND(C17&lt;&gt;"",T17&lt;&gt;""),IF(C17=WOCHE!$B$3,1,0),0)</f>
        <v/>
      </c>
      <c r="X17">
        <f>N(X16)+IF(AND(V17&lt;&gt;"",T17&lt;&gt;""),IF(V17=MONAT!$AZ$3,1,0),0)</f>
        <v/>
      </c>
    </row>
    <row r="18">
      <c r="A18" s="19" t="n"/>
      <c r="B18" s="20">
        <f>IF(A18="","",CHOOSE(WEEKDAY(A18,2),"Mo","Di","Mi","Do","Fr","Sa","So"))</f>
        <v/>
      </c>
      <c r="C18" s="20">
        <f>IF(A18="","",INT((A18-DATE(YEAR(A18-WEEKDAY(A18-1)+4),1,3)+WEEKDAY(DATE(YEAR(A18-WEEKDAY(A18-1)+4),1,3))+5)/7))</f>
        <v/>
      </c>
      <c r="D18" s="21" t="n"/>
      <c r="E18" s="22" t="n"/>
      <c r="F18" s="23" t="n"/>
      <c r="G18" s="23" t="n"/>
      <c r="H18" s="23" t="n"/>
      <c r="I18" s="20">
        <f>IF(COUNT(F18:H18)=0,"",SUM(F18:H18))</f>
        <v/>
      </c>
      <c r="J18" s="23" t="n"/>
      <c r="K18" s="23" t="n"/>
      <c r="L18" s="23" t="n"/>
      <c r="M18" s="23" t="n"/>
      <c r="N18" s="23" t="n"/>
      <c r="O18" s="20">
        <f>IF(OR(I18="",COUNT(J18:N18)=0),"",IF(SUM(J18:N18)=I18,"✓","⚠ "&amp;SUM(J18:N18)&amp;" statt "&amp;I18))</f>
        <v/>
      </c>
      <c r="P18" s="21" t="n"/>
      <c r="Q18" s="21" t="n"/>
      <c r="R18" s="21" t="n"/>
      <c r="S18" s="24" t="n"/>
      <c r="T18" s="24" t="n"/>
      <c r="V18">
        <f>IF(A18="","",MONTH(A18))</f>
        <v/>
      </c>
      <c r="W18">
        <f>N(W17)+IF(AND(C18&lt;&gt;"",T18&lt;&gt;""),IF(C18=WOCHE!$B$3,1,0),0)</f>
        <v/>
      </c>
      <c r="X18">
        <f>N(X17)+IF(AND(V18&lt;&gt;"",T18&lt;&gt;""),IF(V18=MONAT!$AZ$3,1,0),0)</f>
        <v/>
      </c>
    </row>
    <row r="19">
      <c r="A19" s="19" t="n"/>
      <c r="B19" s="20">
        <f>IF(A19="","",CHOOSE(WEEKDAY(A19,2),"Mo","Di","Mi","Do","Fr","Sa","So"))</f>
        <v/>
      </c>
      <c r="C19" s="20">
        <f>IF(A19="","",INT((A19-DATE(YEAR(A19-WEEKDAY(A19-1)+4),1,3)+WEEKDAY(DATE(YEAR(A19-WEEKDAY(A19-1)+4),1,3))+5)/7))</f>
        <v/>
      </c>
      <c r="D19" s="21" t="n"/>
      <c r="E19" s="22" t="n"/>
      <c r="F19" s="23" t="n"/>
      <c r="G19" s="23" t="n"/>
      <c r="H19" s="23" t="n"/>
      <c r="I19" s="20">
        <f>IF(COUNT(F19:H19)=0,"",SUM(F19:H19))</f>
        <v/>
      </c>
      <c r="J19" s="23" t="n"/>
      <c r="K19" s="23" t="n"/>
      <c r="L19" s="23" t="n"/>
      <c r="M19" s="23" t="n"/>
      <c r="N19" s="23" t="n"/>
      <c r="O19" s="20">
        <f>IF(OR(I19="",COUNT(J19:N19)=0),"",IF(SUM(J19:N19)=I19,"✓","⚠ "&amp;SUM(J19:N19)&amp;" statt "&amp;I19))</f>
        <v/>
      </c>
      <c r="P19" s="21" t="n"/>
      <c r="Q19" s="21" t="n"/>
      <c r="R19" s="21" t="n"/>
      <c r="S19" s="24" t="n"/>
      <c r="T19" s="24" t="n"/>
      <c r="V19">
        <f>IF(A19="","",MONTH(A19))</f>
        <v/>
      </c>
      <c r="W19">
        <f>N(W18)+IF(AND(C19&lt;&gt;"",T19&lt;&gt;""),IF(C19=WOCHE!$B$3,1,0),0)</f>
        <v/>
      </c>
      <c r="X19">
        <f>N(X18)+IF(AND(V19&lt;&gt;"",T19&lt;&gt;""),IF(V19=MONAT!$AZ$3,1,0),0)</f>
        <v/>
      </c>
    </row>
    <row r="20">
      <c r="A20" s="19" t="n"/>
      <c r="B20" s="20">
        <f>IF(A20="","",CHOOSE(WEEKDAY(A20,2),"Mo","Di","Mi","Do","Fr","Sa","So"))</f>
        <v/>
      </c>
      <c r="C20" s="20">
        <f>IF(A20="","",INT((A20-DATE(YEAR(A20-WEEKDAY(A20-1)+4),1,3)+WEEKDAY(DATE(YEAR(A20-WEEKDAY(A20-1)+4),1,3))+5)/7))</f>
        <v/>
      </c>
      <c r="D20" s="21" t="n"/>
      <c r="E20" s="22" t="n"/>
      <c r="F20" s="23" t="n"/>
      <c r="G20" s="23" t="n"/>
      <c r="H20" s="23" t="n"/>
      <c r="I20" s="20">
        <f>IF(COUNT(F20:H20)=0,"",SUM(F20:H20))</f>
        <v/>
      </c>
      <c r="J20" s="23" t="n"/>
      <c r="K20" s="23" t="n"/>
      <c r="L20" s="23" t="n"/>
      <c r="M20" s="23" t="n"/>
      <c r="N20" s="23" t="n"/>
      <c r="O20" s="20">
        <f>IF(OR(I20="",COUNT(J20:N20)=0),"",IF(SUM(J20:N20)=I20,"✓","⚠ "&amp;SUM(J20:N20)&amp;" statt "&amp;I20))</f>
        <v/>
      </c>
      <c r="P20" s="21" t="n"/>
      <c r="Q20" s="21" t="n"/>
      <c r="R20" s="21" t="n"/>
      <c r="S20" s="24" t="n"/>
      <c r="T20" s="24" t="n"/>
      <c r="V20">
        <f>IF(A20="","",MONTH(A20))</f>
        <v/>
      </c>
      <c r="W20">
        <f>N(W19)+IF(AND(C20&lt;&gt;"",T20&lt;&gt;""),IF(C20=WOCHE!$B$3,1,0),0)</f>
        <v/>
      </c>
      <c r="X20">
        <f>N(X19)+IF(AND(V20&lt;&gt;"",T20&lt;&gt;""),IF(V20=MONAT!$AZ$3,1,0),0)</f>
        <v/>
      </c>
    </row>
    <row r="21">
      <c r="A21" s="19" t="n"/>
      <c r="B21" s="20">
        <f>IF(A21="","",CHOOSE(WEEKDAY(A21,2),"Mo","Di","Mi","Do","Fr","Sa","So"))</f>
        <v/>
      </c>
      <c r="C21" s="20">
        <f>IF(A21="","",INT((A21-DATE(YEAR(A21-WEEKDAY(A21-1)+4),1,3)+WEEKDAY(DATE(YEAR(A21-WEEKDAY(A21-1)+4),1,3))+5)/7))</f>
        <v/>
      </c>
      <c r="D21" s="21" t="n"/>
      <c r="E21" s="22" t="n"/>
      <c r="F21" s="23" t="n"/>
      <c r="G21" s="23" t="n"/>
      <c r="H21" s="23" t="n"/>
      <c r="I21" s="20">
        <f>IF(COUNT(F21:H21)=0,"",SUM(F21:H21))</f>
        <v/>
      </c>
      <c r="J21" s="23" t="n"/>
      <c r="K21" s="23" t="n"/>
      <c r="L21" s="23" t="n"/>
      <c r="M21" s="23" t="n"/>
      <c r="N21" s="23" t="n"/>
      <c r="O21" s="20">
        <f>IF(OR(I21="",COUNT(J21:N21)=0),"",IF(SUM(J21:N21)=I21,"✓","⚠ "&amp;SUM(J21:N21)&amp;" statt "&amp;I21))</f>
        <v/>
      </c>
      <c r="P21" s="21" t="n"/>
      <c r="Q21" s="21" t="n"/>
      <c r="R21" s="21" t="n"/>
      <c r="S21" s="24" t="n"/>
      <c r="T21" s="24" t="n"/>
      <c r="V21">
        <f>IF(A21="","",MONTH(A21))</f>
        <v/>
      </c>
      <c r="W21">
        <f>N(W20)+IF(AND(C21&lt;&gt;"",T21&lt;&gt;""),IF(C21=WOCHE!$B$3,1,0),0)</f>
        <v/>
      </c>
      <c r="X21">
        <f>N(X20)+IF(AND(V21&lt;&gt;"",T21&lt;&gt;""),IF(V21=MONAT!$AZ$3,1,0),0)</f>
        <v/>
      </c>
    </row>
    <row r="22">
      <c r="A22" s="19" t="n"/>
      <c r="B22" s="20">
        <f>IF(A22="","",CHOOSE(WEEKDAY(A22,2),"Mo","Di","Mi","Do","Fr","Sa","So"))</f>
        <v/>
      </c>
      <c r="C22" s="20">
        <f>IF(A22="","",INT((A22-DATE(YEAR(A22-WEEKDAY(A22-1)+4),1,3)+WEEKDAY(DATE(YEAR(A22-WEEKDAY(A22-1)+4),1,3))+5)/7))</f>
        <v/>
      </c>
      <c r="D22" s="21" t="n"/>
      <c r="E22" s="22" t="n"/>
      <c r="F22" s="23" t="n"/>
      <c r="G22" s="23" t="n"/>
      <c r="H22" s="23" t="n"/>
      <c r="I22" s="20">
        <f>IF(COUNT(F22:H22)=0,"",SUM(F22:H22))</f>
        <v/>
      </c>
      <c r="J22" s="23" t="n"/>
      <c r="K22" s="23" t="n"/>
      <c r="L22" s="23" t="n"/>
      <c r="M22" s="23" t="n"/>
      <c r="N22" s="23" t="n"/>
      <c r="O22" s="20">
        <f>IF(OR(I22="",COUNT(J22:N22)=0),"",IF(SUM(J22:N22)=I22,"✓","⚠ "&amp;SUM(J22:N22)&amp;" statt "&amp;I22))</f>
        <v/>
      </c>
      <c r="P22" s="21" t="n"/>
      <c r="Q22" s="21" t="n"/>
      <c r="R22" s="21" t="n"/>
      <c r="S22" s="24" t="n"/>
      <c r="T22" s="24" t="n"/>
      <c r="V22">
        <f>IF(A22="","",MONTH(A22))</f>
        <v/>
      </c>
      <c r="W22">
        <f>N(W21)+IF(AND(C22&lt;&gt;"",T22&lt;&gt;""),IF(C22=WOCHE!$B$3,1,0),0)</f>
        <v/>
      </c>
      <c r="X22">
        <f>N(X21)+IF(AND(V22&lt;&gt;"",T22&lt;&gt;""),IF(V22=MONAT!$AZ$3,1,0),0)</f>
        <v/>
      </c>
    </row>
    <row r="23">
      <c r="A23" s="19" t="n"/>
      <c r="B23" s="20">
        <f>IF(A23="","",CHOOSE(WEEKDAY(A23,2),"Mo","Di","Mi","Do","Fr","Sa","So"))</f>
        <v/>
      </c>
      <c r="C23" s="20">
        <f>IF(A23="","",INT((A23-DATE(YEAR(A23-WEEKDAY(A23-1)+4),1,3)+WEEKDAY(DATE(YEAR(A23-WEEKDAY(A23-1)+4),1,3))+5)/7))</f>
        <v/>
      </c>
      <c r="D23" s="21" t="n"/>
      <c r="E23" s="22" t="n"/>
      <c r="F23" s="23" t="n"/>
      <c r="G23" s="23" t="n"/>
      <c r="H23" s="23" t="n"/>
      <c r="I23" s="20">
        <f>IF(COUNT(F23:H23)=0,"",SUM(F23:H23))</f>
        <v/>
      </c>
      <c r="J23" s="23" t="n"/>
      <c r="K23" s="23" t="n"/>
      <c r="L23" s="23" t="n"/>
      <c r="M23" s="23" t="n"/>
      <c r="N23" s="23" t="n"/>
      <c r="O23" s="20">
        <f>IF(OR(I23="",COUNT(J23:N23)=0),"",IF(SUM(J23:N23)=I23,"✓","⚠ "&amp;SUM(J23:N23)&amp;" statt "&amp;I23))</f>
        <v/>
      </c>
      <c r="P23" s="21" t="n"/>
      <c r="Q23" s="21" t="n"/>
      <c r="R23" s="21" t="n"/>
      <c r="S23" s="24" t="n"/>
      <c r="T23" s="24" t="n"/>
      <c r="V23">
        <f>IF(A23="","",MONTH(A23))</f>
        <v/>
      </c>
      <c r="W23">
        <f>N(W22)+IF(AND(C23&lt;&gt;"",T23&lt;&gt;""),IF(C23=WOCHE!$B$3,1,0),0)</f>
        <v/>
      </c>
      <c r="X23">
        <f>N(X22)+IF(AND(V23&lt;&gt;"",T23&lt;&gt;""),IF(V23=MONAT!$AZ$3,1,0),0)</f>
        <v/>
      </c>
    </row>
    <row r="24">
      <c r="A24" s="19" t="n"/>
      <c r="B24" s="20">
        <f>IF(A24="","",CHOOSE(WEEKDAY(A24,2),"Mo","Di","Mi","Do","Fr","Sa","So"))</f>
        <v/>
      </c>
      <c r="C24" s="20">
        <f>IF(A24="","",INT((A24-DATE(YEAR(A24-WEEKDAY(A24-1)+4),1,3)+WEEKDAY(DATE(YEAR(A24-WEEKDAY(A24-1)+4),1,3))+5)/7))</f>
        <v/>
      </c>
      <c r="D24" s="21" t="n"/>
      <c r="E24" s="22" t="n"/>
      <c r="F24" s="23" t="n"/>
      <c r="G24" s="23" t="n"/>
      <c r="H24" s="23" t="n"/>
      <c r="I24" s="20">
        <f>IF(COUNT(F24:H24)=0,"",SUM(F24:H24))</f>
        <v/>
      </c>
      <c r="J24" s="23" t="n"/>
      <c r="K24" s="23" t="n"/>
      <c r="L24" s="23" t="n"/>
      <c r="M24" s="23" t="n"/>
      <c r="N24" s="23" t="n"/>
      <c r="O24" s="20">
        <f>IF(OR(I24="",COUNT(J24:N24)=0),"",IF(SUM(J24:N24)=I24,"✓","⚠ "&amp;SUM(J24:N24)&amp;" statt "&amp;I24))</f>
        <v/>
      </c>
      <c r="P24" s="21" t="n"/>
      <c r="Q24" s="21" t="n"/>
      <c r="R24" s="21" t="n"/>
      <c r="S24" s="24" t="n"/>
      <c r="T24" s="24" t="n"/>
      <c r="V24">
        <f>IF(A24="","",MONTH(A24))</f>
        <v/>
      </c>
      <c r="W24">
        <f>N(W23)+IF(AND(C24&lt;&gt;"",T24&lt;&gt;""),IF(C24=WOCHE!$B$3,1,0),0)</f>
        <v/>
      </c>
      <c r="X24">
        <f>N(X23)+IF(AND(V24&lt;&gt;"",T24&lt;&gt;""),IF(V24=MONAT!$AZ$3,1,0),0)</f>
        <v/>
      </c>
    </row>
    <row r="25">
      <c r="A25" s="19" t="n"/>
      <c r="B25" s="20">
        <f>IF(A25="","",CHOOSE(WEEKDAY(A25,2),"Mo","Di","Mi","Do","Fr","Sa","So"))</f>
        <v/>
      </c>
      <c r="C25" s="20">
        <f>IF(A25="","",INT((A25-DATE(YEAR(A25-WEEKDAY(A25-1)+4),1,3)+WEEKDAY(DATE(YEAR(A25-WEEKDAY(A25-1)+4),1,3))+5)/7))</f>
        <v/>
      </c>
      <c r="D25" s="21" t="n"/>
      <c r="E25" s="22" t="n"/>
      <c r="F25" s="23" t="n"/>
      <c r="G25" s="23" t="n"/>
      <c r="H25" s="23" t="n"/>
      <c r="I25" s="20">
        <f>IF(COUNT(F25:H25)=0,"",SUM(F25:H25))</f>
        <v/>
      </c>
      <c r="J25" s="23" t="n"/>
      <c r="K25" s="23" t="n"/>
      <c r="L25" s="23" t="n"/>
      <c r="M25" s="23" t="n"/>
      <c r="N25" s="23" t="n"/>
      <c r="O25" s="20">
        <f>IF(OR(I25="",COUNT(J25:N25)=0),"",IF(SUM(J25:N25)=I25,"✓","⚠ "&amp;SUM(J25:N25)&amp;" statt "&amp;I25))</f>
        <v/>
      </c>
      <c r="P25" s="21" t="n"/>
      <c r="Q25" s="21" t="n"/>
      <c r="R25" s="21" t="n"/>
      <c r="S25" s="24" t="n"/>
      <c r="T25" s="24" t="n"/>
      <c r="V25">
        <f>IF(A25="","",MONTH(A25))</f>
        <v/>
      </c>
      <c r="W25">
        <f>N(W24)+IF(AND(C25&lt;&gt;"",T25&lt;&gt;""),IF(C25=WOCHE!$B$3,1,0),0)</f>
        <v/>
      </c>
      <c r="X25">
        <f>N(X24)+IF(AND(V25&lt;&gt;"",T25&lt;&gt;""),IF(V25=MONAT!$AZ$3,1,0),0)</f>
        <v/>
      </c>
    </row>
    <row r="26">
      <c r="A26" s="19" t="n"/>
      <c r="B26" s="20">
        <f>IF(A26="","",CHOOSE(WEEKDAY(A26,2),"Mo","Di","Mi","Do","Fr","Sa","So"))</f>
        <v/>
      </c>
      <c r="C26" s="20">
        <f>IF(A26="","",INT((A26-DATE(YEAR(A26-WEEKDAY(A26-1)+4),1,3)+WEEKDAY(DATE(YEAR(A26-WEEKDAY(A26-1)+4),1,3))+5)/7))</f>
        <v/>
      </c>
      <c r="D26" s="21" t="n"/>
      <c r="E26" s="22" t="n"/>
      <c r="F26" s="23" t="n"/>
      <c r="G26" s="23" t="n"/>
      <c r="H26" s="23" t="n"/>
      <c r="I26" s="20">
        <f>IF(COUNT(F26:H26)=0,"",SUM(F26:H26))</f>
        <v/>
      </c>
      <c r="J26" s="23" t="n"/>
      <c r="K26" s="23" t="n"/>
      <c r="L26" s="23" t="n"/>
      <c r="M26" s="23" t="n"/>
      <c r="N26" s="23" t="n"/>
      <c r="O26" s="20">
        <f>IF(OR(I26="",COUNT(J26:N26)=0),"",IF(SUM(J26:N26)=I26,"✓","⚠ "&amp;SUM(J26:N26)&amp;" statt "&amp;I26))</f>
        <v/>
      </c>
      <c r="P26" s="21" t="n"/>
      <c r="Q26" s="21" t="n"/>
      <c r="R26" s="21" t="n"/>
      <c r="S26" s="24" t="n"/>
      <c r="T26" s="24" t="n"/>
      <c r="V26">
        <f>IF(A26="","",MONTH(A26))</f>
        <v/>
      </c>
      <c r="W26">
        <f>N(W25)+IF(AND(C26&lt;&gt;"",T26&lt;&gt;""),IF(C26=WOCHE!$B$3,1,0),0)</f>
        <v/>
      </c>
      <c r="X26">
        <f>N(X25)+IF(AND(V26&lt;&gt;"",T26&lt;&gt;""),IF(V26=MONAT!$AZ$3,1,0),0)</f>
        <v/>
      </c>
    </row>
    <row r="27">
      <c r="A27" s="19" t="n"/>
      <c r="B27" s="20">
        <f>IF(A27="","",CHOOSE(WEEKDAY(A27,2),"Mo","Di","Mi","Do","Fr","Sa","So"))</f>
        <v/>
      </c>
      <c r="C27" s="20">
        <f>IF(A27="","",INT((A27-DATE(YEAR(A27-WEEKDAY(A27-1)+4),1,3)+WEEKDAY(DATE(YEAR(A27-WEEKDAY(A27-1)+4),1,3))+5)/7))</f>
        <v/>
      </c>
      <c r="D27" s="21" t="n"/>
      <c r="E27" s="22" t="n"/>
      <c r="F27" s="23" t="n"/>
      <c r="G27" s="23" t="n"/>
      <c r="H27" s="23" t="n"/>
      <c r="I27" s="20">
        <f>IF(COUNT(F27:H27)=0,"",SUM(F27:H27))</f>
        <v/>
      </c>
      <c r="J27" s="23" t="n"/>
      <c r="K27" s="23" t="n"/>
      <c r="L27" s="23" t="n"/>
      <c r="M27" s="23" t="n"/>
      <c r="N27" s="23" t="n"/>
      <c r="O27" s="20">
        <f>IF(OR(I27="",COUNT(J27:N27)=0),"",IF(SUM(J27:N27)=I27,"✓","⚠ "&amp;SUM(J27:N27)&amp;" statt "&amp;I27))</f>
        <v/>
      </c>
      <c r="P27" s="21" t="n"/>
      <c r="Q27" s="21" t="n"/>
      <c r="R27" s="21" t="n"/>
      <c r="S27" s="24" t="n"/>
      <c r="T27" s="24" t="n"/>
      <c r="V27">
        <f>IF(A27="","",MONTH(A27))</f>
        <v/>
      </c>
      <c r="W27">
        <f>N(W26)+IF(AND(C27&lt;&gt;"",T27&lt;&gt;""),IF(C27=WOCHE!$B$3,1,0),0)</f>
        <v/>
      </c>
      <c r="X27">
        <f>N(X26)+IF(AND(V27&lt;&gt;"",T27&lt;&gt;""),IF(V27=MONAT!$AZ$3,1,0),0)</f>
        <v/>
      </c>
    </row>
    <row r="28">
      <c r="A28" s="19" t="n"/>
      <c r="B28" s="20">
        <f>IF(A28="","",CHOOSE(WEEKDAY(A28,2),"Mo","Di","Mi","Do","Fr","Sa","So"))</f>
        <v/>
      </c>
      <c r="C28" s="20">
        <f>IF(A28="","",INT((A28-DATE(YEAR(A28-WEEKDAY(A28-1)+4),1,3)+WEEKDAY(DATE(YEAR(A28-WEEKDAY(A28-1)+4),1,3))+5)/7))</f>
        <v/>
      </c>
      <c r="D28" s="21" t="n"/>
      <c r="E28" s="22" t="n"/>
      <c r="F28" s="23" t="n"/>
      <c r="G28" s="23" t="n"/>
      <c r="H28" s="23" t="n"/>
      <c r="I28" s="20">
        <f>IF(COUNT(F28:H28)=0,"",SUM(F28:H28))</f>
        <v/>
      </c>
      <c r="J28" s="23" t="n"/>
      <c r="K28" s="23" t="n"/>
      <c r="L28" s="23" t="n"/>
      <c r="M28" s="23" t="n"/>
      <c r="N28" s="23" t="n"/>
      <c r="O28" s="20">
        <f>IF(OR(I28="",COUNT(J28:N28)=0),"",IF(SUM(J28:N28)=I28,"✓","⚠ "&amp;SUM(J28:N28)&amp;" statt "&amp;I28))</f>
        <v/>
      </c>
      <c r="P28" s="21" t="n"/>
      <c r="Q28" s="21" t="n"/>
      <c r="R28" s="21" t="n"/>
      <c r="S28" s="24" t="n"/>
      <c r="T28" s="24" t="n"/>
      <c r="V28">
        <f>IF(A28="","",MONTH(A28))</f>
        <v/>
      </c>
      <c r="W28">
        <f>N(W27)+IF(AND(C28&lt;&gt;"",T28&lt;&gt;""),IF(C28=WOCHE!$B$3,1,0),0)</f>
        <v/>
      </c>
      <c r="X28">
        <f>N(X27)+IF(AND(V28&lt;&gt;"",T28&lt;&gt;""),IF(V28=MONAT!$AZ$3,1,0),0)</f>
        <v/>
      </c>
    </row>
    <row r="29">
      <c r="A29" s="19" t="n"/>
      <c r="B29" s="20">
        <f>IF(A29="","",CHOOSE(WEEKDAY(A29,2),"Mo","Di","Mi","Do","Fr","Sa","So"))</f>
        <v/>
      </c>
      <c r="C29" s="20">
        <f>IF(A29="","",INT((A29-DATE(YEAR(A29-WEEKDAY(A29-1)+4),1,3)+WEEKDAY(DATE(YEAR(A29-WEEKDAY(A29-1)+4),1,3))+5)/7))</f>
        <v/>
      </c>
      <c r="D29" s="21" t="n"/>
      <c r="E29" s="22" t="n"/>
      <c r="F29" s="23" t="n"/>
      <c r="G29" s="23" t="n"/>
      <c r="H29" s="23" t="n"/>
      <c r="I29" s="20">
        <f>IF(COUNT(F29:H29)=0,"",SUM(F29:H29))</f>
        <v/>
      </c>
      <c r="J29" s="23" t="n"/>
      <c r="K29" s="23" t="n"/>
      <c r="L29" s="23" t="n"/>
      <c r="M29" s="23" t="n"/>
      <c r="N29" s="23" t="n"/>
      <c r="O29" s="20">
        <f>IF(OR(I29="",COUNT(J29:N29)=0),"",IF(SUM(J29:N29)=I29,"✓","⚠ "&amp;SUM(J29:N29)&amp;" statt "&amp;I29))</f>
        <v/>
      </c>
      <c r="P29" s="21" t="n"/>
      <c r="Q29" s="21" t="n"/>
      <c r="R29" s="21" t="n"/>
      <c r="S29" s="24" t="n"/>
      <c r="T29" s="24" t="n"/>
      <c r="V29">
        <f>IF(A29="","",MONTH(A29))</f>
        <v/>
      </c>
      <c r="W29">
        <f>N(W28)+IF(AND(C29&lt;&gt;"",T29&lt;&gt;""),IF(C29=WOCHE!$B$3,1,0),0)</f>
        <v/>
      </c>
      <c r="X29">
        <f>N(X28)+IF(AND(V29&lt;&gt;"",T29&lt;&gt;""),IF(V29=MONAT!$AZ$3,1,0),0)</f>
        <v/>
      </c>
    </row>
    <row r="30">
      <c r="A30" s="19" t="n"/>
      <c r="B30" s="20">
        <f>IF(A30="","",CHOOSE(WEEKDAY(A30,2),"Mo","Di","Mi","Do","Fr","Sa","So"))</f>
        <v/>
      </c>
      <c r="C30" s="20">
        <f>IF(A30="","",INT((A30-DATE(YEAR(A30-WEEKDAY(A30-1)+4),1,3)+WEEKDAY(DATE(YEAR(A30-WEEKDAY(A30-1)+4),1,3))+5)/7))</f>
        <v/>
      </c>
      <c r="D30" s="21" t="n"/>
      <c r="E30" s="22" t="n"/>
      <c r="F30" s="23" t="n"/>
      <c r="G30" s="23" t="n"/>
      <c r="H30" s="23" t="n"/>
      <c r="I30" s="20">
        <f>IF(COUNT(F30:H30)=0,"",SUM(F30:H30))</f>
        <v/>
      </c>
      <c r="J30" s="23" t="n"/>
      <c r="K30" s="23" t="n"/>
      <c r="L30" s="23" t="n"/>
      <c r="M30" s="23" t="n"/>
      <c r="N30" s="23" t="n"/>
      <c r="O30" s="20">
        <f>IF(OR(I30="",COUNT(J30:N30)=0),"",IF(SUM(J30:N30)=I30,"✓","⚠ "&amp;SUM(J30:N30)&amp;" statt "&amp;I30))</f>
        <v/>
      </c>
      <c r="P30" s="21" t="n"/>
      <c r="Q30" s="21" t="n"/>
      <c r="R30" s="21" t="n"/>
      <c r="S30" s="24" t="n"/>
      <c r="T30" s="24" t="n"/>
      <c r="V30">
        <f>IF(A30="","",MONTH(A30))</f>
        <v/>
      </c>
      <c r="W30">
        <f>N(W29)+IF(AND(C30&lt;&gt;"",T30&lt;&gt;""),IF(C30=WOCHE!$B$3,1,0),0)</f>
        <v/>
      </c>
      <c r="X30">
        <f>N(X29)+IF(AND(V30&lt;&gt;"",T30&lt;&gt;""),IF(V30=MONAT!$AZ$3,1,0),0)</f>
        <v/>
      </c>
    </row>
    <row r="31">
      <c r="A31" s="19" t="n"/>
      <c r="B31" s="20">
        <f>IF(A31="","",CHOOSE(WEEKDAY(A31,2),"Mo","Di","Mi","Do","Fr","Sa","So"))</f>
        <v/>
      </c>
      <c r="C31" s="20">
        <f>IF(A31="","",INT((A31-DATE(YEAR(A31-WEEKDAY(A31-1)+4),1,3)+WEEKDAY(DATE(YEAR(A31-WEEKDAY(A31-1)+4),1,3))+5)/7))</f>
        <v/>
      </c>
      <c r="D31" s="21" t="n"/>
      <c r="E31" s="22" t="n"/>
      <c r="F31" s="23" t="n"/>
      <c r="G31" s="23" t="n"/>
      <c r="H31" s="23" t="n"/>
      <c r="I31" s="20">
        <f>IF(COUNT(F31:H31)=0,"",SUM(F31:H31))</f>
        <v/>
      </c>
      <c r="J31" s="23" t="n"/>
      <c r="K31" s="23" t="n"/>
      <c r="L31" s="23" t="n"/>
      <c r="M31" s="23" t="n"/>
      <c r="N31" s="23" t="n"/>
      <c r="O31" s="20">
        <f>IF(OR(I31="",COUNT(J31:N31)=0),"",IF(SUM(J31:N31)=I31,"✓","⚠ "&amp;SUM(J31:N31)&amp;" statt "&amp;I31))</f>
        <v/>
      </c>
      <c r="P31" s="21" t="n"/>
      <c r="Q31" s="21" t="n"/>
      <c r="R31" s="21" t="n"/>
      <c r="S31" s="24" t="n"/>
      <c r="T31" s="24" t="n"/>
      <c r="V31">
        <f>IF(A31="","",MONTH(A31))</f>
        <v/>
      </c>
      <c r="W31">
        <f>N(W30)+IF(AND(C31&lt;&gt;"",T31&lt;&gt;""),IF(C31=WOCHE!$B$3,1,0),0)</f>
        <v/>
      </c>
      <c r="X31">
        <f>N(X30)+IF(AND(V31&lt;&gt;"",T31&lt;&gt;""),IF(V31=MONAT!$AZ$3,1,0),0)</f>
        <v/>
      </c>
    </row>
    <row r="32">
      <c r="A32" s="19" t="n"/>
      <c r="B32" s="20">
        <f>IF(A32="","",CHOOSE(WEEKDAY(A32,2),"Mo","Di","Mi","Do","Fr","Sa","So"))</f>
        <v/>
      </c>
      <c r="C32" s="20">
        <f>IF(A32="","",INT((A32-DATE(YEAR(A32-WEEKDAY(A32-1)+4),1,3)+WEEKDAY(DATE(YEAR(A32-WEEKDAY(A32-1)+4),1,3))+5)/7))</f>
        <v/>
      </c>
      <c r="D32" s="21" t="n"/>
      <c r="E32" s="22" t="n"/>
      <c r="F32" s="23" t="n"/>
      <c r="G32" s="23" t="n"/>
      <c r="H32" s="23" t="n"/>
      <c r="I32" s="20">
        <f>IF(COUNT(F32:H32)=0,"",SUM(F32:H32))</f>
        <v/>
      </c>
      <c r="J32" s="23" t="n"/>
      <c r="K32" s="23" t="n"/>
      <c r="L32" s="23" t="n"/>
      <c r="M32" s="23" t="n"/>
      <c r="N32" s="23" t="n"/>
      <c r="O32" s="20">
        <f>IF(OR(I32="",COUNT(J32:N32)=0),"",IF(SUM(J32:N32)=I32,"✓","⚠ "&amp;SUM(J32:N32)&amp;" statt "&amp;I32))</f>
        <v/>
      </c>
      <c r="P32" s="21" t="n"/>
      <c r="Q32" s="21" t="n"/>
      <c r="R32" s="21" t="n"/>
      <c r="S32" s="24" t="n"/>
      <c r="T32" s="24" t="n"/>
      <c r="V32">
        <f>IF(A32="","",MONTH(A32))</f>
        <v/>
      </c>
      <c r="W32">
        <f>N(W31)+IF(AND(C32&lt;&gt;"",T32&lt;&gt;""),IF(C32=WOCHE!$B$3,1,0),0)</f>
        <v/>
      </c>
      <c r="X32">
        <f>N(X31)+IF(AND(V32&lt;&gt;"",T32&lt;&gt;""),IF(V32=MONAT!$AZ$3,1,0),0)</f>
        <v/>
      </c>
    </row>
    <row r="33">
      <c r="A33" s="19" t="n"/>
      <c r="B33" s="20">
        <f>IF(A33="","",CHOOSE(WEEKDAY(A33,2),"Mo","Di","Mi","Do","Fr","Sa","So"))</f>
        <v/>
      </c>
      <c r="C33" s="20">
        <f>IF(A33="","",INT((A33-DATE(YEAR(A33-WEEKDAY(A33-1)+4),1,3)+WEEKDAY(DATE(YEAR(A33-WEEKDAY(A33-1)+4),1,3))+5)/7))</f>
        <v/>
      </c>
      <c r="D33" s="21" t="n"/>
      <c r="E33" s="22" t="n"/>
      <c r="F33" s="23" t="n"/>
      <c r="G33" s="23" t="n"/>
      <c r="H33" s="23" t="n"/>
      <c r="I33" s="20">
        <f>IF(COUNT(F33:H33)=0,"",SUM(F33:H33))</f>
        <v/>
      </c>
      <c r="J33" s="23" t="n"/>
      <c r="K33" s="23" t="n"/>
      <c r="L33" s="23" t="n"/>
      <c r="M33" s="23" t="n"/>
      <c r="N33" s="23" t="n"/>
      <c r="O33" s="20">
        <f>IF(OR(I33="",COUNT(J33:N33)=0),"",IF(SUM(J33:N33)=I33,"✓","⚠ "&amp;SUM(J33:N33)&amp;" statt "&amp;I33))</f>
        <v/>
      </c>
      <c r="P33" s="21" t="n"/>
      <c r="Q33" s="21" t="n"/>
      <c r="R33" s="21" t="n"/>
      <c r="S33" s="24" t="n"/>
      <c r="T33" s="24" t="n"/>
      <c r="V33">
        <f>IF(A33="","",MONTH(A33))</f>
        <v/>
      </c>
      <c r="W33">
        <f>N(W32)+IF(AND(C33&lt;&gt;"",T33&lt;&gt;""),IF(C33=WOCHE!$B$3,1,0),0)</f>
        <v/>
      </c>
      <c r="X33">
        <f>N(X32)+IF(AND(V33&lt;&gt;"",T33&lt;&gt;""),IF(V33=MONAT!$AZ$3,1,0),0)</f>
        <v/>
      </c>
    </row>
    <row r="34">
      <c r="A34" s="19" t="n"/>
      <c r="B34" s="20">
        <f>IF(A34="","",CHOOSE(WEEKDAY(A34,2),"Mo","Di","Mi","Do","Fr","Sa","So"))</f>
        <v/>
      </c>
      <c r="C34" s="20">
        <f>IF(A34="","",INT((A34-DATE(YEAR(A34-WEEKDAY(A34-1)+4),1,3)+WEEKDAY(DATE(YEAR(A34-WEEKDAY(A34-1)+4),1,3))+5)/7))</f>
        <v/>
      </c>
      <c r="D34" s="21" t="n"/>
      <c r="E34" s="22" t="n"/>
      <c r="F34" s="23" t="n"/>
      <c r="G34" s="23" t="n"/>
      <c r="H34" s="23" t="n"/>
      <c r="I34" s="20">
        <f>IF(COUNT(F34:H34)=0,"",SUM(F34:H34))</f>
        <v/>
      </c>
      <c r="J34" s="23" t="n"/>
      <c r="K34" s="23" t="n"/>
      <c r="L34" s="23" t="n"/>
      <c r="M34" s="23" t="n"/>
      <c r="N34" s="23" t="n"/>
      <c r="O34" s="20">
        <f>IF(OR(I34="",COUNT(J34:N34)=0),"",IF(SUM(J34:N34)=I34,"✓","⚠ "&amp;SUM(J34:N34)&amp;" statt "&amp;I34))</f>
        <v/>
      </c>
      <c r="P34" s="21" t="n"/>
      <c r="Q34" s="21" t="n"/>
      <c r="R34" s="21" t="n"/>
      <c r="S34" s="24" t="n"/>
      <c r="T34" s="24" t="n"/>
      <c r="V34">
        <f>IF(A34="","",MONTH(A34))</f>
        <v/>
      </c>
      <c r="W34">
        <f>N(W33)+IF(AND(C34&lt;&gt;"",T34&lt;&gt;""),IF(C34=WOCHE!$B$3,1,0),0)</f>
        <v/>
      </c>
      <c r="X34">
        <f>N(X33)+IF(AND(V34&lt;&gt;"",T34&lt;&gt;""),IF(V34=MONAT!$AZ$3,1,0),0)</f>
        <v/>
      </c>
    </row>
    <row r="35">
      <c r="A35" s="19" t="n"/>
      <c r="B35" s="20">
        <f>IF(A35="","",CHOOSE(WEEKDAY(A35,2),"Mo","Di","Mi","Do","Fr","Sa","So"))</f>
        <v/>
      </c>
      <c r="C35" s="20">
        <f>IF(A35="","",INT((A35-DATE(YEAR(A35-WEEKDAY(A35-1)+4),1,3)+WEEKDAY(DATE(YEAR(A35-WEEKDAY(A35-1)+4),1,3))+5)/7))</f>
        <v/>
      </c>
      <c r="D35" s="21" t="n"/>
      <c r="E35" s="22" t="n"/>
      <c r="F35" s="23" t="n"/>
      <c r="G35" s="23" t="n"/>
      <c r="H35" s="23" t="n"/>
      <c r="I35" s="20">
        <f>IF(COUNT(F35:H35)=0,"",SUM(F35:H35))</f>
        <v/>
      </c>
      <c r="J35" s="23" t="n"/>
      <c r="K35" s="23" t="n"/>
      <c r="L35" s="23" t="n"/>
      <c r="M35" s="23" t="n"/>
      <c r="N35" s="23" t="n"/>
      <c r="O35" s="20">
        <f>IF(OR(I35="",COUNT(J35:N35)=0),"",IF(SUM(J35:N35)=I35,"✓","⚠ "&amp;SUM(J35:N35)&amp;" statt "&amp;I35))</f>
        <v/>
      </c>
      <c r="P35" s="21" t="n"/>
      <c r="Q35" s="21" t="n"/>
      <c r="R35" s="21" t="n"/>
      <c r="S35" s="24" t="n"/>
      <c r="T35" s="24" t="n"/>
      <c r="V35">
        <f>IF(A35="","",MONTH(A35))</f>
        <v/>
      </c>
      <c r="W35">
        <f>N(W34)+IF(AND(C35&lt;&gt;"",T35&lt;&gt;""),IF(C35=WOCHE!$B$3,1,0),0)</f>
        <v/>
      </c>
      <c r="X35">
        <f>N(X34)+IF(AND(V35&lt;&gt;"",T35&lt;&gt;""),IF(V35=MONAT!$AZ$3,1,0),0)</f>
        <v/>
      </c>
    </row>
    <row r="36">
      <c r="A36" s="19" t="n"/>
      <c r="B36" s="20">
        <f>IF(A36="","",CHOOSE(WEEKDAY(A36,2),"Mo","Di","Mi","Do","Fr","Sa","So"))</f>
        <v/>
      </c>
      <c r="C36" s="20">
        <f>IF(A36="","",INT((A36-DATE(YEAR(A36-WEEKDAY(A36-1)+4),1,3)+WEEKDAY(DATE(YEAR(A36-WEEKDAY(A36-1)+4),1,3))+5)/7))</f>
        <v/>
      </c>
      <c r="D36" s="21" t="n"/>
      <c r="E36" s="22" t="n"/>
      <c r="F36" s="23" t="n"/>
      <c r="G36" s="23" t="n"/>
      <c r="H36" s="23" t="n"/>
      <c r="I36" s="20">
        <f>IF(COUNT(F36:H36)=0,"",SUM(F36:H36))</f>
        <v/>
      </c>
      <c r="J36" s="23" t="n"/>
      <c r="K36" s="23" t="n"/>
      <c r="L36" s="23" t="n"/>
      <c r="M36" s="23" t="n"/>
      <c r="N36" s="23" t="n"/>
      <c r="O36" s="20">
        <f>IF(OR(I36="",COUNT(J36:N36)=0),"",IF(SUM(J36:N36)=I36,"✓","⚠ "&amp;SUM(J36:N36)&amp;" statt "&amp;I36))</f>
        <v/>
      </c>
      <c r="P36" s="21" t="n"/>
      <c r="Q36" s="21" t="n"/>
      <c r="R36" s="21" t="n"/>
      <c r="S36" s="24" t="n"/>
      <c r="T36" s="24" t="n"/>
      <c r="V36">
        <f>IF(A36="","",MONTH(A36))</f>
        <v/>
      </c>
      <c r="W36">
        <f>N(W35)+IF(AND(C36&lt;&gt;"",T36&lt;&gt;""),IF(C36=WOCHE!$B$3,1,0),0)</f>
        <v/>
      </c>
      <c r="X36">
        <f>N(X35)+IF(AND(V36&lt;&gt;"",T36&lt;&gt;""),IF(V36=MONAT!$AZ$3,1,0),0)</f>
        <v/>
      </c>
    </row>
    <row r="37">
      <c r="A37" s="19" t="n"/>
      <c r="B37" s="20">
        <f>IF(A37="","",CHOOSE(WEEKDAY(A37,2),"Mo","Di","Mi","Do","Fr","Sa","So"))</f>
        <v/>
      </c>
      <c r="C37" s="20">
        <f>IF(A37="","",INT((A37-DATE(YEAR(A37-WEEKDAY(A37-1)+4),1,3)+WEEKDAY(DATE(YEAR(A37-WEEKDAY(A37-1)+4),1,3))+5)/7))</f>
        <v/>
      </c>
      <c r="D37" s="21" t="n"/>
      <c r="E37" s="22" t="n"/>
      <c r="F37" s="23" t="n"/>
      <c r="G37" s="23" t="n"/>
      <c r="H37" s="23" t="n"/>
      <c r="I37" s="20">
        <f>IF(COUNT(F37:H37)=0,"",SUM(F37:H37))</f>
        <v/>
      </c>
      <c r="J37" s="23" t="n"/>
      <c r="K37" s="23" t="n"/>
      <c r="L37" s="23" t="n"/>
      <c r="M37" s="23" t="n"/>
      <c r="N37" s="23" t="n"/>
      <c r="O37" s="20">
        <f>IF(OR(I37="",COUNT(J37:N37)=0),"",IF(SUM(J37:N37)=I37,"✓","⚠ "&amp;SUM(J37:N37)&amp;" statt "&amp;I37))</f>
        <v/>
      </c>
      <c r="P37" s="21" t="n"/>
      <c r="Q37" s="21" t="n"/>
      <c r="R37" s="21" t="n"/>
      <c r="S37" s="24" t="n"/>
      <c r="T37" s="24" t="n"/>
      <c r="V37">
        <f>IF(A37="","",MONTH(A37))</f>
        <v/>
      </c>
      <c r="W37">
        <f>N(W36)+IF(AND(C37&lt;&gt;"",T37&lt;&gt;""),IF(C37=WOCHE!$B$3,1,0),0)</f>
        <v/>
      </c>
      <c r="X37">
        <f>N(X36)+IF(AND(V37&lt;&gt;"",T37&lt;&gt;""),IF(V37=MONAT!$AZ$3,1,0),0)</f>
        <v/>
      </c>
    </row>
    <row r="38">
      <c r="A38" s="19" t="n"/>
      <c r="B38" s="20">
        <f>IF(A38="","",CHOOSE(WEEKDAY(A38,2),"Mo","Di","Mi","Do","Fr","Sa","So"))</f>
        <v/>
      </c>
      <c r="C38" s="20">
        <f>IF(A38="","",INT((A38-DATE(YEAR(A38-WEEKDAY(A38-1)+4),1,3)+WEEKDAY(DATE(YEAR(A38-WEEKDAY(A38-1)+4),1,3))+5)/7))</f>
        <v/>
      </c>
      <c r="D38" s="21" t="n"/>
      <c r="E38" s="22" t="n"/>
      <c r="F38" s="23" t="n"/>
      <c r="G38" s="23" t="n"/>
      <c r="H38" s="23" t="n"/>
      <c r="I38" s="20">
        <f>IF(COUNT(F38:H38)=0,"",SUM(F38:H38))</f>
        <v/>
      </c>
      <c r="J38" s="23" t="n"/>
      <c r="K38" s="23" t="n"/>
      <c r="L38" s="23" t="n"/>
      <c r="M38" s="23" t="n"/>
      <c r="N38" s="23" t="n"/>
      <c r="O38" s="20">
        <f>IF(OR(I38="",COUNT(J38:N38)=0),"",IF(SUM(J38:N38)=I38,"✓","⚠ "&amp;SUM(J38:N38)&amp;" statt "&amp;I38))</f>
        <v/>
      </c>
      <c r="P38" s="21" t="n"/>
      <c r="Q38" s="21" t="n"/>
      <c r="R38" s="21" t="n"/>
      <c r="S38" s="24" t="n"/>
      <c r="T38" s="24" t="n"/>
      <c r="V38">
        <f>IF(A38="","",MONTH(A38))</f>
        <v/>
      </c>
      <c r="W38">
        <f>N(W37)+IF(AND(C38&lt;&gt;"",T38&lt;&gt;""),IF(C38=WOCHE!$B$3,1,0),0)</f>
        <v/>
      </c>
      <c r="X38">
        <f>N(X37)+IF(AND(V38&lt;&gt;"",T38&lt;&gt;""),IF(V38=MONAT!$AZ$3,1,0),0)</f>
        <v/>
      </c>
    </row>
    <row r="39">
      <c r="A39" s="19" t="n"/>
      <c r="B39" s="20">
        <f>IF(A39="","",CHOOSE(WEEKDAY(A39,2),"Mo","Di","Mi","Do","Fr","Sa","So"))</f>
        <v/>
      </c>
      <c r="C39" s="20">
        <f>IF(A39="","",INT((A39-DATE(YEAR(A39-WEEKDAY(A39-1)+4),1,3)+WEEKDAY(DATE(YEAR(A39-WEEKDAY(A39-1)+4),1,3))+5)/7))</f>
        <v/>
      </c>
      <c r="D39" s="21" t="n"/>
      <c r="E39" s="22" t="n"/>
      <c r="F39" s="23" t="n"/>
      <c r="G39" s="23" t="n"/>
      <c r="H39" s="23" t="n"/>
      <c r="I39" s="20">
        <f>IF(COUNT(F39:H39)=0,"",SUM(F39:H39))</f>
        <v/>
      </c>
      <c r="J39" s="23" t="n"/>
      <c r="K39" s="23" t="n"/>
      <c r="L39" s="23" t="n"/>
      <c r="M39" s="23" t="n"/>
      <c r="N39" s="23" t="n"/>
      <c r="O39" s="20">
        <f>IF(OR(I39="",COUNT(J39:N39)=0),"",IF(SUM(J39:N39)=I39,"✓","⚠ "&amp;SUM(J39:N39)&amp;" statt "&amp;I39))</f>
        <v/>
      </c>
      <c r="P39" s="21" t="n"/>
      <c r="Q39" s="21" t="n"/>
      <c r="R39" s="21" t="n"/>
      <c r="S39" s="24" t="n"/>
      <c r="T39" s="24" t="n"/>
      <c r="V39">
        <f>IF(A39="","",MONTH(A39))</f>
        <v/>
      </c>
      <c r="W39">
        <f>N(W38)+IF(AND(C39&lt;&gt;"",T39&lt;&gt;""),IF(C39=WOCHE!$B$3,1,0),0)</f>
        <v/>
      </c>
      <c r="X39">
        <f>N(X38)+IF(AND(V39&lt;&gt;"",T39&lt;&gt;""),IF(V39=MONAT!$AZ$3,1,0),0)</f>
        <v/>
      </c>
    </row>
    <row r="40">
      <c r="A40" s="19" t="n"/>
      <c r="B40" s="20">
        <f>IF(A40="","",CHOOSE(WEEKDAY(A40,2),"Mo","Di","Mi","Do","Fr","Sa","So"))</f>
        <v/>
      </c>
      <c r="C40" s="20">
        <f>IF(A40="","",INT((A40-DATE(YEAR(A40-WEEKDAY(A40-1)+4),1,3)+WEEKDAY(DATE(YEAR(A40-WEEKDAY(A40-1)+4),1,3))+5)/7))</f>
        <v/>
      </c>
      <c r="D40" s="21" t="n"/>
      <c r="E40" s="22" t="n"/>
      <c r="F40" s="23" t="n"/>
      <c r="G40" s="23" t="n"/>
      <c r="H40" s="23" t="n"/>
      <c r="I40" s="20">
        <f>IF(COUNT(F40:H40)=0,"",SUM(F40:H40))</f>
        <v/>
      </c>
      <c r="J40" s="23" t="n"/>
      <c r="K40" s="23" t="n"/>
      <c r="L40" s="23" t="n"/>
      <c r="M40" s="23" t="n"/>
      <c r="N40" s="23" t="n"/>
      <c r="O40" s="20">
        <f>IF(OR(I40="",COUNT(J40:N40)=0),"",IF(SUM(J40:N40)=I40,"✓","⚠ "&amp;SUM(J40:N40)&amp;" statt "&amp;I40))</f>
        <v/>
      </c>
      <c r="P40" s="21" t="n"/>
      <c r="Q40" s="21" t="n"/>
      <c r="R40" s="21" t="n"/>
      <c r="S40" s="24" t="n"/>
      <c r="T40" s="24" t="n"/>
      <c r="V40">
        <f>IF(A40="","",MONTH(A40))</f>
        <v/>
      </c>
      <c r="W40">
        <f>N(W39)+IF(AND(C40&lt;&gt;"",T40&lt;&gt;""),IF(C40=WOCHE!$B$3,1,0),0)</f>
        <v/>
      </c>
      <c r="X40">
        <f>N(X39)+IF(AND(V40&lt;&gt;"",T40&lt;&gt;""),IF(V40=MONAT!$AZ$3,1,0),0)</f>
        <v/>
      </c>
    </row>
    <row r="41">
      <c r="A41" s="19" t="n"/>
      <c r="B41" s="20">
        <f>IF(A41="","",CHOOSE(WEEKDAY(A41,2),"Mo","Di","Mi","Do","Fr","Sa","So"))</f>
        <v/>
      </c>
      <c r="C41" s="20">
        <f>IF(A41="","",INT((A41-DATE(YEAR(A41-WEEKDAY(A41-1)+4),1,3)+WEEKDAY(DATE(YEAR(A41-WEEKDAY(A41-1)+4),1,3))+5)/7))</f>
        <v/>
      </c>
      <c r="D41" s="21" t="n"/>
      <c r="E41" s="22" t="n"/>
      <c r="F41" s="23" t="n"/>
      <c r="G41" s="23" t="n"/>
      <c r="H41" s="23" t="n"/>
      <c r="I41" s="20">
        <f>IF(COUNT(F41:H41)=0,"",SUM(F41:H41))</f>
        <v/>
      </c>
      <c r="J41" s="23" t="n"/>
      <c r="K41" s="23" t="n"/>
      <c r="L41" s="23" t="n"/>
      <c r="M41" s="23" t="n"/>
      <c r="N41" s="23" t="n"/>
      <c r="O41" s="20">
        <f>IF(OR(I41="",COUNT(J41:N41)=0),"",IF(SUM(J41:N41)=I41,"✓","⚠ "&amp;SUM(J41:N41)&amp;" statt "&amp;I41))</f>
        <v/>
      </c>
      <c r="P41" s="21" t="n"/>
      <c r="Q41" s="21" t="n"/>
      <c r="R41" s="21" t="n"/>
      <c r="S41" s="24" t="n"/>
      <c r="T41" s="24" t="n"/>
      <c r="V41">
        <f>IF(A41="","",MONTH(A41))</f>
        <v/>
      </c>
      <c r="W41">
        <f>N(W40)+IF(AND(C41&lt;&gt;"",T41&lt;&gt;""),IF(C41=WOCHE!$B$3,1,0),0)</f>
        <v/>
      </c>
      <c r="X41">
        <f>N(X40)+IF(AND(V41&lt;&gt;"",T41&lt;&gt;""),IF(V41=MONAT!$AZ$3,1,0),0)</f>
        <v/>
      </c>
    </row>
    <row r="42">
      <c r="A42" s="19" t="n"/>
      <c r="B42" s="20">
        <f>IF(A42="","",CHOOSE(WEEKDAY(A42,2),"Mo","Di","Mi","Do","Fr","Sa","So"))</f>
        <v/>
      </c>
      <c r="C42" s="20">
        <f>IF(A42="","",INT((A42-DATE(YEAR(A42-WEEKDAY(A42-1)+4),1,3)+WEEKDAY(DATE(YEAR(A42-WEEKDAY(A42-1)+4),1,3))+5)/7))</f>
        <v/>
      </c>
      <c r="D42" s="21" t="n"/>
      <c r="E42" s="22" t="n"/>
      <c r="F42" s="23" t="n"/>
      <c r="G42" s="23" t="n"/>
      <c r="H42" s="23" t="n"/>
      <c r="I42" s="20">
        <f>IF(COUNT(F42:H42)=0,"",SUM(F42:H42))</f>
        <v/>
      </c>
      <c r="J42" s="23" t="n"/>
      <c r="K42" s="23" t="n"/>
      <c r="L42" s="23" t="n"/>
      <c r="M42" s="23" t="n"/>
      <c r="N42" s="23" t="n"/>
      <c r="O42" s="20">
        <f>IF(OR(I42="",COUNT(J42:N42)=0),"",IF(SUM(J42:N42)=I42,"✓","⚠ "&amp;SUM(J42:N42)&amp;" statt "&amp;I42))</f>
        <v/>
      </c>
      <c r="P42" s="21" t="n"/>
      <c r="Q42" s="21" t="n"/>
      <c r="R42" s="21" t="n"/>
      <c r="S42" s="24" t="n"/>
      <c r="T42" s="24" t="n"/>
      <c r="V42">
        <f>IF(A42="","",MONTH(A42))</f>
        <v/>
      </c>
      <c r="W42">
        <f>N(W41)+IF(AND(C42&lt;&gt;"",T42&lt;&gt;""),IF(C42=WOCHE!$B$3,1,0),0)</f>
        <v/>
      </c>
      <c r="X42">
        <f>N(X41)+IF(AND(V42&lt;&gt;"",T42&lt;&gt;""),IF(V42=MONAT!$AZ$3,1,0),0)</f>
        <v/>
      </c>
    </row>
    <row r="43">
      <c r="A43" s="19" t="n"/>
      <c r="B43" s="20">
        <f>IF(A43="","",CHOOSE(WEEKDAY(A43,2),"Mo","Di","Mi","Do","Fr","Sa","So"))</f>
        <v/>
      </c>
      <c r="C43" s="20">
        <f>IF(A43="","",INT((A43-DATE(YEAR(A43-WEEKDAY(A43-1)+4),1,3)+WEEKDAY(DATE(YEAR(A43-WEEKDAY(A43-1)+4),1,3))+5)/7))</f>
        <v/>
      </c>
      <c r="D43" s="21" t="n"/>
      <c r="E43" s="22" t="n"/>
      <c r="F43" s="23" t="n"/>
      <c r="G43" s="23" t="n"/>
      <c r="H43" s="23" t="n"/>
      <c r="I43" s="20">
        <f>IF(COUNT(F43:H43)=0,"",SUM(F43:H43))</f>
        <v/>
      </c>
      <c r="J43" s="23" t="n"/>
      <c r="K43" s="23" t="n"/>
      <c r="L43" s="23" t="n"/>
      <c r="M43" s="23" t="n"/>
      <c r="N43" s="23" t="n"/>
      <c r="O43" s="20">
        <f>IF(OR(I43="",COUNT(J43:N43)=0),"",IF(SUM(J43:N43)=I43,"✓","⚠ "&amp;SUM(J43:N43)&amp;" statt "&amp;I43))</f>
        <v/>
      </c>
      <c r="P43" s="21" t="n"/>
      <c r="Q43" s="21" t="n"/>
      <c r="R43" s="21" t="n"/>
      <c r="S43" s="24" t="n"/>
      <c r="T43" s="24" t="n"/>
      <c r="V43">
        <f>IF(A43="","",MONTH(A43))</f>
        <v/>
      </c>
      <c r="W43">
        <f>N(W42)+IF(AND(C43&lt;&gt;"",T43&lt;&gt;""),IF(C43=WOCHE!$B$3,1,0),0)</f>
        <v/>
      </c>
      <c r="X43">
        <f>N(X42)+IF(AND(V43&lt;&gt;"",T43&lt;&gt;""),IF(V43=MONAT!$AZ$3,1,0),0)</f>
        <v/>
      </c>
    </row>
    <row r="44">
      <c r="A44" s="19" t="n"/>
      <c r="B44" s="20">
        <f>IF(A44="","",CHOOSE(WEEKDAY(A44,2),"Mo","Di","Mi","Do","Fr","Sa","So"))</f>
        <v/>
      </c>
      <c r="C44" s="20">
        <f>IF(A44="","",INT((A44-DATE(YEAR(A44-WEEKDAY(A44-1)+4),1,3)+WEEKDAY(DATE(YEAR(A44-WEEKDAY(A44-1)+4),1,3))+5)/7))</f>
        <v/>
      </c>
      <c r="D44" s="21" t="n"/>
      <c r="E44" s="22" t="n"/>
      <c r="F44" s="23" t="n"/>
      <c r="G44" s="23" t="n"/>
      <c r="H44" s="23" t="n"/>
      <c r="I44" s="20">
        <f>IF(COUNT(F44:H44)=0,"",SUM(F44:H44))</f>
        <v/>
      </c>
      <c r="J44" s="23" t="n"/>
      <c r="K44" s="23" t="n"/>
      <c r="L44" s="23" t="n"/>
      <c r="M44" s="23" t="n"/>
      <c r="N44" s="23" t="n"/>
      <c r="O44" s="20">
        <f>IF(OR(I44="",COUNT(J44:N44)=0),"",IF(SUM(J44:N44)=I44,"✓","⚠ "&amp;SUM(J44:N44)&amp;" statt "&amp;I44))</f>
        <v/>
      </c>
      <c r="P44" s="21" t="n"/>
      <c r="Q44" s="21" t="n"/>
      <c r="R44" s="21" t="n"/>
      <c r="S44" s="24" t="n"/>
      <c r="T44" s="24" t="n"/>
      <c r="V44">
        <f>IF(A44="","",MONTH(A44))</f>
        <v/>
      </c>
      <c r="W44">
        <f>N(W43)+IF(AND(C44&lt;&gt;"",T44&lt;&gt;""),IF(C44=WOCHE!$B$3,1,0),0)</f>
        <v/>
      </c>
      <c r="X44">
        <f>N(X43)+IF(AND(V44&lt;&gt;"",T44&lt;&gt;""),IF(V44=MONAT!$AZ$3,1,0),0)</f>
        <v/>
      </c>
    </row>
    <row r="45">
      <c r="A45" s="19" t="n"/>
      <c r="B45" s="20">
        <f>IF(A45="","",CHOOSE(WEEKDAY(A45,2),"Mo","Di","Mi","Do","Fr","Sa","So"))</f>
        <v/>
      </c>
      <c r="C45" s="20">
        <f>IF(A45="","",INT((A45-DATE(YEAR(A45-WEEKDAY(A45-1)+4),1,3)+WEEKDAY(DATE(YEAR(A45-WEEKDAY(A45-1)+4),1,3))+5)/7))</f>
        <v/>
      </c>
      <c r="D45" s="21" t="n"/>
      <c r="E45" s="22" t="n"/>
      <c r="F45" s="23" t="n"/>
      <c r="G45" s="23" t="n"/>
      <c r="H45" s="23" t="n"/>
      <c r="I45" s="20">
        <f>IF(COUNT(F45:H45)=0,"",SUM(F45:H45))</f>
        <v/>
      </c>
      <c r="J45" s="23" t="n"/>
      <c r="K45" s="23" t="n"/>
      <c r="L45" s="23" t="n"/>
      <c r="M45" s="23" t="n"/>
      <c r="N45" s="23" t="n"/>
      <c r="O45" s="20">
        <f>IF(OR(I45="",COUNT(J45:N45)=0),"",IF(SUM(J45:N45)=I45,"✓","⚠ "&amp;SUM(J45:N45)&amp;" statt "&amp;I45))</f>
        <v/>
      </c>
      <c r="P45" s="21" t="n"/>
      <c r="Q45" s="21" t="n"/>
      <c r="R45" s="21" t="n"/>
      <c r="S45" s="24" t="n"/>
      <c r="T45" s="24" t="n"/>
      <c r="V45">
        <f>IF(A45="","",MONTH(A45))</f>
        <v/>
      </c>
      <c r="W45">
        <f>N(W44)+IF(AND(C45&lt;&gt;"",T45&lt;&gt;""),IF(C45=WOCHE!$B$3,1,0),0)</f>
        <v/>
      </c>
      <c r="X45">
        <f>N(X44)+IF(AND(V45&lt;&gt;"",T45&lt;&gt;""),IF(V45=MONAT!$AZ$3,1,0),0)</f>
        <v/>
      </c>
    </row>
    <row r="46">
      <c r="A46" s="19" t="n"/>
      <c r="B46" s="20">
        <f>IF(A46="","",CHOOSE(WEEKDAY(A46,2),"Mo","Di","Mi","Do","Fr","Sa","So"))</f>
        <v/>
      </c>
      <c r="C46" s="20">
        <f>IF(A46="","",INT((A46-DATE(YEAR(A46-WEEKDAY(A46-1)+4),1,3)+WEEKDAY(DATE(YEAR(A46-WEEKDAY(A46-1)+4),1,3))+5)/7))</f>
        <v/>
      </c>
      <c r="D46" s="21" t="n"/>
      <c r="E46" s="22" t="n"/>
      <c r="F46" s="23" t="n"/>
      <c r="G46" s="23" t="n"/>
      <c r="H46" s="23" t="n"/>
      <c r="I46" s="20">
        <f>IF(COUNT(F46:H46)=0,"",SUM(F46:H46))</f>
        <v/>
      </c>
      <c r="J46" s="23" t="n"/>
      <c r="K46" s="23" t="n"/>
      <c r="L46" s="23" t="n"/>
      <c r="M46" s="23" t="n"/>
      <c r="N46" s="23" t="n"/>
      <c r="O46" s="20">
        <f>IF(OR(I46="",COUNT(J46:N46)=0),"",IF(SUM(J46:N46)=I46,"✓","⚠ "&amp;SUM(J46:N46)&amp;" statt "&amp;I46))</f>
        <v/>
      </c>
      <c r="P46" s="21" t="n"/>
      <c r="Q46" s="21" t="n"/>
      <c r="R46" s="21" t="n"/>
      <c r="S46" s="24" t="n"/>
      <c r="T46" s="24" t="n"/>
      <c r="V46">
        <f>IF(A46="","",MONTH(A46))</f>
        <v/>
      </c>
      <c r="W46">
        <f>N(W45)+IF(AND(C46&lt;&gt;"",T46&lt;&gt;""),IF(C46=WOCHE!$B$3,1,0),0)</f>
        <v/>
      </c>
      <c r="X46">
        <f>N(X45)+IF(AND(V46&lt;&gt;"",T46&lt;&gt;""),IF(V46=MONAT!$AZ$3,1,0),0)</f>
        <v/>
      </c>
    </row>
    <row r="47">
      <c r="A47" s="19" t="n"/>
      <c r="B47" s="20">
        <f>IF(A47="","",CHOOSE(WEEKDAY(A47,2),"Mo","Di","Mi","Do","Fr","Sa","So"))</f>
        <v/>
      </c>
      <c r="C47" s="20">
        <f>IF(A47="","",INT((A47-DATE(YEAR(A47-WEEKDAY(A47-1)+4),1,3)+WEEKDAY(DATE(YEAR(A47-WEEKDAY(A47-1)+4),1,3))+5)/7))</f>
        <v/>
      </c>
      <c r="D47" s="21" t="n"/>
      <c r="E47" s="22" t="n"/>
      <c r="F47" s="23" t="n"/>
      <c r="G47" s="23" t="n"/>
      <c r="H47" s="23" t="n"/>
      <c r="I47" s="20">
        <f>IF(COUNT(F47:H47)=0,"",SUM(F47:H47))</f>
        <v/>
      </c>
      <c r="J47" s="23" t="n"/>
      <c r="K47" s="23" t="n"/>
      <c r="L47" s="23" t="n"/>
      <c r="M47" s="23" t="n"/>
      <c r="N47" s="23" t="n"/>
      <c r="O47" s="20">
        <f>IF(OR(I47="",COUNT(J47:N47)=0),"",IF(SUM(J47:N47)=I47,"✓","⚠ "&amp;SUM(J47:N47)&amp;" statt "&amp;I47))</f>
        <v/>
      </c>
      <c r="P47" s="21" t="n"/>
      <c r="Q47" s="21" t="n"/>
      <c r="R47" s="21" t="n"/>
      <c r="S47" s="24" t="n"/>
      <c r="T47" s="24" t="n"/>
      <c r="V47">
        <f>IF(A47="","",MONTH(A47))</f>
        <v/>
      </c>
      <c r="W47">
        <f>N(W46)+IF(AND(C47&lt;&gt;"",T47&lt;&gt;""),IF(C47=WOCHE!$B$3,1,0),0)</f>
        <v/>
      </c>
      <c r="X47">
        <f>N(X46)+IF(AND(V47&lt;&gt;"",T47&lt;&gt;""),IF(V47=MONAT!$AZ$3,1,0),0)</f>
        <v/>
      </c>
    </row>
    <row r="48">
      <c r="A48" s="19" t="n"/>
      <c r="B48" s="20">
        <f>IF(A48="","",CHOOSE(WEEKDAY(A48,2),"Mo","Di","Mi","Do","Fr","Sa","So"))</f>
        <v/>
      </c>
      <c r="C48" s="20">
        <f>IF(A48="","",INT((A48-DATE(YEAR(A48-WEEKDAY(A48-1)+4),1,3)+WEEKDAY(DATE(YEAR(A48-WEEKDAY(A48-1)+4),1,3))+5)/7))</f>
        <v/>
      </c>
      <c r="D48" s="21" t="n"/>
      <c r="E48" s="22" t="n"/>
      <c r="F48" s="23" t="n"/>
      <c r="G48" s="23" t="n"/>
      <c r="H48" s="23" t="n"/>
      <c r="I48" s="20">
        <f>IF(COUNT(F48:H48)=0,"",SUM(F48:H48))</f>
        <v/>
      </c>
      <c r="J48" s="23" t="n"/>
      <c r="K48" s="23" t="n"/>
      <c r="L48" s="23" t="n"/>
      <c r="M48" s="23" t="n"/>
      <c r="N48" s="23" t="n"/>
      <c r="O48" s="20">
        <f>IF(OR(I48="",COUNT(J48:N48)=0),"",IF(SUM(J48:N48)=I48,"✓","⚠ "&amp;SUM(J48:N48)&amp;" statt "&amp;I48))</f>
        <v/>
      </c>
      <c r="P48" s="21" t="n"/>
      <c r="Q48" s="21" t="n"/>
      <c r="R48" s="21" t="n"/>
      <c r="S48" s="24" t="n"/>
      <c r="T48" s="24" t="n"/>
      <c r="V48">
        <f>IF(A48="","",MONTH(A48))</f>
        <v/>
      </c>
      <c r="W48">
        <f>N(W47)+IF(AND(C48&lt;&gt;"",T48&lt;&gt;""),IF(C48=WOCHE!$B$3,1,0),0)</f>
        <v/>
      </c>
      <c r="X48">
        <f>N(X47)+IF(AND(V48&lt;&gt;"",T48&lt;&gt;""),IF(V48=MONAT!$AZ$3,1,0),0)</f>
        <v/>
      </c>
    </row>
    <row r="49">
      <c r="A49" s="19" t="n"/>
      <c r="B49" s="20">
        <f>IF(A49="","",CHOOSE(WEEKDAY(A49,2),"Mo","Di","Mi","Do","Fr","Sa","So"))</f>
        <v/>
      </c>
      <c r="C49" s="20">
        <f>IF(A49="","",INT((A49-DATE(YEAR(A49-WEEKDAY(A49-1)+4),1,3)+WEEKDAY(DATE(YEAR(A49-WEEKDAY(A49-1)+4),1,3))+5)/7))</f>
        <v/>
      </c>
      <c r="D49" s="21" t="n"/>
      <c r="E49" s="22" t="n"/>
      <c r="F49" s="23" t="n"/>
      <c r="G49" s="23" t="n"/>
      <c r="H49" s="23" t="n"/>
      <c r="I49" s="20">
        <f>IF(COUNT(F49:H49)=0,"",SUM(F49:H49))</f>
        <v/>
      </c>
      <c r="J49" s="23" t="n"/>
      <c r="K49" s="23" t="n"/>
      <c r="L49" s="23" t="n"/>
      <c r="M49" s="23" t="n"/>
      <c r="N49" s="23" t="n"/>
      <c r="O49" s="20">
        <f>IF(OR(I49="",COUNT(J49:N49)=0),"",IF(SUM(J49:N49)=I49,"✓","⚠ "&amp;SUM(J49:N49)&amp;" statt "&amp;I49))</f>
        <v/>
      </c>
      <c r="P49" s="21" t="n"/>
      <c r="Q49" s="21" t="n"/>
      <c r="R49" s="21" t="n"/>
      <c r="S49" s="24" t="n"/>
      <c r="T49" s="24" t="n"/>
      <c r="V49">
        <f>IF(A49="","",MONTH(A49))</f>
        <v/>
      </c>
      <c r="W49">
        <f>N(W48)+IF(AND(C49&lt;&gt;"",T49&lt;&gt;""),IF(C49=WOCHE!$B$3,1,0),0)</f>
        <v/>
      </c>
      <c r="X49">
        <f>N(X48)+IF(AND(V49&lt;&gt;"",T49&lt;&gt;""),IF(V49=MONAT!$AZ$3,1,0),0)</f>
        <v/>
      </c>
    </row>
    <row r="50">
      <c r="A50" s="19" t="n"/>
      <c r="B50" s="20">
        <f>IF(A50="","",CHOOSE(WEEKDAY(A50,2),"Mo","Di","Mi","Do","Fr","Sa","So"))</f>
        <v/>
      </c>
      <c r="C50" s="20">
        <f>IF(A50="","",INT((A50-DATE(YEAR(A50-WEEKDAY(A50-1)+4),1,3)+WEEKDAY(DATE(YEAR(A50-WEEKDAY(A50-1)+4),1,3))+5)/7))</f>
        <v/>
      </c>
      <c r="D50" s="21" t="n"/>
      <c r="E50" s="22" t="n"/>
      <c r="F50" s="23" t="n"/>
      <c r="G50" s="23" t="n"/>
      <c r="H50" s="23" t="n"/>
      <c r="I50" s="20">
        <f>IF(COUNT(F50:H50)=0,"",SUM(F50:H50))</f>
        <v/>
      </c>
      <c r="J50" s="23" t="n"/>
      <c r="K50" s="23" t="n"/>
      <c r="L50" s="23" t="n"/>
      <c r="M50" s="23" t="n"/>
      <c r="N50" s="23" t="n"/>
      <c r="O50" s="20">
        <f>IF(OR(I50="",COUNT(J50:N50)=0),"",IF(SUM(J50:N50)=I50,"✓","⚠ "&amp;SUM(J50:N50)&amp;" statt "&amp;I50))</f>
        <v/>
      </c>
      <c r="P50" s="21" t="n"/>
      <c r="Q50" s="21" t="n"/>
      <c r="R50" s="21" t="n"/>
      <c r="S50" s="24" t="n"/>
      <c r="T50" s="24" t="n"/>
      <c r="V50">
        <f>IF(A50="","",MONTH(A50))</f>
        <v/>
      </c>
      <c r="W50">
        <f>N(W49)+IF(AND(C50&lt;&gt;"",T50&lt;&gt;""),IF(C50=WOCHE!$B$3,1,0),0)</f>
        <v/>
      </c>
      <c r="X50">
        <f>N(X49)+IF(AND(V50&lt;&gt;"",T50&lt;&gt;""),IF(V50=MONAT!$AZ$3,1,0),0)</f>
        <v/>
      </c>
    </row>
    <row r="51">
      <c r="A51" s="19" t="n"/>
      <c r="B51" s="20">
        <f>IF(A51="","",CHOOSE(WEEKDAY(A51,2),"Mo","Di","Mi","Do","Fr","Sa","So"))</f>
        <v/>
      </c>
      <c r="C51" s="20">
        <f>IF(A51="","",INT((A51-DATE(YEAR(A51-WEEKDAY(A51-1)+4),1,3)+WEEKDAY(DATE(YEAR(A51-WEEKDAY(A51-1)+4),1,3))+5)/7))</f>
        <v/>
      </c>
      <c r="D51" s="21" t="n"/>
      <c r="E51" s="22" t="n"/>
      <c r="F51" s="23" t="n"/>
      <c r="G51" s="23" t="n"/>
      <c r="H51" s="23" t="n"/>
      <c r="I51" s="20">
        <f>IF(COUNT(F51:H51)=0,"",SUM(F51:H51))</f>
        <v/>
      </c>
      <c r="J51" s="23" t="n"/>
      <c r="K51" s="23" t="n"/>
      <c r="L51" s="23" t="n"/>
      <c r="M51" s="23" t="n"/>
      <c r="N51" s="23" t="n"/>
      <c r="O51" s="20">
        <f>IF(OR(I51="",COUNT(J51:N51)=0),"",IF(SUM(J51:N51)=I51,"✓","⚠ "&amp;SUM(J51:N51)&amp;" statt "&amp;I51))</f>
        <v/>
      </c>
      <c r="P51" s="21" t="n"/>
      <c r="Q51" s="21" t="n"/>
      <c r="R51" s="21" t="n"/>
      <c r="S51" s="24" t="n"/>
      <c r="T51" s="24" t="n"/>
      <c r="V51">
        <f>IF(A51="","",MONTH(A51))</f>
        <v/>
      </c>
      <c r="W51">
        <f>N(W50)+IF(AND(C51&lt;&gt;"",T51&lt;&gt;""),IF(C51=WOCHE!$B$3,1,0),0)</f>
        <v/>
      </c>
      <c r="X51">
        <f>N(X50)+IF(AND(V51&lt;&gt;"",T51&lt;&gt;""),IF(V51=MONAT!$AZ$3,1,0),0)</f>
        <v/>
      </c>
    </row>
    <row r="52">
      <c r="A52" s="19" t="n"/>
      <c r="B52" s="20">
        <f>IF(A52="","",CHOOSE(WEEKDAY(A52,2),"Mo","Di","Mi","Do","Fr","Sa","So"))</f>
        <v/>
      </c>
      <c r="C52" s="20">
        <f>IF(A52="","",INT((A52-DATE(YEAR(A52-WEEKDAY(A52-1)+4),1,3)+WEEKDAY(DATE(YEAR(A52-WEEKDAY(A52-1)+4),1,3))+5)/7))</f>
        <v/>
      </c>
      <c r="D52" s="21" t="n"/>
      <c r="E52" s="22" t="n"/>
      <c r="F52" s="23" t="n"/>
      <c r="G52" s="23" t="n"/>
      <c r="H52" s="23" t="n"/>
      <c r="I52" s="20">
        <f>IF(COUNT(F52:H52)=0,"",SUM(F52:H52))</f>
        <v/>
      </c>
      <c r="J52" s="23" t="n"/>
      <c r="K52" s="23" t="n"/>
      <c r="L52" s="23" t="n"/>
      <c r="M52" s="23" t="n"/>
      <c r="N52" s="23" t="n"/>
      <c r="O52" s="20">
        <f>IF(OR(I52="",COUNT(J52:N52)=0),"",IF(SUM(J52:N52)=I52,"✓","⚠ "&amp;SUM(J52:N52)&amp;" statt "&amp;I52))</f>
        <v/>
      </c>
      <c r="P52" s="21" t="n"/>
      <c r="Q52" s="21" t="n"/>
      <c r="R52" s="21" t="n"/>
      <c r="S52" s="24" t="n"/>
      <c r="T52" s="24" t="n"/>
      <c r="V52">
        <f>IF(A52="","",MONTH(A52))</f>
        <v/>
      </c>
      <c r="W52">
        <f>N(W51)+IF(AND(C52&lt;&gt;"",T52&lt;&gt;""),IF(C52=WOCHE!$B$3,1,0),0)</f>
        <v/>
      </c>
      <c r="X52">
        <f>N(X51)+IF(AND(V52&lt;&gt;"",T52&lt;&gt;""),IF(V52=MONAT!$AZ$3,1,0),0)</f>
        <v/>
      </c>
    </row>
    <row r="53">
      <c r="A53" s="19" t="n"/>
      <c r="B53" s="20">
        <f>IF(A53="","",CHOOSE(WEEKDAY(A53,2),"Mo","Di","Mi","Do","Fr","Sa","So"))</f>
        <v/>
      </c>
      <c r="C53" s="20">
        <f>IF(A53="","",INT((A53-DATE(YEAR(A53-WEEKDAY(A53-1)+4),1,3)+WEEKDAY(DATE(YEAR(A53-WEEKDAY(A53-1)+4),1,3))+5)/7))</f>
        <v/>
      </c>
      <c r="D53" s="21" t="n"/>
      <c r="E53" s="22" t="n"/>
      <c r="F53" s="23" t="n"/>
      <c r="G53" s="23" t="n"/>
      <c r="H53" s="23" t="n"/>
      <c r="I53" s="20">
        <f>IF(COUNT(F53:H53)=0,"",SUM(F53:H53))</f>
        <v/>
      </c>
      <c r="J53" s="23" t="n"/>
      <c r="K53" s="23" t="n"/>
      <c r="L53" s="23" t="n"/>
      <c r="M53" s="23" t="n"/>
      <c r="N53" s="23" t="n"/>
      <c r="O53" s="20">
        <f>IF(OR(I53="",COUNT(J53:N53)=0),"",IF(SUM(J53:N53)=I53,"✓","⚠ "&amp;SUM(J53:N53)&amp;" statt "&amp;I53))</f>
        <v/>
      </c>
      <c r="P53" s="21" t="n"/>
      <c r="Q53" s="21" t="n"/>
      <c r="R53" s="21" t="n"/>
      <c r="S53" s="24" t="n"/>
      <c r="T53" s="24" t="n"/>
      <c r="V53">
        <f>IF(A53="","",MONTH(A53))</f>
        <v/>
      </c>
      <c r="W53">
        <f>N(W52)+IF(AND(C53&lt;&gt;"",T53&lt;&gt;""),IF(C53=WOCHE!$B$3,1,0),0)</f>
        <v/>
      </c>
      <c r="X53">
        <f>N(X52)+IF(AND(V53&lt;&gt;"",T53&lt;&gt;""),IF(V53=MONAT!$AZ$3,1,0),0)</f>
        <v/>
      </c>
    </row>
    <row r="54">
      <c r="A54" s="19" t="n"/>
      <c r="B54" s="20">
        <f>IF(A54="","",CHOOSE(WEEKDAY(A54,2),"Mo","Di","Mi","Do","Fr","Sa","So"))</f>
        <v/>
      </c>
      <c r="C54" s="20">
        <f>IF(A54="","",INT((A54-DATE(YEAR(A54-WEEKDAY(A54-1)+4),1,3)+WEEKDAY(DATE(YEAR(A54-WEEKDAY(A54-1)+4),1,3))+5)/7))</f>
        <v/>
      </c>
      <c r="D54" s="21" t="n"/>
      <c r="E54" s="22" t="n"/>
      <c r="F54" s="23" t="n"/>
      <c r="G54" s="23" t="n"/>
      <c r="H54" s="23" t="n"/>
      <c r="I54" s="20">
        <f>IF(COUNT(F54:H54)=0,"",SUM(F54:H54))</f>
        <v/>
      </c>
      <c r="J54" s="23" t="n"/>
      <c r="K54" s="23" t="n"/>
      <c r="L54" s="23" t="n"/>
      <c r="M54" s="23" t="n"/>
      <c r="N54" s="23" t="n"/>
      <c r="O54" s="20">
        <f>IF(OR(I54="",COUNT(J54:N54)=0),"",IF(SUM(J54:N54)=I54,"✓","⚠ "&amp;SUM(J54:N54)&amp;" statt "&amp;I54))</f>
        <v/>
      </c>
      <c r="P54" s="21" t="n"/>
      <c r="Q54" s="21" t="n"/>
      <c r="R54" s="21" t="n"/>
      <c r="S54" s="24" t="n"/>
      <c r="T54" s="24" t="n"/>
      <c r="V54">
        <f>IF(A54="","",MONTH(A54))</f>
        <v/>
      </c>
      <c r="W54">
        <f>N(W53)+IF(AND(C54&lt;&gt;"",T54&lt;&gt;""),IF(C54=WOCHE!$B$3,1,0),0)</f>
        <v/>
      </c>
      <c r="X54">
        <f>N(X53)+IF(AND(V54&lt;&gt;"",T54&lt;&gt;""),IF(V54=MONAT!$AZ$3,1,0),0)</f>
        <v/>
      </c>
    </row>
    <row r="55">
      <c r="A55" s="19" t="n"/>
      <c r="B55" s="20">
        <f>IF(A55="","",CHOOSE(WEEKDAY(A55,2),"Mo","Di","Mi","Do","Fr","Sa","So"))</f>
        <v/>
      </c>
      <c r="C55" s="20">
        <f>IF(A55="","",INT((A55-DATE(YEAR(A55-WEEKDAY(A55-1)+4),1,3)+WEEKDAY(DATE(YEAR(A55-WEEKDAY(A55-1)+4),1,3))+5)/7))</f>
        <v/>
      </c>
      <c r="D55" s="21" t="n"/>
      <c r="E55" s="22" t="n"/>
      <c r="F55" s="23" t="n"/>
      <c r="G55" s="23" t="n"/>
      <c r="H55" s="23" t="n"/>
      <c r="I55" s="20">
        <f>IF(COUNT(F55:H55)=0,"",SUM(F55:H55))</f>
        <v/>
      </c>
      <c r="J55" s="23" t="n"/>
      <c r="K55" s="23" t="n"/>
      <c r="L55" s="23" t="n"/>
      <c r="M55" s="23" t="n"/>
      <c r="N55" s="23" t="n"/>
      <c r="O55" s="20">
        <f>IF(OR(I55="",COUNT(J55:N55)=0),"",IF(SUM(J55:N55)=I55,"✓","⚠ "&amp;SUM(J55:N55)&amp;" statt "&amp;I55))</f>
        <v/>
      </c>
      <c r="P55" s="21" t="n"/>
      <c r="Q55" s="21" t="n"/>
      <c r="R55" s="21" t="n"/>
      <c r="S55" s="24" t="n"/>
      <c r="T55" s="24" t="n"/>
      <c r="V55">
        <f>IF(A55="","",MONTH(A55))</f>
        <v/>
      </c>
      <c r="W55">
        <f>N(W54)+IF(AND(C55&lt;&gt;"",T55&lt;&gt;""),IF(C55=WOCHE!$B$3,1,0),0)</f>
        <v/>
      </c>
      <c r="X55">
        <f>N(X54)+IF(AND(V55&lt;&gt;"",T55&lt;&gt;""),IF(V55=MONAT!$AZ$3,1,0),0)</f>
        <v/>
      </c>
    </row>
    <row r="56">
      <c r="A56" s="19" t="n"/>
      <c r="B56" s="20">
        <f>IF(A56="","",CHOOSE(WEEKDAY(A56,2),"Mo","Di","Mi","Do","Fr","Sa","So"))</f>
        <v/>
      </c>
      <c r="C56" s="20">
        <f>IF(A56="","",INT((A56-DATE(YEAR(A56-WEEKDAY(A56-1)+4),1,3)+WEEKDAY(DATE(YEAR(A56-WEEKDAY(A56-1)+4),1,3))+5)/7))</f>
        <v/>
      </c>
      <c r="D56" s="21" t="n"/>
      <c r="E56" s="22" t="n"/>
      <c r="F56" s="23" t="n"/>
      <c r="G56" s="23" t="n"/>
      <c r="H56" s="23" t="n"/>
      <c r="I56" s="20">
        <f>IF(COUNT(F56:H56)=0,"",SUM(F56:H56))</f>
        <v/>
      </c>
      <c r="J56" s="23" t="n"/>
      <c r="K56" s="23" t="n"/>
      <c r="L56" s="23" t="n"/>
      <c r="M56" s="23" t="n"/>
      <c r="N56" s="23" t="n"/>
      <c r="O56" s="20">
        <f>IF(OR(I56="",COUNT(J56:N56)=0),"",IF(SUM(J56:N56)=I56,"✓","⚠ "&amp;SUM(J56:N56)&amp;" statt "&amp;I56))</f>
        <v/>
      </c>
      <c r="P56" s="21" t="n"/>
      <c r="Q56" s="21" t="n"/>
      <c r="R56" s="21" t="n"/>
      <c r="S56" s="24" t="n"/>
      <c r="T56" s="24" t="n"/>
      <c r="V56">
        <f>IF(A56="","",MONTH(A56))</f>
        <v/>
      </c>
      <c r="W56">
        <f>N(W55)+IF(AND(C56&lt;&gt;"",T56&lt;&gt;""),IF(C56=WOCHE!$B$3,1,0),0)</f>
        <v/>
      </c>
      <c r="X56">
        <f>N(X55)+IF(AND(V56&lt;&gt;"",T56&lt;&gt;""),IF(V56=MONAT!$AZ$3,1,0),0)</f>
        <v/>
      </c>
    </row>
    <row r="57">
      <c r="A57" s="19" t="n"/>
      <c r="B57" s="20">
        <f>IF(A57="","",CHOOSE(WEEKDAY(A57,2),"Mo","Di","Mi","Do","Fr","Sa","So"))</f>
        <v/>
      </c>
      <c r="C57" s="20">
        <f>IF(A57="","",INT((A57-DATE(YEAR(A57-WEEKDAY(A57-1)+4),1,3)+WEEKDAY(DATE(YEAR(A57-WEEKDAY(A57-1)+4),1,3))+5)/7))</f>
        <v/>
      </c>
      <c r="D57" s="21" t="n"/>
      <c r="E57" s="22" t="n"/>
      <c r="F57" s="23" t="n"/>
      <c r="G57" s="23" t="n"/>
      <c r="H57" s="23" t="n"/>
      <c r="I57" s="20">
        <f>IF(COUNT(F57:H57)=0,"",SUM(F57:H57))</f>
        <v/>
      </c>
      <c r="J57" s="23" t="n"/>
      <c r="K57" s="23" t="n"/>
      <c r="L57" s="23" t="n"/>
      <c r="M57" s="23" t="n"/>
      <c r="N57" s="23" t="n"/>
      <c r="O57" s="20">
        <f>IF(OR(I57="",COUNT(J57:N57)=0),"",IF(SUM(J57:N57)=I57,"✓","⚠ "&amp;SUM(J57:N57)&amp;" statt "&amp;I57))</f>
        <v/>
      </c>
      <c r="P57" s="21" t="n"/>
      <c r="Q57" s="21" t="n"/>
      <c r="R57" s="21" t="n"/>
      <c r="S57" s="24" t="n"/>
      <c r="T57" s="24" t="n"/>
      <c r="V57">
        <f>IF(A57="","",MONTH(A57))</f>
        <v/>
      </c>
      <c r="W57">
        <f>N(W56)+IF(AND(C57&lt;&gt;"",T57&lt;&gt;""),IF(C57=WOCHE!$B$3,1,0),0)</f>
        <v/>
      </c>
      <c r="X57">
        <f>N(X56)+IF(AND(V57&lt;&gt;"",T57&lt;&gt;""),IF(V57=MONAT!$AZ$3,1,0),0)</f>
        <v/>
      </c>
    </row>
    <row r="58">
      <c r="A58" s="19" t="n"/>
      <c r="B58" s="20">
        <f>IF(A58="","",CHOOSE(WEEKDAY(A58,2),"Mo","Di","Mi","Do","Fr","Sa","So"))</f>
        <v/>
      </c>
      <c r="C58" s="20">
        <f>IF(A58="","",INT((A58-DATE(YEAR(A58-WEEKDAY(A58-1)+4),1,3)+WEEKDAY(DATE(YEAR(A58-WEEKDAY(A58-1)+4),1,3))+5)/7))</f>
        <v/>
      </c>
      <c r="D58" s="21" t="n"/>
      <c r="E58" s="22" t="n"/>
      <c r="F58" s="23" t="n"/>
      <c r="G58" s="23" t="n"/>
      <c r="H58" s="23" t="n"/>
      <c r="I58" s="20">
        <f>IF(COUNT(F58:H58)=0,"",SUM(F58:H58))</f>
        <v/>
      </c>
      <c r="J58" s="23" t="n"/>
      <c r="K58" s="23" t="n"/>
      <c r="L58" s="23" t="n"/>
      <c r="M58" s="23" t="n"/>
      <c r="N58" s="23" t="n"/>
      <c r="O58" s="20">
        <f>IF(OR(I58="",COUNT(J58:N58)=0),"",IF(SUM(J58:N58)=I58,"✓","⚠ "&amp;SUM(J58:N58)&amp;" statt "&amp;I58))</f>
        <v/>
      </c>
      <c r="P58" s="21" t="n"/>
      <c r="Q58" s="21" t="n"/>
      <c r="R58" s="21" t="n"/>
      <c r="S58" s="24" t="n"/>
      <c r="T58" s="24" t="n"/>
      <c r="V58">
        <f>IF(A58="","",MONTH(A58))</f>
        <v/>
      </c>
      <c r="W58">
        <f>N(W57)+IF(AND(C58&lt;&gt;"",T58&lt;&gt;""),IF(C58=WOCHE!$B$3,1,0),0)</f>
        <v/>
      </c>
      <c r="X58">
        <f>N(X57)+IF(AND(V58&lt;&gt;"",T58&lt;&gt;""),IF(V58=MONAT!$AZ$3,1,0),0)</f>
        <v/>
      </c>
    </row>
    <row r="59">
      <c r="A59" s="19" t="n"/>
      <c r="B59" s="20">
        <f>IF(A59="","",CHOOSE(WEEKDAY(A59,2),"Mo","Di","Mi","Do","Fr","Sa","So"))</f>
        <v/>
      </c>
      <c r="C59" s="20">
        <f>IF(A59="","",INT((A59-DATE(YEAR(A59-WEEKDAY(A59-1)+4),1,3)+WEEKDAY(DATE(YEAR(A59-WEEKDAY(A59-1)+4),1,3))+5)/7))</f>
        <v/>
      </c>
      <c r="D59" s="21" t="n"/>
      <c r="E59" s="22" t="n"/>
      <c r="F59" s="23" t="n"/>
      <c r="G59" s="23" t="n"/>
      <c r="H59" s="23" t="n"/>
      <c r="I59" s="20">
        <f>IF(COUNT(F59:H59)=0,"",SUM(F59:H59))</f>
        <v/>
      </c>
      <c r="J59" s="23" t="n"/>
      <c r="K59" s="23" t="n"/>
      <c r="L59" s="23" t="n"/>
      <c r="M59" s="23" t="n"/>
      <c r="N59" s="23" t="n"/>
      <c r="O59" s="20">
        <f>IF(OR(I59="",COUNT(J59:N59)=0),"",IF(SUM(J59:N59)=I59,"✓","⚠ "&amp;SUM(J59:N59)&amp;" statt "&amp;I59))</f>
        <v/>
      </c>
      <c r="P59" s="21" t="n"/>
      <c r="Q59" s="21" t="n"/>
      <c r="R59" s="21" t="n"/>
      <c r="S59" s="24" t="n"/>
      <c r="T59" s="24" t="n"/>
      <c r="V59">
        <f>IF(A59="","",MONTH(A59))</f>
        <v/>
      </c>
      <c r="W59">
        <f>N(W58)+IF(AND(C59&lt;&gt;"",T59&lt;&gt;""),IF(C59=WOCHE!$B$3,1,0),0)</f>
        <v/>
      </c>
      <c r="X59">
        <f>N(X58)+IF(AND(V59&lt;&gt;"",T59&lt;&gt;""),IF(V59=MONAT!$AZ$3,1,0),0)</f>
        <v/>
      </c>
    </row>
    <row r="60">
      <c r="A60" s="19" t="n"/>
      <c r="B60" s="20">
        <f>IF(A60="","",CHOOSE(WEEKDAY(A60,2),"Mo","Di","Mi","Do","Fr","Sa","So"))</f>
        <v/>
      </c>
      <c r="C60" s="20">
        <f>IF(A60="","",INT((A60-DATE(YEAR(A60-WEEKDAY(A60-1)+4),1,3)+WEEKDAY(DATE(YEAR(A60-WEEKDAY(A60-1)+4),1,3))+5)/7))</f>
        <v/>
      </c>
      <c r="D60" s="21" t="n"/>
      <c r="E60" s="22" t="n"/>
      <c r="F60" s="23" t="n"/>
      <c r="G60" s="23" t="n"/>
      <c r="H60" s="23" t="n"/>
      <c r="I60" s="20">
        <f>IF(COUNT(F60:H60)=0,"",SUM(F60:H60))</f>
        <v/>
      </c>
      <c r="J60" s="23" t="n"/>
      <c r="K60" s="23" t="n"/>
      <c r="L60" s="23" t="n"/>
      <c r="M60" s="23" t="n"/>
      <c r="N60" s="23" t="n"/>
      <c r="O60" s="20">
        <f>IF(OR(I60="",COUNT(J60:N60)=0),"",IF(SUM(J60:N60)=I60,"✓","⚠ "&amp;SUM(J60:N60)&amp;" statt "&amp;I60))</f>
        <v/>
      </c>
      <c r="P60" s="21" t="n"/>
      <c r="Q60" s="21" t="n"/>
      <c r="R60" s="21" t="n"/>
      <c r="S60" s="24" t="n"/>
      <c r="T60" s="24" t="n"/>
      <c r="V60">
        <f>IF(A60="","",MONTH(A60))</f>
        <v/>
      </c>
      <c r="W60">
        <f>N(W59)+IF(AND(C60&lt;&gt;"",T60&lt;&gt;""),IF(C60=WOCHE!$B$3,1,0),0)</f>
        <v/>
      </c>
      <c r="X60">
        <f>N(X59)+IF(AND(V60&lt;&gt;"",T60&lt;&gt;""),IF(V60=MONAT!$AZ$3,1,0),0)</f>
        <v/>
      </c>
    </row>
    <row r="61">
      <c r="A61" s="19" t="n"/>
      <c r="B61" s="20">
        <f>IF(A61="","",CHOOSE(WEEKDAY(A61,2),"Mo","Di","Mi","Do","Fr","Sa","So"))</f>
        <v/>
      </c>
      <c r="C61" s="20">
        <f>IF(A61="","",INT((A61-DATE(YEAR(A61-WEEKDAY(A61-1)+4),1,3)+WEEKDAY(DATE(YEAR(A61-WEEKDAY(A61-1)+4),1,3))+5)/7))</f>
        <v/>
      </c>
      <c r="D61" s="21" t="n"/>
      <c r="E61" s="22" t="n"/>
      <c r="F61" s="23" t="n"/>
      <c r="G61" s="23" t="n"/>
      <c r="H61" s="23" t="n"/>
      <c r="I61" s="20">
        <f>IF(COUNT(F61:H61)=0,"",SUM(F61:H61))</f>
        <v/>
      </c>
      <c r="J61" s="23" t="n"/>
      <c r="K61" s="23" t="n"/>
      <c r="L61" s="23" t="n"/>
      <c r="M61" s="23" t="n"/>
      <c r="N61" s="23" t="n"/>
      <c r="O61" s="20">
        <f>IF(OR(I61="",COUNT(J61:N61)=0),"",IF(SUM(J61:N61)=I61,"✓","⚠ "&amp;SUM(J61:N61)&amp;" statt "&amp;I61))</f>
        <v/>
      </c>
      <c r="P61" s="21" t="n"/>
      <c r="Q61" s="21" t="n"/>
      <c r="R61" s="21" t="n"/>
      <c r="S61" s="24" t="n"/>
      <c r="T61" s="24" t="n"/>
      <c r="V61">
        <f>IF(A61="","",MONTH(A61))</f>
        <v/>
      </c>
      <c r="W61">
        <f>N(W60)+IF(AND(C61&lt;&gt;"",T61&lt;&gt;""),IF(C61=WOCHE!$B$3,1,0),0)</f>
        <v/>
      </c>
      <c r="X61">
        <f>N(X60)+IF(AND(V61&lt;&gt;"",T61&lt;&gt;""),IF(V61=MONAT!$AZ$3,1,0),0)</f>
        <v/>
      </c>
    </row>
    <row r="62">
      <c r="A62" s="19" t="n"/>
      <c r="B62" s="20">
        <f>IF(A62="","",CHOOSE(WEEKDAY(A62,2),"Mo","Di","Mi","Do","Fr","Sa","So"))</f>
        <v/>
      </c>
      <c r="C62" s="20">
        <f>IF(A62="","",INT((A62-DATE(YEAR(A62-WEEKDAY(A62-1)+4),1,3)+WEEKDAY(DATE(YEAR(A62-WEEKDAY(A62-1)+4),1,3))+5)/7))</f>
        <v/>
      </c>
      <c r="D62" s="21" t="n"/>
      <c r="E62" s="22" t="n"/>
      <c r="F62" s="23" t="n"/>
      <c r="G62" s="23" t="n"/>
      <c r="H62" s="23" t="n"/>
      <c r="I62" s="20">
        <f>IF(COUNT(F62:H62)=0,"",SUM(F62:H62))</f>
        <v/>
      </c>
      <c r="J62" s="23" t="n"/>
      <c r="K62" s="23" t="n"/>
      <c r="L62" s="23" t="n"/>
      <c r="M62" s="23" t="n"/>
      <c r="N62" s="23" t="n"/>
      <c r="O62" s="20">
        <f>IF(OR(I62="",COUNT(J62:N62)=0),"",IF(SUM(J62:N62)=I62,"✓","⚠ "&amp;SUM(J62:N62)&amp;" statt "&amp;I62))</f>
        <v/>
      </c>
      <c r="P62" s="21" t="n"/>
      <c r="Q62" s="21" t="n"/>
      <c r="R62" s="21" t="n"/>
      <c r="S62" s="24" t="n"/>
      <c r="T62" s="24" t="n"/>
      <c r="V62">
        <f>IF(A62="","",MONTH(A62))</f>
        <v/>
      </c>
      <c r="W62">
        <f>N(W61)+IF(AND(C62&lt;&gt;"",T62&lt;&gt;""),IF(C62=WOCHE!$B$3,1,0),0)</f>
        <v/>
      </c>
      <c r="X62">
        <f>N(X61)+IF(AND(V62&lt;&gt;"",T62&lt;&gt;""),IF(V62=MONAT!$AZ$3,1,0),0)</f>
        <v/>
      </c>
    </row>
    <row r="63">
      <c r="A63" s="19" t="n"/>
      <c r="B63" s="20">
        <f>IF(A63="","",CHOOSE(WEEKDAY(A63,2),"Mo","Di","Mi","Do","Fr","Sa","So"))</f>
        <v/>
      </c>
      <c r="C63" s="20">
        <f>IF(A63="","",INT((A63-DATE(YEAR(A63-WEEKDAY(A63-1)+4),1,3)+WEEKDAY(DATE(YEAR(A63-WEEKDAY(A63-1)+4),1,3))+5)/7))</f>
        <v/>
      </c>
      <c r="D63" s="21" t="n"/>
      <c r="E63" s="22" t="n"/>
      <c r="F63" s="23" t="n"/>
      <c r="G63" s="23" t="n"/>
      <c r="H63" s="23" t="n"/>
      <c r="I63" s="20">
        <f>IF(COUNT(F63:H63)=0,"",SUM(F63:H63))</f>
        <v/>
      </c>
      <c r="J63" s="23" t="n"/>
      <c r="K63" s="23" t="n"/>
      <c r="L63" s="23" t="n"/>
      <c r="M63" s="23" t="n"/>
      <c r="N63" s="23" t="n"/>
      <c r="O63" s="20">
        <f>IF(OR(I63="",COUNT(J63:N63)=0),"",IF(SUM(J63:N63)=I63,"✓","⚠ "&amp;SUM(J63:N63)&amp;" statt "&amp;I63))</f>
        <v/>
      </c>
      <c r="P63" s="21" t="n"/>
      <c r="Q63" s="21" t="n"/>
      <c r="R63" s="21" t="n"/>
      <c r="S63" s="24" t="n"/>
      <c r="T63" s="24" t="n"/>
      <c r="V63">
        <f>IF(A63="","",MONTH(A63))</f>
        <v/>
      </c>
      <c r="W63">
        <f>N(W62)+IF(AND(C63&lt;&gt;"",T63&lt;&gt;""),IF(C63=WOCHE!$B$3,1,0),0)</f>
        <v/>
      </c>
      <c r="X63">
        <f>N(X62)+IF(AND(V63&lt;&gt;"",T63&lt;&gt;""),IF(V63=MONAT!$AZ$3,1,0),0)</f>
        <v/>
      </c>
    </row>
    <row r="64">
      <c r="A64" s="19" t="n"/>
      <c r="B64" s="20">
        <f>IF(A64="","",CHOOSE(WEEKDAY(A64,2),"Mo","Di","Mi","Do","Fr","Sa","So"))</f>
        <v/>
      </c>
      <c r="C64" s="20">
        <f>IF(A64="","",INT((A64-DATE(YEAR(A64-WEEKDAY(A64-1)+4),1,3)+WEEKDAY(DATE(YEAR(A64-WEEKDAY(A64-1)+4),1,3))+5)/7))</f>
        <v/>
      </c>
      <c r="D64" s="21" t="n"/>
      <c r="E64" s="22" t="n"/>
      <c r="F64" s="23" t="n"/>
      <c r="G64" s="23" t="n"/>
      <c r="H64" s="23" t="n"/>
      <c r="I64" s="20">
        <f>IF(COUNT(F64:H64)=0,"",SUM(F64:H64))</f>
        <v/>
      </c>
      <c r="J64" s="23" t="n"/>
      <c r="K64" s="23" t="n"/>
      <c r="L64" s="23" t="n"/>
      <c r="M64" s="23" t="n"/>
      <c r="N64" s="23" t="n"/>
      <c r="O64" s="20">
        <f>IF(OR(I64="",COUNT(J64:N64)=0),"",IF(SUM(J64:N64)=I64,"✓","⚠ "&amp;SUM(J64:N64)&amp;" statt "&amp;I64))</f>
        <v/>
      </c>
      <c r="P64" s="21" t="n"/>
      <c r="Q64" s="21" t="n"/>
      <c r="R64" s="21" t="n"/>
      <c r="S64" s="24" t="n"/>
      <c r="T64" s="24" t="n"/>
      <c r="V64">
        <f>IF(A64="","",MONTH(A64))</f>
        <v/>
      </c>
      <c r="W64">
        <f>N(W63)+IF(AND(C64&lt;&gt;"",T64&lt;&gt;""),IF(C64=WOCHE!$B$3,1,0),0)</f>
        <v/>
      </c>
      <c r="X64">
        <f>N(X63)+IF(AND(V64&lt;&gt;"",T64&lt;&gt;""),IF(V64=MONAT!$AZ$3,1,0),0)</f>
        <v/>
      </c>
    </row>
    <row r="65">
      <c r="A65" s="19" t="n"/>
      <c r="B65" s="20">
        <f>IF(A65="","",CHOOSE(WEEKDAY(A65,2),"Mo","Di","Mi","Do","Fr","Sa","So"))</f>
        <v/>
      </c>
      <c r="C65" s="20">
        <f>IF(A65="","",INT((A65-DATE(YEAR(A65-WEEKDAY(A65-1)+4),1,3)+WEEKDAY(DATE(YEAR(A65-WEEKDAY(A65-1)+4),1,3))+5)/7))</f>
        <v/>
      </c>
      <c r="D65" s="21" t="n"/>
      <c r="E65" s="22" t="n"/>
      <c r="F65" s="23" t="n"/>
      <c r="G65" s="23" t="n"/>
      <c r="H65" s="23" t="n"/>
      <c r="I65" s="20">
        <f>IF(COUNT(F65:H65)=0,"",SUM(F65:H65))</f>
        <v/>
      </c>
      <c r="J65" s="23" t="n"/>
      <c r="K65" s="23" t="n"/>
      <c r="L65" s="23" t="n"/>
      <c r="M65" s="23" t="n"/>
      <c r="N65" s="23" t="n"/>
      <c r="O65" s="20">
        <f>IF(OR(I65="",COUNT(J65:N65)=0),"",IF(SUM(J65:N65)=I65,"✓","⚠ "&amp;SUM(J65:N65)&amp;" statt "&amp;I65))</f>
        <v/>
      </c>
      <c r="P65" s="21" t="n"/>
      <c r="Q65" s="21" t="n"/>
      <c r="R65" s="21" t="n"/>
      <c r="S65" s="24" t="n"/>
      <c r="T65" s="24" t="n"/>
      <c r="V65">
        <f>IF(A65="","",MONTH(A65))</f>
        <v/>
      </c>
      <c r="W65">
        <f>N(W64)+IF(AND(C65&lt;&gt;"",T65&lt;&gt;""),IF(C65=WOCHE!$B$3,1,0),0)</f>
        <v/>
      </c>
      <c r="X65">
        <f>N(X64)+IF(AND(V65&lt;&gt;"",T65&lt;&gt;""),IF(V65=MONAT!$AZ$3,1,0),0)</f>
        <v/>
      </c>
    </row>
    <row r="66">
      <c r="A66" s="19" t="n"/>
      <c r="B66" s="20">
        <f>IF(A66="","",CHOOSE(WEEKDAY(A66,2),"Mo","Di","Mi","Do","Fr","Sa","So"))</f>
        <v/>
      </c>
      <c r="C66" s="20">
        <f>IF(A66="","",INT((A66-DATE(YEAR(A66-WEEKDAY(A66-1)+4),1,3)+WEEKDAY(DATE(YEAR(A66-WEEKDAY(A66-1)+4),1,3))+5)/7))</f>
        <v/>
      </c>
      <c r="D66" s="21" t="n"/>
      <c r="E66" s="22" t="n"/>
      <c r="F66" s="23" t="n"/>
      <c r="G66" s="23" t="n"/>
      <c r="H66" s="23" t="n"/>
      <c r="I66" s="20">
        <f>IF(COUNT(F66:H66)=0,"",SUM(F66:H66))</f>
        <v/>
      </c>
      <c r="J66" s="23" t="n"/>
      <c r="K66" s="23" t="n"/>
      <c r="L66" s="23" t="n"/>
      <c r="M66" s="23" t="n"/>
      <c r="N66" s="23" t="n"/>
      <c r="O66" s="20">
        <f>IF(OR(I66="",COUNT(J66:N66)=0),"",IF(SUM(J66:N66)=I66,"✓","⚠ "&amp;SUM(J66:N66)&amp;" statt "&amp;I66))</f>
        <v/>
      </c>
      <c r="P66" s="21" t="n"/>
      <c r="Q66" s="21" t="n"/>
      <c r="R66" s="21" t="n"/>
      <c r="S66" s="24" t="n"/>
      <c r="T66" s="24" t="n"/>
      <c r="V66">
        <f>IF(A66="","",MONTH(A66))</f>
        <v/>
      </c>
      <c r="W66">
        <f>N(W65)+IF(AND(C66&lt;&gt;"",T66&lt;&gt;""),IF(C66=WOCHE!$B$3,1,0),0)</f>
        <v/>
      </c>
      <c r="X66">
        <f>N(X65)+IF(AND(V66&lt;&gt;"",T66&lt;&gt;""),IF(V66=MONAT!$AZ$3,1,0),0)</f>
        <v/>
      </c>
    </row>
    <row r="67">
      <c r="A67" s="19" t="n"/>
      <c r="B67" s="20">
        <f>IF(A67="","",CHOOSE(WEEKDAY(A67,2),"Mo","Di","Mi","Do","Fr","Sa","So"))</f>
        <v/>
      </c>
      <c r="C67" s="20">
        <f>IF(A67="","",INT((A67-DATE(YEAR(A67-WEEKDAY(A67-1)+4),1,3)+WEEKDAY(DATE(YEAR(A67-WEEKDAY(A67-1)+4),1,3))+5)/7))</f>
        <v/>
      </c>
      <c r="D67" s="21" t="n"/>
      <c r="E67" s="22" t="n"/>
      <c r="F67" s="23" t="n"/>
      <c r="G67" s="23" t="n"/>
      <c r="H67" s="23" t="n"/>
      <c r="I67" s="20">
        <f>IF(COUNT(F67:H67)=0,"",SUM(F67:H67))</f>
        <v/>
      </c>
      <c r="J67" s="23" t="n"/>
      <c r="K67" s="23" t="n"/>
      <c r="L67" s="23" t="n"/>
      <c r="M67" s="23" t="n"/>
      <c r="N67" s="23" t="n"/>
      <c r="O67" s="20">
        <f>IF(OR(I67="",COUNT(J67:N67)=0),"",IF(SUM(J67:N67)=I67,"✓","⚠ "&amp;SUM(J67:N67)&amp;" statt "&amp;I67))</f>
        <v/>
      </c>
      <c r="P67" s="21" t="n"/>
      <c r="Q67" s="21" t="n"/>
      <c r="R67" s="21" t="n"/>
      <c r="S67" s="24" t="n"/>
      <c r="T67" s="24" t="n"/>
      <c r="V67">
        <f>IF(A67="","",MONTH(A67))</f>
        <v/>
      </c>
      <c r="W67">
        <f>N(W66)+IF(AND(C67&lt;&gt;"",T67&lt;&gt;""),IF(C67=WOCHE!$B$3,1,0),0)</f>
        <v/>
      </c>
      <c r="X67">
        <f>N(X66)+IF(AND(V67&lt;&gt;"",T67&lt;&gt;""),IF(V67=MONAT!$AZ$3,1,0),0)</f>
        <v/>
      </c>
    </row>
    <row r="68">
      <c r="A68" s="19" t="n"/>
      <c r="B68" s="20">
        <f>IF(A68="","",CHOOSE(WEEKDAY(A68,2),"Mo","Di","Mi","Do","Fr","Sa","So"))</f>
        <v/>
      </c>
      <c r="C68" s="20">
        <f>IF(A68="","",INT((A68-DATE(YEAR(A68-WEEKDAY(A68-1)+4),1,3)+WEEKDAY(DATE(YEAR(A68-WEEKDAY(A68-1)+4),1,3))+5)/7))</f>
        <v/>
      </c>
      <c r="D68" s="21" t="n"/>
      <c r="E68" s="22" t="n"/>
      <c r="F68" s="23" t="n"/>
      <c r="G68" s="23" t="n"/>
      <c r="H68" s="23" t="n"/>
      <c r="I68" s="20">
        <f>IF(COUNT(F68:H68)=0,"",SUM(F68:H68))</f>
        <v/>
      </c>
      <c r="J68" s="23" t="n"/>
      <c r="K68" s="23" t="n"/>
      <c r="L68" s="23" t="n"/>
      <c r="M68" s="23" t="n"/>
      <c r="N68" s="23" t="n"/>
      <c r="O68" s="20">
        <f>IF(OR(I68="",COUNT(J68:N68)=0),"",IF(SUM(J68:N68)=I68,"✓","⚠ "&amp;SUM(J68:N68)&amp;" statt "&amp;I68))</f>
        <v/>
      </c>
      <c r="P68" s="21" t="n"/>
      <c r="Q68" s="21" t="n"/>
      <c r="R68" s="21" t="n"/>
      <c r="S68" s="24" t="n"/>
      <c r="T68" s="24" t="n"/>
      <c r="V68">
        <f>IF(A68="","",MONTH(A68))</f>
        <v/>
      </c>
      <c r="W68">
        <f>N(W67)+IF(AND(C68&lt;&gt;"",T68&lt;&gt;""),IF(C68=WOCHE!$B$3,1,0),0)</f>
        <v/>
      </c>
      <c r="X68">
        <f>N(X67)+IF(AND(V68&lt;&gt;"",T68&lt;&gt;""),IF(V68=MONAT!$AZ$3,1,0),0)</f>
        <v/>
      </c>
    </row>
    <row r="69">
      <c r="A69" s="19" t="n"/>
      <c r="B69" s="20">
        <f>IF(A69="","",CHOOSE(WEEKDAY(A69,2),"Mo","Di","Mi","Do","Fr","Sa","So"))</f>
        <v/>
      </c>
      <c r="C69" s="20">
        <f>IF(A69="","",INT((A69-DATE(YEAR(A69-WEEKDAY(A69-1)+4),1,3)+WEEKDAY(DATE(YEAR(A69-WEEKDAY(A69-1)+4),1,3))+5)/7))</f>
        <v/>
      </c>
      <c r="D69" s="21" t="n"/>
      <c r="E69" s="22" t="n"/>
      <c r="F69" s="23" t="n"/>
      <c r="G69" s="23" t="n"/>
      <c r="H69" s="23" t="n"/>
      <c r="I69" s="20">
        <f>IF(COUNT(F69:H69)=0,"",SUM(F69:H69))</f>
        <v/>
      </c>
      <c r="J69" s="23" t="n"/>
      <c r="K69" s="23" t="n"/>
      <c r="L69" s="23" t="n"/>
      <c r="M69" s="23" t="n"/>
      <c r="N69" s="23" t="n"/>
      <c r="O69" s="20">
        <f>IF(OR(I69="",COUNT(J69:N69)=0),"",IF(SUM(J69:N69)=I69,"✓","⚠ "&amp;SUM(J69:N69)&amp;" statt "&amp;I69))</f>
        <v/>
      </c>
      <c r="P69" s="21" t="n"/>
      <c r="Q69" s="21" t="n"/>
      <c r="R69" s="21" t="n"/>
      <c r="S69" s="24" t="n"/>
      <c r="T69" s="24" t="n"/>
      <c r="V69">
        <f>IF(A69="","",MONTH(A69))</f>
        <v/>
      </c>
      <c r="W69">
        <f>N(W68)+IF(AND(C69&lt;&gt;"",T69&lt;&gt;""),IF(C69=WOCHE!$B$3,1,0),0)</f>
        <v/>
      </c>
      <c r="X69">
        <f>N(X68)+IF(AND(V69&lt;&gt;"",T69&lt;&gt;""),IF(V69=MONAT!$AZ$3,1,0),0)</f>
        <v/>
      </c>
    </row>
    <row r="70">
      <c r="A70" s="19" t="n"/>
      <c r="B70" s="20">
        <f>IF(A70="","",CHOOSE(WEEKDAY(A70,2),"Mo","Di","Mi","Do","Fr","Sa","So"))</f>
        <v/>
      </c>
      <c r="C70" s="20">
        <f>IF(A70="","",INT((A70-DATE(YEAR(A70-WEEKDAY(A70-1)+4),1,3)+WEEKDAY(DATE(YEAR(A70-WEEKDAY(A70-1)+4),1,3))+5)/7))</f>
        <v/>
      </c>
      <c r="D70" s="21" t="n"/>
      <c r="E70" s="22" t="n"/>
      <c r="F70" s="23" t="n"/>
      <c r="G70" s="23" t="n"/>
      <c r="H70" s="23" t="n"/>
      <c r="I70" s="20">
        <f>IF(COUNT(F70:H70)=0,"",SUM(F70:H70))</f>
        <v/>
      </c>
      <c r="J70" s="23" t="n"/>
      <c r="K70" s="23" t="n"/>
      <c r="L70" s="23" t="n"/>
      <c r="M70" s="23" t="n"/>
      <c r="N70" s="23" t="n"/>
      <c r="O70" s="20">
        <f>IF(OR(I70="",COUNT(J70:N70)=0),"",IF(SUM(J70:N70)=I70,"✓","⚠ "&amp;SUM(J70:N70)&amp;" statt "&amp;I70))</f>
        <v/>
      </c>
      <c r="P70" s="21" t="n"/>
      <c r="Q70" s="21" t="n"/>
      <c r="R70" s="21" t="n"/>
      <c r="S70" s="24" t="n"/>
      <c r="T70" s="24" t="n"/>
      <c r="V70">
        <f>IF(A70="","",MONTH(A70))</f>
        <v/>
      </c>
      <c r="W70">
        <f>N(W69)+IF(AND(C70&lt;&gt;"",T70&lt;&gt;""),IF(C70=WOCHE!$B$3,1,0),0)</f>
        <v/>
      </c>
      <c r="X70">
        <f>N(X69)+IF(AND(V70&lt;&gt;"",T70&lt;&gt;""),IF(V70=MONAT!$AZ$3,1,0),0)</f>
        <v/>
      </c>
    </row>
    <row r="71">
      <c r="A71" s="19" t="n"/>
      <c r="B71" s="20">
        <f>IF(A71="","",CHOOSE(WEEKDAY(A71,2),"Mo","Di","Mi","Do","Fr","Sa","So"))</f>
        <v/>
      </c>
      <c r="C71" s="20">
        <f>IF(A71="","",INT((A71-DATE(YEAR(A71-WEEKDAY(A71-1)+4),1,3)+WEEKDAY(DATE(YEAR(A71-WEEKDAY(A71-1)+4),1,3))+5)/7))</f>
        <v/>
      </c>
      <c r="D71" s="21" t="n"/>
      <c r="E71" s="22" t="n"/>
      <c r="F71" s="23" t="n"/>
      <c r="G71" s="23" t="n"/>
      <c r="H71" s="23" t="n"/>
      <c r="I71" s="20">
        <f>IF(COUNT(F71:H71)=0,"",SUM(F71:H71))</f>
        <v/>
      </c>
      <c r="J71" s="23" t="n"/>
      <c r="K71" s="23" t="n"/>
      <c r="L71" s="23" t="n"/>
      <c r="M71" s="23" t="n"/>
      <c r="N71" s="23" t="n"/>
      <c r="O71" s="20">
        <f>IF(OR(I71="",COUNT(J71:N71)=0),"",IF(SUM(J71:N71)=I71,"✓","⚠ "&amp;SUM(J71:N71)&amp;" statt "&amp;I71))</f>
        <v/>
      </c>
      <c r="P71" s="21" t="n"/>
      <c r="Q71" s="21" t="n"/>
      <c r="R71" s="21" t="n"/>
      <c r="S71" s="24" t="n"/>
      <c r="T71" s="24" t="n"/>
      <c r="V71">
        <f>IF(A71="","",MONTH(A71))</f>
        <v/>
      </c>
      <c r="W71">
        <f>N(W70)+IF(AND(C71&lt;&gt;"",T71&lt;&gt;""),IF(C71=WOCHE!$B$3,1,0),0)</f>
        <v/>
      </c>
      <c r="X71">
        <f>N(X70)+IF(AND(V71&lt;&gt;"",T71&lt;&gt;""),IF(V71=MONAT!$AZ$3,1,0),0)</f>
        <v/>
      </c>
    </row>
    <row r="72">
      <c r="A72" s="19" t="n"/>
      <c r="B72" s="20">
        <f>IF(A72="","",CHOOSE(WEEKDAY(A72,2),"Mo","Di","Mi","Do","Fr","Sa","So"))</f>
        <v/>
      </c>
      <c r="C72" s="20">
        <f>IF(A72="","",INT((A72-DATE(YEAR(A72-WEEKDAY(A72-1)+4),1,3)+WEEKDAY(DATE(YEAR(A72-WEEKDAY(A72-1)+4),1,3))+5)/7))</f>
        <v/>
      </c>
      <c r="D72" s="21" t="n"/>
      <c r="E72" s="22" t="n"/>
      <c r="F72" s="23" t="n"/>
      <c r="G72" s="23" t="n"/>
      <c r="H72" s="23" t="n"/>
      <c r="I72" s="20">
        <f>IF(COUNT(F72:H72)=0,"",SUM(F72:H72))</f>
        <v/>
      </c>
      <c r="J72" s="23" t="n"/>
      <c r="K72" s="23" t="n"/>
      <c r="L72" s="23" t="n"/>
      <c r="M72" s="23" t="n"/>
      <c r="N72" s="23" t="n"/>
      <c r="O72" s="20">
        <f>IF(OR(I72="",COUNT(J72:N72)=0),"",IF(SUM(J72:N72)=I72,"✓","⚠ "&amp;SUM(J72:N72)&amp;" statt "&amp;I72))</f>
        <v/>
      </c>
      <c r="P72" s="21" t="n"/>
      <c r="Q72" s="21" t="n"/>
      <c r="R72" s="21" t="n"/>
      <c r="S72" s="24" t="n"/>
      <c r="T72" s="24" t="n"/>
      <c r="V72">
        <f>IF(A72="","",MONTH(A72))</f>
        <v/>
      </c>
      <c r="W72">
        <f>N(W71)+IF(AND(C72&lt;&gt;"",T72&lt;&gt;""),IF(C72=WOCHE!$B$3,1,0),0)</f>
        <v/>
      </c>
      <c r="X72">
        <f>N(X71)+IF(AND(V72&lt;&gt;"",T72&lt;&gt;""),IF(V72=MONAT!$AZ$3,1,0),0)</f>
        <v/>
      </c>
    </row>
    <row r="73">
      <c r="A73" s="19" t="n"/>
      <c r="B73" s="20">
        <f>IF(A73="","",CHOOSE(WEEKDAY(A73,2),"Mo","Di","Mi","Do","Fr","Sa","So"))</f>
        <v/>
      </c>
      <c r="C73" s="20">
        <f>IF(A73="","",INT((A73-DATE(YEAR(A73-WEEKDAY(A73-1)+4),1,3)+WEEKDAY(DATE(YEAR(A73-WEEKDAY(A73-1)+4),1,3))+5)/7))</f>
        <v/>
      </c>
      <c r="D73" s="21" t="n"/>
      <c r="E73" s="22" t="n"/>
      <c r="F73" s="23" t="n"/>
      <c r="G73" s="23" t="n"/>
      <c r="H73" s="23" t="n"/>
      <c r="I73" s="20">
        <f>IF(COUNT(F73:H73)=0,"",SUM(F73:H73))</f>
        <v/>
      </c>
      <c r="J73" s="23" t="n"/>
      <c r="K73" s="23" t="n"/>
      <c r="L73" s="23" t="n"/>
      <c r="M73" s="23" t="n"/>
      <c r="N73" s="23" t="n"/>
      <c r="O73" s="20">
        <f>IF(OR(I73="",COUNT(J73:N73)=0),"",IF(SUM(J73:N73)=I73,"✓","⚠ "&amp;SUM(J73:N73)&amp;" statt "&amp;I73))</f>
        <v/>
      </c>
      <c r="P73" s="21" t="n"/>
      <c r="Q73" s="21" t="n"/>
      <c r="R73" s="21" t="n"/>
      <c r="S73" s="24" t="n"/>
      <c r="T73" s="24" t="n"/>
      <c r="V73">
        <f>IF(A73="","",MONTH(A73))</f>
        <v/>
      </c>
      <c r="W73">
        <f>N(W72)+IF(AND(C73&lt;&gt;"",T73&lt;&gt;""),IF(C73=WOCHE!$B$3,1,0),0)</f>
        <v/>
      </c>
      <c r="X73">
        <f>N(X72)+IF(AND(V73&lt;&gt;"",T73&lt;&gt;""),IF(V73=MONAT!$AZ$3,1,0),0)</f>
        <v/>
      </c>
    </row>
    <row r="74">
      <c r="A74" s="19" t="n"/>
      <c r="B74" s="20">
        <f>IF(A74="","",CHOOSE(WEEKDAY(A74,2),"Mo","Di","Mi","Do","Fr","Sa","So"))</f>
        <v/>
      </c>
      <c r="C74" s="20">
        <f>IF(A74="","",INT((A74-DATE(YEAR(A74-WEEKDAY(A74-1)+4),1,3)+WEEKDAY(DATE(YEAR(A74-WEEKDAY(A74-1)+4),1,3))+5)/7))</f>
        <v/>
      </c>
      <c r="D74" s="21" t="n"/>
      <c r="E74" s="22" t="n"/>
      <c r="F74" s="23" t="n"/>
      <c r="G74" s="23" t="n"/>
      <c r="H74" s="23" t="n"/>
      <c r="I74" s="20">
        <f>IF(COUNT(F74:H74)=0,"",SUM(F74:H74))</f>
        <v/>
      </c>
      <c r="J74" s="23" t="n"/>
      <c r="K74" s="23" t="n"/>
      <c r="L74" s="23" t="n"/>
      <c r="M74" s="23" t="n"/>
      <c r="N74" s="23" t="n"/>
      <c r="O74" s="20">
        <f>IF(OR(I74="",COUNT(J74:N74)=0),"",IF(SUM(J74:N74)=I74,"✓","⚠ "&amp;SUM(J74:N74)&amp;" statt "&amp;I74))</f>
        <v/>
      </c>
      <c r="P74" s="21" t="n"/>
      <c r="Q74" s="21" t="n"/>
      <c r="R74" s="21" t="n"/>
      <c r="S74" s="24" t="n"/>
      <c r="T74" s="24" t="n"/>
      <c r="V74">
        <f>IF(A74="","",MONTH(A74))</f>
        <v/>
      </c>
      <c r="W74">
        <f>N(W73)+IF(AND(C74&lt;&gt;"",T74&lt;&gt;""),IF(C74=WOCHE!$B$3,1,0),0)</f>
        <v/>
      </c>
      <c r="X74">
        <f>N(X73)+IF(AND(V74&lt;&gt;"",T74&lt;&gt;""),IF(V74=MONAT!$AZ$3,1,0),0)</f>
        <v/>
      </c>
    </row>
    <row r="75">
      <c r="A75" s="19" t="n"/>
      <c r="B75" s="20">
        <f>IF(A75="","",CHOOSE(WEEKDAY(A75,2),"Mo","Di","Mi","Do","Fr","Sa","So"))</f>
        <v/>
      </c>
      <c r="C75" s="20">
        <f>IF(A75="","",INT((A75-DATE(YEAR(A75-WEEKDAY(A75-1)+4),1,3)+WEEKDAY(DATE(YEAR(A75-WEEKDAY(A75-1)+4),1,3))+5)/7))</f>
        <v/>
      </c>
      <c r="D75" s="21" t="n"/>
      <c r="E75" s="22" t="n"/>
      <c r="F75" s="23" t="n"/>
      <c r="G75" s="23" t="n"/>
      <c r="H75" s="23" t="n"/>
      <c r="I75" s="20">
        <f>IF(COUNT(F75:H75)=0,"",SUM(F75:H75))</f>
        <v/>
      </c>
      <c r="J75" s="23" t="n"/>
      <c r="K75" s="23" t="n"/>
      <c r="L75" s="23" t="n"/>
      <c r="M75" s="23" t="n"/>
      <c r="N75" s="23" t="n"/>
      <c r="O75" s="20">
        <f>IF(OR(I75="",COUNT(J75:N75)=0),"",IF(SUM(J75:N75)=I75,"✓","⚠ "&amp;SUM(J75:N75)&amp;" statt "&amp;I75))</f>
        <v/>
      </c>
      <c r="P75" s="21" t="n"/>
      <c r="Q75" s="21" t="n"/>
      <c r="R75" s="21" t="n"/>
      <c r="S75" s="24" t="n"/>
      <c r="T75" s="24" t="n"/>
      <c r="V75">
        <f>IF(A75="","",MONTH(A75))</f>
        <v/>
      </c>
      <c r="W75">
        <f>N(W74)+IF(AND(C75&lt;&gt;"",T75&lt;&gt;""),IF(C75=WOCHE!$B$3,1,0),0)</f>
        <v/>
      </c>
      <c r="X75">
        <f>N(X74)+IF(AND(V75&lt;&gt;"",T75&lt;&gt;""),IF(V75=MONAT!$AZ$3,1,0),0)</f>
        <v/>
      </c>
    </row>
    <row r="76">
      <c r="A76" s="19" t="n"/>
      <c r="B76" s="20">
        <f>IF(A76="","",CHOOSE(WEEKDAY(A76,2),"Mo","Di","Mi","Do","Fr","Sa","So"))</f>
        <v/>
      </c>
      <c r="C76" s="20">
        <f>IF(A76="","",INT((A76-DATE(YEAR(A76-WEEKDAY(A76-1)+4),1,3)+WEEKDAY(DATE(YEAR(A76-WEEKDAY(A76-1)+4),1,3))+5)/7))</f>
        <v/>
      </c>
      <c r="D76" s="21" t="n"/>
      <c r="E76" s="22" t="n"/>
      <c r="F76" s="23" t="n"/>
      <c r="G76" s="23" t="n"/>
      <c r="H76" s="23" t="n"/>
      <c r="I76" s="20">
        <f>IF(COUNT(F76:H76)=0,"",SUM(F76:H76))</f>
        <v/>
      </c>
      <c r="J76" s="23" t="n"/>
      <c r="K76" s="23" t="n"/>
      <c r="L76" s="23" t="n"/>
      <c r="M76" s="23" t="n"/>
      <c r="N76" s="23" t="n"/>
      <c r="O76" s="20">
        <f>IF(OR(I76="",COUNT(J76:N76)=0),"",IF(SUM(J76:N76)=I76,"✓","⚠ "&amp;SUM(J76:N76)&amp;" statt "&amp;I76))</f>
        <v/>
      </c>
      <c r="P76" s="21" t="n"/>
      <c r="Q76" s="21" t="n"/>
      <c r="R76" s="21" t="n"/>
      <c r="S76" s="24" t="n"/>
      <c r="T76" s="24" t="n"/>
      <c r="V76">
        <f>IF(A76="","",MONTH(A76))</f>
        <v/>
      </c>
      <c r="W76">
        <f>N(W75)+IF(AND(C76&lt;&gt;"",T76&lt;&gt;""),IF(C76=WOCHE!$B$3,1,0),0)</f>
        <v/>
      </c>
      <c r="X76">
        <f>N(X75)+IF(AND(V76&lt;&gt;"",T76&lt;&gt;""),IF(V76=MONAT!$AZ$3,1,0),0)</f>
        <v/>
      </c>
    </row>
    <row r="77">
      <c r="A77" s="19" t="n"/>
      <c r="B77" s="20">
        <f>IF(A77="","",CHOOSE(WEEKDAY(A77,2),"Mo","Di","Mi","Do","Fr","Sa","So"))</f>
        <v/>
      </c>
      <c r="C77" s="20">
        <f>IF(A77="","",INT((A77-DATE(YEAR(A77-WEEKDAY(A77-1)+4),1,3)+WEEKDAY(DATE(YEAR(A77-WEEKDAY(A77-1)+4),1,3))+5)/7))</f>
        <v/>
      </c>
      <c r="D77" s="21" t="n"/>
      <c r="E77" s="22" t="n"/>
      <c r="F77" s="23" t="n"/>
      <c r="G77" s="23" t="n"/>
      <c r="H77" s="23" t="n"/>
      <c r="I77" s="20">
        <f>IF(COUNT(F77:H77)=0,"",SUM(F77:H77))</f>
        <v/>
      </c>
      <c r="J77" s="23" t="n"/>
      <c r="K77" s="23" t="n"/>
      <c r="L77" s="23" t="n"/>
      <c r="M77" s="23" t="n"/>
      <c r="N77" s="23" t="n"/>
      <c r="O77" s="20">
        <f>IF(OR(I77="",COUNT(J77:N77)=0),"",IF(SUM(J77:N77)=I77,"✓","⚠ "&amp;SUM(J77:N77)&amp;" statt "&amp;I77))</f>
        <v/>
      </c>
      <c r="P77" s="21" t="n"/>
      <c r="Q77" s="21" t="n"/>
      <c r="R77" s="21" t="n"/>
      <c r="S77" s="24" t="n"/>
      <c r="T77" s="24" t="n"/>
      <c r="V77">
        <f>IF(A77="","",MONTH(A77))</f>
        <v/>
      </c>
      <c r="W77">
        <f>N(W76)+IF(AND(C77&lt;&gt;"",T77&lt;&gt;""),IF(C77=WOCHE!$B$3,1,0),0)</f>
        <v/>
      </c>
      <c r="X77">
        <f>N(X76)+IF(AND(V77&lt;&gt;"",T77&lt;&gt;""),IF(V77=MONAT!$AZ$3,1,0),0)</f>
        <v/>
      </c>
    </row>
    <row r="78">
      <c r="A78" s="19" t="n"/>
      <c r="B78" s="20">
        <f>IF(A78="","",CHOOSE(WEEKDAY(A78,2),"Mo","Di","Mi","Do","Fr","Sa","So"))</f>
        <v/>
      </c>
      <c r="C78" s="20">
        <f>IF(A78="","",INT((A78-DATE(YEAR(A78-WEEKDAY(A78-1)+4),1,3)+WEEKDAY(DATE(YEAR(A78-WEEKDAY(A78-1)+4),1,3))+5)/7))</f>
        <v/>
      </c>
      <c r="D78" s="21" t="n"/>
      <c r="E78" s="22" t="n"/>
      <c r="F78" s="23" t="n"/>
      <c r="G78" s="23" t="n"/>
      <c r="H78" s="23" t="n"/>
      <c r="I78" s="20">
        <f>IF(COUNT(F78:H78)=0,"",SUM(F78:H78))</f>
        <v/>
      </c>
      <c r="J78" s="23" t="n"/>
      <c r="K78" s="23" t="n"/>
      <c r="L78" s="23" t="n"/>
      <c r="M78" s="23" t="n"/>
      <c r="N78" s="23" t="n"/>
      <c r="O78" s="20">
        <f>IF(OR(I78="",COUNT(J78:N78)=0),"",IF(SUM(J78:N78)=I78,"✓","⚠ "&amp;SUM(J78:N78)&amp;" statt "&amp;I78))</f>
        <v/>
      </c>
      <c r="P78" s="21" t="n"/>
      <c r="Q78" s="21" t="n"/>
      <c r="R78" s="21" t="n"/>
      <c r="S78" s="24" t="n"/>
      <c r="T78" s="24" t="n"/>
      <c r="V78">
        <f>IF(A78="","",MONTH(A78))</f>
        <v/>
      </c>
      <c r="W78">
        <f>N(W77)+IF(AND(C78&lt;&gt;"",T78&lt;&gt;""),IF(C78=WOCHE!$B$3,1,0),0)</f>
        <v/>
      </c>
      <c r="X78">
        <f>N(X77)+IF(AND(V78&lt;&gt;"",T78&lt;&gt;""),IF(V78=MONAT!$AZ$3,1,0),0)</f>
        <v/>
      </c>
    </row>
    <row r="79">
      <c r="A79" s="19" t="n"/>
      <c r="B79" s="20">
        <f>IF(A79="","",CHOOSE(WEEKDAY(A79,2),"Mo","Di","Mi","Do","Fr","Sa","So"))</f>
        <v/>
      </c>
      <c r="C79" s="20">
        <f>IF(A79="","",INT((A79-DATE(YEAR(A79-WEEKDAY(A79-1)+4),1,3)+WEEKDAY(DATE(YEAR(A79-WEEKDAY(A79-1)+4),1,3))+5)/7))</f>
        <v/>
      </c>
      <c r="D79" s="21" t="n"/>
      <c r="E79" s="22" t="n"/>
      <c r="F79" s="23" t="n"/>
      <c r="G79" s="23" t="n"/>
      <c r="H79" s="23" t="n"/>
      <c r="I79" s="20">
        <f>IF(COUNT(F79:H79)=0,"",SUM(F79:H79))</f>
        <v/>
      </c>
      <c r="J79" s="23" t="n"/>
      <c r="K79" s="23" t="n"/>
      <c r="L79" s="23" t="n"/>
      <c r="M79" s="23" t="n"/>
      <c r="N79" s="23" t="n"/>
      <c r="O79" s="20">
        <f>IF(OR(I79="",COUNT(J79:N79)=0),"",IF(SUM(J79:N79)=I79,"✓","⚠ "&amp;SUM(J79:N79)&amp;" statt "&amp;I79))</f>
        <v/>
      </c>
      <c r="P79" s="21" t="n"/>
      <c r="Q79" s="21" t="n"/>
      <c r="R79" s="21" t="n"/>
      <c r="S79" s="24" t="n"/>
      <c r="T79" s="24" t="n"/>
      <c r="V79">
        <f>IF(A79="","",MONTH(A79))</f>
        <v/>
      </c>
      <c r="W79">
        <f>N(W78)+IF(AND(C79&lt;&gt;"",T79&lt;&gt;""),IF(C79=WOCHE!$B$3,1,0),0)</f>
        <v/>
      </c>
      <c r="X79">
        <f>N(X78)+IF(AND(V79&lt;&gt;"",T79&lt;&gt;""),IF(V79=MONAT!$AZ$3,1,0),0)</f>
        <v/>
      </c>
    </row>
    <row r="80">
      <c r="A80" s="19" t="n"/>
      <c r="B80" s="20">
        <f>IF(A80="","",CHOOSE(WEEKDAY(A80,2),"Mo","Di","Mi","Do","Fr","Sa","So"))</f>
        <v/>
      </c>
      <c r="C80" s="20">
        <f>IF(A80="","",INT((A80-DATE(YEAR(A80-WEEKDAY(A80-1)+4),1,3)+WEEKDAY(DATE(YEAR(A80-WEEKDAY(A80-1)+4),1,3))+5)/7))</f>
        <v/>
      </c>
      <c r="D80" s="21" t="n"/>
      <c r="E80" s="22" t="n"/>
      <c r="F80" s="23" t="n"/>
      <c r="G80" s="23" t="n"/>
      <c r="H80" s="23" t="n"/>
      <c r="I80" s="20">
        <f>IF(COUNT(F80:H80)=0,"",SUM(F80:H80))</f>
        <v/>
      </c>
      <c r="J80" s="23" t="n"/>
      <c r="K80" s="23" t="n"/>
      <c r="L80" s="23" t="n"/>
      <c r="M80" s="23" t="n"/>
      <c r="N80" s="23" t="n"/>
      <c r="O80" s="20">
        <f>IF(OR(I80="",COUNT(J80:N80)=0),"",IF(SUM(J80:N80)=I80,"✓","⚠ "&amp;SUM(J80:N80)&amp;" statt "&amp;I80))</f>
        <v/>
      </c>
      <c r="P80" s="21" t="n"/>
      <c r="Q80" s="21" t="n"/>
      <c r="R80" s="21" t="n"/>
      <c r="S80" s="24" t="n"/>
      <c r="T80" s="24" t="n"/>
      <c r="V80">
        <f>IF(A80="","",MONTH(A80))</f>
        <v/>
      </c>
      <c r="W80">
        <f>N(W79)+IF(AND(C80&lt;&gt;"",T80&lt;&gt;""),IF(C80=WOCHE!$B$3,1,0),0)</f>
        <v/>
      </c>
      <c r="X80">
        <f>N(X79)+IF(AND(V80&lt;&gt;"",T80&lt;&gt;""),IF(V80=MONAT!$AZ$3,1,0),0)</f>
        <v/>
      </c>
    </row>
    <row r="81">
      <c r="A81" s="19" t="n"/>
      <c r="B81" s="20">
        <f>IF(A81="","",CHOOSE(WEEKDAY(A81,2),"Mo","Di","Mi","Do","Fr","Sa","So"))</f>
        <v/>
      </c>
      <c r="C81" s="20">
        <f>IF(A81="","",INT((A81-DATE(YEAR(A81-WEEKDAY(A81-1)+4),1,3)+WEEKDAY(DATE(YEAR(A81-WEEKDAY(A81-1)+4),1,3))+5)/7))</f>
        <v/>
      </c>
      <c r="D81" s="21" t="n"/>
      <c r="E81" s="22" t="n"/>
      <c r="F81" s="23" t="n"/>
      <c r="G81" s="23" t="n"/>
      <c r="H81" s="23" t="n"/>
      <c r="I81" s="20">
        <f>IF(COUNT(F81:H81)=0,"",SUM(F81:H81))</f>
        <v/>
      </c>
      <c r="J81" s="23" t="n"/>
      <c r="K81" s="23" t="n"/>
      <c r="L81" s="23" t="n"/>
      <c r="M81" s="23" t="n"/>
      <c r="N81" s="23" t="n"/>
      <c r="O81" s="20">
        <f>IF(OR(I81="",COUNT(J81:N81)=0),"",IF(SUM(J81:N81)=I81,"✓","⚠ "&amp;SUM(J81:N81)&amp;" statt "&amp;I81))</f>
        <v/>
      </c>
      <c r="P81" s="21" t="n"/>
      <c r="Q81" s="21" t="n"/>
      <c r="R81" s="21" t="n"/>
      <c r="S81" s="24" t="n"/>
      <c r="T81" s="24" t="n"/>
      <c r="V81">
        <f>IF(A81="","",MONTH(A81))</f>
        <v/>
      </c>
      <c r="W81">
        <f>N(W80)+IF(AND(C81&lt;&gt;"",T81&lt;&gt;""),IF(C81=WOCHE!$B$3,1,0),0)</f>
        <v/>
      </c>
      <c r="X81">
        <f>N(X80)+IF(AND(V81&lt;&gt;"",T81&lt;&gt;""),IF(V81=MONAT!$AZ$3,1,0),0)</f>
        <v/>
      </c>
    </row>
    <row r="82">
      <c r="A82" s="19" t="n"/>
      <c r="B82" s="20">
        <f>IF(A82="","",CHOOSE(WEEKDAY(A82,2),"Mo","Di","Mi","Do","Fr","Sa","So"))</f>
        <v/>
      </c>
      <c r="C82" s="20">
        <f>IF(A82="","",INT((A82-DATE(YEAR(A82-WEEKDAY(A82-1)+4),1,3)+WEEKDAY(DATE(YEAR(A82-WEEKDAY(A82-1)+4),1,3))+5)/7))</f>
        <v/>
      </c>
      <c r="D82" s="21" t="n"/>
      <c r="E82" s="22" t="n"/>
      <c r="F82" s="23" t="n"/>
      <c r="G82" s="23" t="n"/>
      <c r="H82" s="23" t="n"/>
      <c r="I82" s="20">
        <f>IF(COUNT(F82:H82)=0,"",SUM(F82:H82))</f>
        <v/>
      </c>
      <c r="J82" s="23" t="n"/>
      <c r="K82" s="23" t="n"/>
      <c r="L82" s="23" t="n"/>
      <c r="M82" s="23" t="n"/>
      <c r="N82" s="23" t="n"/>
      <c r="O82" s="20">
        <f>IF(OR(I82="",COUNT(J82:N82)=0),"",IF(SUM(J82:N82)=I82,"✓","⚠ "&amp;SUM(J82:N82)&amp;" statt "&amp;I82))</f>
        <v/>
      </c>
      <c r="P82" s="21" t="n"/>
      <c r="Q82" s="21" t="n"/>
      <c r="R82" s="21" t="n"/>
      <c r="S82" s="24" t="n"/>
      <c r="T82" s="24" t="n"/>
      <c r="V82">
        <f>IF(A82="","",MONTH(A82))</f>
        <v/>
      </c>
      <c r="W82">
        <f>N(W81)+IF(AND(C82&lt;&gt;"",T82&lt;&gt;""),IF(C82=WOCHE!$B$3,1,0),0)</f>
        <v/>
      </c>
      <c r="X82">
        <f>N(X81)+IF(AND(V82&lt;&gt;"",T82&lt;&gt;""),IF(V82=MONAT!$AZ$3,1,0),0)</f>
        <v/>
      </c>
    </row>
    <row r="83">
      <c r="A83" s="19" t="n"/>
      <c r="B83" s="20">
        <f>IF(A83="","",CHOOSE(WEEKDAY(A83,2),"Mo","Di","Mi","Do","Fr","Sa","So"))</f>
        <v/>
      </c>
      <c r="C83" s="20">
        <f>IF(A83="","",INT((A83-DATE(YEAR(A83-WEEKDAY(A83-1)+4),1,3)+WEEKDAY(DATE(YEAR(A83-WEEKDAY(A83-1)+4),1,3))+5)/7))</f>
        <v/>
      </c>
      <c r="D83" s="21" t="n"/>
      <c r="E83" s="22" t="n"/>
      <c r="F83" s="23" t="n"/>
      <c r="G83" s="23" t="n"/>
      <c r="H83" s="23" t="n"/>
      <c r="I83" s="20">
        <f>IF(COUNT(F83:H83)=0,"",SUM(F83:H83))</f>
        <v/>
      </c>
      <c r="J83" s="23" t="n"/>
      <c r="K83" s="23" t="n"/>
      <c r="L83" s="23" t="n"/>
      <c r="M83" s="23" t="n"/>
      <c r="N83" s="23" t="n"/>
      <c r="O83" s="20">
        <f>IF(OR(I83="",COUNT(J83:N83)=0),"",IF(SUM(J83:N83)=I83,"✓","⚠ "&amp;SUM(J83:N83)&amp;" statt "&amp;I83))</f>
        <v/>
      </c>
      <c r="P83" s="21" t="n"/>
      <c r="Q83" s="21" t="n"/>
      <c r="R83" s="21" t="n"/>
      <c r="S83" s="24" t="n"/>
      <c r="T83" s="24" t="n"/>
      <c r="V83">
        <f>IF(A83="","",MONTH(A83))</f>
        <v/>
      </c>
      <c r="W83">
        <f>N(W82)+IF(AND(C83&lt;&gt;"",T83&lt;&gt;""),IF(C83=WOCHE!$B$3,1,0),0)</f>
        <v/>
      </c>
      <c r="X83">
        <f>N(X82)+IF(AND(V83&lt;&gt;"",T83&lt;&gt;""),IF(V83=MONAT!$AZ$3,1,0),0)</f>
        <v/>
      </c>
    </row>
    <row r="84">
      <c r="A84" s="19" t="n"/>
      <c r="B84" s="20">
        <f>IF(A84="","",CHOOSE(WEEKDAY(A84,2),"Mo","Di","Mi","Do","Fr","Sa","So"))</f>
        <v/>
      </c>
      <c r="C84" s="20">
        <f>IF(A84="","",INT((A84-DATE(YEAR(A84-WEEKDAY(A84-1)+4),1,3)+WEEKDAY(DATE(YEAR(A84-WEEKDAY(A84-1)+4),1,3))+5)/7))</f>
        <v/>
      </c>
      <c r="D84" s="21" t="n"/>
      <c r="E84" s="22" t="n"/>
      <c r="F84" s="23" t="n"/>
      <c r="G84" s="23" t="n"/>
      <c r="H84" s="23" t="n"/>
      <c r="I84" s="20">
        <f>IF(COUNT(F84:H84)=0,"",SUM(F84:H84))</f>
        <v/>
      </c>
      <c r="J84" s="23" t="n"/>
      <c r="K84" s="23" t="n"/>
      <c r="L84" s="23" t="n"/>
      <c r="M84" s="23" t="n"/>
      <c r="N84" s="23" t="n"/>
      <c r="O84" s="20">
        <f>IF(OR(I84="",COUNT(J84:N84)=0),"",IF(SUM(J84:N84)=I84,"✓","⚠ "&amp;SUM(J84:N84)&amp;" statt "&amp;I84))</f>
        <v/>
      </c>
      <c r="P84" s="21" t="n"/>
      <c r="Q84" s="21" t="n"/>
      <c r="R84" s="21" t="n"/>
      <c r="S84" s="24" t="n"/>
      <c r="T84" s="24" t="n"/>
      <c r="V84">
        <f>IF(A84="","",MONTH(A84))</f>
        <v/>
      </c>
      <c r="W84">
        <f>N(W83)+IF(AND(C84&lt;&gt;"",T84&lt;&gt;""),IF(C84=WOCHE!$B$3,1,0),0)</f>
        <v/>
      </c>
      <c r="X84">
        <f>N(X83)+IF(AND(V84&lt;&gt;"",T84&lt;&gt;""),IF(V84=MONAT!$AZ$3,1,0),0)</f>
        <v/>
      </c>
    </row>
    <row r="85">
      <c r="A85" s="19" t="n"/>
      <c r="B85" s="20">
        <f>IF(A85="","",CHOOSE(WEEKDAY(A85,2),"Mo","Di","Mi","Do","Fr","Sa","So"))</f>
        <v/>
      </c>
      <c r="C85" s="20">
        <f>IF(A85="","",INT((A85-DATE(YEAR(A85-WEEKDAY(A85-1)+4),1,3)+WEEKDAY(DATE(YEAR(A85-WEEKDAY(A85-1)+4),1,3))+5)/7))</f>
        <v/>
      </c>
      <c r="D85" s="21" t="n"/>
      <c r="E85" s="22" t="n"/>
      <c r="F85" s="23" t="n"/>
      <c r="G85" s="23" t="n"/>
      <c r="H85" s="23" t="n"/>
      <c r="I85" s="20">
        <f>IF(COUNT(F85:H85)=0,"",SUM(F85:H85))</f>
        <v/>
      </c>
      <c r="J85" s="23" t="n"/>
      <c r="K85" s="23" t="n"/>
      <c r="L85" s="23" t="n"/>
      <c r="M85" s="23" t="n"/>
      <c r="N85" s="23" t="n"/>
      <c r="O85" s="20">
        <f>IF(OR(I85="",COUNT(J85:N85)=0),"",IF(SUM(J85:N85)=I85,"✓","⚠ "&amp;SUM(J85:N85)&amp;" statt "&amp;I85))</f>
        <v/>
      </c>
      <c r="P85" s="21" t="n"/>
      <c r="Q85" s="21" t="n"/>
      <c r="R85" s="21" t="n"/>
      <c r="S85" s="24" t="n"/>
      <c r="T85" s="24" t="n"/>
      <c r="V85">
        <f>IF(A85="","",MONTH(A85))</f>
        <v/>
      </c>
      <c r="W85">
        <f>N(W84)+IF(AND(C85&lt;&gt;"",T85&lt;&gt;""),IF(C85=WOCHE!$B$3,1,0),0)</f>
        <v/>
      </c>
      <c r="X85">
        <f>N(X84)+IF(AND(V85&lt;&gt;"",T85&lt;&gt;""),IF(V85=MONAT!$AZ$3,1,0),0)</f>
        <v/>
      </c>
    </row>
    <row r="86">
      <c r="A86" s="19" t="n"/>
      <c r="B86" s="20">
        <f>IF(A86="","",CHOOSE(WEEKDAY(A86,2),"Mo","Di","Mi","Do","Fr","Sa","So"))</f>
        <v/>
      </c>
      <c r="C86" s="20">
        <f>IF(A86="","",INT((A86-DATE(YEAR(A86-WEEKDAY(A86-1)+4),1,3)+WEEKDAY(DATE(YEAR(A86-WEEKDAY(A86-1)+4),1,3))+5)/7))</f>
        <v/>
      </c>
      <c r="D86" s="21" t="n"/>
      <c r="E86" s="22" t="n"/>
      <c r="F86" s="23" t="n"/>
      <c r="G86" s="23" t="n"/>
      <c r="H86" s="23" t="n"/>
      <c r="I86" s="20">
        <f>IF(COUNT(F86:H86)=0,"",SUM(F86:H86))</f>
        <v/>
      </c>
      <c r="J86" s="23" t="n"/>
      <c r="K86" s="23" t="n"/>
      <c r="L86" s="23" t="n"/>
      <c r="M86" s="23" t="n"/>
      <c r="N86" s="23" t="n"/>
      <c r="O86" s="20">
        <f>IF(OR(I86="",COUNT(J86:N86)=0),"",IF(SUM(J86:N86)=I86,"✓","⚠ "&amp;SUM(J86:N86)&amp;" statt "&amp;I86))</f>
        <v/>
      </c>
      <c r="P86" s="21" t="n"/>
      <c r="Q86" s="21" t="n"/>
      <c r="R86" s="21" t="n"/>
      <c r="S86" s="24" t="n"/>
      <c r="T86" s="24" t="n"/>
      <c r="V86">
        <f>IF(A86="","",MONTH(A86))</f>
        <v/>
      </c>
      <c r="W86">
        <f>N(W85)+IF(AND(C86&lt;&gt;"",T86&lt;&gt;""),IF(C86=WOCHE!$B$3,1,0),0)</f>
        <v/>
      </c>
      <c r="X86">
        <f>N(X85)+IF(AND(V86&lt;&gt;"",T86&lt;&gt;""),IF(V86=MONAT!$AZ$3,1,0),0)</f>
        <v/>
      </c>
    </row>
    <row r="87">
      <c r="A87" s="19" t="n"/>
      <c r="B87" s="20">
        <f>IF(A87="","",CHOOSE(WEEKDAY(A87,2),"Mo","Di","Mi","Do","Fr","Sa","So"))</f>
        <v/>
      </c>
      <c r="C87" s="20">
        <f>IF(A87="","",INT((A87-DATE(YEAR(A87-WEEKDAY(A87-1)+4),1,3)+WEEKDAY(DATE(YEAR(A87-WEEKDAY(A87-1)+4),1,3))+5)/7))</f>
        <v/>
      </c>
      <c r="D87" s="21" t="n"/>
      <c r="E87" s="22" t="n"/>
      <c r="F87" s="23" t="n"/>
      <c r="G87" s="23" t="n"/>
      <c r="H87" s="23" t="n"/>
      <c r="I87" s="20">
        <f>IF(COUNT(F87:H87)=0,"",SUM(F87:H87))</f>
        <v/>
      </c>
      <c r="J87" s="23" t="n"/>
      <c r="K87" s="23" t="n"/>
      <c r="L87" s="23" t="n"/>
      <c r="M87" s="23" t="n"/>
      <c r="N87" s="23" t="n"/>
      <c r="O87" s="20">
        <f>IF(OR(I87="",COUNT(J87:N87)=0),"",IF(SUM(J87:N87)=I87,"✓","⚠ "&amp;SUM(J87:N87)&amp;" statt "&amp;I87))</f>
        <v/>
      </c>
      <c r="P87" s="21" t="n"/>
      <c r="Q87" s="21" t="n"/>
      <c r="R87" s="21" t="n"/>
      <c r="S87" s="24" t="n"/>
      <c r="T87" s="24" t="n"/>
      <c r="V87">
        <f>IF(A87="","",MONTH(A87))</f>
        <v/>
      </c>
      <c r="W87">
        <f>N(W86)+IF(AND(C87&lt;&gt;"",T87&lt;&gt;""),IF(C87=WOCHE!$B$3,1,0),0)</f>
        <v/>
      </c>
      <c r="X87">
        <f>N(X86)+IF(AND(V87&lt;&gt;"",T87&lt;&gt;""),IF(V87=MONAT!$AZ$3,1,0),0)</f>
        <v/>
      </c>
    </row>
    <row r="88">
      <c r="A88" s="19" t="n"/>
      <c r="B88" s="20">
        <f>IF(A88="","",CHOOSE(WEEKDAY(A88,2),"Mo","Di","Mi","Do","Fr","Sa","So"))</f>
        <v/>
      </c>
      <c r="C88" s="20">
        <f>IF(A88="","",INT((A88-DATE(YEAR(A88-WEEKDAY(A88-1)+4),1,3)+WEEKDAY(DATE(YEAR(A88-WEEKDAY(A88-1)+4),1,3))+5)/7))</f>
        <v/>
      </c>
      <c r="D88" s="21" t="n"/>
      <c r="E88" s="22" t="n"/>
      <c r="F88" s="23" t="n"/>
      <c r="G88" s="23" t="n"/>
      <c r="H88" s="23" t="n"/>
      <c r="I88" s="20">
        <f>IF(COUNT(F88:H88)=0,"",SUM(F88:H88))</f>
        <v/>
      </c>
      <c r="J88" s="23" t="n"/>
      <c r="K88" s="23" t="n"/>
      <c r="L88" s="23" t="n"/>
      <c r="M88" s="23" t="n"/>
      <c r="N88" s="23" t="n"/>
      <c r="O88" s="20">
        <f>IF(OR(I88="",COUNT(J88:N88)=0),"",IF(SUM(J88:N88)=I88,"✓","⚠ "&amp;SUM(J88:N88)&amp;" statt "&amp;I88))</f>
        <v/>
      </c>
      <c r="P88" s="21" t="n"/>
      <c r="Q88" s="21" t="n"/>
      <c r="R88" s="21" t="n"/>
      <c r="S88" s="24" t="n"/>
      <c r="T88" s="24" t="n"/>
      <c r="V88">
        <f>IF(A88="","",MONTH(A88))</f>
        <v/>
      </c>
      <c r="W88">
        <f>N(W87)+IF(AND(C88&lt;&gt;"",T88&lt;&gt;""),IF(C88=WOCHE!$B$3,1,0),0)</f>
        <v/>
      </c>
      <c r="X88">
        <f>N(X87)+IF(AND(V88&lt;&gt;"",T88&lt;&gt;""),IF(V88=MONAT!$AZ$3,1,0),0)</f>
        <v/>
      </c>
    </row>
    <row r="89">
      <c r="A89" s="19" t="n"/>
      <c r="B89" s="20">
        <f>IF(A89="","",CHOOSE(WEEKDAY(A89,2),"Mo","Di","Mi","Do","Fr","Sa","So"))</f>
        <v/>
      </c>
      <c r="C89" s="20">
        <f>IF(A89="","",INT((A89-DATE(YEAR(A89-WEEKDAY(A89-1)+4),1,3)+WEEKDAY(DATE(YEAR(A89-WEEKDAY(A89-1)+4),1,3))+5)/7))</f>
        <v/>
      </c>
      <c r="D89" s="21" t="n"/>
      <c r="E89" s="22" t="n"/>
      <c r="F89" s="23" t="n"/>
      <c r="G89" s="23" t="n"/>
      <c r="H89" s="23" t="n"/>
      <c r="I89" s="20">
        <f>IF(COUNT(F89:H89)=0,"",SUM(F89:H89))</f>
        <v/>
      </c>
      <c r="J89" s="23" t="n"/>
      <c r="K89" s="23" t="n"/>
      <c r="L89" s="23" t="n"/>
      <c r="M89" s="23" t="n"/>
      <c r="N89" s="23" t="n"/>
      <c r="O89" s="20">
        <f>IF(OR(I89="",COUNT(J89:N89)=0),"",IF(SUM(J89:N89)=I89,"✓","⚠ "&amp;SUM(J89:N89)&amp;" statt "&amp;I89))</f>
        <v/>
      </c>
      <c r="P89" s="21" t="n"/>
      <c r="Q89" s="21" t="n"/>
      <c r="R89" s="21" t="n"/>
      <c r="S89" s="24" t="n"/>
      <c r="T89" s="24" t="n"/>
      <c r="V89">
        <f>IF(A89="","",MONTH(A89))</f>
        <v/>
      </c>
      <c r="W89">
        <f>N(W88)+IF(AND(C89&lt;&gt;"",T89&lt;&gt;""),IF(C89=WOCHE!$B$3,1,0),0)</f>
        <v/>
      </c>
      <c r="X89">
        <f>N(X88)+IF(AND(V89&lt;&gt;"",T89&lt;&gt;""),IF(V89=MONAT!$AZ$3,1,0),0)</f>
        <v/>
      </c>
    </row>
    <row r="90">
      <c r="A90" s="19" t="n"/>
      <c r="B90" s="20">
        <f>IF(A90="","",CHOOSE(WEEKDAY(A90,2),"Mo","Di","Mi","Do","Fr","Sa","So"))</f>
        <v/>
      </c>
      <c r="C90" s="20">
        <f>IF(A90="","",INT((A90-DATE(YEAR(A90-WEEKDAY(A90-1)+4),1,3)+WEEKDAY(DATE(YEAR(A90-WEEKDAY(A90-1)+4),1,3))+5)/7))</f>
        <v/>
      </c>
      <c r="D90" s="21" t="n"/>
      <c r="E90" s="22" t="n"/>
      <c r="F90" s="23" t="n"/>
      <c r="G90" s="23" t="n"/>
      <c r="H90" s="23" t="n"/>
      <c r="I90" s="20">
        <f>IF(COUNT(F90:H90)=0,"",SUM(F90:H90))</f>
        <v/>
      </c>
      <c r="J90" s="23" t="n"/>
      <c r="K90" s="23" t="n"/>
      <c r="L90" s="23" t="n"/>
      <c r="M90" s="23" t="n"/>
      <c r="N90" s="23" t="n"/>
      <c r="O90" s="20">
        <f>IF(OR(I90="",COUNT(J90:N90)=0),"",IF(SUM(J90:N90)=I90,"✓","⚠ "&amp;SUM(J90:N90)&amp;" statt "&amp;I90))</f>
        <v/>
      </c>
      <c r="P90" s="21" t="n"/>
      <c r="Q90" s="21" t="n"/>
      <c r="R90" s="21" t="n"/>
      <c r="S90" s="24" t="n"/>
      <c r="T90" s="24" t="n"/>
      <c r="V90">
        <f>IF(A90="","",MONTH(A90))</f>
        <v/>
      </c>
      <c r="W90">
        <f>N(W89)+IF(AND(C90&lt;&gt;"",T90&lt;&gt;""),IF(C90=WOCHE!$B$3,1,0),0)</f>
        <v/>
      </c>
      <c r="X90">
        <f>N(X89)+IF(AND(V90&lt;&gt;"",T90&lt;&gt;""),IF(V90=MONAT!$AZ$3,1,0),0)</f>
        <v/>
      </c>
    </row>
    <row r="91">
      <c r="A91" s="19" t="n"/>
      <c r="B91" s="20">
        <f>IF(A91="","",CHOOSE(WEEKDAY(A91,2),"Mo","Di","Mi","Do","Fr","Sa","So"))</f>
        <v/>
      </c>
      <c r="C91" s="20">
        <f>IF(A91="","",INT((A91-DATE(YEAR(A91-WEEKDAY(A91-1)+4),1,3)+WEEKDAY(DATE(YEAR(A91-WEEKDAY(A91-1)+4),1,3))+5)/7))</f>
        <v/>
      </c>
      <c r="D91" s="21" t="n"/>
      <c r="E91" s="22" t="n"/>
      <c r="F91" s="23" t="n"/>
      <c r="G91" s="23" t="n"/>
      <c r="H91" s="23" t="n"/>
      <c r="I91" s="20">
        <f>IF(COUNT(F91:H91)=0,"",SUM(F91:H91))</f>
        <v/>
      </c>
      <c r="J91" s="23" t="n"/>
      <c r="K91" s="23" t="n"/>
      <c r="L91" s="23" t="n"/>
      <c r="M91" s="23" t="n"/>
      <c r="N91" s="23" t="n"/>
      <c r="O91" s="20">
        <f>IF(OR(I91="",COUNT(J91:N91)=0),"",IF(SUM(J91:N91)=I91,"✓","⚠ "&amp;SUM(J91:N91)&amp;" statt "&amp;I91))</f>
        <v/>
      </c>
      <c r="P91" s="21" t="n"/>
      <c r="Q91" s="21" t="n"/>
      <c r="R91" s="21" t="n"/>
      <c r="S91" s="24" t="n"/>
      <c r="T91" s="24" t="n"/>
      <c r="V91">
        <f>IF(A91="","",MONTH(A91))</f>
        <v/>
      </c>
      <c r="W91">
        <f>N(W90)+IF(AND(C91&lt;&gt;"",T91&lt;&gt;""),IF(C91=WOCHE!$B$3,1,0),0)</f>
        <v/>
      </c>
      <c r="X91">
        <f>N(X90)+IF(AND(V91&lt;&gt;"",T91&lt;&gt;""),IF(V91=MONAT!$AZ$3,1,0),0)</f>
        <v/>
      </c>
    </row>
    <row r="92">
      <c r="A92" s="19" t="n"/>
      <c r="B92" s="20">
        <f>IF(A92="","",CHOOSE(WEEKDAY(A92,2),"Mo","Di","Mi","Do","Fr","Sa","So"))</f>
        <v/>
      </c>
      <c r="C92" s="20">
        <f>IF(A92="","",INT((A92-DATE(YEAR(A92-WEEKDAY(A92-1)+4),1,3)+WEEKDAY(DATE(YEAR(A92-WEEKDAY(A92-1)+4),1,3))+5)/7))</f>
        <v/>
      </c>
      <c r="D92" s="21" t="n"/>
      <c r="E92" s="22" t="n"/>
      <c r="F92" s="23" t="n"/>
      <c r="G92" s="23" t="n"/>
      <c r="H92" s="23" t="n"/>
      <c r="I92" s="20">
        <f>IF(COUNT(F92:H92)=0,"",SUM(F92:H92))</f>
        <v/>
      </c>
      <c r="J92" s="23" t="n"/>
      <c r="K92" s="23" t="n"/>
      <c r="L92" s="23" t="n"/>
      <c r="M92" s="23" t="n"/>
      <c r="N92" s="23" t="n"/>
      <c r="O92" s="20">
        <f>IF(OR(I92="",COUNT(J92:N92)=0),"",IF(SUM(J92:N92)=I92,"✓","⚠ "&amp;SUM(J92:N92)&amp;" statt "&amp;I92))</f>
        <v/>
      </c>
      <c r="P92" s="21" t="n"/>
      <c r="Q92" s="21" t="n"/>
      <c r="R92" s="21" t="n"/>
      <c r="S92" s="24" t="n"/>
      <c r="T92" s="24" t="n"/>
      <c r="V92">
        <f>IF(A92="","",MONTH(A92))</f>
        <v/>
      </c>
      <c r="W92">
        <f>N(W91)+IF(AND(C92&lt;&gt;"",T92&lt;&gt;""),IF(C92=WOCHE!$B$3,1,0),0)</f>
        <v/>
      </c>
      <c r="X92">
        <f>N(X91)+IF(AND(V92&lt;&gt;"",T92&lt;&gt;""),IF(V92=MONAT!$AZ$3,1,0),0)</f>
        <v/>
      </c>
    </row>
    <row r="93">
      <c r="A93" s="19" t="n"/>
      <c r="B93" s="20">
        <f>IF(A93="","",CHOOSE(WEEKDAY(A93,2),"Mo","Di","Mi","Do","Fr","Sa","So"))</f>
        <v/>
      </c>
      <c r="C93" s="20">
        <f>IF(A93="","",INT((A93-DATE(YEAR(A93-WEEKDAY(A93-1)+4),1,3)+WEEKDAY(DATE(YEAR(A93-WEEKDAY(A93-1)+4),1,3))+5)/7))</f>
        <v/>
      </c>
      <c r="D93" s="21" t="n"/>
      <c r="E93" s="22" t="n"/>
      <c r="F93" s="23" t="n"/>
      <c r="G93" s="23" t="n"/>
      <c r="H93" s="23" t="n"/>
      <c r="I93" s="20">
        <f>IF(COUNT(F93:H93)=0,"",SUM(F93:H93))</f>
        <v/>
      </c>
      <c r="J93" s="23" t="n"/>
      <c r="K93" s="23" t="n"/>
      <c r="L93" s="23" t="n"/>
      <c r="M93" s="23" t="n"/>
      <c r="N93" s="23" t="n"/>
      <c r="O93" s="20">
        <f>IF(OR(I93="",COUNT(J93:N93)=0),"",IF(SUM(J93:N93)=I93,"✓","⚠ "&amp;SUM(J93:N93)&amp;" statt "&amp;I93))</f>
        <v/>
      </c>
      <c r="P93" s="21" t="n"/>
      <c r="Q93" s="21" t="n"/>
      <c r="R93" s="21" t="n"/>
      <c r="S93" s="24" t="n"/>
      <c r="T93" s="24" t="n"/>
      <c r="V93">
        <f>IF(A93="","",MONTH(A93))</f>
        <v/>
      </c>
      <c r="W93">
        <f>N(W92)+IF(AND(C93&lt;&gt;"",T93&lt;&gt;""),IF(C93=WOCHE!$B$3,1,0),0)</f>
        <v/>
      </c>
      <c r="X93">
        <f>N(X92)+IF(AND(V93&lt;&gt;"",T93&lt;&gt;""),IF(V93=MONAT!$AZ$3,1,0),0)</f>
        <v/>
      </c>
    </row>
    <row r="94">
      <c r="A94" s="19" t="n"/>
      <c r="B94" s="20">
        <f>IF(A94="","",CHOOSE(WEEKDAY(A94,2),"Mo","Di","Mi","Do","Fr","Sa","So"))</f>
        <v/>
      </c>
      <c r="C94" s="20">
        <f>IF(A94="","",INT((A94-DATE(YEAR(A94-WEEKDAY(A94-1)+4),1,3)+WEEKDAY(DATE(YEAR(A94-WEEKDAY(A94-1)+4),1,3))+5)/7))</f>
        <v/>
      </c>
      <c r="D94" s="21" t="n"/>
      <c r="E94" s="22" t="n"/>
      <c r="F94" s="23" t="n"/>
      <c r="G94" s="23" t="n"/>
      <c r="H94" s="23" t="n"/>
      <c r="I94" s="20">
        <f>IF(COUNT(F94:H94)=0,"",SUM(F94:H94))</f>
        <v/>
      </c>
      <c r="J94" s="23" t="n"/>
      <c r="K94" s="23" t="n"/>
      <c r="L94" s="23" t="n"/>
      <c r="M94" s="23" t="n"/>
      <c r="N94" s="23" t="n"/>
      <c r="O94" s="20">
        <f>IF(OR(I94="",COUNT(J94:N94)=0),"",IF(SUM(J94:N94)=I94,"✓","⚠ "&amp;SUM(J94:N94)&amp;" statt "&amp;I94))</f>
        <v/>
      </c>
      <c r="P94" s="21" t="n"/>
      <c r="Q94" s="21" t="n"/>
      <c r="R94" s="21" t="n"/>
      <c r="S94" s="24" t="n"/>
      <c r="T94" s="24" t="n"/>
      <c r="V94">
        <f>IF(A94="","",MONTH(A94))</f>
        <v/>
      </c>
      <c r="W94">
        <f>N(W93)+IF(AND(C94&lt;&gt;"",T94&lt;&gt;""),IF(C94=WOCHE!$B$3,1,0),0)</f>
        <v/>
      </c>
      <c r="X94">
        <f>N(X93)+IF(AND(V94&lt;&gt;"",T94&lt;&gt;""),IF(V94=MONAT!$AZ$3,1,0),0)</f>
        <v/>
      </c>
    </row>
    <row r="95">
      <c r="A95" s="19" t="n"/>
      <c r="B95" s="20">
        <f>IF(A95="","",CHOOSE(WEEKDAY(A95,2),"Mo","Di","Mi","Do","Fr","Sa","So"))</f>
        <v/>
      </c>
      <c r="C95" s="20">
        <f>IF(A95="","",INT((A95-DATE(YEAR(A95-WEEKDAY(A95-1)+4),1,3)+WEEKDAY(DATE(YEAR(A95-WEEKDAY(A95-1)+4),1,3))+5)/7))</f>
        <v/>
      </c>
      <c r="D95" s="21" t="n"/>
      <c r="E95" s="22" t="n"/>
      <c r="F95" s="23" t="n"/>
      <c r="G95" s="23" t="n"/>
      <c r="H95" s="23" t="n"/>
      <c r="I95" s="20">
        <f>IF(COUNT(F95:H95)=0,"",SUM(F95:H95))</f>
        <v/>
      </c>
      <c r="J95" s="23" t="n"/>
      <c r="K95" s="23" t="n"/>
      <c r="L95" s="23" t="n"/>
      <c r="M95" s="23" t="n"/>
      <c r="N95" s="23" t="n"/>
      <c r="O95" s="20">
        <f>IF(OR(I95="",COUNT(J95:N95)=0),"",IF(SUM(J95:N95)=I95,"✓","⚠ "&amp;SUM(J95:N95)&amp;" statt "&amp;I95))</f>
        <v/>
      </c>
      <c r="P95" s="21" t="n"/>
      <c r="Q95" s="21" t="n"/>
      <c r="R95" s="21" t="n"/>
      <c r="S95" s="24" t="n"/>
      <c r="T95" s="24" t="n"/>
      <c r="V95">
        <f>IF(A95="","",MONTH(A95))</f>
        <v/>
      </c>
      <c r="W95">
        <f>N(W94)+IF(AND(C95&lt;&gt;"",T95&lt;&gt;""),IF(C95=WOCHE!$B$3,1,0),0)</f>
        <v/>
      </c>
      <c r="X95">
        <f>N(X94)+IF(AND(V95&lt;&gt;"",T95&lt;&gt;""),IF(V95=MONAT!$AZ$3,1,0),0)</f>
        <v/>
      </c>
    </row>
    <row r="96">
      <c r="A96" s="19" t="n"/>
      <c r="B96" s="20">
        <f>IF(A96="","",CHOOSE(WEEKDAY(A96,2),"Mo","Di","Mi","Do","Fr","Sa","So"))</f>
        <v/>
      </c>
      <c r="C96" s="20">
        <f>IF(A96="","",INT((A96-DATE(YEAR(A96-WEEKDAY(A96-1)+4),1,3)+WEEKDAY(DATE(YEAR(A96-WEEKDAY(A96-1)+4),1,3))+5)/7))</f>
        <v/>
      </c>
      <c r="D96" s="21" t="n"/>
      <c r="E96" s="22" t="n"/>
      <c r="F96" s="23" t="n"/>
      <c r="G96" s="23" t="n"/>
      <c r="H96" s="23" t="n"/>
      <c r="I96" s="20">
        <f>IF(COUNT(F96:H96)=0,"",SUM(F96:H96))</f>
        <v/>
      </c>
      <c r="J96" s="23" t="n"/>
      <c r="K96" s="23" t="n"/>
      <c r="L96" s="23" t="n"/>
      <c r="M96" s="23" t="n"/>
      <c r="N96" s="23" t="n"/>
      <c r="O96" s="20">
        <f>IF(OR(I96="",COUNT(J96:N96)=0),"",IF(SUM(J96:N96)=I96,"✓","⚠ "&amp;SUM(J96:N96)&amp;" statt "&amp;I96))</f>
        <v/>
      </c>
      <c r="P96" s="21" t="n"/>
      <c r="Q96" s="21" t="n"/>
      <c r="R96" s="21" t="n"/>
      <c r="S96" s="24" t="n"/>
      <c r="T96" s="24" t="n"/>
      <c r="V96">
        <f>IF(A96="","",MONTH(A96))</f>
        <v/>
      </c>
      <c r="W96">
        <f>N(W95)+IF(AND(C96&lt;&gt;"",T96&lt;&gt;""),IF(C96=WOCHE!$B$3,1,0),0)</f>
        <v/>
      </c>
      <c r="X96">
        <f>N(X95)+IF(AND(V96&lt;&gt;"",T96&lt;&gt;""),IF(V96=MONAT!$AZ$3,1,0),0)</f>
        <v/>
      </c>
    </row>
    <row r="97">
      <c r="A97" s="19" t="n"/>
      <c r="B97" s="20">
        <f>IF(A97="","",CHOOSE(WEEKDAY(A97,2),"Mo","Di","Mi","Do","Fr","Sa","So"))</f>
        <v/>
      </c>
      <c r="C97" s="20">
        <f>IF(A97="","",INT((A97-DATE(YEAR(A97-WEEKDAY(A97-1)+4),1,3)+WEEKDAY(DATE(YEAR(A97-WEEKDAY(A97-1)+4),1,3))+5)/7))</f>
        <v/>
      </c>
      <c r="D97" s="21" t="n"/>
      <c r="E97" s="22" t="n"/>
      <c r="F97" s="23" t="n"/>
      <c r="G97" s="23" t="n"/>
      <c r="H97" s="23" t="n"/>
      <c r="I97" s="20">
        <f>IF(COUNT(F97:H97)=0,"",SUM(F97:H97))</f>
        <v/>
      </c>
      <c r="J97" s="23" t="n"/>
      <c r="K97" s="23" t="n"/>
      <c r="L97" s="23" t="n"/>
      <c r="M97" s="23" t="n"/>
      <c r="N97" s="23" t="n"/>
      <c r="O97" s="20">
        <f>IF(OR(I97="",COUNT(J97:N97)=0),"",IF(SUM(J97:N97)=I97,"✓","⚠ "&amp;SUM(J97:N97)&amp;" statt "&amp;I97))</f>
        <v/>
      </c>
      <c r="P97" s="21" t="n"/>
      <c r="Q97" s="21" t="n"/>
      <c r="R97" s="21" t="n"/>
      <c r="S97" s="24" t="n"/>
      <c r="T97" s="24" t="n"/>
      <c r="V97">
        <f>IF(A97="","",MONTH(A97))</f>
        <v/>
      </c>
      <c r="W97">
        <f>N(W96)+IF(AND(C97&lt;&gt;"",T97&lt;&gt;""),IF(C97=WOCHE!$B$3,1,0),0)</f>
        <v/>
      </c>
      <c r="X97">
        <f>N(X96)+IF(AND(V97&lt;&gt;"",T97&lt;&gt;""),IF(V97=MONAT!$AZ$3,1,0),0)</f>
        <v/>
      </c>
    </row>
    <row r="98">
      <c r="A98" s="19" t="n"/>
      <c r="B98" s="20">
        <f>IF(A98="","",CHOOSE(WEEKDAY(A98,2),"Mo","Di","Mi","Do","Fr","Sa","So"))</f>
        <v/>
      </c>
      <c r="C98" s="20">
        <f>IF(A98="","",INT((A98-DATE(YEAR(A98-WEEKDAY(A98-1)+4),1,3)+WEEKDAY(DATE(YEAR(A98-WEEKDAY(A98-1)+4),1,3))+5)/7))</f>
        <v/>
      </c>
      <c r="D98" s="21" t="n"/>
      <c r="E98" s="22" t="n"/>
      <c r="F98" s="23" t="n"/>
      <c r="G98" s="23" t="n"/>
      <c r="H98" s="23" t="n"/>
      <c r="I98" s="20">
        <f>IF(COUNT(F98:H98)=0,"",SUM(F98:H98))</f>
        <v/>
      </c>
      <c r="J98" s="23" t="n"/>
      <c r="K98" s="23" t="n"/>
      <c r="L98" s="23" t="n"/>
      <c r="M98" s="23" t="n"/>
      <c r="N98" s="23" t="n"/>
      <c r="O98" s="20">
        <f>IF(OR(I98="",COUNT(J98:N98)=0),"",IF(SUM(J98:N98)=I98,"✓","⚠ "&amp;SUM(J98:N98)&amp;" statt "&amp;I98))</f>
        <v/>
      </c>
      <c r="P98" s="21" t="n"/>
      <c r="Q98" s="21" t="n"/>
      <c r="R98" s="21" t="n"/>
      <c r="S98" s="24" t="n"/>
      <c r="T98" s="24" t="n"/>
      <c r="V98">
        <f>IF(A98="","",MONTH(A98))</f>
        <v/>
      </c>
      <c r="W98">
        <f>N(W97)+IF(AND(C98&lt;&gt;"",T98&lt;&gt;""),IF(C98=WOCHE!$B$3,1,0),0)</f>
        <v/>
      </c>
      <c r="X98">
        <f>N(X97)+IF(AND(V98&lt;&gt;"",T98&lt;&gt;""),IF(V98=MONAT!$AZ$3,1,0),0)</f>
        <v/>
      </c>
    </row>
    <row r="99">
      <c r="A99" s="19" t="n"/>
      <c r="B99" s="20">
        <f>IF(A99="","",CHOOSE(WEEKDAY(A99,2),"Mo","Di","Mi","Do","Fr","Sa","So"))</f>
        <v/>
      </c>
      <c r="C99" s="20">
        <f>IF(A99="","",INT((A99-DATE(YEAR(A99-WEEKDAY(A99-1)+4),1,3)+WEEKDAY(DATE(YEAR(A99-WEEKDAY(A99-1)+4),1,3))+5)/7))</f>
        <v/>
      </c>
      <c r="D99" s="21" t="n"/>
      <c r="E99" s="22" t="n"/>
      <c r="F99" s="23" t="n"/>
      <c r="G99" s="23" t="n"/>
      <c r="H99" s="23" t="n"/>
      <c r="I99" s="20">
        <f>IF(COUNT(F99:H99)=0,"",SUM(F99:H99))</f>
        <v/>
      </c>
      <c r="J99" s="23" t="n"/>
      <c r="K99" s="23" t="n"/>
      <c r="L99" s="23" t="n"/>
      <c r="M99" s="23" t="n"/>
      <c r="N99" s="23" t="n"/>
      <c r="O99" s="20">
        <f>IF(OR(I99="",COUNT(J99:N99)=0),"",IF(SUM(J99:N99)=I99,"✓","⚠ "&amp;SUM(J99:N99)&amp;" statt "&amp;I99))</f>
        <v/>
      </c>
      <c r="P99" s="21" t="n"/>
      <c r="Q99" s="21" t="n"/>
      <c r="R99" s="21" t="n"/>
      <c r="S99" s="24" t="n"/>
      <c r="T99" s="24" t="n"/>
      <c r="V99">
        <f>IF(A99="","",MONTH(A99))</f>
        <v/>
      </c>
      <c r="W99">
        <f>N(W98)+IF(AND(C99&lt;&gt;"",T99&lt;&gt;""),IF(C99=WOCHE!$B$3,1,0),0)</f>
        <v/>
      </c>
      <c r="X99">
        <f>N(X98)+IF(AND(V99&lt;&gt;"",T99&lt;&gt;""),IF(V99=MONAT!$AZ$3,1,0),0)</f>
        <v/>
      </c>
    </row>
    <row r="100">
      <c r="A100" s="19" t="n"/>
      <c r="B100" s="20">
        <f>IF(A100="","",CHOOSE(WEEKDAY(A100,2),"Mo","Di","Mi","Do","Fr","Sa","So"))</f>
        <v/>
      </c>
      <c r="C100" s="20">
        <f>IF(A100="","",INT((A100-DATE(YEAR(A100-WEEKDAY(A100-1)+4),1,3)+WEEKDAY(DATE(YEAR(A100-WEEKDAY(A100-1)+4),1,3))+5)/7))</f>
        <v/>
      </c>
      <c r="D100" s="21" t="n"/>
      <c r="E100" s="22" t="n"/>
      <c r="F100" s="23" t="n"/>
      <c r="G100" s="23" t="n"/>
      <c r="H100" s="23" t="n"/>
      <c r="I100" s="20">
        <f>IF(COUNT(F100:H100)=0,"",SUM(F100:H100))</f>
        <v/>
      </c>
      <c r="J100" s="23" t="n"/>
      <c r="K100" s="23" t="n"/>
      <c r="L100" s="23" t="n"/>
      <c r="M100" s="23" t="n"/>
      <c r="N100" s="23" t="n"/>
      <c r="O100" s="20">
        <f>IF(OR(I100="",COUNT(J100:N100)=0),"",IF(SUM(J100:N100)=I100,"✓","⚠ "&amp;SUM(J100:N100)&amp;" statt "&amp;I100))</f>
        <v/>
      </c>
      <c r="P100" s="21" t="n"/>
      <c r="Q100" s="21" t="n"/>
      <c r="R100" s="21" t="n"/>
      <c r="S100" s="24" t="n"/>
      <c r="T100" s="24" t="n"/>
      <c r="V100">
        <f>IF(A100="","",MONTH(A100))</f>
        <v/>
      </c>
      <c r="W100">
        <f>N(W99)+IF(AND(C100&lt;&gt;"",T100&lt;&gt;""),IF(C100=WOCHE!$B$3,1,0),0)</f>
        <v/>
      </c>
      <c r="X100">
        <f>N(X99)+IF(AND(V100&lt;&gt;"",T100&lt;&gt;""),IF(V100=MONAT!$AZ$3,1,0),0)</f>
        <v/>
      </c>
    </row>
    <row r="101">
      <c r="A101" s="19" t="n"/>
      <c r="B101" s="20">
        <f>IF(A101="","",CHOOSE(WEEKDAY(A101,2),"Mo","Di","Mi","Do","Fr","Sa","So"))</f>
        <v/>
      </c>
      <c r="C101" s="20">
        <f>IF(A101="","",INT((A101-DATE(YEAR(A101-WEEKDAY(A101-1)+4),1,3)+WEEKDAY(DATE(YEAR(A101-WEEKDAY(A101-1)+4),1,3))+5)/7))</f>
        <v/>
      </c>
      <c r="D101" s="21" t="n"/>
      <c r="E101" s="22" t="n"/>
      <c r="F101" s="23" t="n"/>
      <c r="G101" s="23" t="n"/>
      <c r="H101" s="23" t="n"/>
      <c r="I101" s="20">
        <f>IF(COUNT(F101:H101)=0,"",SUM(F101:H101))</f>
        <v/>
      </c>
      <c r="J101" s="23" t="n"/>
      <c r="K101" s="23" t="n"/>
      <c r="L101" s="23" t="n"/>
      <c r="M101" s="23" t="n"/>
      <c r="N101" s="23" t="n"/>
      <c r="O101" s="20">
        <f>IF(OR(I101="",COUNT(J101:N101)=0),"",IF(SUM(J101:N101)=I101,"✓","⚠ "&amp;SUM(J101:N101)&amp;" statt "&amp;I101))</f>
        <v/>
      </c>
      <c r="P101" s="21" t="n"/>
      <c r="Q101" s="21" t="n"/>
      <c r="R101" s="21" t="n"/>
      <c r="S101" s="24" t="n"/>
      <c r="T101" s="24" t="n"/>
      <c r="V101">
        <f>IF(A101="","",MONTH(A101))</f>
        <v/>
      </c>
      <c r="W101">
        <f>N(W100)+IF(AND(C101&lt;&gt;"",T101&lt;&gt;""),IF(C101=WOCHE!$B$3,1,0),0)</f>
        <v/>
      </c>
      <c r="X101">
        <f>N(X100)+IF(AND(V101&lt;&gt;"",T101&lt;&gt;""),IF(V101=MONAT!$AZ$3,1,0),0)</f>
        <v/>
      </c>
    </row>
    <row r="102">
      <c r="A102" s="19" t="n"/>
      <c r="B102" s="20">
        <f>IF(A102="","",CHOOSE(WEEKDAY(A102,2),"Mo","Di","Mi","Do","Fr","Sa","So"))</f>
        <v/>
      </c>
      <c r="C102" s="20">
        <f>IF(A102="","",INT((A102-DATE(YEAR(A102-WEEKDAY(A102-1)+4),1,3)+WEEKDAY(DATE(YEAR(A102-WEEKDAY(A102-1)+4),1,3))+5)/7))</f>
        <v/>
      </c>
      <c r="D102" s="21" t="n"/>
      <c r="E102" s="22" t="n"/>
      <c r="F102" s="23" t="n"/>
      <c r="G102" s="23" t="n"/>
      <c r="H102" s="23" t="n"/>
      <c r="I102" s="20">
        <f>IF(COUNT(F102:H102)=0,"",SUM(F102:H102))</f>
        <v/>
      </c>
      <c r="J102" s="23" t="n"/>
      <c r="K102" s="23" t="n"/>
      <c r="L102" s="23" t="n"/>
      <c r="M102" s="23" t="n"/>
      <c r="N102" s="23" t="n"/>
      <c r="O102" s="20">
        <f>IF(OR(I102="",COUNT(J102:N102)=0),"",IF(SUM(J102:N102)=I102,"✓","⚠ "&amp;SUM(J102:N102)&amp;" statt "&amp;I102))</f>
        <v/>
      </c>
      <c r="P102" s="21" t="n"/>
      <c r="Q102" s="21" t="n"/>
      <c r="R102" s="21" t="n"/>
      <c r="S102" s="24" t="n"/>
      <c r="T102" s="24" t="n"/>
      <c r="V102">
        <f>IF(A102="","",MONTH(A102))</f>
        <v/>
      </c>
      <c r="W102">
        <f>N(W101)+IF(AND(C102&lt;&gt;"",T102&lt;&gt;""),IF(C102=WOCHE!$B$3,1,0),0)</f>
        <v/>
      </c>
      <c r="X102">
        <f>N(X101)+IF(AND(V102&lt;&gt;"",T102&lt;&gt;""),IF(V102=MONAT!$AZ$3,1,0),0)</f>
        <v/>
      </c>
    </row>
    <row r="103">
      <c r="A103" s="19" t="n"/>
      <c r="B103" s="20">
        <f>IF(A103="","",CHOOSE(WEEKDAY(A103,2),"Mo","Di","Mi","Do","Fr","Sa","So"))</f>
        <v/>
      </c>
      <c r="C103" s="20">
        <f>IF(A103="","",INT((A103-DATE(YEAR(A103-WEEKDAY(A103-1)+4),1,3)+WEEKDAY(DATE(YEAR(A103-WEEKDAY(A103-1)+4),1,3))+5)/7))</f>
        <v/>
      </c>
      <c r="D103" s="21" t="n"/>
      <c r="E103" s="22" t="n"/>
      <c r="F103" s="23" t="n"/>
      <c r="G103" s="23" t="n"/>
      <c r="H103" s="23" t="n"/>
      <c r="I103" s="20">
        <f>IF(COUNT(F103:H103)=0,"",SUM(F103:H103))</f>
        <v/>
      </c>
      <c r="J103" s="23" t="n"/>
      <c r="K103" s="23" t="n"/>
      <c r="L103" s="23" t="n"/>
      <c r="M103" s="23" t="n"/>
      <c r="N103" s="23" t="n"/>
      <c r="O103" s="20">
        <f>IF(OR(I103="",COUNT(J103:N103)=0),"",IF(SUM(J103:N103)=I103,"✓","⚠ "&amp;SUM(J103:N103)&amp;" statt "&amp;I103))</f>
        <v/>
      </c>
      <c r="P103" s="21" t="n"/>
      <c r="Q103" s="21" t="n"/>
      <c r="R103" s="21" t="n"/>
      <c r="S103" s="24" t="n"/>
      <c r="T103" s="24" t="n"/>
      <c r="V103">
        <f>IF(A103="","",MONTH(A103))</f>
        <v/>
      </c>
      <c r="W103">
        <f>N(W102)+IF(AND(C103&lt;&gt;"",T103&lt;&gt;""),IF(C103=WOCHE!$B$3,1,0),0)</f>
        <v/>
      </c>
      <c r="X103">
        <f>N(X102)+IF(AND(V103&lt;&gt;"",T103&lt;&gt;""),IF(V103=MONAT!$AZ$3,1,0),0)</f>
        <v/>
      </c>
    </row>
    <row r="104">
      <c r="A104" s="19" t="n"/>
      <c r="B104" s="20">
        <f>IF(A104="","",CHOOSE(WEEKDAY(A104,2),"Mo","Di","Mi","Do","Fr","Sa","So"))</f>
        <v/>
      </c>
      <c r="C104" s="20">
        <f>IF(A104="","",INT((A104-DATE(YEAR(A104-WEEKDAY(A104-1)+4),1,3)+WEEKDAY(DATE(YEAR(A104-WEEKDAY(A104-1)+4),1,3))+5)/7))</f>
        <v/>
      </c>
      <c r="D104" s="21" t="n"/>
      <c r="E104" s="22" t="n"/>
      <c r="F104" s="23" t="n"/>
      <c r="G104" s="23" t="n"/>
      <c r="H104" s="23" t="n"/>
      <c r="I104" s="20">
        <f>IF(COUNT(F104:H104)=0,"",SUM(F104:H104))</f>
        <v/>
      </c>
      <c r="J104" s="23" t="n"/>
      <c r="K104" s="23" t="n"/>
      <c r="L104" s="23" t="n"/>
      <c r="M104" s="23" t="n"/>
      <c r="N104" s="23" t="n"/>
      <c r="O104" s="20">
        <f>IF(OR(I104="",COUNT(J104:N104)=0),"",IF(SUM(J104:N104)=I104,"✓","⚠ "&amp;SUM(J104:N104)&amp;" statt "&amp;I104))</f>
        <v/>
      </c>
      <c r="P104" s="21" t="n"/>
      <c r="Q104" s="21" t="n"/>
      <c r="R104" s="21" t="n"/>
      <c r="S104" s="24" t="n"/>
      <c r="T104" s="24" t="n"/>
      <c r="V104">
        <f>IF(A104="","",MONTH(A104))</f>
        <v/>
      </c>
      <c r="W104">
        <f>N(W103)+IF(AND(C104&lt;&gt;"",T104&lt;&gt;""),IF(C104=WOCHE!$B$3,1,0),0)</f>
        <v/>
      </c>
      <c r="X104">
        <f>N(X103)+IF(AND(V104&lt;&gt;"",T104&lt;&gt;""),IF(V104=MONAT!$AZ$3,1,0),0)</f>
        <v/>
      </c>
    </row>
    <row r="105">
      <c r="A105" s="19" t="n"/>
      <c r="B105" s="20">
        <f>IF(A105="","",CHOOSE(WEEKDAY(A105,2),"Mo","Di","Mi","Do","Fr","Sa","So"))</f>
        <v/>
      </c>
      <c r="C105" s="20">
        <f>IF(A105="","",INT((A105-DATE(YEAR(A105-WEEKDAY(A105-1)+4),1,3)+WEEKDAY(DATE(YEAR(A105-WEEKDAY(A105-1)+4),1,3))+5)/7))</f>
        <v/>
      </c>
      <c r="D105" s="21" t="n"/>
      <c r="E105" s="22" t="n"/>
      <c r="F105" s="23" t="n"/>
      <c r="G105" s="23" t="n"/>
      <c r="H105" s="23" t="n"/>
      <c r="I105" s="20">
        <f>IF(COUNT(F105:H105)=0,"",SUM(F105:H105))</f>
        <v/>
      </c>
      <c r="J105" s="23" t="n"/>
      <c r="K105" s="23" t="n"/>
      <c r="L105" s="23" t="n"/>
      <c r="M105" s="23" t="n"/>
      <c r="N105" s="23" t="n"/>
      <c r="O105" s="20">
        <f>IF(OR(I105="",COUNT(J105:N105)=0),"",IF(SUM(J105:N105)=I105,"✓","⚠ "&amp;SUM(J105:N105)&amp;" statt "&amp;I105))</f>
        <v/>
      </c>
      <c r="P105" s="21" t="n"/>
      <c r="Q105" s="21" t="n"/>
      <c r="R105" s="21" t="n"/>
      <c r="S105" s="24" t="n"/>
      <c r="T105" s="24" t="n"/>
      <c r="V105">
        <f>IF(A105="","",MONTH(A105))</f>
        <v/>
      </c>
      <c r="W105">
        <f>N(W104)+IF(AND(C105&lt;&gt;"",T105&lt;&gt;""),IF(C105=WOCHE!$B$3,1,0),0)</f>
        <v/>
      </c>
      <c r="X105">
        <f>N(X104)+IF(AND(V105&lt;&gt;"",T105&lt;&gt;""),IF(V105=MONAT!$AZ$3,1,0),0)</f>
        <v/>
      </c>
    </row>
    <row r="106">
      <c r="A106" s="19" t="n"/>
      <c r="B106" s="20">
        <f>IF(A106="","",CHOOSE(WEEKDAY(A106,2),"Mo","Di","Mi","Do","Fr","Sa","So"))</f>
        <v/>
      </c>
      <c r="C106" s="20">
        <f>IF(A106="","",INT((A106-DATE(YEAR(A106-WEEKDAY(A106-1)+4),1,3)+WEEKDAY(DATE(YEAR(A106-WEEKDAY(A106-1)+4),1,3))+5)/7))</f>
        <v/>
      </c>
      <c r="D106" s="21" t="n"/>
      <c r="E106" s="22" t="n"/>
      <c r="F106" s="23" t="n"/>
      <c r="G106" s="23" t="n"/>
      <c r="H106" s="23" t="n"/>
      <c r="I106" s="20">
        <f>IF(COUNT(F106:H106)=0,"",SUM(F106:H106))</f>
        <v/>
      </c>
      <c r="J106" s="23" t="n"/>
      <c r="K106" s="23" t="n"/>
      <c r="L106" s="23" t="n"/>
      <c r="M106" s="23" t="n"/>
      <c r="N106" s="23" t="n"/>
      <c r="O106" s="20">
        <f>IF(OR(I106="",COUNT(J106:N106)=0),"",IF(SUM(J106:N106)=I106,"✓","⚠ "&amp;SUM(J106:N106)&amp;" statt "&amp;I106))</f>
        <v/>
      </c>
      <c r="P106" s="21" t="n"/>
      <c r="Q106" s="21" t="n"/>
      <c r="R106" s="21" t="n"/>
      <c r="S106" s="24" t="n"/>
      <c r="T106" s="24" t="n"/>
      <c r="V106">
        <f>IF(A106="","",MONTH(A106))</f>
        <v/>
      </c>
      <c r="W106">
        <f>N(W105)+IF(AND(C106&lt;&gt;"",T106&lt;&gt;""),IF(C106=WOCHE!$B$3,1,0),0)</f>
        <v/>
      </c>
      <c r="X106">
        <f>N(X105)+IF(AND(V106&lt;&gt;"",T106&lt;&gt;""),IF(V106=MONAT!$AZ$3,1,0),0)</f>
        <v/>
      </c>
    </row>
    <row r="107">
      <c r="A107" s="19" t="n"/>
      <c r="B107" s="20">
        <f>IF(A107="","",CHOOSE(WEEKDAY(A107,2),"Mo","Di","Mi","Do","Fr","Sa","So"))</f>
        <v/>
      </c>
      <c r="C107" s="20">
        <f>IF(A107="","",INT((A107-DATE(YEAR(A107-WEEKDAY(A107-1)+4),1,3)+WEEKDAY(DATE(YEAR(A107-WEEKDAY(A107-1)+4),1,3))+5)/7))</f>
        <v/>
      </c>
      <c r="D107" s="21" t="n"/>
      <c r="E107" s="22" t="n"/>
      <c r="F107" s="23" t="n"/>
      <c r="G107" s="23" t="n"/>
      <c r="H107" s="23" t="n"/>
      <c r="I107" s="20">
        <f>IF(COUNT(F107:H107)=0,"",SUM(F107:H107))</f>
        <v/>
      </c>
      <c r="J107" s="23" t="n"/>
      <c r="K107" s="23" t="n"/>
      <c r="L107" s="23" t="n"/>
      <c r="M107" s="23" t="n"/>
      <c r="N107" s="23" t="n"/>
      <c r="O107" s="20">
        <f>IF(OR(I107="",COUNT(J107:N107)=0),"",IF(SUM(J107:N107)=I107,"✓","⚠ "&amp;SUM(J107:N107)&amp;" statt "&amp;I107))</f>
        <v/>
      </c>
      <c r="P107" s="21" t="n"/>
      <c r="Q107" s="21" t="n"/>
      <c r="R107" s="21" t="n"/>
      <c r="S107" s="24" t="n"/>
      <c r="T107" s="24" t="n"/>
      <c r="V107">
        <f>IF(A107="","",MONTH(A107))</f>
        <v/>
      </c>
      <c r="W107">
        <f>N(W106)+IF(AND(C107&lt;&gt;"",T107&lt;&gt;""),IF(C107=WOCHE!$B$3,1,0),0)</f>
        <v/>
      </c>
      <c r="X107">
        <f>N(X106)+IF(AND(V107&lt;&gt;"",T107&lt;&gt;""),IF(V107=MONAT!$AZ$3,1,0),0)</f>
        <v/>
      </c>
    </row>
    <row r="108">
      <c r="A108" s="19" t="n"/>
      <c r="B108" s="20">
        <f>IF(A108="","",CHOOSE(WEEKDAY(A108,2),"Mo","Di","Mi","Do","Fr","Sa","So"))</f>
        <v/>
      </c>
      <c r="C108" s="20">
        <f>IF(A108="","",INT((A108-DATE(YEAR(A108-WEEKDAY(A108-1)+4),1,3)+WEEKDAY(DATE(YEAR(A108-WEEKDAY(A108-1)+4),1,3))+5)/7))</f>
        <v/>
      </c>
      <c r="D108" s="21" t="n"/>
      <c r="E108" s="22" t="n"/>
      <c r="F108" s="23" t="n"/>
      <c r="G108" s="23" t="n"/>
      <c r="H108" s="23" t="n"/>
      <c r="I108" s="20">
        <f>IF(COUNT(F108:H108)=0,"",SUM(F108:H108))</f>
        <v/>
      </c>
      <c r="J108" s="23" t="n"/>
      <c r="K108" s="23" t="n"/>
      <c r="L108" s="23" t="n"/>
      <c r="M108" s="23" t="n"/>
      <c r="N108" s="23" t="n"/>
      <c r="O108" s="20">
        <f>IF(OR(I108="",COUNT(J108:N108)=0),"",IF(SUM(J108:N108)=I108,"✓","⚠ "&amp;SUM(J108:N108)&amp;" statt "&amp;I108))</f>
        <v/>
      </c>
      <c r="P108" s="21" t="n"/>
      <c r="Q108" s="21" t="n"/>
      <c r="R108" s="21" t="n"/>
      <c r="S108" s="24" t="n"/>
      <c r="T108" s="24" t="n"/>
      <c r="V108">
        <f>IF(A108="","",MONTH(A108))</f>
        <v/>
      </c>
      <c r="W108">
        <f>N(W107)+IF(AND(C108&lt;&gt;"",T108&lt;&gt;""),IF(C108=WOCHE!$B$3,1,0),0)</f>
        <v/>
      </c>
      <c r="X108">
        <f>N(X107)+IF(AND(V108&lt;&gt;"",T108&lt;&gt;""),IF(V108=MONAT!$AZ$3,1,0),0)</f>
        <v/>
      </c>
    </row>
    <row r="109">
      <c r="A109" s="19" t="n"/>
      <c r="B109" s="20">
        <f>IF(A109="","",CHOOSE(WEEKDAY(A109,2),"Mo","Di","Mi","Do","Fr","Sa","So"))</f>
        <v/>
      </c>
      <c r="C109" s="20">
        <f>IF(A109="","",INT((A109-DATE(YEAR(A109-WEEKDAY(A109-1)+4),1,3)+WEEKDAY(DATE(YEAR(A109-WEEKDAY(A109-1)+4),1,3))+5)/7))</f>
        <v/>
      </c>
      <c r="D109" s="21" t="n"/>
      <c r="E109" s="22" t="n"/>
      <c r="F109" s="23" t="n"/>
      <c r="G109" s="23" t="n"/>
      <c r="H109" s="23" t="n"/>
      <c r="I109" s="20">
        <f>IF(COUNT(F109:H109)=0,"",SUM(F109:H109))</f>
        <v/>
      </c>
      <c r="J109" s="23" t="n"/>
      <c r="K109" s="23" t="n"/>
      <c r="L109" s="23" t="n"/>
      <c r="M109" s="23" t="n"/>
      <c r="N109" s="23" t="n"/>
      <c r="O109" s="20">
        <f>IF(OR(I109="",COUNT(J109:N109)=0),"",IF(SUM(J109:N109)=I109,"✓","⚠ "&amp;SUM(J109:N109)&amp;" statt "&amp;I109))</f>
        <v/>
      </c>
      <c r="P109" s="21" t="n"/>
      <c r="Q109" s="21" t="n"/>
      <c r="R109" s="21" t="n"/>
      <c r="S109" s="24" t="n"/>
      <c r="T109" s="24" t="n"/>
      <c r="V109">
        <f>IF(A109="","",MONTH(A109))</f>
        <v/>
      </c>
      <c r="W109">
        <f>N(W108)+IF(AND(C109&lt;&gt;"",T109&lt;&gt;""),IF(C109=WOCHE!$B$3,1,0),0)</f>
        <v/>
      </c>
      <c r="X109">
        <f>N(X108)+IF(AND(V109&lt;&gt;"",T109&lt;&gt;""),IF(V109=MONAT!$AZ$3,1,0),0)</f>
        <v/>
      </c>
    </row>
    <row r="110">
      <c r="A110" s="19" t="n"/>
      <c r="B110" s="20">
        <f>IF(A110="","",CHOOSE(WEEKDAY(A110,2),"Mo","Di","Mi","Do","Fr","Sa","So"))</f>
        <v/>
      </c>
      <c r="C110" s="20">
        <f>IF(A110="","",INT((A110-DATE(YEAR(A110-WEEKDAY(A110-1)+4),1,3)+WEEKDAY(DATE(YEAR(A110-WEEKDAY(A110-1)+4),1,3))+5)/7))</f>
        <v/>
      </c>
      <c r="D110" s="21" t="n"/>
      <c r="E110" s="22" t="n"/>
      <c r="F110" s="23" t="n"/>
      <c r="G110" s="23" t="n"/>
      <c r="H110" s="23" t="n"/>
      <c r="I110" s="20">
        <f>IF(COUNT(F110:H110)=0,"",SUM(F110:H110))</f>
        <v/>
      </c>
      <c r="J110" s="23" t="n"/>
      <c r="K110" s="23" t="n"/>
      <c r="L110" s="23" t="n"/>
      <c r="M110" s="23" t="n"/>
      <c r="N110" s="23" t="n"/>
      <c r="O110" s="20">
        <f>IF(OR(I110="",COUNT(J110:N110)=0),"",IF(SUM(J110:N110)=I110,"✓","⚠ "&amp;SUM(J110:N110)&amp;" statt "&amp;I110))</f>
        <v/>
      </c>
      <c r="P110" s="21" t="n"/>
      <c r="Q110" s="21" t="n"/>
      <c r="R110" s="21" t="n"/>
      <c r="S110" s="24" t="n"/>
      <c r="T110" s="24" t="n"/>
      <c r="V110">
        <f>IF(A110="","",MONTH(A110))</f>
        <v/>
      </c>
      <c r="W110">
        <f>N(W109)+IF(AND(C110&lt;&gt;"",T110&lt;&gt;""),IF(C110=WOCHE!$B$3,1,0),0)</f>
        <v/>
      </c>
      <c r="X110">
        <f>N(X109)+IF(AND(V110&lt;&gt;"",T110&lt;&gt;""),IF(V110=MONAT!$AZ$3,1,0),0)</f>
        <v/>
      </c>
    </row>
    <row r="111">
      <c r="A111" s="19" t="n"/>
      <c r="B111" s="20">
        <f>IF(A111="","",CHOOSE(WEEKDAY(A111,2),"Mo","Di","Mi","Do","Fr","Sa","So"))</f>
        <v/>
      </c>
      <c r="C111" s="20">
        <f>IF(A111="","",INT((A111-DATE(YEAR(A111-WEEKDAY(A111-1)+4),1,3)+WEEKDAY(DATE(YEAR(A111-WEEKDAY(A111-1)+4),1,3))+5)/7))</f>
        <v/>
      </c>
      <c r="D111" s="21" t="n"/>
      <c r="E111" s="22" t="n"/>
      <c r="F111" s="23" t="n"/>
      <c r="G111" s="23" t="n"/>
      <c r="H111" s="23" t="n"/>
      <c r="I111" s="20">
        <f>IF(COUNT(F111:H111)=0,"",SUM(F111:H111))</f>
        <v/>
      </c>
      <c r="J111" s="23" t="n"/>
      <c r="K111" s="23" t="n"/>
      <c r="L111" s="23" t="n"/>
      <c r="M111" s="23" t="n"/>
      <c r="N111" s="23" t="n"/>
      <c r="O111" s="20">
        <f>IF(OR(I111="",COUNT(J111:N111)=0),"",IF(SUM(J111:N111)=I111,"✓","⚠ "&amp;SUM(J111:N111)&amp;" statt "&amp;I111))</f>
        <v/>
      </c>
      <c r="P111" s="21" t="n"/>
      <c r="Q111" s="21" t="n"/>
      <c r="R111" s="21" t="n"/>
      <c r="S111" s="24" t="n"/>
      <c r="T111" s="24" t="n"/>
      <c r="V111">
        <f>IF(A111="","",MONTH(A111))</f>
        <v/>
      </c>
      <c r="W111">
        <f>N(W110)+IF(AND(C111&lt;&gt;"",T111&lt;&gt;""),IF(C111=WOCHE!$B$3,1,0),0)</f>
        <v/>
      </c>
      <c r="X111">
        <f>N(X110)+IF(AND(V111&lt;&gt;"",T111&lt;&gt;""),IF(V111=MONAT!$AZ$3,1,0),0)</f>
        <v/>
      </c>
    </row>
    <row r="112">
      <c r="A112" s="19" t="n"/>
      <c r="B112" s="20">
        <f>IF(A112="","",CHOOSE(WEEKDAY(A112,2),"Mo","Di","Mi","Do","Fr","Sa","So"))</f>
        <v/>
      </c>
      <c r="C112" s="20">
        <f>IF(A112="","",INT((A112-DATE(YEAR(A112-WEEKDAY(A112-1)+4),1,3)+WEEKDAY(DATE(YEAR(A112-WEEKDAY(A112-1)+4),1,3))+5)/7))</f>
        <v/>
      </c>
      <c r="D112" s="21" t="n"/>
      <c r="E112" s="22" t="n"/>
      <c r="F112" s="23" t="n"/>
      <c r="G112" s="23" t="n"/>
      <c r="H112" s="23" t="n"/>
      <c r="I112" s="20">
        <f>IF(COUNT(F112:H112)=0,"",SUM(F112:H112))</f>
        <v/>
      </c>
      <c r="J112" s="23" t="n"/>
      <c r="K112" s="23" t="n"/>
      <c r="L112" s="23" t="n"/>
      <c r="M112" s="23" t="n"/>
      <c r="N112" s="23" t="n"/>
      <c r="O112" s="20">
        <f>IF(OR(I112="",COUNT(J112:N112)=0),"",IF(SUM(J112:N112)=I112,"✓","⚠ "&amp;SUM(J112:N112)&amp;" statt "&amp;I112))</f>
        <v/>
      </c>
      <c r="P112" s="21" t="n"/>
      <c r="Q112" s="21" t="n"/>
      <c r="R112" s="21" t="n"/>
      <c r="S112" s="24" t="n"/>
      <c r="T112" s="24" t="n"/>
      <c r="V112">
        <f>IF(A112="","",MONTH(A112))</f>
        <v/>
      </c>
      <c r="W112">
        <f>N(W111)+IF(AND(C112&lt;&gt;"",T112&lt;&gt;""),IF(C112=WOCHE!$B$3,1,0),0)</f>
        <v/>
      </c>
      <c r="X112">
        <f>N(X111)+IF(AND(V112&lt;&gt;"",T112&lt;&gt;""),IF(V112=MONAT!$AZ$3,1,0),0)</f>
        <v/>
      </c>
    </row>
    <row r="113">
      <c r="A113" s="19" t="n"/>
      <c r="B113" s="20">
        <f>IF(A113="","",CHOOSE(WEEKDAY(A113,2),"Mo","Di","Mi","Do","Fr","Sa","So"))</f>
        <v/>
      </c>
      <c r="C113" s="20">
        <f>IF(A113="","",INT((A113-DATE(YEAR(A113-WEEKDAY(A113-1)+4),1,3)+WEEKDAY(DATE(YEAR(A113-WEEKDAY(A113-1)+4),1,3))+5)/7))</f>
        <v/>
      </c>
      <c r="D113" s="21" t="n"/>
      <c r="E113" s="22" t="n"/>
      <c r="F113" s="23" t="n"/>
      <c r="G113" s="23" t="n"/>
      <c r="H113" s="23" t="n"/>
      <c r="I113" s="20">
        <f>IF(COUNT(F113:H113)=0,"",SUM(F113:H113))</f>
        <v/>
      </c>
      <c r="J113" s="23" t="n"/>
      <c r="K113" s="23" t="n"/>
      <c r="L113" s="23" t="n"/>
      <c r="M113" s="23" t="n"/>
      <c r="N113" s="23" t="n"/>
      <c r="O113" s="20">
        <f>IF(OR(I113="",COUNT(J113:N113)=0),"",IF(SUM(J113:N113)=I113,"✓","⚠ "&amp;SUM(J113:N113)&amp;" statt "&amp;I113))</f>
        <v/>
      </c>
      <c r="P113" s="21" t="n"/>
      <c r="Q113" s="21" t="n"/>
      <c r="R113" s="21" t="n"/>
      <c r="S113" s="24" t="n"/>
      <c r="T113" s="24" t="n"/>
      <c r="V113">
        <f>IF(A113="","",MONTH(A113))</f>
        <v/>
      </c>
      <c r="W113">
        <f>N(W112)+IF(AND(C113&lt;&gt;"",T113&lt;&gt;""),IF(C113=WOCHE!$B$3,1,0),0)</f>
        <v/>
      </c>
      <c r="X113">
        <f>N(X112)+IF(AND(V113&lt;&gt;"",T113&lt;&gt;""),IF(V113=MONAT!$AZ$3,1,0),0)</f>
        <v/>
      </c>
    </row>
    <row r="114">
      <c r="A114" s="19" t="n"/>
      <c r="B114" s="20">
        <f>IF(A114="","",CHOOSE(WEEKDAY(A114,2),"Mo","Di","Mi","Do","Fr","Sa","So"))</f>
        <v/>
      </c>
      <c r="C114" s="20">
        <f>IF(A114="","",INT((A114-DATE(YEAR(A114-WEEKDAY(A114-1)+4),1,3)+WEEKDAY(DATE(YEAR(A114-WEEKDAY(A114-1)+4),1,3))+5)/7))</f>
        <v/>
      </c>
      <c r="D114" s="21" t="n"/>
      <c r="E114" s="22" t="n"/>
      <c r="F114" s="23" t="n"/>
      <c r="G114" s="23" t="n"/>
      <c r="H114" s="23" t="n"/>
      <c r="I114" s="20">
        <f>IF(COUNT(F114:H114)=0,"",SUM(F114:H114))</f>
        <v/>
      </c>
      <c r="J114" s="23" t="n"/>
      <c r="K114" s="23" t="n"/>
      <c r="L114" s="23" t="n"/>
      <c r="M114" s="23" t="n"/>
      <c r="N114" s="23" t="n"/>
      <c r="O114" s="20">
        <f>IF(OR(I114="",COUNT(J114:N114)=0),"",IF(SUM(J114:N114)=I114,"✓","⚠ "&amp;SUM(J114:N114)&amp;" statt "&amp;I114))</f>
        <v/>
      </c>
      <c r="P114" s="21" t="n"/>
      <c r="Q114" s="21" t="n"/>
      <c r="R114" s="21" t="n"/>
      <c r="S114" s="24" t="n"/>
      <c r="T114" s="24" t="n"/>
      <c r="V114">
        <f>IF(A114="","",MONTH(A114))</f>
        <v/>
      </c>
      <c r="W114">
        <f>N(W113)+IF(AND(C114&lt;&gt;"",T114&lt;&gt;""),IF(C114=WOCHE!$B$3,1,0),0)</f>
        <v/>
      </c>
      <c r="X114">
        <f>N(X113)+IF(AND(V114&lt;&gt;"",T114&lt;&gt;""),IF(V114=MONAT!$AZ$3,1,0),0)</f>
        <v/>
      </c>
    </row>
    <row r="115">
      <c r="A115" s="19" t="n"/>
      <c r="B115" s="20">
        <f>IF(A115="","",CHOOSE(WEEKDAY(A115,2),"Mo","Di","Mi","Do","Fr","Sa","So"))</f>
        <v/>
      </c>
      <c r="C115" s="20">
        <f>IF(A115="","",INT((A115-DATE(YEAR(A115-WEEKDAY(A115-1)+4),1,3)+WEEKDAY(DATE(YEAR(A115-WEEKDAY(A115-1)+4),1,3))+5)/7))</f>
        <v/>
      </c>
      <c r="D115" s="21" t="n"/>
      <c r="E115" s="22" t="n"/>
      <c r="F115" s="23" t="n"/>
      <c r="G115" s="23" t="n"/>
      <c r="H115" s="23" t="n"/>
      <c r="I115" s="20">
        <f>IF(COUNT(F115:H115)=0,"",SUM(F115:H115))</f>
        <v/>
      </c>
      <c r="J115" s="23" t="n"/>
      <c r="K115" s="23" t="n"/>
      <c r="L115" s="23" t="n"/>
      <c r="M115" s="23" t="n"/>
      <c r="N115" s="23" t="n"/>
      <c r="O115" s="20">
        <f>IF(OR(I115="",COUNT(J115:N115)=0),"",IF(SUM(J115:N115)=I115,"✓","⚠ "&amp;SUM(J115:N115)&amp;" statt "&amp;I115))</f>
        <v/>
      </c>
      <c r="P115" s="21" t="n"/>
      <c r="Q115" s="21" t="n"/>
      <c r="R115" s="21" t="n"/>
      <c r="S115" s="24" t="n"/>
      <c r="T115" s="24" t="n"/>
      <c r="V115">
        <f>IF(A115="","",MONTH(A115))</f>
        <v/>
      </c>
      <c r="W115">
        <f>N(W114)+IF(AND(C115&lt;&gt;"",T115&lt;&gt;""),IF(C115=WOCHE!$B$3,1,0),0)</f>
        <v/>
      </c>
      <c r="X115">
        <f>N(X114)+IF(AND(V115&lt;&gt;"",T115&lt;&gt;""),IF(V115=MONAT!$AZ$3,1,0),0)</f>
        <v/>
      </c>
    </row>
    <row r="116">
      <c r="A116" s="19" t="n"/>
      <c r="B116" s="20">
        <f>IF(A116="","",CHOOSE(WEEKDAY(A116,2),"Mo","Di","Mi","Do","Fr","Sa","So"))</f>
        <v/>
      </c>
      <c r="C116" s="20">
        <f>IF(A116="","",INT((A116-DATE(YEAR(A116-WEEKDAY(A116-1)+4),1,3)+WEEKDAY(DATE(YEAR(A116-WEEKDAY(A116-1)+4),1,3))+5)/7))</f>
        <v/>
      </c>
      <c r="D116" s="21" t="n"/>
      <c r="E116" s="22" t="n"/>
      <c r="F116" s="23" t="n"/>
      <c r="G116" s="23" t="n"/>
      <c r="H116" s="23" t="n"/>
      <c r="I116" s="20">
        <f>IF(COUNT(F116:H116)=0,"",SUM(F116:H116))</f>
        <v/>
      </c>
      <c r="J116" s="23" t="n"/>
      <c r="K116" s="23" t="n"/>
      <c r="L116" s="23" t="n"/>
      <c r="M116" s="23" t="n"/>
      <c r="N116" s="23" t="n"/>
      <c r="O116" s="20">
        <f>IF(OR(I116="",COUNT(J116:N116)=0),"",IF(SUM(J116:N116)=I116,"✓","⚠ "&amp;SUM(J116:N116)&amp;" statt "&amp;I116))</f>
        <v/>
      </c>
      <c r="P116" s="21" t="n"/>
      <c r="Q116" s="21" t="n"/>
      <c r="R116" s="21" t="n"/>
      <c r="S116" s="24" t="n"/>
      <c r="T116" s="24" t="n"/>
      <c r="V116">
        <f>IF(A116="","",MONTH(A116))</f>
        <v/>
      </c>
      <c r="W116">
        <f>N(W115)+IF(AND(C116&lt;&gt;"",T116&lt;&gt;""),IF(C116=WOCHE!$B$3,1,0),0)</f>
        <v/>
      </c>
      <c r="X116">
        <f>N(X115)+IF(AND(V116&lt;&gt;"",T116&lt;&gt;""),IF(V116=MONAT!$AZ$3,1,0),0)</f>
        <v/>
      </c>
    </row>
    <row r="117">
      <c r="A117" s="19" t="n"/>
      <c r="B117" s="20">
        <f>IF(A117="","",CHOOSE(WEEKDAY(A117,2),"Mo","Di","Mi","Do","Fr","Sa","So"))</f>
        <v/>
      </c>
      <c r="C117" s="20">
        <f>IF(A117="","",INT((A117-DATE(YEAR(A117-WEEKDAY(A117-1)+4),1,3)+WEEKDAY(DATE(YEAR(A117-WEEKDAY(A117-1)+4),1,3))+5)/7))</f>
        <v/>
      </c>
      <c r="D117" s="21" t="n"/>
      <c r="E117" s="22" t="n"/>
      <c r="F117" s="23" t="n"/>
      <c r="G117" s="23" t="n"/>
      <c r="H117" s="23" t="n"/>
      <c r="I117" s="20">
        <f>IF(COUNT(F117:H117)=0,"",SUM(F117:H117))</f>
        <v/>
      </c>
      <c r="J117" s="23" t="n"/>
      <c r="K117" s="23" t="n"/>
      <c r="L117" s="23" t="n"/>
      <c r="M117" s="23" t="n"/>
      <c r="N117" s="23" t="n"/>
      <c r="O117" s="20">
        <f>IF(OR(I117="",COUNT(J117:N117)=0),"",IF(SUM(J117:N117)=I117,"✓","⚠ "&amp;SUM(J117:N117)&amp;" statt "&amp;I117))</f>
        <v/>
      </c>
      <c r="P117" s="21" t="n"/>
      <c r="Q117" s="21" t="n"/>
      <c r="R117" s="21" t="n"/>
      <c r="S117" s="24" t="n"/>
      <c r="T117" s="24" t="n"/>
      <c r="V117">
        <f>IF(A117="","",MONTH(A117))</f>
        <v/>
      </c>
      <c r="W117">
        <f>N(W116)+IF(AND(C117&lt;&gt;"",T117&lt;&gt;""),IF(C117=WOCHE!$B$3,1,0),0)</f>
        <v/>
      </c>
      <c r="X117">
        <f>N(X116)+IF(AND(V117&lt;&gt;"",T117&lt;&gt;""),IF(V117=MONAT!$AZ$3,1,0),0)</f>
        <v/>
      </c>
    </row>
    <row r="118">
      <c r="A118" s="19" t="n"/>
      <c r="B118" s="20">
        <f>IF(A118="","",CHOOSE(WEEKDAY(A118,2),"Mo","Di","Mi","Do","Fr","Sa","So"))</f>
        <v/>
      </c>
      <c r="C118" s="20">
        <f>IF(A118="","",INT((A118-DATE(YEAR(A118-WEEKDAY(A118-1)+4),1,3)+WEEKDAY(DATE(YEAR(A118-WEEKDAY(A118-1)+4),1,3))+5)/7))</f>
        <v/>
      </c>
      <c r="D118" s="21" t="n"/>
      <c r="E118" s="22" t="n"/>
      <c r="F118" s="23" t="n"/>
      <c r="G118" s="23" t="n"/>
      <c r="H118" s="23" t="n"/>
      <c r="I118" s="20">
        <f>IF(COUNT(F118:H118)=0,"",SUM(F118:H118))</f>
        <v/>
      </c>
      <c r="J118" s="23" t="n"/>
      <c r="K118" s="23" t="n"/>
      <c r="L118" s="23" t="n"/>
      <c r="M118" s="23" t="n"/>
      <c r="N118" s="23" t="n"/>
      <c r="O118" s="20">
        <f>IF(OR(I118="",COUNT(J118:N118)=0),"",IF(SUM(J118:N118)=I118,"✓","⚠ "&amp;SUM(J118:N118)&amp;" statt "&amp;I118))</f>
        <v/>
      </c>
      <c r="P118" s="21" t="n"/>
      <c r="Q118" s="21" t="n"/>
      <c r="R118" s="21" t="n"/>
      <c r="S118" s="24" t="n"/>
      <c r="T118" s="24" t="n"/>
      <c r="V118">
        <f>IF(A118="","",MONTH(A118))</f>
        <v/>
      </c>
      <c r="W118">
        <f>N(W117)+IF(AND(C118&lt;&gt;"",T118&lt;&gt;""),IF(C118=WOCHE!$B$3,1,0),0)</f>
        <v/>
      </c>
      <c r="X118">
        <f>N(X117)+IF(AND(V118&lt;&gt;"",T118&lt;&gt;""),IF(V118=MONAT!$AZ$3,1,0),0)</f>
        <v/>
      </c>
    </row>
    <row r="119">
      <c r="A119" s="19" t="n"/>
      <c r="B119" s="20">
        <f>IF(A119="","",CHOOSE(WEEKDAY(A119,2),"Mo","Di","Mi","Do","Fr","Sa","So"))</f>
        <v/>
      </c>
      <c r="C119" s="20">
        <f>IF(A119="","",INT((A119-DATE(YEAR(A119-WEEKDAY(A119-1)+4),1,3)+WEEKDAY(DATE(YEAR(A119-WEEKDAY(A119-1)+4),1,3))+5)/7))</f>
        <v/>
      </c>
      <c r="D119" s="21" t="n"/>
      <c r="E119" s="22" t="n"/>
      <c r="F119" s="23" t="n"/>
      <c r="G119" s="23" t="n"/>
      <c r="H119" s="23" t="n"/>
      <c r="I119" s="20">
        <f>IF(COUNT(F119:H119)=0,"",SUM(F119:H119))</f>
        <v/>
      </c>
      <c r="J119" s="23" t="n"/>
      <c r="K119" s="23" t="n"/>
      <c r="L119" s="23" t="n"/>
      <c r="M119" s="23" t="n"/>
      <c r="N119" s="23" t="n"/>
      <c r="O119" s="20">
        <f>IF(OR(I119="",COUNT(J119:N119)=0),"",IF(SUM(J119:N119)=I119,"✓","⚠ "&amp;SUM(J119:N119)&amp;" statt "&amp;I119))</f>
        <v/>
      </c>
      <c r="P119" s="21" t="n"/>
      <c r="Q119" s="21" t="n"/>
      <c r="R119" s="21" t="n"/>
      <c r="S119" s="24" t="n"/>
      <c r="T119" s="24" t="n"/>
      <c r="V119">
        <f>IF(A119="","",MONTH(A119))</f>
        <v/>
      </c>
      <c r="W119">
        <f>N(W118)+IF(AND(C119&lt;&gt;"",T119&lt;&gt;""),IF(C119=WOCHE!$B$3,1,0),0)</f>
        <v/>
      </c>
      <c r="X119">
        <f>N(X118)+IF(AND(V119&lt;&gt;"",T119&lt;&gt;""),IF(V119=MONAT!$AZ$3,1,0),0)</f>
        <v/>
      </c>
    </row>
    <row r="120">
      <c r="A120" s="19" t="n"/>
      <c r="B120" s="20">
        <f>IF(A120="","",CHOOSE(WEEKDAY(A120,2),"Mo","Di","Mi","Do","Fr","Sa","So"))</f>
        <v/>
      </c>
      <c r="C120" s="20">
        <f>IF(A120="","",INT((A120-DATE(YEAR(A120-WEEKDAY(A120-1)+4),1,3)+WEEKDAY(DATE(YEAR(A120-WEEKDAY(A120-1)+4),1,3))+5)/7))</f>
        <v/>
      </c>
      <c r="D120" s="21" t="n"/>
      <c r="E120" s="22" t="n"/>
      <c r="F120" s="23" t="n"/>
      <c r="G120" s="23" t="n"/>
      <c r="H120" s="23" t="n"/>
      <c r="I120" s="20">
        <f>IF(COUNT(F120:H120)=0,"",SUM(F120:H120))</f>
        <v/>
      </c>
      <c r="J120" s="23" t="n"/>
      <c r="K120" s="23" t="n"/>
      <c r="L120" s="23" t="n"/>
      <c r="M120" s="23" t="n"/>
      <c r="N120" s="23" t="n"/>
      <c r="O120" s="20">
        <f>IF(OR(I120="",COUNT(J120:N120)=0),"",IF(SUM(J120:N120)=I120,"✓","⚠ "&amp;SUM(J120:N120)&amp;" statt "&amp;I120))</f>
        <v/>
      </c>
      <c r="P120" s="21" t="n"/>
      <c r="Q120" s="21" t="n"/>
      <c r="R120" s="21" t="n"/>
      <c r="S120" s="24" t="n"/>
      <c r="T120" s="24" t="n"/>
      <c r="V120">
        <f>IF(A120="","",MONTH(A120))</f>
        <v/>
      </c>
      <c r="W120">
        <f>N(W119)+IF(AND(C120&lt;&gt;"",T120&lt;&gt;""),IF(C120=WOCHE!$B$3,1,0),0)</f>
        <v/>
      </c>
      <c r="X120">
        <f>N(X119)+IF(AND(V120&lt;&gt;"",T120&lt;&gt;""),IF(V120=MONAT!$AZ$3,1,0),0)</f>
        <v/>
      </c>
    </row>
    <row r="121">
      <c r="A121" s="19" t="n"/>
      <c r="B121" s="20">
        <f>IF(A121="","",CHOOSE(WEEKDAY(A121,2),"Mo","Di","Mi","Do","Fr","Sa","So"))</f>
        <v/>
      </c>
      <c r="C121" s="20">
        <f>IF(A121="","",INT((A121-DATE(YEAR(A121-WEEKDAY(A121-1)+4),1,3)+WEEKDAY(DATE(YEAR(A121-WEEKDAY(A121-1)+4),1,3))+5)/7))</f>
        <v/>
      </c>
      <c r="D121" s="21" t="n"/>
      <c r="E121" s="22" t="n"/>
      <c r="F121" s="23" t="n"/>
      <c r="G121" s="23" t="n"/>
      <c r="H121" s="23" t="n"/>
      <c r="I121" s="20">
        <f>IF(COUNT(F121:H121)=0,"",SUM(F121:H121))</f>
        <v/>
      </c>
      <c r="J121" s="23" t="n"/>
      <c r="K121" s="23" t="n"/>
      <c r="L121" s="23" t="n"/>
      <c r="M121" s="23" t="n"/>
      <c r="N121" s="23" t="n"/>
      <c r="O121" s="20">
        <f>IF(OR(I121="",COUNT(J121:N121)=0),"",IF(SUM(J121:N121)=I121,"✓","⚠ "&amp;SUM(J121:N121)&amp;" statt "&amp;I121))</f>
        <v/>
      </c>
      <c r="P121" s="21" t="n"/>
      <c r="Q121" s="21" t="n"/>
      <c r="R121" s="21" t="n"/>
      <c r="S121" s="24" t="n"/>
      <c r="T121" s="24" t="n"/>
      <c r="V121">
        <f>IF(A121="","",MONTH(A121))</f>
        <v/>
      </c>
      <c r="W121">
        <f>N(W120)+IF(AND(C121&lt;&gt;"",T121&lt;&gt;""),IF(C121=WOCHE!$B$3,1,0),0)</f>
        <v/>
      </c>
      <c r="X121">
        <f>N(X120)+IF(AND(V121&lt;&gt;"",T121&lt;&gt;""),IF(V121=MONAT!$AZ$3,1,0),0)</f>
        <v/>
      </c>
    </row>
    <row r="122">
      <c r="A122" s="19" t="n"/>
      <c r="B122" s="20">
        <f>IF(A122="","",CHOOSE(WEEKDAY(A122,2),"Mo","Di","Mi","Do","Fr","Sa","So"))</f>
        <v/>
      </c>
      <c r="C122" s="20">
        <f>IF(A122="","",INT((A122-DATE(YEAR(A122-WEEKDAY(A122-1)+4),1,3)+WEEKDAY(DATE(YEAR(A122-WEEKDAY(A122-1)+4),1,3))+5)/7))</f>
        <v/>
      </c>
      <c r="D122" s="21" t="n"/>
      <c r="E122" s="22" t="n"/>
      <c r="F122" s="23" t="n"/>
      <c r="G122" s="23" t="n"/>
      <c r="H122" s="23" t="n"/>
      <c r="I122" s="20">
        <f>IF(COUNT(F122:H122)=0,"",SUM(F122:H122))</f>
        <v/>
      </c>
      <c r="J122" s="23" t="n"/>
      <c r="K122" s="23" t="n"/>
      <c r="L122" s="23" t="n"/>
      <c r="M122" s="23" t="n"/>
      <c r="N122" s="23" t="n"/>
      <c r="O122" s="20">
        <f>IF(OR(I122="",COUNT(J122:N122)=0),"",IF(SUM(J122:N122)=I122,"✓","⚠ "&amp;SUM(J122:N122)&amp;" statt "&amp;I122))</f>
        <v/>
      </c>
      <c r="P122" s="21" t="n"/>
      <c r="Q122" s="21" t="n"/>
      <c r="R122" s="21" t="n"/>
      <c r="S122" s="24" t="n"/>
      <c r="T122" s="24" t="n"/>
      <c r="V122">
        <f>IF(A122="","",MONTH(A122))</f>
        <v/>
      </c>
      <c r="W122">
        <f>N(W121)+IF(AND(C122&lt;&gt;"",T122&lt;&gt;""),IF(C122=WOCHE!$B$3,1,0),0)</f>
        <v/>
      </c>
      <c r="X122">
        <f>N(X121)+IF(AND(V122&lt;&gt;"",T122&lt;&gt;""),IF(V122=MONAT!$AZ$3,1,0),0)</f>
        <v/>
      </c>
    </row>
    <row r="123">
      <c r="A123" s="19" t="n"/>
      <c r="B123" s="20">
        <f>IF(A123="","",CHOOSE(WEEKDAY(A123,2),"Mo","Di","Mi","Do","Fr","Sa","So"))</f>
        <v/>
      </c>
      <c r="C123" s="20">
        <f>IF(A123="","",INT((A123-DATE(YEAR(A123-WEEKDAY(A123-1)+4),1,3)+WEEKDAY(DATE(YEAR(A123-WEEKDAY(A123-1)+4),1,3))+5)/7))</f>
        <v/>
      </c>
      <c r="D123" s="21" t="n"/>
      <c r="E123" s="22" t="n"/>
      <c r="F123" s="23" t="n"/>
      <c r="G123" s="23" t="n"/>
      <c r="H123" s="23" t="n"/>
      <c r="I123" s="20">
        <f>IF(COUNT(F123:H123)=0,"",SUM(F123:H123))</f>
        <v/>
      </c>
      <c r="J123" s="23" t="n"/>
      <c r="K123" s="23" t="n"/>
      <c r="L123" s="23" t="n"/>
      <c r="M123" s="23" t="n"/>
      <c r="N123" s="23" t="n"/>
      <c r="O123" s="20">
        <f>IF(OR(I123="",COUNT(J123:N123)=0),"",IF(SUM(J123:N123)=I123,"✓","⚠ "&amp;SUM(J123:N123)&amp;" statt "&amp;I123))</f>
        <v/>
      </c>
      <c r="P123" s="21" t="n"/>
      <c r="Q123" s="21" t="n"/>
      <c r="R123" s="21" t="n"/>
      <c r="S123" s="24" t="n"/>
      <c r="T123" s="24" t="n"/>
      <c r="V123">
        <f>IF(A123="","",MONTH(A123))</f>
        <v/>
      </c>
      <c r="W123">
        <f>N(W122)+IF(AND(C123&lt;&gt;"",T123&lt;&gt;""),IF(C123=WOCHE!$B$3,1,0),0)</f>
        <v/>
      </c>
      <c r="X123">
        <f>N(X122)+IF(AND(V123&lt;&gt;"",T123&lt;&gt;""),IF(V123=MONAT!$AZ$3,1,0),0)</f>
        <v/>
      </c>
    </row>
    <row r="124">
      <c r="A124" s="19" t="n"/>
      <c r="B124" s="20">
        <f>IF(A124="","",CHOOSE(WEEKDAY(A124,2),"Mo","Di","Mi","Do","Fr","Sa","So"))</f>
        <v/>
      </c>
      <c r="C124" s="20">
        <f>IF(A124="","",INT((A124-DATE(YEAR(A124-WEEKDAY(A124-1)+4),1,3)+WEEKDAY(DATE(YEAR(A124-WEEKDAY(A124-1)+4),1,3))+5)/7))</f>
        <v/>
      </c>
      <c r="D124" s="21" t="n"/>
      <c r="E124" s="22" t="n"/>
      <c r="F124" s="23" t="n"/>
      <c r="G124" s="23" t="n"/>
      <c r="H124" s="23" t="n"/>
      <c r="I124" s="20">
        <f>IF(COUNT(F124:H124)=0,"",SUM(F124:H124))</f>
        <v/>
      </c>
      <c r="J124" s="23" t="n"/>
      <c r="K124" s="23" t="n"/>
      <c r="L124" s="23" t="n"/>
      <c r="M124" s="23" t="n"/>
      <c r="N124" s="23" t="n"/>
      <c r="O124" s="20">
        <f>IF(OR(I124="",COUNT(J124:N124)=0),"",IF(SUM(J124:N124)=I124,"✓","⚠ "&amp;SUM(J124:N124)&amp;" statt "&amp;I124))</f>
        <v/>
      </c>
      <c r="P124" s="21" t="n"/>
      <c r="Q124" s="21" t="n"/>
      <c r="R124" s="21" t="n"/>
      <c r="S124" s="24" t="n"/>
      <c r="T124" s="24" t="n"/>
      <c r="V124">
        <f>IF(A124="","",MONTH(A124))</f>
        <v/>
      </c>
      <c r="W124">
        <f>N(W123)+IF(AND(C124&lt;&gt;"",T124&lt;&gt;""),IF(C124=WOCHE!$B$3,1,0),0)</f>
        <v/>
      </c>
      <c r="X124">
        <f>N(X123)+IF(AND(V124&lt;&gt;"",T124&lt;&gt;""),IF(V124=MONAT!$AZ$3,1,0),0)</f>
        <v/>
      </c>
    </row>
    <row r="125">
      <c r="A125" s="19" t="n"/>
      <c r="B125" s="20">
        <f>IF(A125="","",CHOOSE(WEEKDAY(A125,2),"Mo","Di","Mi","Do","Fr","Sa","So"))</f>
        <v/>
      </c>
      <c r="C125" s="20">
        <f>IF(A125="","",INT((A125-DATE(YEAR(A125-WEEKDAY(A125-1)+4),1,3)+WEEKDAY(DATE(YEAR(A125-WEEKDAY(A125-1)+4),1,3))+5)/7))</f>
        <v/>
      </c>
      <c r="D125" s="21" t="n"/>
      <c r="E125" s="22" t="n"/>
      <c r="F125" s="23" t="n"/>
      <c r="G125" s="23" t="n"/>
      <c r="H125" s="23" t="n"/>
      <c r="I125" s="20">
        <f>IF(COUNT(F125:H125)=0,"",SUM(F125:H125))</f>
        <v/>
      </c>
      <c r="J125" s="23" t="n"/>
      <c r="K125" s="23" t="n"/>
      <c r="L125" s="23" t="n"/>
      <c r="M125" s="23" t="n"/>
      <c r="N125" s="23" t="n"/>
      <c r="O125" s="20">
        <f>IF(OR(I125="",COUNT(J125:N125)=0),"",IF(SUM(J125:N125)=I125,"✓","⚠ "&amp;SUM(J125:N125)&amp;" statt "&amp;I125))</f>
        <v/>
      </c>
      <c r="P125" s="21" t="n"/>
      <c r="Q125" s="21" t="n"/>
      <c r="R125" s="21" t="n"/>
      <c r="S125" s="24" t="n"/>
      <c r="T125" s="24" t="n"/>
      <c r="V125">
        <f>IF(A125="","",MONTH(A125))</f>
        <v/>
      </c>
      <c r="W125">
        <f>N(W124)+IF(AND(C125&lt;&gt;"",T125&lt;&gt;""),IF(C125=WOCHE!$B$3,1,0),0)</f>
        <v/>
      </c>
      <c r="X125">
        <f>N(X124)+IF(AND(V125&lt;&gt;"",T125&lt;&gt;""),IF(V125=MONAT!$AZ$3,1,0),0)</f>
        <v/>
      </c>
    </row>
    <row r="126">
      <c r="A126" s="19" t="n"/>
      <c r="B126" s="20">
        <f>IF(A126="","",CHOOSE(WEEKDAY(A126,2),"Mo","Di","Mi","Do","Fr","Sa","So"))</f>
        <v/>
      </c>
      <c r="C126" s="20">
        <f>IF(A126="","",INT((A126-DATE(YEAR(A126-WEEKDAY(A126-1)+4),1,3)+WEEKDAY(DATE(YEAR(A126-WEEKDAY(A126-1)+4),1,3))+5)/7))</f>
        <v/>
      </c>
      <c r="D126" s="21" t="n"/>
      <c r="E126" s="22" t="n"/>
      <c r="F126" s="23" t="n"/>
      <c r="G126" s="23" t="n"/>
      <c r="H126" s="23" t="n"/>
      <c r="I126" s="20">
        <f>IF(COUNT(F126:H126)=0,"",SUM(F126:H126))</f>
        <v/>
      </c>
      <c r="J126" s="23" t="n"/>
      <c r="K126" s="23" t="n"/>
      <c r="L126" s="23" t="n"/>
      <c r="M126" s="23" t="n"/>
      <c r="N126" s="23" t="n"/>
      <c r="O126" s="20">
        <f>IF(OR(I126="",COUNT(J126:N126)=0),"",IF(SUM(J126:N126)=I126,"✓","⚠ "&amp;SUM(J126:N126)&amp;" statt "&amp;I126))</f>
        <v/>
      </c>
      <c r="P126" s="21" t="n"/>
      <c r="Q126" s="21" t="n"/>
      <c r="R126" s="21" t="n"/>
      <c r="S126" s="24" t="n"/>
      <c r="T126" s="24" t="n"/>
      <c r="V126">
        <f>IF(A126="","",MONTH(A126))</f>
        <v/>
      </c>
      <c r="W126">
        <f>N(W125)+IF(AND(C126&lt;&gt;"",T126&lt;&gt;""),IF(C126=WOCHE!$B$3,1,0),0)</f>
        <v/>
      </c>
      <c r="X126">
        <f>N(X125)+IF(AND(V126&lt;&gt;"",T126&lt;&gt;""),IF(V126=MONAT!$AZ$3,1,0),0)</f>
        <v/>
      </c>
    </row>
    <row r="127">
      <c r="A127" s="19" t="n"/>
      <c r="B127" s="20">
        <f>IF(A127="","",CHOOSE(WEEKDAY(A127,2),"Mo","Di","Mi","Do","Fr","Sa","So"))</f>
        <v/>
      </c>
      <c r="C127" s="20">
        <f>IF(A127="","",INT((A127-DATE(YEAR(A127-WEEKDAY(A127-1)+4),1,3)+WEEKDAY(DATE(YEAR(A127-WEEKDAY(A127-1)+4),1,3))+5)/7))</f>
        <v/>
      </c>
      <c r="D127" s="21" t="n"/>
      <c r="E127" s="22" t="n"/>
      <c r="F127" s="23" t="n"/>
      <c r="G127" s="23" t="n"/>
      <c r="H127" s="23" t="n"/>
      <c r="I127" s="20">
        <f>IF(COUNT(F127:H127)=0,"",SUM(F127:H127))</f>
        <v/>
      </c>
      <c r="J127" s="23" t="n"/>
      <c r="K127" s="23" t="n"/>
      <c r="L127" s="23" t="n"/>
      <c r="M127" s="23" t="n"/>
      <c r="N127" s="23" t="n"/>
      <c r="O127" s="20">
        <f>IF(OR(I127="",COUNT(J127:N127)=0),"",IF(SUM(J127:N127)=I127,"✓","⚠ "&amp;SUM(J127:N127)&amp;" statt "&amp;I127))</f>
        <v/>
      </c>
      <c r="P127" s="21" t="n"/>
      <c r="Q127" s="21" t="n"/>
      <c r="R127" s="21" t="n"/>
      <c r="S127" s="24" t="n"/>
      <c r="T127" s="24" t="n"/>
      <c r="V127">
        <f>IF(A127="","",MONTH(A127))</f>
        <v/>
      </c>
      <c r="W127">
        <f>N(W126)+IF(AND(C127&lt;&gt;"",T127&lt;&gt;""),IF(C127=WOCHE!$B$3,1,0),0)</f>
        <v/>
      </c>
      <c r="X127">
        <f>N(X126)+IF(AND(V127&lt;&gt;"",T127&lt;&gt;""),IF(V127=MONAT!$AZ$3,1,0),0)</f>
        <v/>
      </c>
    </row>
    <row r="128">
      <c r="A128" s="19" t="n"/>
      <c r="B128" s="20">
        <f>IF(A128="","",CHOOSE(WEEKDAY(A128,2),"Mo","Di","Mi","Do","Fr","Sa","So"))</f>
        <v/>
      </c>
      <c r="C128" s="20">
        <f>IF(A128="","",INT((A128-DATE(YEAR(A128-WEEKDAY(A128-1)+4),1,3)+WEEKDAY(DATE(YEAR(A128-WEEKDAY(A128-1)+4),1,3))+5)/7))</f>
        <v/>
      </c>
      <c r="D128" s="21" t="n"/>
      <c r="E128" s="22" t="n"/>
      <c r="F128" s="23" t="n"/>
      <c r="G128" s="23" t="n"/>
      <c r="H128" s="23" t="n"/>
      <c r="I128" s="20">
        <f>IF(COUNT(F128:H128)=0,"",SUM(F128:H128))</f>
        <v/>
      </c>
      <c r="J128" s="23" t="n"/>
      <c r="K128" s="23" t="n"/>
      <c r="L128" s="23" t="n"/>
      <c r="M128" s="23" t="n"/>
      <c r="N128" s="23" t="n"/>
      <c r="O128" s="20">
        <f>IF(OR(I128="",COUNT(J128:N128)=0),"",IF(SUM(J128:N128)=I128,"✓","⚠ "&amp;SUM(J128:N128)&amp;" statt "&amp;I128))</f>
        <v/>
      </c>
      <c r="P128" s="21" t="n"/>
      <c r="Q128" s="21" t="n"/>
      <c r="R128" s="21" t="n"/>
      <c r="S128" s="24" t="n"/>
      <c r="T128" s="24" t="n"/>
      <c r="V128">
        <f>IF(A128="","",MONTH(A128))</f>
        <v/>
      </c>
      <c r="W128">
        <f>N(W127)+IF(AND(C128&lt;&gt;"",T128&lt;&gt;""),IF(C128=WOCHE!$B$3,1,0),0)</f>
        <v/>
      </c>
      <c r="X128">
        <f>N(X127)+IF(AND(V128&lt;&gt;"",T128&lt;&gt;""),IF(V128=MONAT!$AZ$3,1,0),0)</f>
        <v/>
      </c>
    </row>
    <row r="129">
      <c r="A129" s="19" t="n"/>
      <c r="B129" s="20">
        <f>IF(A129="","",CHOOSE(WEEKDAY(A129,2),"Mo","Di","Mi","Do","Fr","Sa","So"))</f>
        <v/>
      </c>
      <c r="C129" s="20">
        <f>IF(A129="","",INT((A129-DATE(YEAR(A129-WEEKDAY(A129-1)+4),1,3)+WEEKDAY(DATE(YEAR(A129-WEEKDAY(A129-1)+4),1,3))+5)/7))</f>
        <v/>
      </c>
      <c r="D129" s="21" t="n"/>
      <c r="E129" s="22" t="n"/>
      <c r="F129" s="23" t="n"/>
      <c r="G129" s="23" t="n"/>
      <c r="H129" s="23" t="n"/>
      <c r="I129" s="20">
        <f>IF(COUNT(F129:H129)=0,"",SUM(F129:H129))</f>
        <v/>
      </c>
      <c r="J129" s="23" t="n"/>
      <c r="K129" s="23" t="n"/>
      <c r="L129" s="23" t="n"/>
      <c r="M129" s="23" t="n"/>
      <c r="N129" s="23" t="n"/>
      <c r="O129" s="20">
        <f>IF(OR(I129="",COUNT(J129:N129)=0),"",IF(SUM(J129:N129)=I129,"✓","⚠ "&amp;SUM(J129:N129)&amp;" statt "&amp;I129))</f>
        <v/>
      </c>
      <c r="P129" s="21" t="n"/>
      <c r="Q129" s="21" t="n"/>
      <c r="R129" s="21" t="n"/>
      <c r="S129" s="24" t="n"/>
      <c r="T129" s="24" t="n"/>
      <c r="V129">
        <f>IF(A129="","",MONTH(A129))</f>
        <v/>
      </c>
      <c r="W129">
        <f>N(W128)+IF(AND(C129&lt;&gt;"",T129&lt;&gt;""),IF(C129=WOCHE!$B$3,1,0),0)</f>
        <v/>
      </c>
      <c r="X129">
        <f>N(X128)+IF(AND(V129&lt;&gt;"",T129&lt;&gt;""),IF(V129=MONAT!$AZ$3,1,0),0)</f>
        <v/>
      </c>
    </row>
    <row r="130">
      <c r="A130" s="19" t="n"/>
      <c r="B130" s="20">
        <f>IF(A130="","",CHOOSE(WEEKDAY(A130,2),"Mo","Di","Mi","Do","Fr","Sa","So"))</f>
        <v/>
      </c>
      <c r="C130" s="20">
        <f>IF(A130="","",INT((A130-DATE(YEAR(A130-WEEKDAY(A130-1)+4),1,3)+WEEKDAY(DATE(YEAR(A130-WEEKDAY(A130-1)+4),1,3))+5)/7))</f>
        <v/>
      </c>
      <c r="D130" s="21" t="n"/>
      <c r="E130" s="22" t="n"/>
      <c r="F130" s="23" t="n"/>
      <c r="G130" s="23" t="n"/>
      <c r="H130" s="23" t="n"/>
      <c r="I130" s="20">
        <f>IF(COUNT(F130:H130)=0,"",SUM(F130:H130))</f>
        <v/>
      </c>
      <c r="J130" s="23" t="n"/>
      <c r="K130" s="23" t="n"/>
      <c r="L130" s="23" t="n"/>
      <c r="M130" s="23" t="n"/>
      <c r="N130" s="23" t="n"/>
      <c r="O130" s="20">
        <f>IF(OR(I130="",COUNT(J130:N130)=0),"",IF(SUM(J130:N130)=I130,"✓","⚠ "&amp;SUM(J130:N130)&amp;" statt "&amp;I130))</f>
        <v/>
      </c>
      <c r="P130" s="21" t="n"/>
      <c r="Q130" s="21" t="n"/>
      <c r="R130" s="21" t="n"/>
      <c r="S130" s="24" t="n"/>
      <c r="T130" s="24" t="n"/>
      <c r="V130">
        <f>IF(A130="","",MONTH(A130))</f>
        <v/>
      </c>
      <c r="W130">
        <f>N(W129)+IF(AND(C130&lt;&gt;"",T130&lt;&gt;""),IF(C130=WOCHE!$B$3,1,0),0)</f>
        <v/>
      </c>
      <c r="X130">
        <f>N(X129)+IF(AND(V130&lt;&gt;"",T130&lt;&gt;""),IF(V130=MONAT!$AZ$3,1,0),0)</f>
        <v/>
      </c>
    </row>
    <row r="131">
      <c r="A131" s="19" t="n"/>
      <c r="B131" s="20">
        <f>IF(A131="","",CHOOSE(WEEKDAY(A131,2),"Mo","Di","Mi","Do","Fr","Sa","So"))</f>
        <v/>
      </c>
      <c r="C131" s="20">
        <f>IF(A131="","",INT((A131-DATE(YEAR(A131-WEEKDAY(A131-1)+4),1,3)+WEEKDAY(DATE(YEAR(A131-WEEKDAY(A131-1)+4),1,3))+5)/7))</f>
        <v/>
      </c>
      <c r="D131" s="21" t="n"/>
      <c r="E131" s="22" t="n"/>
      <c r="F131" s="23" t="n"/>
      <c r="G131" s="23" t="n"/>
      <c r="H131" s="23" t="n"/>
      <c r="I131" s="20">
        <f>IF(COUNT(F131:H131)=0,"",SUM(F131:H131))</f>
        <v/>
      </c>
      <c r="J131" s="23" t="n"/>
      <c r="K131" s="23" t="n"/>
      <c r="L131" s="23" t="n"/>
      <c r="M131" s="23" t="n"/>
      <c r="N131" s="23" t="n"/>
      <c r="O131" s="20">
        <f>IF(OR(I131="",COUNT(J131:N131)=0),"",IF(SUM(J131:N131)=I131,"✓","⚠ "&amp;SUM(J131:N131)&amp;" statt "&amp;I131))</f>
        <v/>
      </c>
      <c r="P131" s="21" t="n"/>
      <c r="Q131" s="21" t="n"/>
      <c r="R131" s="21" t="n"/>
      <c r="S131" s="24" t="n"/>
      <c r="T131" s="24" t="n"/>
      <c r="V131">
        <f>IF(A131="","",MONTH(A131))</f>
        <v/>
      </c>
      <c r="W131">
        <f>N(W130)+IF(AND(C131&lt;&gt;"",T131&lt;&gt;""),IF(C131=WOCHE!$B$3,1,0),0)</f>
        <v/>
      </c>
      <c r="X131">
        <f>N(X130)+IF(AND(V131&lt;&gt;"",T131&lt;&gt;""),IF(V131=MONAT!$AZ$3,1,0),0)</f>
        <v/>
      </c>
    </row>
    <row r="132">
      <c r="A132" s="19" t="n"/>
      <c r="B132" s="20">
        <f>IF(A132="","",CHOOSE(WEEKDAY(A132,2),"Mo","Di","Mi","Do","Fr","Sa","So"))</f>
        <v/>
      </c>
      <c r="C132" s="20">
        <f>IF(A132="","",INT((A132-DATE(YEAR(A132-WEEKDAY(A132-1)+4),1,3)+WEEKDAY(DATE(YEAR(A132-WEEKDAY(A132-1)+4),1,3))+5)/7))</f>
        <v/>
      </c>
      <c r="D132" s="21" t="n"/>
      <c r="E132" s="22" t="n"/>
      <c r="F132" s="23" t="n"/>
      <c r="G132" s="23" t="n"/>
      <c r="H132" s="23" t="n"/>
      <c r="I132" s="20">
        <f>IF(COUNT(F132:H132)=0,"",SUM(F132:H132))</f>
        <v/>
      </c>
      <c r="J132" s="23" t="n"/>
      <c r="K132" s="23" t="n"/>
      <c r="L132" s="23" t="n"/>
      <c r="M132" s="23" t="n"/>
      <c r="N132" s="23" t="n"/>
      <c r="O132" s="20">
        <f>IF(OR(I132="",COUNT(J132:N132)=0),"",IF(SUM(J132:N132)=I132,"✓","⚠ "&amp;SUM(J132:N132)&amp;" statt "&amp;I132))</f>
        <v/>
      </c>
      <c r="P132" s="21" t="n"/>
      <c r="Q132" s="21" t="n"/>
      <c r="R132" s="21" t="n"/>
      <c r="S132" s="24" t="n"/>
      <c r="T132" s="24" t="n"/>
      <c r="V132">
        <f>IF(A132="","",MONTH(A132))</f>
        <v/>
      </c>
      <c r="W132">
        <f>N(W131)+IF(AND(C132&lt;&gt;"",T132&lt;&gt;""),IF(C132=WOCHE!$B$3,1,0),0)</f>
        <v/>
      </c>
      <c r="X132">
        <f>N(X131)+IF(AND(V132&lt;&gt;"",T132&lt;&gt;""),IF(V132=MONAT!$AZ$3,1,0),0)</f>
        <v/>
      </c>
    </row>
    <row r="133">
      <c r="A133" s="19" t="n"/>
      <c r="B133" s="20">
        <f>IF(A133="","",CHOOSE(WEEKDAY(A133,2),"Mo","Di","Mi","Do","Fr","Sa","So"))</f>
        <v/>
      </c>
      <c r="C133" s="20">
        <f>IF(A133="","",INT((A133-DATE(YEAR(A133-WEEKDAY(A133-1)+4),1,3)+WEEKDAY(DATE(YEAR(A133-WEEKDAY(A133-1)+4),1,3))+5)/7))</f>
        <v/>
      </c>
      <c r="D133" s="21" t="n"/>
      <c r="E133" s="22" t="n"/>
      <c r="F133" s="23" t="n"/>
      <c r="G133" s="23" t="n"/>
      <c r="H133" s="23" t="n"/>
      <c r="I133" s="20">
        <f>IF(COUNT(F133:H133)=0,"",SUM(F133:H133))</f>
        <v/>
      </c>
      <c r="J133" s="23" t="n"/>
      <c r="K133" s="23" t="n"/>
      <c r="L133" s="23" t="n"/>
      <c r="M133" s="23" t="n"/>
      <c r="N133" s="23" t="n"/>
      <c r="O133" s="20">
        <f>IF(OR(I133="",COUNT(J133:N133)=0),"",IF(SUM(J133:N133)=I133,"✓","⚠ "&amp;SUM(J133:N133)&amp;" statt "&amp;I133))</f>
        <v/>
      </c>
      <c r="P133" s="21" t="n"/>
      <c r="Q133" s="21" t="n"/>
      <c r="R133" s="21" t="n"/>
      <c r="S133" s="24" t="n"/>
      <c r="T133" s="24" t="n"/>
      <c r="V133">
        <f>IF(A133="","",MONTH(A133))</f>
        <v/>
      </c>
      <c r="W133">
        <f>N(W132)+IF(AND(C133&lt;&gt;"",T133&lt;&gt;""),IF(C133=WOCHE!$B$3,1,0),0)</f>
        <v/>
      </c>
      <c r="X133">
        <f>N(X132)+IF(AND(V133&lt;&gt;"",T133&lt;&gt;""),IF(V133=MONAT!$AZ$3,1,0),0)</f>
        <v/>
      </c>
    </row>
    <row r="134">
      <c r="A134" s="19" t="n"/>
      <c r="B134" s="20">
        <f>IF(A134="","",CHOOSE(WEEKDAY(A134,2),"Mo","Di","Mi","Do","Fr","Sa","So"))</f>
        <v/>
      </c>
      <c r="C134" s="20">
        <f>IF(A134="","",INT((A134-DATE(YEAR(A134-WEEKDAY(A134-1)+4),1,3)+WEEKDAY(DATE(YEAR(A134-WEEKDAY(A134-1)+4),1,3))+5)/7))</f>
        <v/>
      </c>
      <c r="D134" s="21" t="n"/>
      <c r="E134" s="22" t="n"/>
      <c r="F134" s="23" t="n"/>
      <c r="G134" s="23" t="n"/>
      <c r="H134" s="23" t="n"/>
      <c r="I134" s="20">
        <f>IF(COUNT(F134:H134)=0,"",SUM(F134:H134))</f>
        <v/>
      </c>
      <c r="J134" s="23" t="n"/>
      <c r="K134" s="23" t="n"/>
      <c r="L134" s="23" t="n"/>
      <c r="M134" s="23" t="n"/>
      <c r="N134" s="23" t="n"/>
      <c r="O134" s="20">
        <f>IF(OR(I134="",COUNT(J134:N134)=0),"",IF(SUM(J134:N134)=I134,"✓","⚠ "&amp;SUM(J134:N134)&amp;" statt "&amp;I134))</f>
        <v/>
      </c>
      <c r="P134" s="21" t="n"/>
      <c r="Q134" s="21" t="n"/>
      <c r="R134" s="21" t="n"/>
      <c r="S134" s="24" t="n"/>
      <c r="T134" s="24" t="n"/>
      <c r="V134">
        <f>IF(A134="","",MONTH(A134))</f>
        <v/>
      </c>
      <c r="W134">
        <f>N(W133)+IF(AND(C134&lt;&gt;"",T134&lt;&gt;""),IF(C134=WOCHE!$B$3,1,0),0)</f>
        <v/>
      </c>
      <c r="X134">
        <f>N(X133)+IF(AND(V134&lt;&gt;"",T134&lt;&gt;""),IF(V134=MONAT!$AZ$3,1,0),0)</f>
        <v/>
      </c>
    </row>
    <row r="135">
      <c r="A135" s="19" t="n"/>
      <c r="B135" s="20">
        <f>IF(A135="","",CHOOSE(WEEKDAY(A135,2),"Mo","Di","Mi","Do","Fr","Sa","So"))</f>
        <v/>
      </c>
      <c r="C135" s="20">
        <f>IF(A135="","",INT((A135-DATE(YEAR(A135-WEEKDAY(A135-1)+4),1,3)+WEEKDAY(DATE(YEAR(A135-WEEKDAY(A135-1)+4),1,3))+5)/7))</f>
        <v/>
      </c>
      <c r="D135" s="21" t="n"/>
      <c r="E135" s="22" t="n"/>
      <c r="F135" s="23" t="n"/>
      <c r="G135" s="23" t="n"/>
      <c r="H135" s="23" t="n"/>
      <c r="I135" s="20">
        <f>IF(COUNT(F135:H135)=0,"",SUM(F135:H135))</f>
        <v/>
      </c>
      <c r="J135" s="23" t="n"/>
      <c r="K135" s="23" t="n"/>
      <c r="L135" s="23" t="n"/>
      <c r="M135" s="23" t="n"/>
      <c r="N135" s="23" t="n"/>
      <c r="O135" s="20">
        <f>IF(OR(I135="",COUNT(J135:N135)=0),"",IF(SUM(J135:N135)=I135,"✓","⚠ "&amp;SUM(J135:N135)&amp;" statt "&amp;I135))</f>
        <v/>
      </c>
      <c r="P135" s="21" t="n"/>
      <c r="Q135" s="21" t="n"/>
      <c r="R135" s="21" t="n"/>
      <c r="S135" s="24" t="n"/>
      <c r="T135" s="24" t="n"/>
      <c r="V135">
        <f>IF(A135="","",MONTH(A135))</f>
        <v/>
      </c>
      <c r="W135">
        <f>N(W134)+IF(AND(C135&lt;&gt;"",T135&lt;&gt;""),IF(C135=WOCHE!$B$3,1,0),0)</f>
        <v/>
      </c>
      <c r="X135">
        <f>N(X134)+IF(AND(V135&lt;&gt;"",T135&lt;&gt;""),IF(V135=MONAT!$AZ$3,1,0),0)</f>
        <v/>
      </c>
    </row>
    <row r="136">
      <c r="A136" s="19" t="n"/>
      <c r="B136" s="20">
        <f>IF(A136="","",CHOOSE(WEEKDAY(A136,2),"Mo","Di","Mi","Do","Fr","Sa","So"))</f>
        <v/>
      </c>
      <c r="C136" s="20">
        <f>IF(A136="","",INT((A136-DATE(YEAR(A136-WEEKDAY(A136-1)+4),1,3)+WEEKDAY(DATE(YEAR(A136-WEEKDAY(A136-1)+4),1,3))+5)/7))</f>
        <v/>
      </c>
      <c r="D136" s="21" t="n"/>
      <c r="E136" s="22" t="n"/>
      <c r="F136" s="23" t="n"/>
      <c r="G136" s="23" t="n"/>
      <c r="H136" s="23" t="n"/>
      <c r="I136" s="20">
        <f>IF(COUNT(F136:H136)=0,"",SUM(F136:H136))</f>
        <v/>
      </c>
      <c r="J136" s="23" t="n"/>
      <c r="K136" s="23" t="n"/>
      <c r="L136" s="23" t="n"/>
      <c r="M136" s="23" t="n"/>
      <c r="N136" s="23" t="n"/>
      <c r="O136" s="20">
        <f>IF(OR(I136="",COUNT(J136:N136)=0),"",IF(SUM(J136:N136)=I136,"✓","⚠ "&amp;SUM(J136:N136)&amp;" statt "&amp;I136))</f>
        <v/>
      </c>
      <c r="P136" s="21" t="n"/>
      <c r="Q136" s="21" t="n"/>
      <c r="R136" s="21" t="n"/>
      <c r="S136" s="24" t="n"/>
      <c r="T136" s="24" t="n"/>
      <c r="V136">
        <f>IF(A136="","",MONTH(A136))</f>
        <v/>
      </c>
      <c r="W136">
        <f>N(W135)+IF(AND(C136&lt;&gt;"",T136&lt;&gt;""),IF(C136=WOCHE!$B$3,1,0),0)</f>
        <v/>
      </c>
      <c r="X136">
        <f>N(X135)+IF(AND(V136&lt;&gt;"",T136&lt;&gt;""),IF(V136=MONAT!$AZ$3,1,0),0)</f>
        <v/>
      </c>
    </row>
    <row r="137">
      <c r="A137" s="19" t="n"/>
      <c r="B137" s="20">
        <f>IF(A137="","",CHOOSE(WEEKDAY(A137,2),"Mo","Di","Mi","Do","Fr","Sa","So"))</f>
        <v/>
      </c>
      <c r="C137" s="20">
        <f>IF(A137="","",INT((A137-DATE(YEAR(A137-WEEKDAY(A137-1)+4),1,3)+WEEKDAY(DATE(YEAR(A137-WEEKDAY(A137-1)+4),1,3))+5)/7))</f>
        <v/>
      </c>
      <c r="D137" s="21" t="n"/>
      <c r="E137" s="22" t="n"/>
      <c r="F137" s="23" t="n"/>
      <c r="G137" s="23" t="n"/>
      <c r="H137" s="23" t="n"/>
      <c r="I137" s="20">
        <f>IF(COUNT(F137:H137)=0,"",SUM(F137:H137))</f>
        <v/>
      </c>
      <c r="J137" s="23" t="n"/>
      <c r="K137" s="23" t="n"/>
      <c r="L137" s="23" t="n"/>
      <c r="M137" s="23" t="n"/>
      <c r="N137" s="23" t="n"/>
      <c r="O137" s="20">
        <f>IF(OR(I137="",COUNT(J137:N137)=0),"",IF(SUM(J137:N137)=I137,"✓","⚠ "&amp;SUM(J137:N137)&amp;" statt "&amp;I137))</f>
        <v/>
      </c>
      <c r="P137" s="21" t="n"/>
      <c r="Q137" s="21" t="n"/>
      <c r="R137" s="21" t="n"/>
      <c r="S137" s="24" t="n"/>
      <c r="T137" s="24" t="n"/>
      <c r="V137">
        <f>IF(A137="","",MONTH(A137))</f>
        <v/>
      </c>
      <c r="W137">
        <f>N(W136)+IF(AND(C137&lt;&gt;"",T137&lt;&gt;""),IF(C137=WOCHE!$B$3,1,0),0)</f>
        <v/>
      </c>
      <c r="X137">
        <f>N(X136)+IF(AND(V137&lt;&gt;"",T137&lt;&gt;""),IF(V137=MONAT!$AZ$3,1,0),0)</f>
        <v/>
      </c>
    </row>
    <row r="138">
      <c r="A138" s="19" t="n"/>
      <c r="B138" s="20">
        <f>IF(A138="","",CHOOSE(WEEKDAY(A138,2),"Mo","Di","Mi","Do","Fr","Sa","So"))</f>
        <v/>
      </c>
      <c r="C138" s="20">
        <f>IF(A138="","",INT((A138-DATE(YEAR(A138-WEEKDAY(A138-1)+4),1,3)+WEEKDAY(DATE(YEAR(A138-WEEKDAY(A138-1)+4),1,3))+5)/7))</f>
        <v/>
      </c>
      <c r="D138" s="21" t="n"/>
      <c r="E138" s="22" t="n"/>
      <c r="F138" s="23" t="n"/>
      <c r="G138" s="23" t="n"/>
      <c r="H138" s="23" t="n"/>
      <c r="I138" s="20">
        <f>IF(COUNT(F138:H138)=0,"",SUM(F138:H138))</f>
        <v/>
      </c>
      <c r="J138" s="23" t="n"/>
      <c r="K138" s="23" t="n"/>
      <c r="L138" s="23" t="n"/>
      <c r="M138" s="23" t="n"/>
      <c r="N138" s="23" t="n"/>
      <c r="O138" s="20">
        <f>IF(OR(I138="",COUNT(J138:N138)=0),"",IF(SUM(J138:N138)=I138,"✓","⚠ "&amp;SUM(J138:N138)&amp;" statt "&amp;I138))</f>
        <v/>
      </c>
      <c r="P138" s="21" t="n"/>
      <c r="Q138" s="21" t="n"/>
      <c r="R138" s="21" t="n"/>
      <c r="S138" s="24" t="n"/>
      <c r="T138" s="24" t="n"/>
      <c r="V138">
        <f>IF(A138="","",MONTH(A138))</f>
        <v/>
      </c>
      <c r="W138">
        <f>N(W137)+IF(AND(C138&lt;&gt;"",T138&lt;&gt;""),IF(C138=WOCHE!$B$3,1,0),0)</f>
        <v/>
      </c>
      <c r="X138">
        <f>N(X137)+IF(AND(V138&lt;&gt;"",T138&lt;&gt;""),IF(V138=MONAT!$AZ$3,1,0),0)</f>
        <v/>
      </c>
    </row>
    <row r="139">
      <c r="A139" s="19" t="n"/>
      <c r="B139" s="20">
        <f>IF(A139="","",CHOOSE(WEEKDAY(A139,2),"Mo","Di","Mi","Do","Fr","Sa","So"))</f>
        <v/>
      </c>
      <c r="C139" s="20">
        <f>IF(A139="","",INT((A139-DATE(YEAR(A139-WEEKDAY(A139-1)+4),1,3)+WEEKDAY(DATE(YEAR(A139-WEEKDAY(A139-1)+4),1,3))+5)/7))</f>
        <v/>
      </c>
      <c r="D139" s="21" t="n"/>
      <c r="E139" s="22" t="n"/>
      <c r="F139" s="23" t="n"/>
      <c r="G139" s="23" t="n"/>
      <c r="H139" s="23" t="n"/>
      <c r="I139" s="20">
        <f>IF(COUNT(F139:H139)=0,"",SUM(F139:H139))</f>
        <v/>
      </c>
      <c r="J139" s="23" t="n"/>
      <c r="K139" s="23" t="n"/>
      <c r="L139" s="23" t="n"/>
      <c r="M139" s="23" t="n"/>
      <c r="N139" s="23" t="n"/>
      <c r="O139" s="20">
        <f>IF(OR(I139="",COUNT(J139:N139)=0),"",IF(SUM(J139:N139)=I139,"✓","⚠ "&amp;SUM(J139:N139)&amp;" statt "&amp;I139))</f>
        <v/>
      </c>
      <c r="P139" s="21" t="n"/>
      <c r="Q139" s="21" t="n"/>
      <c r="R139" s="21" t="n"/>
      <c r="S139" s="24" t="n"/>
      <c r="T139" s="24" t="n"/>
      <c r="V139">
        <f>IF(A139="","",MONTH(A139))</f>
        <v/>
      </c>
      <c r="W139">
        <f>N(W138)+IF(AND(C139&lt;&gt;"",T139&lt;&gt;""),IF(C139=WOCHE!$B$3,1,0),0)</f>
        <v/>
      </c>
      <c r="X139">
        <f>N(X138)+IF(AND(V139&lt;&gt;"",T139&lt;&gt;""),IF(V139=MONAT!$AZ$3,1,0),0)</f>
        <v/>
      </c>
    </row>
    <row r="140">
      <c r="A140" s="19" t="n"/>
      <c r="B140" s="20">
        <f>IF(A140="","",CHOOSE(WEEKDAY(A140,2),"Mo","Di","Mi","Do","Fr","Sa","So"))</f>
        <v/>
      </c>
      <c r="C140" s="20">
        <f>IF(A140="","",INT((A140-DATE(YEAR(A140-WEEKDAY(A140-1)+4),1,3)+WEEKDAY(DATE(YEAR(A140-WEEKDAY(A140-1)+4),1,3))+5)/7))</f>
        <v/>
      </c>
      <c r="D140" s="21" t="n"/>
      <c r="E140" s="22" t="n"/>
      <c r="F140" s="23" t="n"/>
      <c r="G140" s="23" t="n"/>
      <c r="H140" s="23" t="n"/>
      <c r="I140" s="20">
        <f>IF(COUNT(F140:H140)=0,"",SUM(F140:H140))</f>
        <v/>
      </c>
      <c r="J140" s="23" t="n"/>
      <c r="K140" s="23" t="n"/>
      <c r="L140" s="23" t="n"/>
      <c r="M140" s="23" t="n"/>
      <c r="N140" s="23" t="n"/>
      <c r="O140" s="20">
        <f>IF(OR(I140="",COUNT(J140:N140)=0),"",IF(SUM(J140:N140)=I140,"✓","⚠ "&amp;SUM(J140:N140)&amp;" statt "&amp;I140))</f>
        <v/>
      </c>
      <c r="P140" s="21" t="n"/>
      <c r="Q140" s="21" t="n"/>
      <c r="R140" s="21" t="n"/>
      <c r="S140" s="24" t="n"/>
      <c r="T140" s="24" t="n"/>
      <c r="V140">
        <f>IF(A140="","",MONTH(A140))</f>
        <v/>
      </c>
      <c r="W140">
        <f>N(W139)+IF(AND(C140&lt;&gt;"",T140&lt;&gt;""),IF(C140=WOCHE!$B$3,1,0),0)</f>
        <v/>
      </c>
      <c r="X140">
        <f>N(X139)+IF(AND(V140&lt;&gt;"",T140&lt;&gt;""),IF(V140=MONAT!$AZ$3,1,0),0)</f>
        <v/>
      </c>
    </row>
    <row r="141">
      <c r="A141" s="19" t="n"/>
      <c r="B141" s="20">
        <f>IF(A141="","",CHOOSE(WEEKDAY(A141,2),"Mo","Di","Mi","Do","Fr","Sa","So"))</f>
        <v/>
      </c>
      <c r="C141" s="20">
        <f>IF(A141="","",INT((A141-DATE(YEAR(A141-WEEKDAY(A141-1)+4),1,3)+WEEKDAY(DATE(YEAR(A141-WEEKDAY(A141-1)+4),1,3))+5)/7))</f>
        <v/>
      </c>
      <c r="D141" s="21" t="n"/>
      <c r="E141" s="22" t="n"/>
      <c r="F141" s="23" t="n"/>
      <c r="G141" s="23" t="n"/>
      <c r="H141" s="23" t="n"/>
      <c r="I141" s="20">
        <f>IF(COUNT(F141:H141)=0,"",SUM(F141:H141))</f>
        <v/>
      </c>
      <c r="J141" s="23" t="n"/>
      <c r="K141" s="23" t="n"/>
      <c r="L141" s="23" t="n"/>
      <c r="M141" s="23" t="n"/>
      <c r="N141" s="23" t="n"/>
      <c r="O141" s="20">
        <f>IF(OR(I141="",COUNT(J141:N141)=0),"",IF(SUM(J141:N141)=I141,"✓","⚠ "&amp;SUM(J141:N141)&amp;" statt "&amp;I141))</f>
        <v/>
      </c>
      <c r="P141" s="21" t="n"/>
      <c r="Q141" s="21" t="n"/>
      <c r="R141" s="21" t="n"/>
      <c r="S141" s="24" t="n"/>
      <c r="T141" s="24" t="n"/>
      <c r="V141">
        <f>IF(A141="","",MONTH(A141))</f>
        <v/>
      </c>
      <c r="W141">
        <f>N(W140)+IF(AND(C141&lt;&gt;"",T141&lt;&gt;""),IF(C141=WOCHE!$B$3,1,0),0)</f>
        <v/>
      </c>
      <c r="X141">
        <f>N(X140)+IF(AND(V141&lt;&gt;"",T141&lt;&gt;""),IF(V141=MONAT!$AZ$3,1,0),0)</f>
        <v/>
      </c>
    </row>
    <row r="142">
      <c r="A142" s="19" t="n"/>
      <c r="B142" s="20">
        <f>IF(A142="","",CHOOSE(WEEKDAY(A142,2),"Mo","Di","Mi","Do","Fr","Sa","So"))</f>
        <v/>
      </c>
      <c r="C142" s="20">
        <f>IF(A142="","",INT((A142-DATE(YEAR(A142-WEEKDAY(A142-1)+4),1,3)+WEEKDAY(DATE(YEAR(A142-WEEKDAY(A142-1)+4),1,3))+5)/7))</f>
        <v/>
      </c>
      <c r="D142" s="21" t="n"/>
      <c r="E142" s="22" t="n"/>
      <c r="F142" s="23" t="n"/>
      <c r="G142" s="23" t="n"/>
      <c r="H142" s="23" t="n"/>
      <c r="I142" s="20">
        <f>IF(COUNT(F142:H142)=0,"",SUM(F142:H142))</f>
        <v/>
      </c>
      <c r="J142" s="23" t="n"/>
      <c r="K142" s="23" t="n"/>
      <c r="L142" s="23" t="n"/>
      <c r="M142" s="23" t="n"/>
      <c r="N142" s="23" t="n"/>
      <c r="O142" s="20">
        <f>IF(OR(I142="",COUNT(J142:N142)=0),"",IF(SUM(J142:N142)=I142,"✓","⚠ "&amp;SUM(J142:N142)&amp;" statt "&amp;I142))</f>
        <v/>
      </c>
      <c r="P142" s="21" t="n"/>
      <c r="Q142" s="21" t="n"/>
      <c r="R142" s="21" t="n"/>
      <c r="S142" s="24" t="n"/>
      <c r="T142" s="24" t="n"/>
      <c r="V142">
        <f>IF(A142="","",MONTH(A142))</f>
        <v/>
      </c>
      <c r="W142">
        <f>N(W141)+IF(AND(C142&lt;&gt;"",T142&lt;&gt;""),IF(C142=WOCHE!$B$3,1,0),0)</f>
        <v/>
      </c>
      <c r="X142">
        <f>N(X141)+IF(AND(V142&lt;&gt;"",T142&lt;&gt;""),IF(V142=MONAT!$AZ$3,1,0),0)</f>
        <v/>
      </c>
    </row>
    <row r="143">
      <c r="A143" s="19" t="n"/>
      <c r="B143" s="20">
        <f>IF(A143="","",CHOOSE(WEEKDAY(A143,2),"Mo","Di","Mi","Do","Fr","Sa","So"))</f>
        <v/>
      </c>
      <c r="C143" s="20">
        <f>IF(A143="","",INT((A143-DATE(YEAR(A143-WEEKDAY(A143-1)+4),1,3)+WEEKDAY(DATE(YEAR(A143-WEEKDAY(A143-1)+4),1,3))+5)/7))</f>
        <v/>
      </c>
      <c r="D143" s="21" t="n"/>
      <c r="E143" s="22" t="n"/>
      <c r="F143" s="23" t="n"/>
      <c r="G143" s="23" t="n"/>
      <c r="H143" s="23" t="n"/>
      <c r="I143" s="20">
        <f>IF(COUNT(F143:H143)=0,"",SUM(F143:H143))</f>
        <v/>
      </c>
      <c r="J143" s="23" t="n"/>
      <c r="K143" s="23" t="n"/>
      <c r="L143" s="23" t="n"/>
      <c r="M143" s="23" t="n"/>
      <c r="N143" s="23" t="n"/>
      <c r="O143" s="20">
        <f>IF(OR(I143="",COUNT(J143:N143)=0),"",IF(SUM(J143:N143)=I143,"✓","⚠ "&amp;SUM(J143:N143)&amp;" statt "&amp;I143))</f>
        <v/>
      </c>
      <c r="P143" s="21" t="n"/>
      <c r="Q143" s="21" t="n"/>
      <c r="R143" s="21" t="n"/>
      <c r="S143" s="24" t="n"/>
      <c r="T143" s="24" t="n"/>
      <c r="V143">
        <f>IF(A143="","",MONTH(A143))</f>
        <v/>
      </c>
      <c r="W143">
        <f>N(W142)+IF(AND(C143&lt;&gt;"",T143&lt;&gt;""),IF(C143=WOCHE!$B$3,1,0),0)</f>
        <v/>
      </c>
      <c r="X143">
        <f>N(X142)+IF(AND(V143&lt;&gt;"",T143&lt;&gt;""),IF(V143=MONAT!$AZ$3,1,0),0)</f>
        <v/>
      </c>
    </row>
    <row r="144">
      <c r="A144" s="19" t="n"/>
      <c r="B144" s="20">
        <f>IF(A144="","",CHOOSE(WEEKDAY(A144,2),"Mo","Di","Mi","Do","Fr","Sa","So"))</f>
        <v/>
      </c>
      <c r="C144" s="20">
        <f>IF(A144="","",INT((A144-DATE(YEAR(A144-WEEKDAY(A144-1)+4),1,3)+WEEKDAY(DATE(YEAR(A144-WEEKDAY(A144-1)+4),1,3))+5)/7))</f>
        <v/>
      </c>
      <c r="D144" s="21" t="n"/>
      <c r="E144" s="22" t="n"/>
      <c r="F144" s="23" t="n"/>
      <c r="G144" s="23" t="n"/>
      <c r="H144" s="23" t="n"/>
      <c r="I144" s="20">
        <f>IF(COUNT(F144:H144)=0,"",SUM(F144:H144))</f>
        <v/>
      </c>
      <c r="J144" s="23" t="n"/>
      <c r="K144" s="23" t="n"/>
      <c r="L144" s="23" t="n"/>
      <c r="M144" s="23" t="n"/>
      <c r="N144" s="23" t="n"/>
      <c r="O144" s="20">
        <f>IF(OR(I144="",COUNT(J144:N144)=0),"",IF(SUM(J144:N144)=I144,"✓","⚠ "&amp;SUM(J144:N144)&amp;" statt "&amp;I144))</f>
        <v/>
      </c>
      <c r="P144" s="21" t="n"/>
      <c r="Q144" s="21" t="n"/>
      <c r="R144" s="21" t="n"/>
      <c r="S144" s="24" t="n"/>
      <c r="T144" s="24" t="n"/>
      <c r="V144">
        <f>IF(A144="","",MONTH(A144))</f>
        <v/>
      </c>
      <c r="W144">
        <f>N(W143)+IF(AND(C144&lt;&gt;"",T144&lt;&gt;""),IF(C144=WOCHE!$B$3,1,0),0)</f>
        <v/>
      </c>
      <c r="X144">
        <f>N(X143)+IF(AND(V144&lt;&gt;"",T144&lt;&gt;""),IF(V144=MONAT!$AZ$3,1,0),0)</f>
        <v/>
      </c>
    </row>
    <row r="145">
      <c r="A145" s="19" t="n"/>
      <c r="B145" s="20">
        <f>IF(A145="","",CHOOSE(WEEKDAY(A145,2),"Mo","Di","Mi","Do","Fr","Sa","So"))</f>
        <v/>
      </c>
      <c r="C145" s="20">
        <f>IF(A145="","",INT((A145-DATE(YEAR(A145-WEEKDAY(A145-1)+4),1,3)+WEEKDAY(DATE(YEAR(A145-WEEKDAY(A145-1)+4),1,3))+5)/7))</f>
        <v/>
      </c>
      <c r="D145" s="21" t="n"/>
      <c r="E145" s="22" t="n"/>
      <c r="F145" s="23" t="n"/>
      <c r="G145" s="23" t="n"/>
      <c r="H145" s="23" t="n"/>
      <c r="I145" s="20">
        <f>IF(COUNT(F145:H145)=0,"",SUM(F145:H145))</f>
        <v/>
      </c>
      <c r="J145" s="23" t="n"/>
      <c r="K145" s="23" t="n"/>
      <c r="L145" s="23" t="n"/>
      <c r="M145" s="23" t="n"/>
      <c r="N145" s="23" t="n"/>
      <c r="O145" s="20">
        <f>IF(OR(I145="",COUNT(J145:N145)=0),"",IF(SUM(J145:N145)=I145,"✓","⚠ "&amp;SUM(J145:N145)&amp;" statt "&amp;I145))</f>
        <v/>
      </c>
      <c r="P145" s="21" t="n"/>
      <c r="Q145" s="21" t="n"/>
      <c r="R145" s="21" t="n"/>
      <c r="S145" s="24" t="n"/>
      <c r="T145" s="24" t="n"/>
      <c r="V145">
        <f>IF(A145="","",MONTH(A145))</f>
        <v/>
      </c>
      <c r="W145">
        <f>N(W144)+IF(AND(C145&lt;&gt;"",T145&lt;&gt;""),IF(C145=WOCHE!$B$3,1,0),0)</f>
        <v/>
      </c>
      <c r="X145">
        <f>N(X144)+IF(AND(V145&lt;&gt;"",T145&lt;&gt;""),IF(V145=MONAT!$AZ$3,1,0),0)</f>
        <v/>
      </c>
    </row>
    <row r="146">
      <c r="A146" s="19" t="n"/>
      <c r="B146" s="20">
        <f>IF(A146="","",CHOOSE(WEEKDAY(A146,2),"Mo","Di","Mi","Do","Fr","Sa","So"))</f>
        <v/>
      </c>
      <c r="C146" s="20">
        <f>IF(A146="","",INT((A146-DATE(YEAR(A146-WEEKDAY(A146-1)+4),1,3)+WEEKDAY(DATE(YEAR(A146-WEEKDAY(A146-1)+4),1,3))+5)/7))</f>
        <v/>
      </c>
      <c r="D146" s="21" t="n"/>
      <c r="E146" s="22" t="n"/>
      <c r="F146" s="23" t="n"/>
      <c r="G146" s="23" t="n"/>
      <c r="H146" s="23" t="n"/>
      <c r="I146" s="20">
        <f>IF(COUNT(F146:H146)=0,"",SUM(F146:H146))</f>
        <v/>
      </c>
      <c r="J146" s="23" t="n"/>
      <c r="K146" s="23" t="n"/>
      <c r="L146" s="23" t="n"/>
      <c r="M146" s="23" t="n"/>
      <c r="N146" s="23" t="n"/>
      <c r="O146" s="20">
        <f>IF(OR(I146="",COUNT(J146:N146)=0),"",IF(SUM(J146:N146)=I146,"✓","⚠ "&amp;SUM(J146:N146)&amp;" statt "&amp;I146))</f>
        <v/>
      </c>
      <c r="P146" s="21" t="n"/>
      <c r="Q146" s="21" t="n"/>
      <c r="R146" s="21" t="n"/>
      <c r="S146" s="24" t="n"/>
      <c r="T146" s="24" t="n"/>
      <c r="V146">
        <f>IF(A146="","",MONTH(A146))</f>
        <v/>
      </c>
      <c r="W146">
        <f>N(W145)+IF(AND(C146&lt;&gt;"",T146&lt;&gt;""),IF(C146=WOCHE!$B$3,1,0),0)</f>
        <v/>
      </c>
      <c r="X146">
        <f>N(X145)+IF(AND(V146&lt;&gt;"",T146&lt;&gt;""),IF(V146=MONAT!$AZ$3,1,0),0)</f>
        <v/>
      </c>
    </row>
    <row r="147">
      <c r="A147" s="19" t="n"/>
      <c r="B147" s="20">
        <f>IF(A147="","",CHOOSE(WEEKDAY(A147,2),"Mo","Di","Mi","Do","Fr","Sa","So"))</f>
        <v/>
      </c>
      <c r="C147" s="20">
        <f>IF(A147="","",INT((A147-DATE(YEAR(A147-WEEKDAY(A147-1)+4),1,3)+WEEKDAY(DATE(YEAR(A147-WEEKDAY(A147-1)+4),1,3))+5)/7))</f>
        <v/>
      </c>
      <c r="D147" s="21" t="n"/>
      <c r="E147" s="22" t="n"/>
      <c r="F147" s="23" t="n"/>
      <c r="G147" s="23" t="n"/>
      <c r="H147" s="23" t="n"/>
      <c r="I147" s="20">
        <f>IF(COUNT(F147:H147)=0,"",SUM(F147:H147))</f>
        <v/>
      </c>
      <c r="J147" s="23" t="n"/>
      <c r="K147" s="23" t="n"/>
      <c r="L147" s="23" t="n"/>
      <c r="M147" s="23" t="n"/>
      <c r="N147" s="23" t="n"/>
      <c r="O147" s="20">
        <f>IF(OR(I147="",COUNT(J147:N147)=0),"",IF(SUM(J147:N147)=I147,"✓","⚠ "&amp;SUM(J147:N147)&amp;" statt "&amp;I147))</f>
        <v/>
      </c>
      <c r="P147" s="21" t="n"/>
      <c r="Q147" s="21" t="n"/>
      <c r="R147" s="21" t="n"/>
      <c r="S147" s="24" t="n"/>
      <c r="T147" s="24" t="n"/>
      <c r="V147">
        <f>IF(A147="","",MONTH(A147))</f>
        <v/>
      </c>
      <c r="W147">
        <f>N(W146)+IF(AND(C147&lt;&gt;"",T147&lt;&gt;""),IF(C147=WOCHE!$B$3,1,0),0)</f>
        <v/>
      </c>
      <c r="X147">
        <f>N(X146)+IF(AND(V147&lt;&gt;"",T147&lt;&gt;""),IF(V147=MONAT!$AZ$3,1,0),0)</f>
        <v/>
      </c>
    </row>
    <row r="148">
      <c r="A148" s="19" t="n"/>
      <c r="B148" s="20">
        <f>IF(A148="","",CHOOSE(WEEKDAY(A148,2),"Mo","Di","Mi","Do","Fr","Sa","So"))</f>
        <v/>
      </c>
      <c r="C148" s="20">
        <f>IF(A148="","",INT((A148-DATE(YEAR(A148-WEEKDAY(A148-1)+4),1,3)+WEEKDAY(DATE(YEAR(A148-WEEKDAY(A148-1)+4),1,3))+5)/7))</f>
        <v/>
      </c>
      <c r="D148" s="21" t="n"/>
      <c r="E148" s="22" t="n"/>
      <c r="F148" s="23" t="n"/>
      <c r="G148" s="23" t="n"/>
      <c r="H148" s="23" t="n"/>
      <c r="I148" s="20">
        <f>IF(COUNT(F148:H148)=0,"",SUM(F148:H148))</f>
        <v/>
      </c>
      <c r="J148" s="23" t="n"/>
      <c r="K148" s="23" t="n"/>
      <c r="L148" s="23" t="n"/>
      <c r="M148" s="23" t="n"/>
      <c r="N148" s="23" t="n"/>
      <c r="O148" s="20">
        <f>IF(OR(I148="",COUNT(J148:N148)=0),"",IF(SUM(J148:N148)=I148,"✓","⚠ "&amp;SUM(J148:N148)&amp;" statt "&amp;I148))</f>
        <v/>
      </c>
      <c r="P148" s="21" t="n"/>
      <c r="Q148" s="21" t="n"/>
      <c r="R148" s="21" t="n"/>
      <c r="S148" s="24" t="n"/>
      <c r="T148" s="24" t="n"/>
      <c r="V148">
        <f>IF(A148="","",MONTH(A148))</f>
        <v/>
      </c>
      <c r="W148">
        <f>N(W147)+IF(AND(C148&lt;&gt;"",T148&lt;&gt;""),IF(C148=WOCHE!$B$3,1,0),0)</f>
        <v/>
      </c>
      <c r="X148">
        <f>N(X147)+IF(AND(V148&lt;&gt;"",T148&lt;&gt;""),IF(V148=MONAT!$AZ$3,1,0),0)</f>
        <v/>
      </c>
    </row>
    <row r="149">
      <c r="A149" s="19" t="n"/>
      <c r="B149" s="20">
        <f>IF(A149="","",CHOOSE(WEEKDAY(A149,2),"Mo","Di","Mi","Do","Fr","Sa","So"))</f>
        <v/>
      </c>
      <c r="C149" s="20">
        <f>IF(A149="","",INT((A149-DATE(YEAR(A149-WEEKDAY(A149-1)+4),1,3)+WEEKDAY(DATE(YEAR(A149-WEEKDAY(A149-1)+4),1,3))+5)/7))</f>
        <v/>
      </c>
      <c r="D149" s="21" t="n"/>
      <c r="E149" s="22" t="n"/>
      <c r="F149" s="23" t="n"/>
      <c r="G149" s="23" t="n"/>
      <c r="H149" s="23" t="n"/>
      <c r="I149" s="20">
        <f>IF(COUNT(F149:H149)=0,"",SUM(F149:H149))</f>
        <v/>
      </c>
      <c r="J149" s="23" t="n"/>
      <c r="K149" s="23" t="n"/>
      <c r="L149" s="23" t="n"/>
      <c r="M149" s="23" t="n"/>
      <c r="N149" s="23" t="n"/>
      <c r="O149" s="20">
        <f>IF(OR(I149="",COUNT(J149:N149)=0),"",IF(SUM(J149:N149)=I149,"✓","⚠ "&amp;SUM(J149:N149)&amp;" statt "&amp;I149))</f>
        <v/>
      </c>
      <c r="P149" s="21" t="n"/>
      <c r="Q149" s="21" t="n"/>
      <c r="R149" s="21" t="n"/>
      <c r="S149" s="24" t="n"/>
      <c r="T149" s="24" t="n"/>
      <c r="V149">
        <f>IF(A149="","",MONTH(A149))</f>
        <v/>
      </c>
      <c r="W149">
        <f>N(W148)+IF(AND(C149&lt;&gt;"",T149&lt;&gt;""),IF(C149=WOCHE!$B$3,1,0),0)</f>
        <v/>
      </c>
      <c r="X149">
        <f>N(X148)+IF(AND(V149&lt;&gt;"",T149&lt;&gt;""),IF(V149=MONAT!$AZ$3,1,0),0)</f>
        <v/>
      </c>
    </row>
    <row r="150">
      <c r="A150" s="19" t="n"/>
      <c r="B150" s="20">
        <f>IF(A150="","",CHOOSE(WEEKDAY(A150,2),"Mo","Di","Mi","Do","Fr","Sa","So"))</f>
        <v/>
      </c>
      <c r="C150" s="20">
        <f>IF(A150="","",INT((A150-DATE(YEAR(A150-WEEKDAY(A150-1)+4),1,3)+WEEKDAY(DATE(YEAR(A150-WEEKDAY(A150-1)+4),1,3))+5)/7))</f>
        <v/>
      </c>
      <c r="D150" s="21" t="n"/>
      <c r="E150" s="22" t="n"/>
      <c r="F150" s="23" t="n"/>
      <c r="G150" s="23" t="n"/>
      <c r="H150" s="23" t="n"/>
      <c r="I150" s="20">
        <f>IF(COUNT(F150:H150)=0,"",SUM(F150:H150))</f>
        <v/>
      </c>
      <c r="J150" s="23" t="n"/>
      <c r="K150" s="23" t="n"/>
      <c r="L150" s="23" t="n"/>
      <c r="M150" s="23" t="n"/>
      <c r="N150" s="23" t="n"/>
      <c r="O150" s="20">
        <f>IF(OR(I150="",COUNT(J150:N150)=0),"",IF(SUM(J150:N150)=I150,"✓","⚠ "&amp;SUM(J150:N150)&amp;" statt "&amp;I150))</f>
        <v/>
      </c>
      <c r="P150" s="21" t="n"/>
      <c r="Q150" s="21" t="n"/>
      <c r="R150" s="21" t="n"/>
      <c r="S150" s="24" t="n"/>
      <c r="T150" s="24" t="n"/>
      <c r="V150">
        <f>IF(A150="","",MONTH(A150))</f>
        <v/>
      </c>
      <c r="W150">
        <f>N(W149)+IF(AND(C150&lt;&gt;"",T150&lt;&gt;""),IF(C150=WOCHE!$B$3,1,0),0)</f>
        <v/>
      </c>
      <c r="X150">
        <f>N(X149)+IF(AND(V150&lt;&gt;"",T150&lt;&gt;""),IF(V150=MONAT!$AZ$3,1,0),0)</f>
        <v/>
      </c>
    </row>
    <row r="151">
      <c r="A151" s="19" t="n"/>
      <c r="B151" s="20">
        <f>IF(A151="","",CHOOSE(WEEKDAY(A151,2),"Mo","Di","Mi","Do","Fr","Sa","So"))</f>
        <v/>
      </c>
      <c r="C151" s="20">
        <f>IF(A151="","",INT((A151-DATE(YEAR(A151-WEEKDAY(A151-1)+4),1,3)+WEEKDAY(DATE(YEAR(A151-WEEKDAY(A151-1)+4),1,3))+5)/7))</f>
        <v/>
      </c>
      <c r="D151" s="21" t="n"/>
      <c r="E151" s="22" t="n"/>
      <c r="F151" s="23" t="n"/>
      <c r="G151" s="23" t="n"/>
      <c r="H151" s="23" t="n"/>
      <c r="I151" s="20">
        <f>IF(COUNT(F151:H151)=0,"",SUM(F151:H151))</f>
        <v/>
      </c>
      <c r="J151" s="23" t="n"/>
      <c r="K151" s="23" t="n"/>
      <c r="L151" s="23" t="n"/>
      <c r="M151" s="23" t="n"/>
      <c r="N151" s="23" t="n"/>
      <c r="O151" s="20">
        <f>IF(OR(I151="",COUNT(J151:N151)=0),"",IF(SUM(J151:N151)=I151,"✓","⚠ "&amp;SUM(J151:N151)&amp;" statt "&amp;I151))</f>
        <v/>
      </c>
      <c r="P151" s="21" t="n"/>
      <c r="Q151" s="21" t="n"/>
      <c r="R151" s="21" t="n"/>
      <c r="S151" s="24" t="n"/>
      <c r="T151" s="24" t="n"/>
      <c r="V151">
        <f>IF(A151="","",MONTH(A151))</f>
        <v/>
      </c>
      <c r="W151">
        <f>N(W150)+IF(AND(C151&lt;&gt;"",T151&lt;&gt;""),IF(C151=WOCHE!$B$3,1,0),0)</f>
        <v/>
      </c>
      <c r="X151">
        <f>N(X150)+IF(AND(V151&lt;&gt;"",T151&lt;&gt;""),IF(V151=MONAT!$AZ$3,1,0),0)</f>
        <v/>
      </c>
    </row>
    <row r="152">
      <c r="A152" s="19" t="n"/>
      <c r="B152" s="20">
        <f>IF(A152="","",CHOOSE(WEEKDAY(A152,2),"Mo","Di","Mi","Do","Fr","Sa","So"))</f>
        <v/>
      </c>
      <c r="C152" s="20">
        <f>IF(A152="","",INT((A152-DATE(YEAR(A152-WEEKDAY(A152-1)+4),1,3)+WEEKDAY(DATE(YEAR(A152-WEEKDAY(A152-1)+4),1,3))+5)/7))</f>
        <v/>
      </c>
      <c r="D152" s="21" t="n"/>
      <c r="E152" s="22" t="n"/>
      <c r="F152" s="23" t="n"/>
      <c r="G152" s="23" t="n"/>
      <c r="H152" s="23" t="n"/>
      <c r="I152" s="20">
        <f>IF(COUNT(F152:H152)=0,"",SUM(F152:H152))</f>
        <v/>
      </c>
      <c r="J152" s="23" t="n"/>
      <c r="K152" s="23" t="n"/>
      <c r="L152" s="23" t="n"/>
      <c r="M152" s="23" t="n"/>
      <c r="N152" s="23" t="n"/>
      <c r="O152" s="20">
        <f>IF(OR(I152="",COUNT(J152:N152)=0),"",IF(SUM(J152:N152)=I152,"✓","⚠ "&amp;SUM(J152:N152)&amp;" statt "&amp;I152))</f>
        <v/>
      </c>
      <c r="P152" s="21" t="n"/>
      <c r="Q152" s="21" t="n"/>
      <c r="R152" s="21" t="n"/>
      <c r="S152" s="24" t="n"/>
      <c r="T152" s="24" t="n"/>
      <c r="V152">
        <f>IF(A152="","",MONTH(A152))</f>
        <v/>
      </c>
      <c r="W152">
        <f>N(W151)+IF(AND(C152&lt;&gt;"",T152&lt;&gt;""),IF(C152=WOCHE!$B$3,1,0),0)</f>
        <v/>
      </c>
      <c r="X152">
        <f>N(X151)+IF(AND(V152&lt;&gt;"",T152&lt;&gt;""),IF(V152=MONAT!$AZ$3,1,0),0)</f>
        <v/>
      </c>
    </row>
    <row r="153">
      <c r="A153" s="19" t="n"/>
      <c r="B153" s="20">
        <f>IF(A153="","",CHOOSE(WEEKDAY(A153,2),"Mo","Di","Mi","Do","Fr","Sa","So"))</f>
        <v/>
      </c>
      <c r="C153" s="20">
        <f>IF(A153="","",INT((A153-DATE(YEAR(A153-WEEKDAY(A153-1)+4),1,3)+WEEKDAY(DATE(YEAR(A153-WEEKDAY(A153-1)+4),1,3))+5)/7))</f>
        <v/>
      </c>
      <c r="D153" s="21" t="n"/>
      <c r="E153" s="22" t="n"/>
      <c r="F153" s="23" t="n"/>
      <c r="G153" s="23" t="n"/>
      <c r="H153" s="23" t="n"/>
      <c r="I153" s="20">
        <f>IF(COUNT(F153:H153)=0,"",SUM(F153:H153))</f>
        <v/>
      </c>
      <c r="J153" s="23" t="n"/>
      <c r="K153" s="23" t="n"/>
      <c r="L153" s="23" t="n"/>
      <c r="M153" s="23" t="n"/>
      <c r="N153" s="23" t="n"/>
      <c r="O153" s="20">
        <f>IF(OR(I153="",COUNT(J153:N153)=0),"",IF(SUM(J153:N153)=I153,"✓","⚠ "&amp;SUM(J153:N153)&amp;" statt "&amp;I153))</f>
        <v/>
      </c>
      <c r="P153" s="21" t="n"/>
      <c r="Q153" s="21" t="n"/>
      <c r="R153" s="21" t="n"/>
      <c r="S153" s="24" t="n"/>
      <c r="T153" s="24" t="n"/>
      <c r="V153">
        <f>IF(A153="","",MONTH(A153))</f>
        <v/>
      </c>
      <c r="W153">
        <f>N(W152)+IF(AND(C153&lt;&gt;"",T153&lt;&gt;""),IF(C153=WOCHE!$B$3,1,0),0)</f>
        <v/>
      </c>
      <c r="X153">
        <f>N(X152)+IF(AND(V153&lt;&gt;"",T153&lt;&gt;""),IF(V153=MONAT!$AZ$3,1,0),0)</f>
        <v/>
      </c>
    </row>
    <row r="154">
      <c r="A154" s="19" t="n"/>
      <c r="B154" s="20">
        <f>IF(A154="","",CHOOSE(WEEKDAY(A154,2),"Mo","Di","Mi","Do","Fr","Sa","So"))</f>
        <v/>
      </c>
      <c r="C154" s="20">
        <f>IF(A154="","",INT((A154-DATE(YEAR(A154-WEEKDAY(A154-1)+4),1,3)+WEEKDAY(DATE(YEAR(A154-WEEKDAY(A154-1)+4),1,3))+5)/7))</f>
        <v/>
      </c>
      <c r="D154" s="21" t="n"/>
      <c r="E154" s="22" t="n"/>
      <c r="F154" s="23" t="n"/>
      <c r="G154" s="23" t="n"/>
      <c r="H154" s="23" t="n"/>
      <c r="I154" s="20">
        <f>IF(COUNT(F154:H154)=0,"",SUM(F154:H154))</f>
        <v/>
      </c>
      <c r="J154" s="23" t="n"/>
      <c r="K154" s="23" t="n"/>
      <c r="L154" s="23" t="n"/>
      <c r="M154" s="23" t="n"/>
      <c r="N154" s="23" t="n"/>
      <c r="O154" s="20">
        <f>IF(OR(I154="",COUNT(J154:N154)=0),"",IF(SUM(J154:N154)=I154,"✓","⚠ "&amp;SUM(J154:N154)&amp;" statt "&amp;I154))</f>
        <v/>
      </c>
      <c r="P154" s="21" t="n"/>
      <c r="Q154" s="21" t="n"/>
      <c r="R154" s="21" t="n"/>
      <c r="S154" s="24" t="n"/>
      <c r="T154" s="24" t="n"/>
      <c r="V154">
        <f>IF(A154="","",MONTH(A154))</f>
        <v/>
      </c>
      <c r="W154">
        <f>N(W153)+IF(AND(C154&lt;&gt;"",T154&lt;&gt;""),IF(C154=WOCHE!$B$3,1,0),0)</f>
        <v/>
      </c>
      <c r="X154">
        <f>N(X153)+IF(AND(V154&lt;&gt;"",T154&lt;&gt;""),IF(V154=MONAT!$AZ$3,1,0),0)</f>
        <v/>
      </c>
    </row>
    <row r="155">
      <c r="A155" s="19" t="n"/>
      <c r="B155" s="20">
        <f>IF(A155="","",CHOOSE(WEEKDAY(A155,2),"Mo","Di","Mi","Do","Fr","Sa","So"))</f>
        <v/>
      </c>
      <c r="C155" s="20">
        <f>IF(A155="","",INT((A155-DATE(YEAR(A155-WEEKDAY(A155-1)+4),1,3)+WEEKDAY(DATE(YEAR(A155-WEEKDAY(A155-1)+4),1,3))+5)/7))</f>
        <v/>
      </c>
      <c r="D155" s="21" t="n"/>
      <c r="E155" s="22" t="n"/>
      <c r="F155" s="23" t="n"/>
      <c r="G155" s="23" t="n"/>
      <c r="H155" s="23" t="n"/>
      <c r="I155" s="20">
        <f>IF(COUNT(F155:H155)=0,"",SUM(F155:H155))</f>
        <v/>
      </c>
      <c r="J155" s="23" t="n"/>
      <c r="K155" s="23" t="n"/>
      <c r="L155" s="23" t="n"/>
      <c r="M155" s="23" t="n"/>
      <c r="N155" s="23" t="n"/>
      <c r="O155" s="20">
        <f>IF(OR(I155="",COUNT(J155:N155)=0),"",IF(SUM(J155:N155)=I155,"✓","⚠ "&amp;SUM(J155:N155)&amp;" statt "&amp;I155))</f>
        <v/>
      </c>
      <c r="P155" s="21" t="n"/>
      <c r="Q155" s="21" t="n"/>
      <c r="R155" s="21" t="n"/>
      <c r="S155" s="24" t="n"/>
      <c r="T155" s="24" t="n"/>
      <c r="V155">
        <f>IF(A155="","",MONTH(A155))</f>
        <v/>
      </c>
      <c r="W155">
        <f>N(W154)+IF(AND(C155&lt;&gt;"",T155&lt;&gt;""),IF(C155=WOCHE!$B$3,1,0),0)</f>
        <v/>
      </c>
      <c r="X155">
        <f>N(X154)+IF(AND(V155&lt;&gt;"",T155&lt;&gt;""),IF(V155=MONAT!$AZ$3,1,0),0)</f>
        <v/>
      </c>
    </row>
    <row r="156">
      <c r="A156" s="19" t="n"/>
      <c r="B156" s="20">
        <f>IF(A156="","",CHOOSE(WEEKDAY(A156,2),"Mo","Di","Mi","Do","Fr","Sa","So"))</f>
        <v/>
      </c>
      <c r="C156" s="20">
        <f>IF(A156="","",INT((A156-DATE(YEAR(A156-WEEKDAY(A156-1)+4),1,3)+WEEKDAY(DATE(YEAR(A156-WEEKDAY(A156-1)+4),1,3))+5)/7))</f>
        <v/>
      </c>
      <c r="D156" s="21" t="n"/>
      <c r="E156" s="22" t="n"/>
      <c r="F156" s="23" t="n"/>
      <c r="G156" s="23" t="n"/>
      <c r="H156" s="23" t="n"/>
      <c r="I156" s="20">
        <f>IF(COUNT(F156:H156)=0,"",SUM(F156:H156))</f>
        <v/>
      </c>
      <c r="J156" s="23" t="n"/>
      <c r="K156" s="23" t="n"/>
      <c r="L156" s="23" t="n"/>
      <c r="M156" s="23" t="n"/>
      <c r="N156" s="23" t="n"/>
      <c r="O156" s="20">
        <f>IF(OR(I156="",COUNT(J156:N156)=0),"",IF(SUM(J156:N156)=I156,"✓","⚠ "&amp;SUM(J156:N156)&amp;" statt "&amp;I156))</f>
        <v/>
      </c>
      <c r="P156" s="21" t="n"/>
      <c r="Q156" s="21" t="n"/>
      <c r="R156" s="21" t="n"/>
      <c r="S156" s="24" t="n"/>
      <c r="T156" s="24" t="n"/>
      <c r="V156">
        <f>IF(A156="","",MONTH(A156))</f>
        <v/>
      </c>
      <c r="W156">
        <f>N(W155)+IF(AND(C156&lt;&gt;"",T156&lt;&gt;""),IF(C156=WOCHE!$B$3,1,0),0)</f>
        <v/>
      </c>
      <c r="X156">
        <f>N(X155)+IF(AND(V156&lt;&gt;"",T156&lt;&gt;""),IF(V156=MONAT!$AZ$3,1,0),0)</f>
        <v/>
      </c>
    </row>
    <row r="157">
      <c r="A157" s="19" t="n"/>
      <c r="B157" s="20">
        <f>IF(A157="","",CHOOSE(WEEKDAY(A157,2),"Mo","Di","Mi","Do","Fr","Sa","So"))</f>
        <v/>
      </c>
      <c r="C157" s="20">
        <f>IF(A157="","",INT((A157-DATE(YEAR(A157-WEEKDAY(A157-1)+4),1,3)+WEEKDAY(DATE(YEAR(A157-WEEKDAY(A157-1)+4),1,3))+5)/7))</f>
        <v/>
      </c>
      <c r="D157" s="21" t="n"/>
      <c r="E157" s="22" t="n"/>
      <c r="F157" s="23" t="n"/>
      <c r="G157" s="23" t="n"/>
      <c r="H157" s="23" t="n"/>
      <c r="I157" s="20">
        <f>IF(COUNT(F157:H157)=0,"",SUM(F157:H157))</f>
        <v/>
      </c>
      <c r="J157" s="23" t="n"/>
      <c r="K157" s="23" t="n"/>
      <c r="L157" s="23" t="n"/>
      <c r="M157" s="23" t="n"/>
      <c r="N157" s="23" t="n"/>
      <c r="O157" s="20">
        <f>IF(OR(I157="",COUNT(J157:N157)=0),"",IF(SUM(J157:N157)=I157,"✓","⚠ "&amp;SUM(J157:N157)&amp;" statt "&amp;I157))</f>
        <v/>
      </c>
      <c r="P157" s="21" t="n"/>
      <c r="Q157" s="21" t="n"/>
      <c r="R157" s="21" t="n"/>
      <c r="S157" s="24" t="n"/>
      <c r="T157" s="24" t="n"/>
      <c r="V157">
        <f>IF(A157="","",MONTH(A157))</f>
        <v/>
      </c>
      <c r="W157">
        <f>N(W156)+IF(AND(C157&lt;&gt;"",T157&lt;&gt;""),IF(C157=WOCHE!$B$3,1,0),0)</f>
        <v/>
      </c>
      <c r="X157">
        <f>N(X156)+IF(AND(V157&lt;&gt;"",T157&lt;&gt;""),IF(V157=MONAT!$AZ$3,1,0),0)</f>
        <v/>
      </c>
    </row>
    <row r="158">
      <c r="A158" s="19" t="n"/>
      <c r="B158" s="20">
        <f>IF(A158="","",CHOOSE(WEEKDAY(A158,2),"Mo","Di","Mi","Do","Fr","Sa","So"))</f>
        <v/>
      </c>
      <c r="C158" s="20">
        <f>IF(A158="","",INT((A158-DATE(YEAR(A158-WEEKDAY(A158-1)+4),1,3)+WEEKDAY(DATE(YEAR(A158-WEEKDAY(A158-1)+4),1,3))+5)/7))</f>
        <v/>
      </c>
      <c r="D158" s="21" t="n"/>
      <c r="E158" s="22" t="n"/>
      <c r="F158" s="23" t="n"/>
      <c r="G158" s="23" t="n"/>
      <c r="H158" s="23" t="n"/>
      <c r="I158" s="20">
        <f>IF(COUNT(F158:H158)=0,"",SUM(F158:H158))</f>
        <v/>
      </c>
      <c r="J158" s="23" t="n"/>
      <c r="K158" s="23" t="n"/>
      <c r="L158" s="23" t="n"/>
      <c r="M158" s="23" t="n"/>
      <c r="N158" s="23" t="n"/>
      <c r="O158" s="20">
        <f>IF(OR(I158="",COUNT(J158:N158)=0),"",IF(SUM(J158:N158)=I158,"✓","⚠ "&amp;SUM(J158:N158)&amp;" statt "&amp;I158))</f>
        <v/>
      </c>
      <c r="P158" s="21" t="n"/>
      <c r="Q158" s="21" t="n"/>
      <c r="R158" s="21" t="n"/>
      <c r="S158" s="24" t="n"/>
      <c r="T158" s="24" t="n"/>
      <c r="V158">
        <f>IF(A158="","",MONTH(A158))</f>
        <v/>
      </c>
      <c r="W158">
        <f>N(W157)+IF(AND(C158&lt;&gt;"",T158&lt;&gt;""),IF(C158=WOCHE!$B$3,1,0),0)</f>
        <v/>
      </c>
      <c r="X158">
        <f>N(X157)+IF(AND(V158&lt;&gt;"",T158&lt;&gt;""),IF(V158=MONAT!$AZ$3,1,0),0)</f>
        <v/>
      </c>
    </row>
    <row r="159">
      <c r="A159" s="19" t="n"/>
      <c r="B159" s="20">
        <f>IF(A159="","",CHOOSE(WEEKDAY(A159,2),"Mo","Di","Mi","Do","Fr","Sa","So"))</f>
        <v/>
      </c>
      <c r="C159" s="20">
        <f>IF(A159="","",INT((A159-DATE(YEAR(A159-WEEKDAY(A159-1)+4),1,3)+WEEKDAY(DATE(YEAR(A159-WEEKDAY(A159-1)+4),1,3))+5)/7))</f>
        <v/>
      </c>
      <c r="D159" s="21" t="n"/>
      <c r="E159" s="22" t="n"/>
      <c r="F159" s="23" t="n"/>
      <c r="G159" s="23" t="n"/>
      <c r="H159" s="23" t="n"/>
      <c r="I159" s="20">
        <f>IF(COUNT(F159:H159)=0,"",SUM(F159:H159))</f>
        <v/>
      </c>
      <c r="J159" s="23" t="n"/>
      <c r="K159" s="23" t="n"/>
      <c r="L159" s="23" t="n"/>
      <c r="M159" s="23" t="n"/>
      <c r="N159" s="23" t="n"/>
      <c r="O159" s="20">
        <f>IF(OR(I159="",COUNT(J159:N159)=0),"",IF(SUM(J159:N159)=I159,"✓","⚠ "&amp;SUM(J159:N159)&amp;" statt "&amp;I159))</f>
        <v/>
      </c>
      <c r="P159" s="21" t="n"/>
      <c r="Q159" s="21" t="n"/>
      <c r="R159" s="21" t="n"/>
      <c r="S159" s="24" t="n"/>
      <c r="T159" s="24" t="n"/>
      <c r="V159">
        <f>IF(A159="","",MONTH(A159))</f>
        <v/>
      </c>
      <c r="W159">
        <f>N(W158)+IF(AND(C159&lt;&gt;"",T159&lt;&gt;""),IF(C159=WOCHE!$B$3,1,0),0)</f>
        <v/>
      </c>
      <c r="X159">
        <f>N(X158)+IF(AND(V159&lt;&gt;"",T159&lt;&gt;""),IF(V159=MONAT!$AZ$3,1,0),0)</f>
        <v/>
      </c>
    </row>
    <row r="160">
      <c r="A160" s="19" t="n"/>
      <c r="B160" s="20">
        <f>IF(A160="","",CHOOSE(WEEKDAY(A160,2),"Mo","Di","Mi","Do","Fr","Sa","So"))</f>
        <v/>
      </c>
      <c r="C160" s="20">
        <f>IF(A160="","",INT((A160-DATE(YEAR(A160-WEEKDAY(A160-1)+4),1,3)+WEEKDAY(DATE(YEAR(A160-WEEKDAY(A160-1)+4),1,3))+5)/7))</f>
        <v/>
      </c>
      <c r="D160" s="21" t="n"/>
      <c r="E160" s="22" t="n"/>
      <c r="F160" s="23" t="n"/>
      <c r="G160" s="23" t="n"/>
      <c r="H160" s="23" t="n"/>
      <c r="I160" s="20">
        <f>IF(COUNT(F160:H160)=0,"",SUM(F160:H160))</f>
        <v/>
      </c>
      <c r="J160" s="23" t="n"/>
      <c r="K160" s="23" t="n"/>
      <c r="L160" s="23" t="n"/>
      <c r="M160" s="23" t="n"/>
      <c r="N160" s="23" t="n"/>
      <c r="O160" s="20">
        <f>IF(OR(I160="",COUNT(J160:N160)=0),"",IF(SUM(J160:N160)=I160,"✓","⚠ "&amp;SUM(J160:N160)&amp;" statt "&amp;I160))</f>
        <v/>
      </c>
      <c r="P160" s="21" t="n"/>
      <c r="Q160" s="21" t="n"/>
      <c r="R160" s="21" t="n"/>
      <c r="S160" s="24" t="n"/>
      <c r="T160" s="24" t="n"/>
      <c r="V160">
        <f>IF(A160="","",MONTH(A160))</f>
        <v/>
      </c>
      <c r="W160">
        <f>N(W159)+IF(AND(C160&lt;&gt;"",T160&lt;&gt;""),IF(C160=WOCHE!$B$3,1,0),0)</f>
        <v/>
      </c>
      <c r="X160">
        <f>N(X159)+IF(AND(V160&lt;&gt;"",T160&lt;&gt;""),IF(V160=MONAT!$AZ$3,1,0),0)</f>
        <v/>
      </c>
    </row>
    <row r="161">
      <c r="A161" s="19" t="n"/>
      <c r="B161" s="20">
        <f>IF(A161="","",CHOOSE(WEEKDAY(A161,2),"Mo","Di","Mi","Do","Fr","Sa","So"))</f>
        <v/>
      </c>
      <c r="C161" s="20">
        <f>IF(A161="","",INT((A161-DATE(YEAR(A161-WEEKDAY(A161-1)+4),1,3)+WEEKDAY(DATE(YEAR(A161-WEEKDAY(A161-1)+4),1,3))+5)/7))</f>
        <v/>
      </c>
      <c r="D161" s="21" t="n"/>
      <c r="E161" s="22" t="n"/>
      <c r="F161" s="23" t="n"/>
      <c r="G161" s="23" t="n"/>
      <c r="H161" s="23" t="n"/>
      <c r="I161" s="20">
        <f>IF(COUNT(F161:H161)=0,"",SUM(F161:H161))</f>
        <v/>
      </c>
      <c r="J161" s="23" t="n"/>
      <c r="K161" s="23" t="n"/>
      <c r="L161" s="23" t="n"/>
      <c r="M161" s="23" t="n"/>
      <c r="N161" s="23" t="n"/>
      <c r="O161" s="20">
        <f>IF(OR(I161="",COUNT(J161:N161)=0),"",IF(SUM(J161:N161)=I161,"✓","⚠ "&amp;SUM(J161:N161)&amp;" statt "&amp;I161))</f>
        <v/>
      </c>
      <c r="P161" s="21" t="n"/>
      <c r="Q161" s="21" t="n"/>
      <c r="R161" s="21" t="n"/>
      <c r="S161" s="24" t="n"/>
      <c r="T161" s="24" t="n"/>
      <c r="V161">
        <f>IF(A161="","",MONTH(A161))</f>
        <v/>
      </c>
      <c r="W161">
        <f>N(W160)+IF(AND(C161&lt;&gt;"",T161&lt;&gt;""),IF(C161=WOCHE!$B$3,1,0),0)</f>
        <v/>
      </c>
      <c r="X161">
        <f>N(X160)+IF(AND(V161&lt;&gt;"",T161&lt;&gt;""),IF(V161=MONAT!$AZ$3,1,0),0)</f>
        <v/>
      </c>
    </row>
    <row r="162">
      <c r="A162" s="19" t="n"/>
      <c r="B162" s="20">
        <f>IF(A162="","",CHOOSE(WEEKDAY(A162,2),"Mo","Di","Mi","Do","Fr","Sa","So"))</f>
        <v/>
      </c>
      <c r="C162" s="20">
        <f>IF(A162="","",INT((A162-DATE(YEAR(A162-WEEKDAY(A162-1)+4),1,3)+WEEKDAY(DATE(YEAR(A162-WEEKDAY(A162-1)+4),1,3))+5)/7))</f>
        <v/>
      </c>
      <c r="D162" s="21" t="n"/>
      <c r="E162" s="22" t="n"/>
      <c r="F162" s="23" t="n"/>
      <c r="G162" s="23" t="n"/>
      <c r="H162" s="23" t="n"/>
      <c r="I162" s="20">
        <f>IF(COUNT(F162:H162)=0,"",SUM(F162:H162))</f>
        <v/>
      </c>
      <c r="J162" s="23" t="n"/>
      <c r="K162" s="23" t="n"/>
      <c r="L162" s="23" t="n"/>
      <c r="M162" s="23" t="n"/>
      <c r="N162" s="23" t="n"/>
      <c r="O162" s="20">
        <f>IF(OR(I162="",COUNT(J162:N162)=0),"",IF(SUM(J162:N162)=I162,"✓","⚠ "&amp;SUM(J162:N162)&amp;" statt "&amp;I162))</f>
        <v/>
      </c>
      <c r="P162" s="21" t="n"/>
      <c r="Q162" s="21" t="n"/>
      <c r="R162" s="21" t="n"/>
      <c r="S162" s="24" t="n"/>
      <c r="T162" s="24" t="n"/>
      <c r="V162">
        <f>IF(A162="","",MONTH(A162))</f>
        <v/>
      </c>
      <c r="W162">
        <f>N(W161)+IF(AND(C162&lt;&gt;"",T162&lt;&gt;""),IF(C162=WOCHE!$B$3,1,0),0)</f>
        <v/>
      </c>
      <c r="X162">
        <f>N(X161)+IF(AND(V162&lt;&gt;"",T162&lt;&gt;""),IF(V162=MONAT!$AZ$3,1,0),0)</f>
        <v/>
      </c>
    </row>
    <row r="163">
      <c r="A163" s="19" t="n"/>
      <c r="B163" s="20">
        <f>IF(A163="","",CHOOSE(WEEKDAY(A163,2),"Mo","Di","Mi","Do","Fr","Sa","So"))</f>
        <v/>
      </c>
      <c r="C163" s="20">
        <f>IF(A163="","",INT((A163-DATE(YEAR(A163-WEEKDAY(A163-1)+4),1,3)+WEEKDAY(DATE(YEAR(A163-WEEKDAY(A163-1)+4),1,3))+5)/7))</f>
        <v/>
      </c>
      <c r="D163" s="21" t="n"/>
      <c r="E163" s="22" t="n"/>
      <c r="F163" s="23" t="n"/>
      <c r="G163" s="23" t="n"/>
      <c r="H163" s="23" t="n"/>
      <c r="I163" s="20">
        <f>IF(COUNT(F163:H163)=0,"",SUM(F163:H163))</f>
        <v/>
      </c>
      <c r="J163" s="23" t="n"/>
      <c r="K163" s="23" t="n"/>
      <c r="L163" s="23" t="n"/>
      <c r="M163" s="23" t="n"/>
      <c r="N163" s="23" t="n"/>
      <c r="O163" s="20">
        <f>IF(OR(I163="",COUNT(J163:N163)=0),"",IF(SUM(J163:N163)=I163,"✓","⚠ "&amp;SUM(J163:N163)&amp;" statt "&amp;I163))</f>
        <v/>
      </c>
      <c r="P163" s="21" t="n"/>
      <c r="Q163" s="21" t="n"/>
      <c r="R163" s="21" t="n"/>
      <c r="S163" s="24" t="n"/>
      <c r="T163" s="24" t="n"/>
      <c r="V163">
        <f>IF(A163="","",MONTH(A163))</f>
        <v/>
      </c>
      <c r="W163">
        <f>N(W162)+IF(AND(C163&lt;&gt;"",T163&lt;&gt;""),IF(C163=WOCHE!$B$3,1,0),0)</f>
        <v/>
      </c>
      <c r="X163">
        <f>N(X162)+IF(AND(V163&lt;&gt;"",T163&lt;&gt;""),IF(V163=MONAT!$AZ$3,1,0),0)</f>
        <v/>
      </c>
    </row>
    <row r="164">
      <c r="A164" s="19" t="n"/>
      <c r="B164" s="20">
        <f>IF(A164="","",CHOOSE(WEEKDAY(A164,2),"Mo","Di","Mi","Do","Fr","Sa","So"))</f>
        <v/>
      </c>
      <c r="C164" s="20">
        <f>IF(A164="","",INT((A164-DATE(YEAR(A164-WEEKDAY(A164-1)+4),1,3)+WEEKDAY(DATE(YEAR(A164-WEEKDAY(A164-1)+4),1,3))+5)/7))</f>
        <v/>
      </c>
      <c r="D164" s="21" t="n"/>
      <c r="E164" s="22" t="n"/>
      <c r="F164" s="23" t="n"/>
      <c r="G164" s="23" t="n"/>
      <c r="H164" s="23" t="n"/>
      <c r="I164" s="20">
        <f>IF(COUNT(F164:H164)=0,"",SUM(F164:H164))</f>
        <v/>
      </c>
      <c r="J164" s="23" t="n"/>
      <c r="K164" s="23" t="n"/>
      <c r="L164" s="23" t="n"/>
      <c r="M164" s="23" t="n"/>
      <c r="N164" s="23" t="n"/>
      <c r="O164" s="20">
        <f>IF(OR(I164="",COUNT(J164:N164)=0),"",IF(SUM(J164:N164)=I164,"✓","⚠ "&amp;SUM(J164:N164)&amp;" statt "&amp;I164))</f>
        <v/>
      </c>
      <c r="P164" s="21" t="n"/>
      <c r="Q164" s="21" t="n"/>
      <c r="R164" s="21" t="n"/>
      <c r="S164" s="24" t="n"/>
      <c r="T164" s="24" t="n"/>
      <c r="V164">
        <f>IF(A164="","",MONTH(A164))</f>
        <v/>
      </c>
      <c r="W164">
        <f>N(W163)+IF(AND(C164&lt;&gt;"",T164&lt;&gt;""),IF(C164=WOCHE!$B$3,1,0),0)</f>
        <v/>
      </c>
      <c r="X164">
        <f>N(X163)+IF(AND(V164&lt;&gt;"",T164&lt;&gt;""),IF(V164=MONAT!$AZ$3,1,0),0)</f>
        <v/>
      </c>
    </row>
    <row r="165">
      <c r="A165" s="19" t="n"/>
      <c r="B165" s="20">
        <f>IF(A165="","",CHOOSE(WEEKDAY(A165,2),"Mo","Di","Mi","Do","Fr","Sa","So"))</f>
        <v/>
      </c>
      <c r="C165" s="20">
        <f>IF(A165="","",INT((A165-DATE(YEAR(A165-WEEKDAY(A165-1)+4),1,3)+WEEKDAY(DATE(YEAR(A165-WEEKDAY(A165-1)+4),1,3))+5)/7))</f>
        <v/>
      </c>
      <c r="D165" s="21" t="n"/>
      <c r="E165" s="22" t="n"/>
      <c r="F165" s="23" t="n"/>
      <c r="G165" s="23" t="n"/>
      <c r="H165" s="23" t="n"/>
      <c r="I165" s="20">
        <f>IF(COUNT(F165:H165)=0,"",SUM(F165:H165))</f>
        <v/>
      </c>
      <c r="J165" s="23" t="n"/>
      <c r="K165" s="23" t="n"/>
      <c r="L165" s="23" t="n"/>
      <c r="M165" s="23" t="n"/>
      <c r="N165" s="23" t="n"/>
      <c r="O165" s="20">
        <f>IF(OR(I165="",COUNT(J165:N165)=0),"",IF(SUM(J165:N165)=I165,"✓","⚠ "&amp;SUM(J165:N165)&amp;" statt "&amp;I165))</f>
        <v/>
      </c>
      <c r="P165" s="21" t="n"/>
      <c r="Q165" s="21" t="n"/>
      <c r="R165" s="21" t="n"/>
      <c r="S165" s="24" t="n"/>
      <c r="T165" s="24" t="n"/>
      <c r="V165">
        <f>IF(A165="","",MONTH(A165))</f>
        <v/>
      </c>
      <c r="W165">
        <f>N(W164)+IF(AND(C165&lt;&gt;"",T165&lt;&gt;""),IF(C165=WOCHE!$B$3,1,0),0)</f>
        <v/>
      </c>
      <c r="X165">
        <f>N(X164)+IF(AND(V165&lt;&gt;"",T165&lt;&gt;""),IF(V165=MONAT!$AZ$3,1,0),0)</f>
        <v/>
      </c>
    </row>
    <row r="166">
      <c r="A166" s="19" t="n"/>
      <c r="B166" s="20">
        <f>IF(A166="","",CHOOSE(WEEKDAY(A166,2),"Mo","Di","Mi","Do","Fr","Sa","So"))</f>
        <v/>
      </c>
      <c r="C166" s="20">
        <f>IF(A166="","",INT((A166-DATE(YEAR(A166-WEEKDAY(A166-1)+4),1,3)+WEEKDAY(DATE(YEAR(A166-WEEKDAY(A166-1)+4),1,3))+5)/7))</f>
        <v/>
      </c>
      <c r="D166" s="21" t="n"/>
      <c r="E166" s="22" t="n"/>
      <c r="F166" s="23" t="n"/>
      <c r="G166" s="23" t="n"/>
      <c r="H166" s="23" t="n"/>
      <c r="I166" s="20">
        <f>IF(COUNT(F166:H166)=0,"",SUM(F166:H166))</f>
        <v/>
      </c>
      <c r="J166" s="23" t="n"/>
      <c r="K166" s="23" t="n"/>
      <c r="L166" s="23" t="n"/>
      <c r="M166" s="23" t="n"/>
      <c r="N166" s="23" t="n"/>
      <c r="O166" s="20">
        <f>IF(OR(I166="",COUNT(J166:N166)=0),"",IF(SUM(J166:N166)=I166,"✓","⚠ "&amp;SUM(J166:N166)&amp;" statt "&amp;I166))</f>
        <v/>
      </c>
      <c r="P166" s="21" t="n"/>
      <c r="Q166" s="21" t="n"/>
      <c r="R166" s="21" t="n"/>
      <c r="S166" s="24" t="n"/>
      <c r="T166" s="24" t="n"/>
      <c r="V166">
        <f>IF(A166="","",MONTH(A166))</f>
        <v/>
      </c>
      <c r="W166">
        <f>N(W165)+IF(AND(C166&lt;&gt;"",T166&lt;&gt;""),IF(C166=WOCHE!$B$3,1,0),0)</f>
        <v/>
      </c>
      <c r="X166">
        <f>N(X165)+IF(AND(V166&lt;&gt;"",T166&lt;&gt;""),IF(V166=MONAT!$AZ$3,1,0),0)</f>
        <v/>
      </c>
    </row>
    <row r="167">
      <c r="A167" s="19" t="n"/>
      <c r="B167" s="20">
        <f>IF(A167="","",CHOOSE(WEEKDAY(A167,2),"Mo","Di","Mi","Do","Fr","Sa","So"))</f>
        <v/>
      </c>
      <c r="C167" s="20">
        <f>IF(A167="","",INT((A167-DATE(YEAR(A167-WEEKDAY(A167-1)+4),1,3)+WEEKDAY(DATE(YEAR(A167-WEEKDAY(A167-1)+4),1,3))+5)/7))</f>
        <v/>
      </c>
      <c r="D167" s="21" t="n"/>
      <c r="E167" s="22" t="n"/>
      <c r="F167" s="23" t="n"/>
      <c r="G167" s="23" t="n"/>
      <c r="H167" s="23" t="n"/>
      <c r="I167" s="20">
        <f>IF(COUNT(F167:H167)=0,"",SUM(F167:H167))</f>
        <v/>
      </c>
      <c r="J167" s="23" t="n"/>
      <c r="K167" s="23" t="n"/>
      <c r="L167" s="23" t="n"/>
      <c r="M167" s="23" t="n"/>
      <c r="N167" s="23" t="n"/>
      <c r="O167" s="20">
        <f>IF(OR(I167="",COUNT(J167:N167)=0),"",IF(SUM(J167:N167)=I167,"✓","⚠ "&amp;SUM(J167:N167)&amp;" statt "&amp;I167))</f>
        <v/>
      </c>
      <c r="P167" s="21" t="n"/>
      <c r="Q167" s="21" t="n"/>
      <c r="R167" s="21" t="n"/>
      <c r="S167" s="24" t="n"/>
      <c r="T167" s="24" t="n"/>
      <c r="V167">
        <f>IF(A167="","",MONTH(A167))</f>
        <v/>
      </c>
      <c r="W167">
        <f>N(W166)+IF(AND(C167&lt;&gt;"",T167&lt;&gt;""),IF(C167=WOCHE!$B$3,1,0),0)</f>
        <v/>
      </c>
      <c r="X167">
        <f>N(X166)+IF(AND(V167&lt;&gt;"",T167&lt;&gt;""),IF(V167=MONAT!$AZ$3,1,0),0)</f>
        <v/>
      </c>
    </row>
    <row r="168">
      <c r="A168" s="19" t="n"/>
      <c r="B168" s="20">
        <f>IF(A168="","",CHOOSE(WEEKDAY(A168,2),"Mo","Di","Mi","Do","Fr","Sa","So"))</f>
        <v/>
      </c>
      <c r="C168" s="20">
        <f>IF(A168="","",INT((A168-DATE(YEAR(A168-WEEKDAY(A168-1)+4),1,3)+WEEKDAY(DATE(YEAR(A168-WEEKDAY(A168-1)+4),1,3))+5)/7))</f>
        <v/>
      </c>
      <c r="D168" s="21" t="n"/>
      <c r="E168" s="22" t="n"/>
      <c r="F168" s="23" t="n"/>
      <c r="G168" s="23" t="n"/>
      <c r="H168" s="23" t="n"/>
      <c r="I168" s="20">
        <f>IF(COUNT(F168:H168)=0,"",SUM(F168:H168))</f>
        <v/>
      </c>
      <c r="J168" s="23" t="n"/>
      <c r="K168" s="23" t="n"/>
      <c r="L168" s="23" t="n"/>
      <c r="M168" s="23" t="n"/>
      <c r="N168" s="23" t="n"/>
      <c r="O168" s="20">
        <f>IF(OR(I168="",COUNT(J168:N168)=0),"",IF(SUM(J168:N168)=I168,"✓","⚠ "&amp;SUM(J168:N168)&amp;" statt "&amp;I168))</f>
        <v/>
      </c>
      <c r="P168" s="21" t="n"/>
      <c r="Q168" s="21" t="n"/>
      <c r="R168" s="21" t="n"/>
      <c r="S168" s="24" t="n"/>
      <c r="T168" s="24" t="n"/>
      <c r="V168">
        <f>IF(A168="","",MONTH(A168))</f>
        <v/>
      </c>
      <c r="W168">
        <f>N(W167)+IF(AND(C168&lt;&gt;"",T168&lt;&gt;""),IF(C168=WOCHE!$B$3,1,0),0)</f>
        <v/>
      </c>
      <c r="X168">
        <f>N(X167)+IF(AND(V168&lt;&gt;"",T168&lt;&gt;""),IF(V168=MONAT!$AZ$3,1,0),0)</f>
        <v/>
      </c>
    </row>
    <row r="169">
      <c r="A169" s="19" t="n"/>
      <c r="B169" s="20">
        <f>IF(A169="","",CHOOSE(WEEKDAY(A169,2),"Mo","Di","Mi","Do","Fr","Sa","So"))</f>
        <v/>
      </c>
      <c r="C169" s="20">
        <f>IF(A169="","",INT((A169-DATE(YEAR(A169-WEEKDAY(A169-1)+4),1,3)+WEEKDAY(DATE(YEAR(A169-WEEKDAY(A169-1)+4),1,3))+5)/7))</f>
        <v/>
      </c>
      <c r="D169" s="21" t="n"/>
      <c r="E169" s="22" t="n"/>
      <c r="F169" s="23" t="n"/>
      <c r="G169" s="23" t="n"/>
      <c r="H169" s="23" t="n"/>
      <c r="I169" s="20">
        <f>IF(COUNT(F169:H169)=0,"",SUM(F169:H169))</f>
        <v/>
      </c>
      <c r="J169" s="23" t="n"/>
      <c r="K169" s="23" t="n"/>
      <c r="L169" s="23" t="n"/>
      <c r="M169" s="23" t="n"/>
      <c r="N169" s="23" t="n"/>
      <c r="O169" s="20">
        <f>IF(OR(I169="",COUNT(J169:N169)=0),"",IF(SUM(J169:N169)=I169,"✓","⚠ "&amp;SUM(J169:N169)&amp;" statt "&amp;I169))</f>
        <v/>
      </c>
      <c r="P169" s="21" t="n"/>
      <c r="Q169" s="21" t="n"/>
      <c r="R169" s="21" t="n"/>
      <c r="S169" s="24" t="n"/>
      <c r="T169" s="24" t="n"/>
      <c r="V169">
        <f>IF(A169="","",MONTH(A169))</f>
        <v/>
      </c>
      <c r="W169">
        <f>N(W168)+IF(AND(C169&lt;&gt;"",T169&lt;&gt;""),IF(C169=WOCHE!$B$3,1,0),0)</f>
        <v/>
      </c>
      <c r="X169">
        <f>N(X168)+IF(AND(V169&lt;&gt;"",T169&lt;&gt;""),IF(V169=MONAT!$AZ$3,1,0),0)</f>
        <v/>
      </c>
    </row>
    <row r="170">
      <c r="A170" s="19" t="n"/>
      <c r="B170" s="20">
        <f>IF(A170="","",CHOOSE(WEEKDAY(A170,2),"Mo","Di","Mi","Do","Fr","Sa","So"))</f>
        <v/>
      </c>
      <c r="C170" s="20">
        <f>IF(A170="","",INT((A170-DATE(YEAR(A170-WEEKDAY(A170-1)+4),1,3)+WEEKDAY(DATE(YEAR(A170-WEEKDAY(A170-1)+4),1,3))+5)/7))</f>
        <v/>
      </c>
      <c r="D170" s="21" t="n"/>
      <c r="E170" s="22" t="n"/>
      <c r="F170" s="23" t="n"/>
      <c r="G170" s="23" t="n"/>
      <c r="H170" s="23" t="n"/>
      <c r="I170" s="20">
        <f>IF(COUNT(F170:H170)=0,"",SUM(F170:H170))</f>
        <v/>
      </c>
      <c r="J170" s="23" t="n"/>
      <c r="K170" s="23" t="n"/>
      <c r="L170" s="23" t="n"/>
      <c r="M170" s="23" t="n"/>
      <c r="N170" s="23" t="n"/>
      <c r="O170" s="20">
        <f>IF(OR(I170="",COUNT(J170:N170)=0),"",IF(SUM(J170:N170)=I170,"✓","⚠ "&amp;SUM(J170:N170)&amp;" statt "&amp;I170))</f>
        <v/>
      </c>
      <c r="P170" s="21" t="n"/>
      <c r="Q170" s="21" t="n"/>
      <c r="R170" s="21" t="n"/>
      <c r="S170" s="24" t="n"/>
      <c r="T170" s="24" t="n"/>
      <c r="V170">
        <f>IF(A170="","",MONTH(A170))</f>
        <v/>
      </c>
      <c r="W170">
        <f>N(W169)+IF(AND(C170&lt;&gt;"",T170&lt;&gt;""),IF(C170=WOCHE!$B$3,1,0),0)</f>
        <v/>
      </c>
      <c r="X170">
        <f>N(X169)+IF(AND(V170&lt;&gt;"",T170&lt;&gt;""),IF(V170=MONAT!$AZ$3,1,0),0)</f>
        <v/>
      </c>
    </row>
    <row r="171">
      <c r="A171" s="19" t="n"/>
      <c r="B171" s="20">
        <f>IF(A171="","",CHOOSE(WEEKDAY(A171,2),"Mo","Di","Mi","Do","Fr","Sa","So"))</f>
        <v/>
      </c>
      <c r="C171" s="20">
        <f>IF(A171="","",INT((A171-DATE(YEAR(A171-WEEKDAY(A171-1)+4),1,3)+WEEKDAY(DATE(YEAR(A171-WEEKDAY(A171-1)+4),1,3))+5)/7))</f>
        <v/>
      </c>
      <c r="D171" s="21" t="n"/>
      <c r="E171" s="22" t="n"/>
      <c r="F171" s="23" t="n"/>
      <c r="G171" s="23" t="n"/>
      <c r="H171" s="23" t="n"/>
      <c r="I171" s="20">
        <f>IF(COUNT(F171:H171)=0,"",SUM(F171:H171))</f>
        <v/>
      </c>
      <c r="J171" s="23" t="n"/>
      <c r="K171" s="23" t="n"/>
      <c r="L171" s="23" t="n"/>
      <c r="M171" s="23" t="n"/>
      <c r="N171" s="23" t="n"/>
      <c r="O171" s="20">
        <f>IF(OR(I171="",COUNT(J171:N171)=0),"",IF(SUM(J171:N171)=I171,"✓","⚠ "&amp;SUM(J171:N171)&amp;" statt "&amp;I171))</f>
        <v/>
      </c>
      <c r="P171" s="21" t="n"/>
      <c r="Q171" s="21" t="n"/>
      <c r="R171" s="21" t="n"/>
      <c r="S171" s="24" t="n"/>
      <c r="T171" s="24" t="n"/>
      <c r="V171">
        <f>IF(A171="","",MONTH(A171))</f>
        <v/>
      </c>
      <c r="W171">
        <f>N(W170)+IF(AND(C171&lt;&gt;"",T171&lt;&gt;""),IF(C171=WOCHE!$B$3,1,0),0)</f>
        <v/>
      </c>
      <c r="X171">
        <f>N(X170)+IF(AND(V171&lt;&gt;"",T171&lt;&gt;""),IF(V171=MONAT!$AZ$3,1,0),0)</f>
        <v/>
      </c>
    </row>
    <row r="172">
      <c r="A172" s="19" t="n"/>
      <c r="B172" s="20">
        <f>IF(A172="","",CHOOSE(WEEKDAY(A172,2),"Mo","Di","Mi","Do","Fr","Sa","So"))</f>
        <v/>
      </c>
      <c r="C172" s="20">
        <f>IF(A172="","",INT((A172-DATE(YEAR(A172-WEEKDAY(A172-1)+4),1,3)+WEEKDAY(DATE(YEAR(A172-WEEKDAY(A172-1)+4),1,3))+5)/7))</f>
        <v/>
      </c>
      <c r="D172" s="21" t="n"/>
      <c r="E172" s="22" t="n"/>
      <c r="F172" s="23" t="n"/>
      <c r="G172" s="23" t="n"/>
      <c r="H172" s="23" t="n"/>
      <c r="I172" s="20">
        <f>IF(COUNT(F172:H172)=0,"",SUM(F172:H172))</f>
        <v/>
      </c>
      <c r="J172" s="23" t="n"/>
      <c r="K172" s="23" t="n"/>
      <c r="L172" s="23" t="n"/>
      <c r="M172" s="23" t="n"/>
      <c r="N172" s="23" t="n"/>
      <c r="O172" s="20">
        <f>IF(OR(I172="",COUNT(J172:N172)=0),"",IF(SUM(J172:N172)=I172,"✓","⚠ "&amp;SUM(J172:N172)&amp;" statt "&amp;I172))</f>
        <v/>
      </c>
      <c r="P172" s="21" t="n"/>
      <c r="Q172" s="21" t="n"/>
      <c r="R172" s="21" t="n"/>
      <c r="S172" s="24" t="n"/>
      <c r="T172" s="24" t="n"/>
      <c r="V172">
        <f>IF(A172="","",MONTH(A172))</f>
        <v/>
      </c>
      <c r="W172">
        <f>N(W171)+IF(AND(C172&lt;&gt;"",T172&lt;&gt;""),IF(C172=WOCHE!$B$3,1,0),0)</f>
        <v/>
      </c>
      <c r="X172">
        <f>N(X171)+IF(AND(V172&lt;&gt;"",T172&lt;&gt;""),IF(V172=MONAT!$AZ$3,1,0),0)</f>
        <v/>
      </c>
    </row>
    <row r="173">
      <c r="A173" s="19" t="n"/>
      <c r="B173" s="20">
        <f>IF(A173="","",CHOOSE(WEEKDAY(A173,2),"Mo","Di","Mi","Do","Fr","Sa","So"))</f>
        <v/>
      </c>
      <c r="C173" s="20">
        <f>IF(A173="","",INT((A173-DATE(YEAR(A173-WEEKDAY(A173-1)+4),1,3)+WEEKDAY(DATE(YEAR(A173-WEEKDAY(A173-1)+4),1,3))+5)/7))</f>
        <v/>
      </c>
      <c r="D173" s="21" t="n"/>
      <c r="E173" s="22" t="n"/>
      <c r="F173" s="23" t="n"/>
      <c r="G173" s="23" t="n"/>
      <c r="H173" s="23" t="n"/>
      <c r="I173" s="20">
        <f>IF(COUNT(F173:H173)=0,"",SUM(F173:H173))</f>
        <v/>
      </c>
      <c r="J173" s="23" t="n"/>
      <c r="K173" s="23" t="n"/>
      <c r="L173" s="23" t="n"/>
      <c r="M173" s="23" t="n"/>
      <c r="N173" s="23" t="n"/>
      <c r="O173" s="20">
        <f>IF(OR(I173="",COUNT(J173:N173)=0),"",IF(SUM(J173:N173)=I173,"✓","⚠ "&amp;SUM(J173:N173)&amp;" statt "&amp;I173))</f>
        <v/>
      </c>
      <c r="P173" s="21" t="n"/>
      <c r="Q173" s="21" t="n"/>
      <c r="R173" s="21" t="n"/>
      <c r="S173" s="24" t="n"/>
      <c r="T173" s="24" t="n"/>
      <c r="V173">
        <f>IF(A173="","",MONTH(A173))</f>
        <v/>
      </c>
      <c r="W173">
        <f>N(W172)+IF(AND(C173&lt;&gt;"",T173&lt;&gt;""),IF(C173=WOCHE!$B$3,1,0),0)</f>
        <v/>
      </c>
      <c r="X173">
        <f>N(X172)+IF(AND(V173&lt;&gt;"",T173&lt;&gt;""),IF(V173=MONAT!$AZ$3,1,0),0)</f>
        <v/>
      </c>
    </row>
    <row r="174">
      <c r="A174" s="19" t="n"/>
      <c r="B174" s="20">
        <f>IF(A174="","",CHOOSE(WEEKDAY(A174,2),"Mo","Di","Mi","Do","Fr","Sa","So"))</f>
        <v/>
      </c>
      <c r="C174" s="20">
        <f>IF(A174="","",INT((A174-DATE(YEAR(A174-WEEKDAY(A174-1)+4),1,3)+WEEKDAY(DATE(YEAR(A174-WEEKDAY(A174-1)+4),1,3))+5)/7))</f>
        <v/>
      </c>
      <c r="D174" s="21" t="n"/>
      <c r="E174" s="22" t="n"/>
      <c r="F174" s="23" t="n"/>
      <c r="G174" s="23" t="n"/>
      <c r="H174" s="23" t="n"/>
      <c r="I174" s="20">
        <f>IF(COUNT(F174:H174)=0,"",SUM(F174:H174))</f>
        <v/>
      </c>
      <c r="J174" s="23" t="n"/>
      <c r="K174" s="23" t="n"/>
      <c r="L174" s="23" t="n"/>
      <c r="M174" s="23" t="n"/>
      <c r="N174" s="23" t="n"/>
      <c r="O174" s="20">
        <f>IF(OR(I174="",COUNT(J174:N174)=0),"",IF(SUM(J174:N174)=I174,"✓","⚠ "&amp;SUM(J174:N174)&amp;" statt "&amp;I174))</f>
        <v/>
      </c>
      <c r="P174" s="21" t="n"/>
      <c r="Q174" s="21" t="n"/>
      <c r="R174" s="21" t="n"/>
      <c r="S174" s="24" t="n"/>
      <c r="T174" s="24" t="n"/>
      <c r="V174">
        <f>IF(A174="","",MONTH(A174))</f>
        <v/>
      </c>
      <c r="W174">
        <f>N(W173)+IF(AND(C174&lt;&gt;"",T174&lt;&gt;""),IF(C174=WOCHE!$B$3,1,0),0)</f>
        <v/>
      </c>
      <c r="X174">
        <f>N(X173)+IF(AND(V174&lt;&gt;"",T174&lt;&gt;""),IF(V174=MONAT!$AZ$3,1,0),0)</f>
        <v/>
      </c>
    </row>
    <row r="175">
      <c r="A175" s="19" t="n"/>
      <c r="B175" s="20">
        <f>IF(A175="","",CHOOSE(WEEKDAY(A175,2),"Mo","Di","Mi","Do","Fr","Sa","So"))</f>
        <v/>
      </c>
      <c r="C175" s="20">
        <f>IF(A175="","",INT((A175-DATE(YEAR(A175-WEEKDAY(A175-1)+4),1,3)+WEEKDAY(DATE(YEAR(A175-WEEKDAY(A175-1)+4),1,3))+5)/7))</f>
        <v/>
      </c>
      <c r="D175" s="21" t="n"/>
      <c r="E175" s="22" t="n"/>
      <c r="F175" s="23" t="n"/>
      <c r="G175" s="23" t="n"/>
      <c r="H175" s="23" t="n"/>
      <c r="I175" s="20">
        <f>IF(COUNT(F175:H175)=0,"",SUM(F175:H175))</f>
        <v/>
      </c>
      <c r="J175" s="23" t="n"/>
      <c r="K175" s="23" t="n"/>
      <c r="L175" s="23" t="n"/>
      <c r="M175" s="23" t="n"/>
      <c r="N175" s="23" t="n"/>
      <c r="O175" s="20">
        <f>IF(OR(I175="",COUNT(J175:N175)=0),"",IF(SUM(J175:N175)=I175,"✓","⚠ "&amp;SUM(J175:N175)&amp;" statt "&amp;I175))</f>
        <v/>
      </c>
      <c r="P175" s="21" t="n"/>
      <c r="Q175" s="21" t="n"/>
      <c r="R175" s="21" t="n"/>
      <c r="S175" s="24" t="n"/>
      <c r="T175" s="24" t="n"/>
      <c r="V175">
        <f>IF(A175="","",MONTH(A175))</f>
        <v/>
      </c>
      <c r="W175">
        <f>N(W174)+IF(AND(C175&lt;&gt;"",T175&lt;&gt;""),IF(C175=WOCHE!$B$3,1,0),0)</f>
        <v/>
      </c>
      <c r="X175">
        <f>N(X174)+IF(AND(V175&lt;&gt;"",T175&lt;&gt;""),IF(V175=MONAT!$AZ$3,1,0),0)</f>
        <v/>
      </c>
    </row>
    <row r="176">
      <c r="A176" s="19" t="n"/>
      <c r="B176" s="20">
        <f>IF(A176="","",CHOOSE(WEEKDAY(A176,2),"Mo","Di","Mi","Do","Fr","Sa","So"))</f>
        <v/>
      </c>
      <c r="C176" s="20">
        <f>IF(A176="","",INT((A176-DATE(YEAR(A176-WEEKDAY(A176-1)+4),1,3)+WEEKDAY(DATE(YEAR(A176-WEEKDAY(A176-1)+4),1,3))+5)/7))</f>
        <v/>
      </c>
      <c r="D176" s="21" t="n"/>
      <c r="E176" s="22" t="n"/>
      <c r="F176" s="23" t="n"/>
      <c r="G176" s="23" t="n"/>
      <c r="H176" s="23" t="n"/>
      <c r="I176" s="20">
        <f>IF(COUNT(F176:H176)=0,"",SUM(F176:H176))</f>
        <v/>
      </c>
      <c r="J176" s="23" t="n"/>
      <c r="K176" s="23" t="n"/>
      <c r="L176" s="23" t="n"/>
      <c r="M176" s="23" t="n"/>
      <c r="N176" s="23" t="n"/>
      <c r="O176" s="20">
        <f>IF(OR(I176="",COUNT(J176:N176)=0),"",IF(SUM(J176:N176)=I176,"✓","⚠ "&amp;SUM(J176:N176)&amp;" statt "&amp;I176))</f>
        <v/>
      </c>
      <c r="P176" s="21" t="n"/>
      <c r="Q176" s="21" t="n"/>
      <c r="R176" s="21" t="n"/>
      <c r="S176" s="24" t="n"/>
      <c r="T176" s="24" t="n"/>
      <c r="V176">
        <f>IF(A176="","",MONTH(A176))</f>
        <v/>
      </c>
      <c r="W176">
        <f>N(W175)+IF(AND(C176&lt;&gt;"",T176&lt;&gt;""),IF(C176=WOCHE!$B$3,1,0),0)</f>
        <v/>
      </c>
      <c r="X176">
        <f>N(X175)+IF(AND(V176&lt;&gt;"",T176&lt;&gt;""),IF(V176=MONAT!$AZ$3,1,0),0)</f>
        <v/>
      </c>
    </row>
    <row r="177">
      <c r="A177" s="19" t="n"/>
      <c r="B177" s="20">
        <f>IF(A177="","",CHOOSE(WEEKDAY(A177,2),"Mo","Di","Mi","Do","Fr","Sa","So"))</f>
        <v/>
      </c>
      <c r="C177" s="20">
        <f>IF(A177="","",INT((A177-DATE(YEAR(A177-WEEKDAY(A177-1)+4),1,3)+WEEKDAY(DATE(YEAR(A177-WEEKDAY(A177-1)+4),1,3))+5)/7))</f>
        <v/>
      </c>
      <c r="D177" s="21" t="n"/>
      <c r="E177" s="22" t="n"/>
      <c r="F177" s="23" t="n"/>
      <c r="G177" s="23" t="n"/>
      <c r="H177" s="23" t="n"/>
      <c r="I177" s="20">
        <f>IF(COUNT(F177:H177)=0,"",SUM(F177:H177))</f>
        <v/>
      </c>
      <c r="J177" s="23" t="n"/>
      <c r="K177" s="23" t="n"/>
      <c r="L177" s="23" t="n"/>
      <c r="M177" s="23" t="n"/>
      <c r="N177" s="23" t="n"/>
      <c r="O177" s="20">
        <f>IF(OR(I177="",COUNT(J177:N177)=0),"",IF(SUM(J177:N177)=I177,"✓","⚠ "&amp;SUM(J177:N177)&amp;" statt "&amp;I177))</f>
        <v/>
      </c>
      <c r="P177" s="21" t="n"/>
      <c r="Q177" s="21" t="n"/>
      <c r="R177" s="21" t="n"/>
      <c r="S177" s="24" t="n"/>
      <c r="T177" s="24" t="n"/>
      <c r="V177">
        <f>IF(A177="","",MONTH(A177))</f>
        <v/>
      </c>
      <c r="W177">
        <f>N(W176)+IF(AND(C177&lt;&gt;"",T177&lt;&gt;""),IF(C177=WOCHE!$B$3,1,0),0)</f>
        <v/>
      </c>
      <c r="X177">
        <f>N(X176)+IF(AND(V177&lt;&gt;"",T177&lt;&gt;""),IF(V177=MONAT!$AZ$3,1,0),0)</f>
        <v/>
      </c>
    </row>
    <row r="178">
      <c r="A178" s="19" t="n"/>
      <c r="B178" s="20">
        <f>IF(A178="","",CHOOSE(WEEKDAY(A178,2),"Mo","Di","Mi","Do","Fr","Sa","So"))</f>
        <v/>
      </c>
      <c r="C178" s="20">
        <f>IF(A178="","",INT((A178-DATE(YEAR(A178-WEEKDAY(A178-1)+4),1,3)+WEEKDAY(DATE(YEAR(A178-WEEKDAY(A178-1)+4),1,3))+5)/7))</f>
        <v/>
      </c>
      <c r="D178" s="21" t="n"/>
      <c r="E178" s="22" t="n"/>
      <c r="F178" s="23" t="n"/>
      <c r="G178" s="23" t="n"/>
      <c r="H178" s="23" t="n"/>
      <c r="I178" s="20">
        <f>IF(COUNT(F178:H178)=0,"",SUM(F178:H178))</f>
        <v/>
      </c>
      <c r="J178" s="23" t="n"/>
      <c r="K178" s="23" t="n"/>
      <c r="L178" s="23" t="n"/>
      <c r="M178" s="23" t="n"/>
      <c r="N178" s="23" t="n"/>
      <c r="O178" s="20">
        <f>IF(OR(I178="",COUNT(J178:N178)=0),"",IF(SUM(J178:N178)=I178,"✓","⚠ "&amp;SUM(J178:N178)&amp;" statt "&amp;I178))</f>
        <v/>
      </c>
      <c r="P178" s="21" t="n"/>
      <c r="Q178" s="21" t="n"/>
      <c r="R178" s="21" t="n"/>
      <c r="S178" s="24" t="n"/>
      <c r="T178" s="24" t="n"/>
      <c r="V178">
        <f>IF(A178="","",MONTH(A178))</f>
        <v/>
      </c>
      <c r="W178">
        <f>N(W177)+IF(AND(C178&lt;&gt;"",T178&lt;&gt;""),IF(C178=WOCHE!$B$3,1,0),0)</f>
        <v/>
      </c>
      <c r="X178">
        <f>N(X177)+IF(AND(V178&lt;&gt;"",T178&lt;&gt;""),IF(V178=MONAT!$AZ$3,1,0),0)</f>
        <v/>
      </c>
    </row>
    <row r="179">
      <c r="A179" s="19" t="n"/>
      <c r="B179" s="20">
        <f>IF(A179="","",CHOOSE(WEEKDAY(A179,2),"Mo","Di","Mi","Do","Fr","Sa","So"))</f>
        <v/>
      </c>
      <c r="C179" s="20">
        <f>IF(A179="","",INT((A179-DATE(YEAR(A179-WEEKDAY(A179-1)+4),1,3)+WEEKDAY(DATE(YEAR(A179-WEEKDAY(A179-1)+4),1,3))+5)/7))</f>
        <v/>
      </c>
      <c r="D179" s="21" t="n"/>
      <c r="E179" s="22" t="n"/>
      <c r="F179" s="23" t="n"/>
      <c r="G179" s="23" t="n"/>
      <c r="H179" s="23" t="n"/>
      <c r="I179" s="20">
        <f>IF(COUNT(F179:H179)=0,"",SUM(F179:H179))</f>
        <v/>
      </c>
      <c r="J179" s="23" t="n"/>
      <c r="K179" s="23" t="n"/>
      <c r="L179" s="23" t="n"/>
      <c r="M179" s="23" t="n"/>
      <c r="N179" s="23" t="n"/>
      <c r="O179" s="20">
        <f>IF(OR(I179="",COUNT(J179:N179)=0),"",IF(SUM(J179:N179)=I179,"✓","⚠ "&amp;SUM(J179:N179)&amp;" statt "&amp;I179))</f>
        <v/>
      </c>
      <c r="P179" s="21" t="n"/>
      <c r="Q179" s="21" t="n"/>
      <c r="R179" s="21" t="n"/>
      <c r="S179" s="24" t="n"/>
      <c r="T179" s="24" t="n"/>
      <c r="V179">
        <f>IF(A179="","",MONTH(A179))</f>
        <v/>
      </c>
      <c r="W179">
        <f>N(W178)+IF(AND(C179&lt;&gt;"",T179&lt;&gt;""),IF(C179=WOCHE!$B$3,1,0),0)</f>
        <v/>
      </c>
      <c r="X179">
        <f>N(X178)+IF(AND(V179&lt;&gt;"",T179&lt;&gt;""),IF(V179=MONAT!$AZ$3,1,0),0)</f>
        <v/>
      </c>
    </row>
    <row r="180">
      <c r="A180" s="19" t="n"/>
      <c r="B180" s="20">
        <f>IF(A180="","",CHOOSE(WEEKDAY(A180,2),"Mo","Di","Mi","Do","Fr","Sa","So"))</f>
        <v/>
      </c>
      <c r="C180" s="20">
        <f>IF(A180="","",INT((A180-DATE(YEAR(A180-WEEKDAY(A180-1)+4),1,3)+WEEKDAY(DATE(YEAR(A180-WEEKDAY(A180-1)+4),1,3))+5)/7))</f>
        <v/>
      </c>
      <c r="D180" s="21" t="n"/>
      <c r="E180" s="22" t="n"/>
      <c r="F180" s="23" t="n"/>
      <c r="G180" s="23" t="n"/>
      <c r="H180" s="23" t="n"/>
      <c r="I180" s="20">
        <f>IF(COUNT(F180:H180)=0,"",SUM(F180:H180))</f>
        <v/>
      </c>
      <c r="J180" s="23" t="n"/>
      <c r="K180" s="23" t="n"/>
      <c r="L180" s="23" t="n"/>
      <c r="M180" s="23" t="n"/>
      <c r="N180" s="23" t="n"/>
      <c r="O180" s="20">
        <f>IF(OR(I180="",COUNT(J180:N180)=0),"",IF(SUM(J180:N180)=I180,"✓","⚠ "&amp;SUM(J180:N180)&amp;" statt "&amp;I180))</f>
        <v/>
      </c>
      <c r="P180" s="21" t="n"/>
      <c r="Q180" s="21" t="n"/>
      <c r="R180" s="21" t="n"/>
      <c r="S180" s="24" t="n"/>
      <c r="T180" s="24" t="n"/>
      <c r="V180">
        <f>IF(A180="","",MONTH(A180))</f>
        <v/>
      </c>
      <c r="W180">
        <f>N(W179)+IF(AND(C180&lt;&gt;"",T180&lt;&gt;""),IF(C180=WOCHE!$B$3,1,0),0)</f>
        <v/>
      </c>
      <c r="X180">
        <f>N(X179)+IF(AND(V180&lt;&gt;"",T180&lt;&gt;""),IF(V180=MONAT!$AZ$3,1,0),0)</f>
        <v/>
      </c>
    </row>
    <row r="181">
      <c r="A181" s="19" t="n"/>
      <c r="B181" s="20">
        <f>IF(A181="","",CHOOSE(WEEKDAY(A181,2),"Mo","Di","Mi","Do","Fr","Sa","So"))</f>
        <v/>
      </c>
      <c r="C181" s="20">
        <f>IF(A181="","",INT((A181-DATE(YEAR(A181-WEEKDAY(A181-1)+4),1,3)+WEEKDAY(DATE(YEAR(A181-WEEKDAY(A181-1)+4),1,3))+5)/7))</f>
        <v/>
      </c>
      <c r="D181" s="21" t="n"/>
      <c r="E181" s="22" t="n"/>
      <c r="F181" s="23" t="n"/>
      <c r="G181" s="23" t="n"/>
      <c r="H181" s="23" t="n"/>
      <c r="I181" s="20">
        <f>IF(COUNT(F181:H181)=0,"",SUM(F181:H181))</f>
        <v/>
      </c>
      <c r="J181" s="23" t="n"/>
      <c r="K181" s="23" t="n"/>
      <c r="L181" s="23" t="n"/>
      <c r="M181" s="23" t="n"/>
      <c r="N181" s="23" t="n"/>
      <c r="O181" s="20">
        <f>IF(OR(I181="",COUNT(J181:N181)=0),"",IF(SUM(J181:N181)=I181,"✓","⚠ "&amp;SUM(J181:N181)&amp;" statt "&amp;I181))</f>
        <v/>
      </c>
      <c r="P181" s="21" t="n"/>
      <c r="Q181" s="21" t="n"/>
      <c r="R181" s="21" t="n"/>
      <c r="S181" s="24" t="n"/>
      <c r="T181" s="24" t="n"/>
      <c r="V181">
        <f>IF(A181="","",MONTH(A181))</f>
        <v/>
      </c>
      <c r="W181">
        <f>N(W180)+IF(AND(C181&lt;&gt;"",T181&lt;&gt;""),IF(C181=WOCHE!$B$3,1,0),0)</f>
        <v/>
      </c>
      <c r="X181">
        <f>N(X180)+IF(AND(V181&lt;&gt;"",T181&lt;&gt;""),IF(V181=MONAT!$AZ$3,1,0),0)</f>
        <v/>
      </c>
    </row>
    <row r="182">
      <c r="A182" s="19" t="n"/>
      <c r="B182" s="20">
        <f>IF(A182="","",CHOOSE(WEEKDAY(A182,2),"Mo","Di","Mi","Do","Fr","Sa","So"))</f>
        <v/>
      </c>
      <c r="C182" s="20">
        <f>IF(A182="","",INT((A182-DATE(YEAR(A182-WEEKDAY(A182-1)+4),1,3)+WEEKDAY(DATE(YEAR(A182-WEEKDAY(A182-1)+4),1,3))+5)/7))</f>
        <v/>
      </c>
      <c r="D182" s="21" t="n"/>
      <c r="E182" s="22" t="n"/>
      <c r="F182" s="23" t="n"/>
      <c r="G182" s="23" t="n"/>
      <c r="H182" s="23" t="n"/>
      <c r="I182" s="20">
        <f>IF(COUNT(F182:H182)=0,"",SUM(F182:H182))</f>
        <v/>
      </c>
      <c r="J182" s="23" t="n"/>
      <c r="K182" s="23" t="n"/>
      <c r="L182" s="23" t="n"/>
      <c r="M182" s="23" t="n"/>
      <c r="N182" s="23" t="n"/>
      <c r="O182" s="20">
        <f>IF(OR(I182="",COUNT(J182:N182)=0),"",IF(SUM(J182:N182)=I182,"✓","⚠ "&amp;SUM(J182:N182)&amp;" statt "&amp;I182))</f>
        <v/>
      </c>
      <c r="P182" s="21" t="n"/>
      <c r="Q182" s="21" t="n"/>
      <c r="R182" s="21" t="n"/>
      <c r="S182" s="24" t="n"/>
      <c r="T182" s="24" t="n"/>
      <c r="V182">
        <f>IF(A182="","",MONTH(A182))</f>
        <v/>
      </c>
      <c r="W182">
        <f>N(W181)+IF(AND(C182&lt;&gt;"",T182&lt;&gt;""),IF(C182=WOCHE!$B$3,1,0),0)</f>
        <v/>
      </c>
      <c r="X182">
        <f>N(X181)+IF(AND(V182&lt;&gt;"",T182&lt;&gt;""),IF(V182=MONAT!$AZ$3,1,0),0)</f>
        <v/>
      </c>
    </row>
    <row r="183">
      <c r="A183" s="19" t="n"/>
      <c r="B183" s="20">
        <f>IF(A183="","",CHOOSE(WEEKDAY(A183,2),"Mo","Di","Mi","Do","Fr","Sa","So"))</f>
        <v/>
      </c>
      <c r="C183" s="20">
        <f>IF(A183="","",INT((A183-DATE(YEAR(A183-WEEKDAY(A183-1)+4),1,3)+WEEKDAY(DATE(YEAR(A183-WEEKDAY(A183-1)+4),1,3))+5)/7))</f>
        <v/>
      </c>
      <c r="D183" s="21" t="n"/>
      <c r="E183" s="22" t="n"/>
      <c r="F183" s="23" t="n"/>
      <c r="G183" s="23" t="n"/>
      <c r="H183" s="23" t="n"/>
      <c r="I183" s="20">
        <f>IF(COUNT(F183:H183)=0,"",SUM(F183:H183))</f>
        <v/>
      </c>
      <c r="J183" s="23" t="n"/>
      <c r="K183" s="23" t="n"/>
      <c r="L183" s="23" t="n"/>
      <c r="M183" s="23" t="n"/>
      <c r="N183" s="23" t="n"/>
      <c r="O183" s="20">
        <f>IF(OR(I183="",COUNT(J183:N183)=0),"",IF(SUM(J183:N183)=I183,"✓","⚠ "&amp;SUM(J183:N183)&amp;" statt "&amp;I183))</f>
        <v/>
      </c>
      <c r="P183" s="21" t="n"/>
      <c r="Q183" s="21" t="n"/>
      <c r="R183" s="21" t="n"/>
      <c r="S183" s="24" t="n"/>
      <c r="T183" s="24" t="n"/>
      <c r="V183">
        <f>IF(A183="","",MONTH(A183))</f>
        <v/>
      </c>
      <c r="W183">
        <f>N(W182)+IF(AND(C183&lt;&gt;"",T183&lt;&gt;""),IF(C183=WOCHE!$B$3,1,0),0)</f>
        <v/>
      </c>
      <c r="X183">
        <f>N(X182)+IF(AND(V183&lt;&gt;"",T183&lt;&gt;""),IF(V183=MONAT!$AZ$3,1,0),0)</f>
        <v/>
      </c>
    </row>
    <row r="184">
      <c r="A184" s="19" t="n"/>
      <c r="B184" s="20">
        <f>IF(A184="","",CHOOSE(WEEKDAY(A184,2),"Mo","Di","Mi","Do","Fr","Sa","So"))</f>
        <v/>
      </c>
      <c r="C184" s="20">
        <f>IF(A184="","",INT((A184-DATE(YEAR(A184-WEEKDAY(A184-1)+4),1,3)+WEEKDAY(DATE(YEAR(A184-WEEKDAY(A184-1)+4),1,3))+5)/7))</f>
        <v/>
      </c>
      <c r="D184" s="21" t="n"/>
      <c r="E184" s="22" t="n"/>
      <c r="F184" s="23" t="n"/>
      <c r="G184" s="23" t="n"/>
      <c r="H184" s="23" t="n"/>
      <c r="I184" s="20">
        <f>IF(COUNT(F184:H184)=0,"",SUM(F184:H184))</f>
        <v/>
      </c>
      <c r="J184" s="23" t="n"/>
      <c r="K184" s="23" t="n"/>
      <c r="L184" s="23" t="n"/>
      <c r="M184" s="23" t="n"/>
      <c r="N184" s="23" t="n"/>
      <c r="O184" s="20">
        <f>IF(OR(I184="",COUNT(J184:N184)=0),"",IF(SUM(J184:N184)=I184,"✓","⚠ "&amp;SUM(J184:N184)&amp;" statt "&amp;I184))</f>
        <v/>
      </c>
      <c r="P184" s="21" t="n"/>
      <c r="Q184" s="21" t="n"/>
      <c r="R184" s="21" t="n"/>
      <c r="S184" s="24" t="n"/>
      <c r="T184" s="24" t="n"/>
      <c r="V184">
        <f>IF(A184="","",MONTH(A184))</f>
        <v/>
      </c>
      <c r="W184">
        <f>N(W183)+IF(AND(C184&lt;&gt;"",T184&lt;&gt;""),IF(C184=WOCHE!$B$3,1,0),0)</f>
        <v/>
      </c>
      <c r="X184">
        <f>N(X183)+IF(AND(V184&lt;&gt;"",T184&lt;&gt;""),IF(V184=MONAT!$AZ$3,1,0),0)</f>
        <v/>
      </c>
    </row>
    <row r="185">
      <c r="A185" s="19" t="n"/>
      <c r="B185" s="20">
        <f>IF(A185="","",CHOOSE(WEEKDAY(A185,2),"Mo","Di","Mi","Do","Fr","Sa","So"))</f>
        <v/>
      </c>
      <c r="C185" s="20">
        <f>IF(A185="","",INT((A185-DATE(YEAR(A185-WEEKDAY(A185-1)+4),1,3)+WEEKDAY(DATE(YEAR(A185-WEEKDAY(A185-1)+4),1,3))+5)/7))</f>
        <v/>
      </c>
      <c r="D185" s="21" t="n"/>
      <c r="E185" s="22" t="n"/>
      <c r="F185" s="23" t="n"/>
      <c r="G185" s="23" t="n"/>
      <c r="H185" s="23" t="n"/>
      <c r="I185" s="20">
        <f>IF(COUNT(F185:H185)=0,"",SUM(F185:H185))</f>
        <v/>
      </c>
      <c r="J185" s="23" t="n"/>
      <c r="K185" s="23" t="n"/>
      <c r="L185" s="23" t="n"/>
      <c r="M185" s="23" t="n"/>
      <c r="N185" s="23" t="n"/>
      <c r="O185" s="20">
        <f>IF(OR(I185="",COUNT(J185:N185)=0),"",IF(SUM(J185:N185)=I185,"✓","⚠ "&amp;SUM(J185:N185)&amp;" statt "&amp;I185))</f>
        <v/>
      </c>
      <c r="P185" s="21" t="n"/>
      <c r="Q185" s="21" t="n"/>
      <c r="R185" s="21" t="n"/>
      <c r="S185" s="24" t="n"/>
      <c r="T185" s="24" t="n"/>
      <c r="V185">
        <f>IF(A185="","",MONTH(A185))</f>
        <v/>
      </c>
      <c r="W185">
        <f>N(W184)+IF(AND(C185&lt;&gt;"",T185&lt;&gt;""),IF(C185=WOCHE!$B$3,1,0),0)</f>
        <v/>
      </c>
      <c r="X185">
        <f>N(X184)+IF(AND(V185&lt;&gt;"",T185&lt;&gt;""),IF(V185=MONAT!$AZ$3,1,0),0)</f>
        <v/>
      </c>
    </row>
    <row r="186">
      <c r="A186" s="19" t="n"/>
      <c r="B186" s="20">
        <f>IF(A186="","",CHOOSE(WEEKDAY(A186,2),"Mo","Di","Mi","Do","Fr","Sa","So"))</f>
        <v/>
      </c>
      <c r="C186" s="20">
        <f>IF(A186="","",INT((A186-DATE(YEAR(A186-WEEKDAY(A186-1)+4),1,3)+WEEKDAY(DATE(YEAR(A186-WEEKDAY(A186-1)+4),1,3))+5)/7))</f>
        <v/>
      </c>
      <c r="D186" s="21" t="n"/>
      <c r="E186" s="22" t="n"/>
      <c r="F186" s="23" t="n"/>
      <c r="G186" s="23" t="n"/>
      <c r="H186" s="23" t="n"/>
      <c r="I186" s="20">
        <f>IF(COUNT(F186:H186)=0,"",SUM(F186:H186))</f>
        <v/>
      </c>
      <c r="J186" s="23" t="n"/>
      <c r="K186" s="23" t="n"/>
      <c r="L186" s="23" t="n"/>
      <c r="M186" s="23" t="n"/>
      <c r="N186" s="23" t="n"/>
      <c r="O186" s="20">
        <f>IF(OR(I186="",COUNT(J186:N186)=0),"",IF(SUM(J186:N186)=I186,"✓","⚠ "&amp;SUM(J186:N186)&amp;" statt "&amp;I186))</f>
        <v/>
      </c>
      <c r="P186" s="21" t="n"/>
      <c r="Q186" s="21" t="n"/>
      <c r="R186" s="21" t="n"/>
      <c r="S186" s="24" t="n"/>
      <c r="T186" s="24" t="n"/>
      <c r="V186">
        <f>IF(A186="","",MONTH(A186))</f>
        <v/>
      </c>
      <c r="W186">
        <f>N(W185)+IF(AND(C186&lt;&gt;"",T186&lt;&gt;""),IF(C186=WOCHE!$B$3,1,0),0)</f>
        <v/>
      </c>
      <c r="X186">
        <f>N(X185)+IF(AND(V186&lt;&gt;"",T186&lt;&gt;""),IF(V186=MONAT!$AZ$3,1,0),0)</f>
        <v/>
      </c>
    </row>
    <row r="187">
      <c r="A187" s="19" t="n"/>
      <c r="B187" s="20">
        <f>IF(A187="","",CHOOSE(WEEKDAY(A187,2),"Mo","Di","Mi","Do","Fr","Sa","So"))</f>
        <v/>
      </c>
      <c r="C187" s="20">
        <f>IF(A187="","",INT((A187-DATE(YEAR(A187-WEEKDAY(A187-1)+4),1,3)+WEEKDAY(DATE(YEAR(A187-WEEKDAY(A187-1)+4),1,3))+5)/7))</f>
        <v/>
      </c>
      <c r="D187" s="21" t="n"/>
      <c r="E187" s="22" t="n"/>
      <c r="F187" s="23" t="n"/>
      <c r="G187" s="23" t="n"/>
      <c r="H187" s="23" t="n"/>
      <c r="I187" s="20">
        <f>IF(COUNT(F187:H187)=0,"",SUM(F187:H187))</f>
        <v/>
      </c>
      <c r="J187" s="23" t="n"/>
      <c r="K187" s="23" t="n"/>
      <c r="L187" s="23" t="n"/>
      <c r="M187" s="23" t="n"/>
      <c r="N187" s="23" t="n"/>
      <c r="O187" s="20">
        <f>IF(OR(I187="",COUNT(J187:N187)=0),"",IF(SUM(J187:N187)=I187,"✓","⚠ "&amp;SUM(J187:N187)&amp;" statt "&amp;I187))</f>
        <v/>
      </c>
      <c r="P187" s="21" t="n"/>
      <c r="Q187" s="21" t="n"/>
      <c r="R187" s="21" t="n"/>
      <c r="S187" s="24" t="n"/>
      <c r="T187" s="24" t="n"/>
      <c r="V187">
        <f>IF(A187="","",MONTH(A187))</f>
        <v/>
      </c>
      <c r="W187">
        <f>N(W186)+IF(AND(C187&lt;&gt;"",T187&lt;&gt;""),IF(C187=WOCHE!$B$3,1,0),0)</f>
        <v/>
      </c>
      <c r="X187">
        <f>N(X186)+IF(AND(V187&lt;&gt;"",T187&lt;&gt;""),IF(V187=MONAT!$AZ$3,1,0),0)</f>
        <v/>
      </c>
    </row>
    <row r="188">
      <c r="A188" s="19" t="n"/>
      <c r="B188" s="20">
        <f>IF(A188="","",CHOOSE(WEEKDAY(A188,2),"Mo","Di","Mi","Do","Fr","Sa","So"))</f>
        <v/>
      </c>
      <c r="C188" s="20">
        <f>IF(A188="","",INT((A188-DATE(YEAR(A188-WEEKDAY(A188-1)+4),1,3)+WEEKDAY(DATE(YEAR(A188-WEEKDAY(A188-1)+4),1,3))+5)/7))</f>
        <v/>
      </c>
      <c r="D188" s="21" t="n"/>
      <c r="E188" s="22" t="n"/>
      <c r="F188" s="23" t="n"/>
      <c r="G188" s="23" t="n"/>
      <c r="H188" s="23" t="n"/>
      <c r="I188" s="20">
        <f>IF(COUNT(F188:H188)=0,"",SUM(F188:H188))</f>
        <v/>
      </c>
      <c r="J188" s="23" t="n"/>
      <c r="K188" s="23" t="n"/>
      <c r="L188" s="23" t="n"/>
      <c r="M188" s="23" t="n"/>
      <c r="N188" s="23" t="n"/>
      <c r="O188" s="20">
        <f>IF(OR(I188="",COUNT(J188:N188)=0),"",IF(SUM(J188:N188)=I188,"✓","⚠ "&amp;SUM(J188:N188)&amp;" statt "&amp;I188))</f>
        <v/>
      </c>
      <c r="P188" s="21" t="n"/>
      <c r="Q188" s="21" t="n"/>
      <c r="R188" s="21" t="n"/>
      <c r="S188" s="24" t="n"/>
      <c r="T188" s="24" t="n"/>
      <c r="V188">
        <f>IF(A188="","",MONTH(A188))</f>
        <v/>
      </c>
      <c r="W188">
        <f>N(W187)+IF(AND(C188&lt;&gt;"",T188&lt;&gt;""),IF(C188=WOCHE!$B$3,1,0),0)</f>
        <v/>
      </c>
      <c r="X188">
        <f>N(X187)+IF(AND(V188&lt;&gt;"",T188&lt;&gt;""),IF(V188=MONAT!$AZ$3,1,0),0)</f>
        <v/>
      </c>
    </row>
    <row r="189">
      <c r="A189" s="19" t="n"/>
      <c r="B189" s="20">
        <f>IF(A189="","",CHOOSE(WEEKDAY(A189,2),"Mo","Di","Mi","Do","Fr","Sa","So"))</f>
        <v/>
      </c>
      <c r="C189" s="20">
        <f>IF(A189="","",INT((A189-DATE(YEAR(A189-WEEKDAY(A189-1)+4),1,3)+WEEKDAY(DATE(YEAR(A189-WEEKDAY(A189-1)+4),1,3))+5)/7))</f>
        <v/>
      </c>
      <c r="D189" s="21" t="n"/>
      <c r="E189" s="22" t="n"/>
      <c r="F189" s="23" t="n"/>
      <c r="G189" s="23" t="n"/>
      <c r="H189" s="23" t="n"/>
      <c r="I189" s="20">
        <f>IF(COUNT(F189:H189)=0,"",SUM(F189:H189))</f>
        <v/>
      </c>
      <c r="J189" s="23" t="n"/>
      <c r="K189" s="23" t="n"/>
      <c r="L189" s="23" t="n"/>
      <c r="M189" s="23" t="n"/>
      <c r="N189" s="23" t="n"/>
      <c r="O189" s="20">
        <f>IF(OR(I189="",COUNT(J189:N189)=0),"",IF(SUM(J189:N189)=I189,"✓","⚠ "&amp;SUM(J189:N189)&amp;" statt "&amp;I189))</f>
        <v/>
      </c>
      <c r="P189" s="21" t="n"/>
      <c r="Q189" s="21" t="n"/>
      <c r="R189" s="21" t="n"/>
      <c r="S189" s="24" t="n"/>
      <c r="T189" s="24" t="n"/>
      <c r="V189">
        <f>IF(A189="","",MONTH(A189))</f>
        <v/>
      </c>
      <c r="W189">
        <f>N(W188)+IF(AND(C189&lt;&gt;"",T189&lt;&gt;""),IF(C189=WOCHE!$B$3,1,0),0)</f>
        <v/>
      </c>
      <c r="X189">
        <f>N(X188)+IF(AND(V189&lt;&gt;"",T189&lt;&gt;""),IF(V189=MONAT!$AZ$3,1,0),0)</f>
        <v/>
      </c>
    </row>
    <row r="190">
      <c r="A190" s="19" t="n"/>
      <c r="B190" s="20">
        <f>IF(A190="","",CHOOSE(WEEKDAY(A190,2),"Mo","Di","Mi","Do","Fr","Sa","So"))</f>
        <v/>
      </c>
      <c r="C190" s="20">
        <f>IF(A190="","",INT((A190-DATE(YEAR(A190-WEEKDAY(A190-1)+4),1,3)+WEEKDAY(DATE(YEAR(A190-WEEKDAY(A190-1)+4),1,3))+5)/7))</f>
        <v/>
      </c>
      <c r="D190" s="21" t="n"/>
      <c r="E190" s="22" t="n"/>
      <c r="F190" s="23" t="n"/>
      <c r="G190" s="23" t="n"/>
      <c r="H190" s="23" t="n"/>
      <c r="I190" s="20">
        <f>IF(COUNT(F190:H190)=0,"",SUM(F190:H190))</f>
        <v/>
      </c>
      <c r="J190" s="23" t="n"/>
      <c r="K190" s="23" t="n"/>
      <c r="L190" s="23" t="n"/>
      <c r="M190" s="23" t="n"/>
      <c r="N190" s="23" t="n"/>
      <c r="O190" s="20">
        <f>IF(OR(I190="",COUNT(J190:N190)=0),"",IF(SUM(J190:N190)=I190,"✓","⚠ "&amp;SUM(J190:N190)&amp;" statt "&amp;I190))</f>
        <v/>
      </c>
      <c r="P190" s="21" t="n"/>
      <c r="Q190" s="21" t="n"/>
      <c r="R190" s="21" t="n"/>
      <c r="S190" s="24" t="n"/>
      <c r="T190" s="24" t="n"/>
      <c r="V190">
        <f>IF(A190="","",MONTH(A190))</f>
        <v/>
      </c>
      <c r="W190">
        <f>N(W189)+IF(AND(C190&lt;&gt;"",T190&lt;&gt;""),IF(C190=WOCHE!$B$3,1,0),0)</f>
        <v/>
      </c>
      <c r="X190">
        <f>N(X189)+IF(AND(V190&lt;&gt;"",T190&lt;&gt;""),IF(V190=MONAT!$AZ$3,1,0),0)</f>
        <v/>
      </c>
    </row>
    <row r="191">
      <c r="A191" s="19" t="n"/>
      <c r="B191" s="20">
        <f>IF(A191="","",CHOOSE(WEEKDAY(A191,2),"Mo","Di","Mi","Do","Fr","Sa","So"))</f>
        <v/>
      </c>
      <c r="C191" s="20">
        <f>IF(A191="","",INT((A191-DATE(YEAR(A191-WEEKDAY(A191-1)+4),1,3)+WEEKDAY(DATE(YEAR(A191-WEEKDAY(A191-1)+4),1,3))+5)/7))</f>
        <v/>
      </c>
      <c r="D191" s="21" t="n"/>
      <c r="E191" s="22" t="n"/>
      <c r="F191" s="23" t="n"/>
      <c r="G191" s="23" t="n"/>
      <c r="H191" s="23" t="n"/>
      <c r="I191" s="20">
        <f>IF(COUNT(F191:H191)=0,"",SUM(F191:H191))</f>
        <v/>
      </c>
      <c r="J191" s="23" t="n"/>
      <c r="K191" s="23" t="n"/>
      <c r="L191" s="23" t="n"/>
      <c r="M191" s="23" t="n"/>
      <c r="N191" s="23" t="n"/>
      <c r="O191" s="20">
        <f>IF(OR(I191="",COUNT(J191:N191)=0),"",IF(SUM(J191:N191)=I191,"✓","⚠ "&amp;SUM(J191:N191)&amp;" statt "&amp;I191))</f>
        <v/>
      </c>
      <c r="P191" s="21" t="n"/>
      <c r="Q191" s="21" t="n"/>
      <c r="R191" s="21" t="n"/>
      <c r="S191" s="24" t="n"/>
      <c r="T191" s="24" t="n"/>
      <c r="V191">
        <f>IF(A191="","",MONTH(A191))</f>
        <v/>
      </c>
      <c r="W191">
        <f>N(W190)+IF(AND(C191&lt;&gt;"",T191&lt;&gt;""),IF(C191=WOCHE!$B$3,1,0),0)</f>
        <v/>
      </c>
      <c r="X191">
        <f>N(X190)+IF(AND(V191&lt;&gt;"",T191&lt;&gt;""),IF(V191=MONAT!$AZ$3,1,0),0)</f>
        <v/>
      </c>
    </row>
    <row r="192">
      <c r="A192" s="19" t="n"/>
      <c r="B192" s="20">
        <f>IF(A192="","",CHOOSE(WEEKDAY(A192,2),"Mo","Di","Mi","Do","Fr","Sa","So"))</f>
        <v/>
      </c>
      <c r="C192" s="20">
        <f>IF(A192="","",INT((A192-DATE(YEAR(A192-WEEKDAY(A192-1)+4),1,3)+WEEKDAY(DATE(YEAR(A192-WEEKDAY(A192-1)+4),1,3))+5)/7))</f>
        <v/>
      </c>
      <c r="D192" s="21" t="n"/>
      <c r="E192" s="22" t="n"/>
      <c r="F192" s="23" t="n"/>
      <c r="G192" s="23" t="n"/>
      <c r="H192" s="23" t="n"/>
      <c r="I192" s="20">
        <f>IF(COUNT(F192:H192)=0,"",SUM(F192:H192))</f>
        <v/>
      </c>
      <c r="J192" s="23" t="n"/>
      <c r="K192" s="23" t="n"/>
      <c r="L192" s="23" t="n"/>
      <c r="M192" s="23" t="n"/>
      <c r="N192" s="23" t="n"/>
      <c r="O192" s="20">
        <f>IF(OR(I192="",COUNT(J192:N192)=0),"",IF(SUM(J192:N192)=I192,"✓","⚠ "&amp;SUM(J192:N192)&amp;" statt "&amp;I192))</f>
        <v/>
      </c>
      <c r="P192" s="21" t="n"/>
      <c r="Q192" s="21" t="n"/>
      <c r="R192" s="21" t="n"/>
      <c r="S192" s="24" t="n"/>
      <c r="T192" s="24" t="n"/>
      <c r="V192">
        <f>IF(A192="","",MONTH(A192))</f>
        <v/>
      </c>
      <c r="W192">
        <f>N(W191)+IF(AND(C192&lt;&gt;"",T192&lt;&gt;""),IF(C192=WOCHE!$B$3,1,0),0)</f>
        <v/>
      </c>
      <c r="X192">
        <f>N(X191)+IF(AND(V192&lt;&gt;"",T192&lt;&gt;""),IF(V192=MONAT!$AZ$3,1,0),0)</f>
        <v/>
      </c>
    </row>
    <row r="193">
      <c r="A193" s="19" t="n"/>
      <c r="B193" s="20">
        <f>IF(A193="","",CHOOSE(WEEKDAY(A193,2),"Mo","Di","Mi","Do","Fr","Sa","So"))</f>
        <v/>
      </c>
      <c r="C193" s="20">
        <f>IF(A193="","",INT((A193-DATE(YEAR(A193-WEEKDAY(A193-1)+4),1,3)+WEEKDAY(DATE(YEAR(A193-WEEKDAY(A193-1)+4),1,3))+5)/7))</f>
        <v/>
      </c>
      <c r="D193" s="21" t="n"/>
      <c r="E193" s="22" t="n"/>
      <c r="F193" s="23" t="n"/>
      <c r="G193" s="23" t="n"/>
      <c r="H193" s="23" t="n"/>
      <c r="I193" s="20">
        <f>IF(COUNT(F193:H193)=0,"",SUM(F193:H193))</f>
        <v/>
      </c>
      <c r="J193" s="23" t="n"/>
      <c r="K193" s="23" t="n"/>
      <c r="L193" s="23" t="n"/>
      <c r="M193" s="23" t="n"/>
      <c r="N193" s="23" t="n"/>
      <c r="O193" s="20">
        <f>IF(OR(I193="",COUNT(J193:N193)=0),"",IF(SUM(J193:N193)=I193,"✓","⚠ "&amp;SUM(J193:N193)&amp;" statt "&amp;I193))</f>
        <v/>
      </c>
      <c r="P193" s="21" t="n"/>
      <c r="Q193" s="21" t="n"/>
      <c r="R193" s="21" t="n"/>
      <c r="S193" s="24" t="n"/>
      <c r="T193" s="24" t="n"/>
      <c r="V193">
        <f>IF(A193="","",MONTH(A193))</f>
        <v/>
      </c>
      <c r="W193">
        <f>N(W192)+IF(AND(C193&lt;&gt;"",T193&lt;&gt;""),IF(C193=WOCHE!$B$3,1,0),0)</f>
        <v/>
      </c>
      <c r="X193">
        <f>N(X192)+IF(AND(V193&lt;&gt;"",T193&lt;&gt;""),IF(V193=MONAT!$AZ$3,1,0),0)</f>
        <v/>
      </c>
    </row>
    <row r="194">
      <c r="A194" s="19" t="n"/>
      <c r="B194" s="20">
        <f>IF(A194="","",CHOOSE(WEEKDAY(A194,2),"Mo","Di","Mi","Do","Fr","Sa","So"))</f>
        <v/>
      </c>
      <c r="C194" s="20">
        <f>IF(A194="","",INT((A194-DATE(YEAR(A194-WEEKDAY(A194-1)+4),1,3)+WEEKDAY(DATE(YEAR(A194-WEEKDAY(A194-1)+4),1,3))+5)/7))</f>
        <v/>
      </c>
      <c r="D194" s="21" t="n"/>
      <c r="E194" s="22" t="n"/>
      <c r="F194" s="23" t="n"/>
      <c r="G194" s="23" t="n"/>
      <c r="H194" s="23" t="n"/>
      <c r="I194" s="20">
        <f>IF(COUNT(F194:H194)=0,"",SUM(F194:H194))</f>
        <v/>
      </c>
      <c r="J194" s="23" t="n"/>
      <c r="K194" s="23" t="n"/>
      <c r="L194" s="23" t="n"/>
      <c r="M194" s="23" t="n"/>
      <c r="N194" s="23" t="n"/>
      <c r="O194" s="20">
        <f>IF(OR(I194="",COUNT(J194:N194)=0),"",IF(SUM(J194:N194)=I194,"✓","⚠ "&amp;SUM(J194:N194)&amp;" statt "&amp;I194))</f>
        <v/>
      </c>
      <c r="P194" s="21" t="n"/>
      <c r="Q194" s="21" t="n"/>
      <c r="R194" s="21" t="n"/>
      <c r="S194" s="24" t="n"/>
      <c r="T194" s="24" t="n"/>
      <c r="V194">
        <f>IF(A194="","",MONTH(A194))</f>
        <v/>
      </c>
      <c r="W194">
        <f>N(W193)+IF(AND(C194&lt;&gt;"",T194&lt;&gt;""),IF(C194=WOCHE!$B$3,1,0),0)</f>
        <v/>
      </c>
      <c r="X194">
        <f>N(X193)+IF(AND(V194&lt;&gt;"",T194&lt;&gt;""),IF(V194=MONAT!$AZ$3,1,0),0)</f>
        <v/>
      </c>
    </row>
    <row r="195">
      <c r="A195" s="19" t="n"/>
      <c r="B195" s="20">
        <f>IF(A195="","",CHOOSE(WEEKDAY(A195,2),"Mo","Di","Mi","Do","Fr","Sa","So"))</f>
        <v/>
      </c>
      <c r="C195" s="20">
        <f>IF(A195="","",INT((A195-DATE(YEAR(A195-WEEKDAY(A195-1)+4),1,3)+WEEKDAY(DATE(YEAR(A195-WEEKDAY(A195-1)+4),1,3))+5)/7))</f>
        <v/>
      </c>
      <c r="D195" s="21" t="n"/>
      <c r="E195" s="22" t="n"/>
      <c r="F195" s="23" t="n"/>
      <c r="G195" s="23" t="n"/>
      <c r="H195" s="23" t="n"/>
      <c r="I195" s="20">
        <f>IF(COUNT(F195:H195)=0,"",SUM(F195:H195))</f>
        <v/>
      </c>
      <c r="J195" s="23" t="n"/>
      <c r="K195" s="23" t="n"/>
      <c r="L195" s="23" t="n"/>
      <c r="M195" s="23" t="n"/>
      <c r="N195" s="23" t="n"/>
      <c r="O195" s="20">
        <f>IF(OR(I195="",COUNT(J195:N195)=0),"",IF(SUM(J195:N195)=I195,"✓","⚠ "&amp;SUM(J195:N195)&amp;" statt "&amp;I195))</f>
        <v/>
      </c>
      <c r="P195" s="21" t="n"/>
      <c r="Q195" s="21" t="n"/>
      <c r="R195" s="21" t="n"/>
      <c r="S195" s="24" t="n"/>
      <c r="T195" s="24" t="n"/>
      <c r="V195">
        <f>IF(A195="","",MONTH(A195))</f>
        <v/>
      </c>
      <c r="W195">
        <f>N(W194)+IF(AND(C195&lt;&gt;"",T195&lt;&gt;""),IF(C195=WOCHE!$B$3,1,0),0)</f>
        <v/>
      </c>
      <c r="X195">
        <f>N(X194)+IF(AND(V195&lt;&gt;"",T195&lt;&gt;""),IF(V195=MONAT!$AZ$3,1,0),0)</f>
        <v/>
      </c>
    </row>
    <row r="196">
      <c r="A196" s="19" t="n"/>
      <c r="B196" s="20">
        <f>IF(A196="","",CHOOSE(WEEKDAY(A196,2),"Mo","Di","Mi","Do","Fr","Sa","So"))</f>
        <v/>
      </c>
      <c r="C196" s="20">
        <f>IF(A196="","",INT((A196-DATE(YEAR(A196-WEEKDAY(A196-1)+4),1,3)+WEEKDAY(DATE(YEAR(A196-WEEKDAY(A196-1)+4),1,3))+5)/7))</f>
        <v/>
      </c>
      <c r="D196" s="21" t="n"/>
      <c r="E196" s="22" t="n"/>
      <c r="F196" s="23" t="n"/>
      <c r="G196" s="23" t="n"/>
      <c r="H196" s="23" t="n"/>
      <c r="I196" s="20">
        <f>IF(COUNT(F196:H196)=0,"",SUM(F196:H196))</f>
        <v/>
      </c>
      <c r="J196" s="23" t="n"/>
      <c r="K196" s="23" t="n"/>
      <c r="L196" s="23" t="n"/>
      <c r="M196" s="23" t="n"/>
      <c r="N196" s="23" t="n"/>
      <c r="O196" s="20">
        <f>IF(OR(I196="",COUNT(J196:N196)=0),"",IF(SUM(J196:N196)=I196,"✓","⚠ "&amp;SUM(J196:N196)&amp;" statt "&amp;I196))</f>
        <v/>
      </c>
      <c r="P196" s="21" t="n"/>
      <c r="Q196" s="21" t="n"/>
      <c r="R196" s="21" t="n"/>
      <c r="S196" s="24" t="n"/>
      <c r="T196" s="24" t="n"/>
      <c r="V196">
        <f>IF(A196="","",MONTH(A196))</f>
        <v/>
      </c>
      <c r="W196">
        <f>N(W195)+IF(AND(C196&lt;&gt;"",T196&lt;&gt;""),IF(C196=WOCHE!$B$3,1,0),0)</f>
        <v/>
      </c>
      <c r="X196">
        <f>N(X195)+IF(AND(V196&lt;&gt;"",T196&lt;&gt;""),IF(V196=MONAT!$AZ$3,1,0),0)</f>
        <v/>
      </c>
    </row>
    <row r="197">
      <c r="A197" s="19" t="n"/>
      <c r="B197" s="20">
        <f>IF(A197="","",CHOOSE(WEEKDAY(A197,2),"Mo","Di","Mi","Do","Fr","Sa","So"))</f>
        <v/>
      </c>
      <c r="C197" s="20">
        <f>IF(A197="","",INT((A197-DATE(YEAR(A197-WEEKDAY(A197-1)+4),1,3)+WEEKDAY(DATE(YEAR(A197-WEEKDAY(A197-1)+4),1,3))+5)/7))</f>
        <v/>
      </c>
      <c r="D197" s="21" t="n"/>
      <c r="E197" s="22" t="n"/>
      <c r="F197" s="23" t="n"/>
      <c r="G197" s="23" t="n"/>
      <c r="H197" s="23" t="n"/>
      <c r="I197" s="20">
        <f>IF(COUNT(F197:H197)=0,"",SUM(F197:H197))</f>
        <v/>
      </c>
      <c r="J197" s="23" t="n"/>
      <c r="K197" s="23" t="n"/>
      <c r="L197" s="23" t="n"/>
      <c r="M197" s="23" t="n"/>
      <c r="N197" s="23" t="n"/>
      <c r="O197" s="20">
        <f>IF(OR(I197="",COUNT(J197:N197)=0),"",IF(SUM(J197:N197)=I197,"✓","⚠ "&amp;SUM(J197:N197)&amp;" statt "&amp;I197))</f>
        <v/>
      </c>
      <c r="P197" s="21" t="n"/>
      <c r="Q197" s="21" t="n"/>
      <c r="R197" s="21" t="n"/>
      <c r="S197" s="24" t="n"/>
      <c r="T197" s="24" t="n"/>
      <c r="V197">
        <f>IF(A197="","",MONTH(A197))</f>
        <v/>
      </c>
      <c r="W197">
        <f>N(W196)+IF(AND(C197&lt;&gt;"",T197&lt;&gt;""),IF(C197=WOCHE!$B$3,1,0),0)</f>
        <v/>
      </c>
      <c r="X197">
        <f>N(X196)+IF(AND(V197&lt;&gt;"",T197&lt;&gt;""),IF(V197=MONAT!$AZ$3,1,0),0)</f>
        <v/>
      </c>
    </row>
    <row r="198">
      <c r="A198" s="19" t="n"/>
      <c r="B198" s="20">
        <f>IF(A198="","",CHOOSE(WEEKDAY(A198,2),"Mo","Di","Mi","Do","Fr","Sa","So"))</f>
        <v/>
      </c>
      <c r="C198" s="20">
        <f>IF(A198="","",INT((A198-DATE(YEAR(A198-WEEKDAY(A198-1)+4),1,3)+WEEKDAY(DATE(YEAR(A198-WEEKDAY(A198-1)+4),1,3))+5)/7))</f>
        <v/>
      </c>
      <c r="D198" s="21" t="n"/>
      <c r="E198" s="22" t="n"/>
      <c r="F198" s="23" t="n"/>
      <c r="G198" s="23" t="n"/>
      <c r="H198" s="23" t="n"/>
      <c r="I198" s="20">
        <f>IF(COUNT(F198:H198)=0,"",SUM(F198:H198))</f>
        <v/>
      </c>
      <c r="J198" s="23" t="n"/>
      <c r="K198" s="23" t="n"/>
      <c r="L198" s="23" t="n"/>
      <c r="M198" s="23" t="n"/>
      <c r="N198" s="23" t="n"/>
      <c r="O198" s="20">
        <f>IF(OR(I198="",COUNT(J198:N198)=0),"",IF(SUM(J198:N198)=I198,"✓","⚠ "&amp;SUM(J198:N198)&amp;" statt "&amp;I198))</f>
        <v/>
      </c>
      <c r="P198" s="21" t="n"/>
      <c r="Q198" s="21" t="n"/>
      <c r="R198" s="21" t="n"/>
      <c r="S198" s="24" t="n"/>
      <c r="T198" s="24" t="n"/>
      <c r="V198">
        <f>IF(A198="","",MONTH(A198))</f>
        <v/>
      </c>
      <c r="W198">
        <f>N(W197)+IF(AND(C198&lt;&gt;"",T198&lt;&gt;""),IF(C198=WOCHE!$B$3,1,0),0)</f>
        <v/>
      </c>
      <c r="X198">
        <f>N(X197)+IF(AND(V198&lt;&gt;"",T198&lt;&gt;""),IF(V198=MONAT!$AZ$3,1,0),0)</f>
        <v/>
      </c>
    </row>
    <row r="199">
      <c r="A199" s="19" t="n"/>
      <c r="B199" s="20">
        <f>IF(A199="","",CHOOSE(WEEKDAY(A199,2),"Mo","Di","Mi","Do","Fr","Sa","So"))</f>
        <v/>
      </c>
      <c r="C199" s="20">
        <f>IF(A199="","",INT((A199-DATE(YEAR(A199-WEEKDAY(A199-1)+4),1,3)+WEEKDAY(DATE(YEAR(A199-WEEKDAY(A199-1)+4),1,3))+5)/7))</f>
        <v/>
      </c>
      <c r="D199" s="21" t="n"/>
      <c r="E199" s="22" t="n"/>
      <c r="F199" s="23" t="n"/>
      <c r="G199" s="23" t="n"/>
      <c r="H199" s="23" t="n"/>
      <c r="I199" s="20">
        <f>IF(COUNT(F199:H199)=0,"",SUM(F199:H199))</f>
        <v/>
      </c>
      <c r="J199" s="23" t="n"/>
      <c r="K199" s="23" t="n"/>
      <c r="L199" s="23" t="n"/>
      <c r="M199" s="23" t="n"/>
      <c r="N199" s="23" t="n"/>
      <c r="O199" s="20">
        <f>IF(OR(I199="",COUNT(J199:N199)=0),"",IF(SUM(J199:N199)=I199,"✓","⚠ "&amp;SUM(J199:N199)&amp;" statt "&amp;I199))</f>
        <v/>
      </c>
      <c r="P199" s="21" t="n"/>
      <c r="Q199" s="21" t="n"/>
      <c r="R199" s="21" t="n"/>
      <c r="S199" s="24" t="n"/>
      <c r="T199" s="24" t="n"/>
      <c r="V199">
        <f>IF(A199="","",MONTH(A199))</f>
        <v/>
      </c>
      <c r="W199">
        <f>N(W198)+IF(AND(C199&lt;&gt;"",T199&lt;&gt;""),IF(C199=WOCHE!$B$3,1,0),0)</f>
        <v/>
      </c>
      <c r="X199">
        <f>N(X198)+IF(AND(V199&lt;&gt;"",T199&lt;&gt;""),IF(V199=MONAT!$AZ$3,1,0),0)</f>
        <v/>
      </c>
    </row>
    <row r="200">
      <c r="A200" s="19" t="n"/>
      <c r="B200" s="20">
        <f>IF(A200="","",CHOOSE(WEEKDAY(A200,2),"Mo","Di","Mi","Do","Fr","Sa","So"))</f>
        <v/>
      </c>
      <c r="C200" s="20">
        <f>IF(A200="","",INT((A200-DATE(YEAR(A200-WEEKDAY(A200-1)+4),1,3)+WEEKDAY(DATE(YEAR(A200-WEEKDAY(A200-1)+4),1,3))+5)/7))</f>
        <v/>
      </c>
      <c r="D200" s="21" t="n"/>
      <c r="E200" s="22" t="n"/>
      <c r="F200" s="23" t="n"/>
      <c r="G200" s="23" t="n"/>
      <c r="H200" s="23" t="n"/>
      <c r="I200" s="20">
        <f>IF(COUNT(F200:H200)=0,"",SUM(F200:H200))</f>
        <v/>
      </c>
      <c r="J200" s="23" t="n"/>
      <c r="K200" s="23" t="n"/>
      <c r="L200" s="23" t="n"/>
      <c r="M200" s="23" t="n"/>
      <c r="N200" s="23" t="n"/>
      <c r="O200" s="20">
        <f>IF(OR(I200="",COUNT(J200:N200)=0),"",IF(SUM(J200:N200)=I200,"✓","⚠ "&amp;SUM(J200:N200)&amp;" statt "&amp;I200))</f>
        <v/>
      </c>
      <c r="P200" s="21" t="n"/>
      <c r="Q200" s="21" t="n"/>
      <c r="R200" s="21" t="n"/>
      <c r="S200" s="24" t="n"/>
      <c r="T200" s="24" t="n"/>
      <c r="V200">
        <f>IF(A200="","",MONTH(A200))</f>
        <v/>
      </c>
      <c r="W200">
        <f>N(W199)+IF(AND(C200&lt;&gt;"",T200&lt;&gt;""),IF(C200=WOCHE!$B$3,1,0),0)</f>
        <v/>
      </c>
      <c r="X200">
        <f>N(X199)+IF(AND(V200&lt;&gt;"",T200&lt;&gt;""),IF(V200=MONAT!$AZ$3,1,0),0)</f>
        <v/>
      </c>
    </row>
    <row r="201">
      <c r="A201" s="19" t="n"/>
      <c r="B201" s="20">
        <f>IF(A201="","",CHOOSE(WEEKDAY(A201,2),"Mo","Di","Mi","Do","Fr","Sa","So"))</f>
        <v/>
      </c>
      <c r="C201" s="20">
        <f>IF(A201="","",INT((A201-DATE(YEAR(A201-WEEKDAY(A201-1)+4),1,3)+WEEKDAY(DATE(YEAR(A201-WEEKDAY(A201-1)+4),1,3))+5)/7))</f>
        <v/>
      </c>
      <c r="D201" s="21" t="n"/>
      <c r="E201" s="22" t="n"/>
      <c r="F201" s="23" t="n"/>
      <c r="G201" s="23" t="n"/>
      <c r="H201" s="23" t="n"/>
      <c r="I201" s="20">
        <f>IF(COUNT(F201:H201)=0,"",SUM(F201:H201))</f>
        <v/>
      </c>
      <c r="J201" s="23" t="n"/>
      <c r="K201" s="23" t="n"/>
      <c r="L201" s="23" t="n"/>
      <c r="M201" s="23" t="n"/>
      <c r="N201" s="23" t="n"/>
      <c r="O201" s="20">
        <f>IF(OR(I201="",COUNT(J201:N201)=0),"",IF(SUM(J201:N201)=I201,"✓","⚠ "&amp;SUM(J201:N201)&amp;" statt "&amp;I201))</f>
        <v/>
      </c>
      <c r="P201" s="21" t="n"/>
      <c r="Q201" s="21" t="n"/>
      <c r="R201" s="21" t="n"/>
      <c r="S201" s="24" t="n"/>
      <c r="T201" s="24" t="n"/>
      <c r="V201">
        <f>IF(A201="","",MONTH(A201))</f>
        <v/>
      </c>
      <c r="W201">
        <f>N(W200)+IF(AND(C201&lt;&gt;"",T201&lt;&gt;""),IF(C201=WOCHE!$B$3,1,0),0)</f>
        <v/>
      </c>
      <c r="X201">
        <f>N(X200)+IF(AND(V201&lt;&gt;"",T201&lt;&gt;""),IF(V201=MONAT!$AZ$3,1,0),0)</f>
        <v/>
      </c>
    </row>
    <row r="202">
      <c r="A202" s="19" t="n"/>
      <c r="B202" s="20">
        <f>IF(A202="","",CHOOSE(WEEKDAY(A202,2),"Mo","Di","Mi","Do","Fr","Sa","So"))</f>
        <v/>
      </c>
      <c r="C202" s="20">
        <f>IF(A202="","",INT((A202-DATE(YEAR(A202-WEEKDAY(A202-1)+4),1,3)+WEEKDAY(DATE(YEAR(A202-WEEKDAY(A202-1)+4),1,3))+5)/7))</f>
        <v/>
      </c>
      <c r="D202" s="21" t="n"/>
      <c r="E202" s="22" t="n"/>
      <c r="F202" s="23" t="n"/>
      <c r="G202" s="23" t="n"/>
      <c r="H202" s="23" t="n"/>
      <c r="I202" s="20">
        <f>IF(COUNT(F202:H202)=0,"",SUM(F202:H202))</f>
        <v/>
      </c>
      <c r="J202" s="23" t="n"/>
      <c r="K202" s="23" t="n"/>
      <c r="L202" s="23" t="n"/>
      <c r="M202" s="23" t="n"/>
      <c r="N202" s="23" t="n"/>
      <c r="O202" s="20">
        <f>IF(OR(I202="",COUNT(J202:N202)=0),"",IF(SUM(J202:N202)=I202,"✓","⚠ "&amp;SUM(J202:N202)&amp;" statt "&amp;I202))</f>
        <v/>
      </c>
      <c r="P202" s="21" t="n"/>
      <c r="Q202" s="21" t="n"/>
      <c r="R202" s="21" t="n"/>
      <c r="S202" s="24" t="n"/>
      <c r="T202" s="24" t="n"/>
      <c r="V202">
        <f>IF(A202="","",MONTH(A202))</f>
        <v/>
      </c>
      <c r="W202">
        <f>N(W201)+IF(AND(C202&lt;&gt;"",T202&lt;&gt;""),IF(C202=WOCHE!$B$3,1,0),0)</f>
        <v/>
      </c>
      <c r="X202">
        <f>N(X201)+IF(AND(V202&lt;&gt;"",T202&lt;&gt;""),IF(V202=MONAT!$AZ$3,1,0),0)</f>
        <v/>
      </c>
    </row>
    <row r="203">
      <c r="A203" s="19" t="n"/>
      <c r="B203" s="20">
        <f>IF(A203="","",CHOOSE(WEEKDAY(A203,2),"Mo","Di","Mi","Do","Fr","Sa","So"))</f>
        <v/>
      </c>
      <c r="C203" s="20">
        <f>IF(A203="","",INT((A203-DATE(YEAR(A203-WEEKDAY(A203-1)+4),1,3)+WEEKDAY(DATE(YEAR(A203-WEEKDAY(A203-1)+4),1,3))+5)/7))</f>
        <v/>
      </c>
      <c r="D203" s="21" t="n"/>
      <c r="E203" s="22" t="n"/>
      <c r="F203" s="23" t="n"/>
      <c r="G203" s="23" t="n"/>
      <c r="H203" s="23" t="n"/>
      <c r="I203" s="20">
        <f>IF(COUNT(F203:H203)=0,"",SUM(F203:H203))</f>
        <v/>
      </c>
      <c r="J203" s="23" t="n"/>
      <c r="K203" s="23" t="n"/>
      <c r="L203" s="23" t="n"/>
      <c r="M203" s="23" t="n"/>
      <c r="N203" s="23" t="n"/>
      <c r="O203" s="20">
        <f>IF(OR(I203="",COUNT(J203:N203)=0),"",IF(SUM(J203:N203)=I203,"✓","⚠ "&amp;SUM(J203:N203)&amp;" statt "&amp;I203))</f>
        <v/>
      </c>
      <c r="P203" s="21" t="n"/>
      <c r="Q203" s="21" t="n"/>
      <c r="R203" s="21" t="n"/>
      <c r="S203" s="24" t="n"/>
      <c r="T203" s="24" t="n"/>
      <c r="V203">
        <f>IF(A203="","",MONTH(A203))</f>
        <v/>
      </c>
      <c r="W203">
        <f>N(W202)+IF(AND(C203&lt;&gt;"",T203&lt;&gt;""),IF(C203=WOCHE!$B$3,1,0),0)</f>
        <v/>
      </c>
      <c r="X203">
        <f>N(X202)+IF(AND(V203&lt;&gt;"",T203&lt;&gt;""),IF(V203=MONAT!$AZ$3,1,0),0)</f>
        <v/>
      </c>
    </row>
    <row r="204">
      <c r="A204" s="19" t="n"/>
      <c r="B204" s="20">
        <f>IF(A204="","",CHOOSE(WEEKDAY(A204,2),"Mo","Di","Mi","Do","Fr","Sa","So"))</f>
        <v/>
      </c>
      <c r="C204" s="20">
        <f>IF(A204="","",INT((A204-DATE(YEAR(A204-WEEKDAY(A204-1)+4),1,3)+WEEKDAY(DATE(YEAR(A204-WEEKDAY(A204-1)+4),1,3))+5)/7))</f>
        <v/>
      </c>
      <c r="D204" s="21" t="n"/>
      <c r="E204" s="22" t="n"/>
      <c r="F204" s="23" t="n"/>
      <c r="G204" s="23" t="n"/>
      <c r="H204" s="23" t="n"/>
      <c r="I204" s="20">
        <f>IF(COUNT(F204:H204)=0,"",SUM(F204:H204))</f>
        <v/>
      </c>
      <c r="J204" s="23" t="n"/>
      <c r="K204" s="23" t="n"/>
      <c r="L204" s="23" t="n"/>
      <c r="M204" s="23" t="n"/>
      <c r="N204" s="23" t="n"/>
      <c r="O204" s="20">
        <f>IF(OR(I204="",COUNT(J204:N204)=0),"",IF(SUM(J204:N204)=I204,"✓","⚠ "&amp;SUM(J204:N204)&amp;" statt "&amp;I204))</f>
        <v/>
      </c>
      <c r="P204" s="21" t="n"/>
      <c r="Q204" s="21" t="n"/>
      <c r="R204" s="21" t="n"/>
      <c r="S204" s="24" t="n"/>
      <c r="T204" s="24" t="n"/>
      <c r="V204">
        <f>IF(A204="","",MONTH(A204))</f>
        <v/>
      </c>
      <c r="W204">
        <f>N(W203)+IF(AND(C204&lt;&gt;"",T204&lt;&gt;""),IF(C204=WOCHE!$B$3,1,0),0)</f>
        <v/>
      </c>
      <c r="X204">
        <f>N(X203)+IF(AND(V204&lt;&gt;"",T204&lt;&gt;""),IF(V204=MONAT!$AZ$3,1,0),0)</f>
        <v/>
      </c>
    </row>
    <row r="205">
      <c r="A205" s="19" t="n"/>
      <c r="B205" s="20">
        <f>IF(A205="","",CHOOSE(WEEKDAY(A205,2),"Mo","Di","Mi","Do","Fr","Sa","So"))</f>
        <v/>
      </c>
      <c r="C205" s="20">
        <f>IF(A205="","",INT((A205-DATE(YEAR(A205-WEEKDAY(A205-1)+4),1,3)+WEEKDAY(DATE(YEAR(A205-WEEKDAY(A205-1)+4),1,3))+5)/7))</f>
        <v/>
      </c>
      <c r="D205" s="21" t="n"/>
      <c r="E205" s="22" t="n"/>
      <c r="F205" s="23" t="n"/>
      <c r="G205" s="23" t="n"/>
      <c r="H205" s="23" t="n"/>
      <c r="I205" s="20">
        <f>IF(COUNT(F205:H205)=0,"",SUM(F205:H205))</f>
        <v/>
      </c>
      <c r="J205" s="23" t="n"/>
      <c r="K205" s="23" t="n"/>
      <c r="L205" s="23" t="n"/>
      <c r="M205" s="23" t="n"/>
      <c r="N205" s="23" t="n"/>
      <c r="O205" s="20">
        <f>IF(OR(I205="",COUNT(J205:N205)=0),"",IF(SUM(J205:N205)=I205,"✓","⚠ "&amp;SUM(J205:N205)&amp;" statt "&amp;I205))</f>
        <v/>
      </c>
      <c r="P205" s="21" t="n"/>
      <c r="Q205" s="21" t="n"/>
      <c r="R205" s="21" t="n"/>
      <c r="S205" s="24" t="n"/>
      <c r="T205" s="24" t="n"/>
      <c r="V205">
        <f>IF(A205="","",MONTH(A205))</f>
        <v/>
      </c>
      <c r="W205">
        <f>N(W204)+IF(AND(C205&lt;&gt;"",T205&lt;&gt;""),IF(C205=WOCHE!$B$3,1,0),0)</f>
        <v/>
      </c>
      <c r="X205">
        <f>N(X204)+IF(AND(V205&lt;&gt;"",T205&lt;&gt;""),IF(V205=MONAT!$AZ$3,1,0),0)</f>
        <v/>
      </c>
    </row>
    <row r="206">
      <c r="A206" s="19" t="n"/>
      <c r="B206" s="20">
        <f>IF(A206="","",CHOOSE(WEEKDAY(A206,2),"Mo","Di","Mi","Do","Fr","Sa","So"))</f>
        <v/>
      </c>
      <c r="C206" s="20">
        <f>IF(A206="","",INT((A206-DATE(YEAR(A206-WEEKDAY(A206-1)+4),1,3)+WEEKDAY(DATE(YEAR(A206-WEEKDAY(A206-1)+4),1,3))+5)/7))</f>
        <v/>
      </c>
      <c r="D206" s="21" t="n"/>
      <c r="E206" s="22" t="n"/>
      <c r="F206" s="23" t="n"/>
      <c r="G206" s="23" t="n"/>
      <c r="H206" s="23" t="n"/>
      <c r="I206" s="20">
        <f>IF(COUNT(F206:H206)=0,"",SUM(F206:H206))</f>
        <v/>
      </c>
      <c r="J206" s="23" t="n"/>
      <c r="K206" s="23" t="n"/>
      <c r="L206" s="23" t="n"/>
      <c r="M206" s="23" t="n"/>
      <c r="N206" s="23" t="n"/>
      <c r="O206" s="20">
        <f>IF(OR(I206="",COUNT(J206:N206)=0),"",IF(SUM(J206:N206)=I206,"✓","⚠ "&amp;SUM(J206:N206)&amp;" statt "&amp;I206))</f>
        <v/>
      </c>
      <c r="P206" s="21" t="n"/>
      <c r="Q206" s="21" t="n"/>
      <c r="R206" s="21" t="n"/>
      <c r="S206" s="24" t="n"/>
      <c r="T206" s="24" t="n"/>
      <c r="V206">
        <f>IF(A206="","",MONTH(A206))</f>
        <v/>
      </c>
      <c r="W206">
        <f>N(W205)+IF(AND(C206&lt;&gt;"",T206&lt;&gt;""),IF(C206=WOCHE!$B$3,1,0),0)</f>
        <v/>
      </c>
      <c r="X206">
        <f>N(X205)+IF(AND(V206&lt;&gt;"",T206&lt;&gt;""),IF(V206=MONAT!$AZ$3,1,0),0)</f>
        <v/>
      </c>
    </row>
    <row r="207">
      <c r="A207" s="19" t="n"/>
      <c r="B207" s="20">
        <f>IF(A207="","",CHOOSE(WEEKDAY(A207,2),"Mo","Di","Mi","Do","Fr","Sa","So"))</f>
        <v/>
      </c>
      <c r="C207" s="20">
        <f>IF(A207="","",INT((A207-DATE(YEAR(A207-WEEKDAY(A207-1)+4),1,3)+WEEKDAY(DATE(YEAR(A207-WEEKDAY(A207-1)+4),1,3))+5)/7))</f>
        <v/>
      </c>
      <c r="D207" s="21" t="n"/>
      <c r="E207" s="22" t="n"/>
      <c r="F207" s="23" t="n"/>
      <c r="G207" s="23" t="n"/>
      <c r="H207" s="23" t="n"/>
      <c r="I207" s="20">
        <f>IF(COUNT(F207:H207)=0,"",SUM(F207:H207))</f>
        <v/>
      </c>
      <c r="J207" s="23" t="n"/>
      <c r="K207" s="23" t="n"/>
      <c r="L207" s="23" t="n"/>
      <c r="M207" s="23" t="n"/>
      <c r="N207" s="23" t="n"/>
      <c r="O207" s="20">
        <f>IF(OR(I207="",COUNT(J207:N207)=0),"",IF(SUM(J207:N207)=I207,"✓","⚠ "&amp;SUM(J207:N207)&amp;" statt "&amp;I207))</f>
        <v/>
      </c>
      <c r="P207" s="21" t="n"/>
      <c r="Q207" s="21" t="n"/>
      <c r="R207" s="21" t="n"/>
      <c r="S207" s="24" t="n"/>
      <c r="T207" s="24" t="n"/>
      <c r="V207">
        <f>IF(A207="","",MONTH(A207))</f>
        <v/>
      </c>
      <c r="W207">
        <f>N(W206)+IF(AND(C207&lt;&gt;"",T207&lt;&gt;""),IF(C207=WOCHE!$B$3,1,0),0)</f>
        <v/>
      </c>
      <c r="X207">
        <f>N(X206)+IF(AND(V207&lt;&gt;"",T207&lt;&gt;""),IF(V207=MONAT!$AZ$3,1,0),0)</f>
        <v/>
      </c>
    </row>
    <row r="208">
      <c r="A208" s="19" t="n"/>
      <c r="B208" s="20">
        <f>IF(A208="","",CHOOSE(WEEKDAY(A208,2),"Mo","Di","Mi","Do","Fr","Sa","So"))</f>
        <v/>
      </c>
      <c r="C208" s="20">
        <f>IF(A208="","",INT((A208-DATE(YEAR(A208-WEEKDAY(A208-1)+4),1,3)+WEEKDAY(DATE(YEAR(A208-WEEKDAY(A208-1)+4),1,3))+5)/7))</f>
        <v/>
      </c>
      <c r="D208" s="21" t="n"/>
      <c r="E208" s="22" t="n"/>
      <c r="F208" s="23" t="n"/>
      <c r="G208" s="23" t="n"/>
      <c r="H208" s="23" t="n"/>
      <c r="I208" s="20">
        <f>IF(COUNT(F208:H208)=0,"",SUM(F208:H208))</f>
        <v/>
      </c>
      <c r="J208" s="23" t="n"/>
      <c r="K208" s="23" t="n"/>
      <c r="L208" s="23" t="n"/>
      <c r="M208" s="23" t="n"/>
      <c r="N208" s="23" t="n"/>
      <c r="O208" s="20">
        <f>IF(OR(I208="",COUNT(J208:N208)=0),"",IF(SUM(J208:N208)=I208,"✓","⚠ "&amp;SUM(J208:N208)&amp;" statt "&amp;I208))</f>
        <v/>
      </c>
      <c r="P208" s="21" t="n"/>
      <c r="Q208" s="21" t="n"/>
      <c r="R208" s="21" t="n"/>
      <c r="S208" s="24" t="n"/>
      <c r="T208" s="24" t="n"/>
      <c r="V208">
        <f>IF(A208="","",MONTH(A208))</f>
        <v/>
      </c>
      <c r="W208">
        <f>N(W207)+IF(AND(C208&lt;&gt;"",T208&lt;&gt;""),IF(C208=WOCHE!$B$3,1,0),0)</f>
        <v/>
      </c>
      <c r="X208">
        <f>N(X207)+IF(AND(V208&lt;&gt;"",T208&lt;&gt;""),IF(V208=MONAT!$AZ$3,1,0),0)</f>
        <v/>
      </c>
    </row>
    <row r="209">
      <c r="A209" s="19" t="n"/>
      <c r="B209" s="20">
        <f>IF(A209="","",CHOOSE(WEEKDAY(A209,2),"Mo","Di","Mi","Do","Fr","Sa","So"))</f>
        <v/>
      </c>
      <c r="C209" s="20">
        <f>IF(A209="","",INT((A209-DATE(YEAR(A209-WEEKDAY(A209-1)+4),1,3)+WEEKDAY(DATE(YEAR(A209-WEEKDAY(A209-1)+4),1,3))+5)/7))</f>
        <v/>
      </c>
      <c r="D209" s="21" t="n"/>
      <c r="E209" s="22" t="n"/>
      <c r="F209" s="23" t="n"/>
      <c r="G209" s="23" t="n"/>
      <c r="H209" s="23" t="n"/>
      <c r="I209" s="20">
        <f>IF(COUNT(F209:H209)=0,"",SUM(F209:H209))</f>
        <v/>
      </c>
      <c r="J209" s="23" t="n"/>
      <c r="K209" s="23" t="n"/>
      <c r="L209" s="23" t="n"/>
      <c r="M209" s="23" t="n"/>
      <c r="N209" s="23" t="n"/>
      <c r="O209" s="20">
        <f>IF(OR(I209="",COUNT(J209:N209)=0),"",IF(SUM(J209:N209)=I209,"✓","⚠ "&amp;SUM(J209:N209)&amp;" statt "&amp;I209))</f>
        <v/>
      </c>
      <c r="P209" s="21" t="n"/>
      <c r="Q209" s="21" t="n"/>
      <c r="R209" s="21" t="n"/>
      <c r="S209" s="24" t="n"/>
      <c r="T209" s="24" t="n"/>
      <c r="V209">
        <f>IF(A209="","",MONTH(A209))</f>
        <v/>
      </c>
      <c r="W209">
        <f>N(W208)+IF(AND(C209&lt;&gt;"",T209&lt;&gt;""),IF(C209=WOCHE!$B$3,1,0),0)</f>
        <v/>
      </c>
      <c r="X209">
        <f>N(X208)+IF(AND(V209&lt;&gt;"",T209&lt;&gt;""),IF(V209=MONAT!$AZ$3,1,0),0)</f>
        <v/>
      </c>
    </row>
    <row r="210">
      <c r="A210" s="19" t="n"/>
      <c r="B210" s="20">
        <f>IF(A210="","",CHOOSE(WEEKDAY(A210,2),"Mo","Di","Mi","Do","Fr","Sa","So"))</f>
        <v/>
      </c>
      <c r="C210" s="20">
        <f>IF(A210="","",INT((A210-DATE(YEAR(A210-WEEKDAY(A210-1)+4),1,3)+WEEKDAY(DATE(YEAR(A210-WEEKDAY(A210-1)+4),1,3))+5)/7))</f>
        <v/>
      </c>
      <c r="D210" s="21" t="n"/>
      <c r="E210" s="22" t="n"/>
      <c r="F210" s="23" t="n"/>
      <c r="G210" s="23" t="n"/>
      <c r="H210" s="23" t="n"/>
      <c r="I210" s="20">
        <f>IF(COUNT(F210:H210)=0,"",SUM(F210:H210))</f>
        <v/>
      </c>
      <c r="J210" s="23" t="n"/>
      <c r="K210" s="23" t="n"/>
      <c r="L210" s="23" t="n"/>
      <c r="M210" s="23" t="n"/>
      <c r="N210" s="23" t="n"/>
      <c r="O210" s="20">
        <f>IF(OR(I210="",COUNT(J210:N210)=0),"",IF(SUM(J210:N210)=I210,"✓","⚠ "&amp;SUM(J210:N210)&amp;" statt "&amp;I210))</f>
        <v/>
      </c>
      <c r="P210" s="21" t="n"/>
      <c r="Q210" s="21" t="n"/>
      <c r="R210" s="21" t="n"/>
      <c r="S210" s="24" t="n"/>
      <c r="T210" s="24" t="n"/>
      <c r="V210">
        <f>IF(A210="","",MONTH(A210))</f>
        <v/>
      </c>
      <c r="W210">
        <f>N(W209)+IF(AND(C210&lt;&gt;"",T210&lt;&gt;""),IF(C210=WOCHE!$B$3,1,0),0)</f>
        <v/>
      </c>
      <c r="X210">
        <f>N(X209)+IF(AND(V210&lt;&gt;"",T210&lt;&gt;""),IF(V210=MONAT!$AZ$3,1,0),0)</f>
        <v/>
      </c>
    </row>
    <row r="211">
      <c r="A211" s="19" t="n"/>
      <c r="B211" s="20">
        <f>IF(A211="","",CHOOSE(WEEKDAY(A211,2),"Mo","Di","Mi","Do","Fr","Sa","So"))</f>
        <v/>
      </c>
      <c r="C211" s="20">
        <f>IF(A211="","",INT((A211-DATE(YEAR(A211-WEEKDAY(A211-1)+4),1,3)+WEEKDAY(DATE(YEAR(A211-WEEKDAY(A211-1)+4),1,3))+5)/7))</f>
        <v/>
      </c>
      <c r="D211" s="21" t="n"/>
      <c r="E211" s="22" t="n"/>
      <c r="F211" s="23" t="n"/>
      <c r="G211" s="23" t="n"/>
      <c r="H211" s="23" t="n"/>
      <c r="I211" s="20">
        <f>IF(COUNT(F211:H211)=0,"",SUM(F211:H211))</f>
        <v/>
      </c>
      <c r="J211" s="23" t="n"/>
      <c r="K211" s="23" t="n"/>
      <c r="L211" s="23" t="n"/>
      <c r="M211" s="23" t="n"/>
      <c r="N211" s="23" t="n"/>
      <c r="O211" s="20">
        <f>IF(OR(I211="",COUNT(J211:N211)=0),"",IF(SUM(J211:N211)=I211,"✓","⚠ "&amp;SUM(J211:N211)&amp;" statt "&amp;I211))</f>
        <v/>
      </c>
      <c r="P211" s="21" t="n"/>
      <c r="Q211" s="21" t="n"/>
      <c r="R211" s="21" t="n"/>
      <c r="S211" s="24" t="n"/>
      <c r="T211" s="24" t="n"/>
      <c r="V211">
        <f>IF(A211="","",MONTH(A211))</f>
        <v/>
      </c>
      <c r="W211">
        <f>N(W210)+IF(AND(C211&lt;&gt;"",T211&lt;&gt;""),IF(C211=WOCHE!$B$3,1,0),0)</f>
        <v/>
      </c>
      <c r="X211">
        <f>N(X210)+IF(AND(V211&lt;&gt;"",T211&lt;&gt;""),IF(V211=MONAT!$AZ$3,1,0),0)</f>
        <v/>
      </c>
    </row>
    <row r="212">
      <c r="A212" s="19" t="n"/>
      <c r="B212" s="20">
        <f>IF(A212="","",CHOOSE(WEEKDAY(A212,2),"Mo","Di","Mi","Do","Fr","Sa","So"))</f>
        <v/>
      </c>
      <c r="C212" s="20">
        <f>IF(A212="","",INT((A212-DATE(YEAR(A212-WEEKDAY(A212-1)+4),1,3)+WEEKDAY(DATE(YEAR(A212-WEEKDAY(A212-1)+4),1,3))+5)/7))</f>
        <v/>
      </c>
      <c r="D212" s="21" t="n"/>
      <c r="E212" s="22" t="n"/>
      <c r="F212" s="23" t="n"/>
      <c r="G212" s="23" t="n"/>
      <c r="H212" s="23" t="n"/>
      <c r="I212" s="20">
        <f>IF(COUNT(F212:H212)=0,"",SUM(F212:H212))</f>
        <v/>
      </c>
      <c r="J212" s="23" t="n"/>
      <c r="K212" s="23" t="n"/>
      <c r="L212" s="23" t="n"/>
      <c r="M212" s="23" t="n"/>
      <c r="N212" s="23" t="n"/>
      <c r="O212" s="20">
        <f>IF(OR(I212="",COUNT(J212:N212)=0),"",IF(SUM(J212:N212)=I212,"✓","⚠ "&amp;SUM(J212:N212)&amp;" statt "&amp;I212))</f>
        <v/>
      </c>
      <c r="P212" s="21" t="n"/>
      <c r="Q212" s="21" t="n"/>
      <c r="R212" s="21" t="n"/>
      <c r="S212" s="24" t="n"/>
      <c r="T212" s="24" t="n"/>
      <c r="V212">
        <f>IF(A212="","",MONTH(A212))</f>
        <v/>
      </c>
      <c r="W212">
        <f>N(W211)+IF(AND(C212&lt;&gt;"",T212&lt;&gt;""),IF(C212=WOCHE!$B$3,1,0),0)</f>
        <v/>
      </c>
      <c r="X212">
        <f>N(X211)+IF(AND(V212&lt;&gt;"",T212&lt;&gt;""),IF(V212=MONAT!$AZ$3,1,0),0)</f>
        <v/>
      </c>
    </row>
    <row r="213">
      <c r="A213" s="19" t="n"/>
      <c r="B213" s="20">
        <f>IF(A213="","",CHOOSE(WEEKDAY(A213,2),"Mo","Di","Mi","Do","Fr","Sa","So"))</f>
        <v/>
      </c>
      <c r="C213" s="20">
        <f>IF(A213="","",INT((A213-DATE(YEAR(A213-WEEKDAY(A213-1)+4),1,3)+WEEKDAY(DATE(YEAR(A213-WEEKDAY(A213-1)+4),1,3))+5)/7))</f>
        <v/>
      </c>
      <c r="D213" s="21" t="n"/>
      <c r="E213" s="22" t="n"/>
      <c r="F213" s="23" t="n"/>
      <c r="G213" s="23" t="n"/>
      <c r="H213" s="23" t="n"/>
      <c r="I213" s="20">
        <f>IF(COUNT(F213:H213)=0,"",SUM(F213:H213))</f>
        <v/>
      </c>
      <c r="J213" s="23" t="n"/>
      <c r="K213" s="23" t="n"/>
      <c r="L213" s="23" t="n"/>
      <c r="M213" s="23" t="n"/>
      <c r="N213" s="23" t="n"/>
      <c r="O213" s="20">
        <f>IF(OR(I213="",COUNT(J213:N213)=0),"",IF(SUM(J213:N213)=I213,"✓","⚠ "&amp;SUM(J213:N213)&amp;" statt "&amp;I213))</f>
        <v/>
      </c>
      <c r="P213" s="21" t="n"/>
      <c r="Q213" s="21" t="n"/>
      <c r="R213" s="21" t="n"/>
      <c r="S213" s="24" t="n"/>
      <c r="T213" s="24" t="n"/>
      <c r="V213">
        <f>IF(A213="","",MONTH(A213))</f>
        <v/>
      </c>
      <c r="W213">
        <f>N(W212)+IF(AND(C213&lt;&gt;"",T213&lt;&gt;""),IF(C213=WOCHE!$B$3,1,0),0)</f>
        <v/>
      </c>
      <c r="X213">
        <f>N(X212)+IF(AND(V213&lt;&gt;"",T213&lt;&gt;""),IF(V213=MONAT!$AZ$3,1,0),0)</f>
        <v/>
      </c>
    </row>
    <row r="214">
      <c r="A214" s="19" t="n"/>
      <c r="B214" s="20">
        <f>IF(A214="","",CHOOSE(WEEKDAY(A214,2),"Mo","Di","Mi","Do","Fr","Sa","So"))</f>
        <v/>
      </c>
      <c r="C214" s="20">
        <f>IF(A214="","",INT((A214-DATE(YEAR(A214-WEEKDAY(A214-1)+4),1,3)+WEEKDAY(DATE(YEAR(A214-WEEKDAY(A214-1)+4),1,3))+5)/7))</f>
        <v/>
      </c>
      <c r="D214" s="21" t="n"/>
      <c r="E214" s="22" t="n"/>
      <c r="F214" s="23" t="n"/>
      <c r="G214" s="23" t="n"/>
      <c r="H214" s="23" t="n"/>
      <c r="I214" s="20">
        <f>IF(COUNT(F214:H214)=0,"",SUM(F214:H214))</f>
        <v/>
      </c>
      <c r="J214" s="23" t="n"/>
      <c r="K214" s="23" t="n"/>
      <c r="L214" s="23" t="n"/>
      <c r="M214" s="23" t="n"/>
      <c r="N214" s="23" t="n"/>
      <c r="O214" s="20">
        <f>IF(OR(I214="",COUNT(J214:N214)=0),"",IF(SUM(J214:N214)=I214,"✓","⚠ "&amp;SUM(J214:N214)&amp;" statt "&amp;I214))</f>
        <v/>
      </c>
      <c r="P214" s="21" t="n"/>
      <c r="Q214" s="21" t="n"/>
      <c r="R214" s="21" t="n"/>
      <c r="S214" s="24" t="n"/>
      <c r="T214" s="24" t="n"/>
      <c r="V214">
        <f>IF(A214="","",MONTH(A214))</f>
        <v/>
      </c>
      <c r="W214">
        <f>N(W213)+IF(AND(C214&lt;&gt;"",T214&lt;&gt;""),IF(C214=WOCHE!$B$3,1,0),0)</f>
        <v/>
      </c>
      <c r="X214">
        <f>N(X213)+IF(AND(V214&lt;&gt;"",T214&lt;&gt;""),IF(V214=MONAT!$AZ$3,1,0),0)</f>
        <v/>
      </c>
    </row>
    <row r="215">
      <c r="A215" s="19" t="n"/>
      <c r="B215" s="20">
        <f>IF(A215="","",CHOOSE(WEEKDAY(A215,2),"Mo","Di","Mi","Do","Fr","Sa","So"))</f>
        <v/>
      </c>
      <c r="C215" s="20">
        <f>IF(A215="","",INT((A215-DATE(YEAR(A215-WEEKDAY(A215-1)+4),1,3)+WEEKDAY(DATE(YEAR(A215-WEEKDAY(A215-1)+4),1,3))+5)/7))</f>
        <v/>
      </c>
      <c r="D215" s="21" t="n"/>
      <c r="E215" s="22" t="n"/>
      <c r="F215" s="23" t="n"/>
      <c r="G215" s="23" t="n"/>
      <c r="H215" s="23" t="n"/>
      <c r="I215" s="20">
        <f>IF(COUNT(F215:H215)=0,"",SUM(F215:H215))</f>
        <v/>
      </c>
      <c r="J215" s="23" t="n"/>
      <c r="K215" s="23" t="n"/>
      <c r="L215" s="23" t="n"/>
      <c r="M215" s="23" t="n"/>
      <c r="N215" s="23" t="n"/>
      <c r="O215" s="20">
        <f>IF(OR(I215="",COUNT(J215:N215)=0),"",IF(SUM(J215:N215)=I215,"✓","⚠ "&amp;SUM(J215:N215)&amp;" statt "&amp;I215))</f>
        <v/>
      </c>
      <c r="P215" s="21" t="n"/>
      <c r="Q215" s="21" t="n"/>
      <c r="R215" s="21" t="n"/>
      <c r="S215" s="24" t="n"/>
      <c r="T215" s="24" t="n"/>
      <c r="V215">
        <f>IF(A215="","",MONTH(A215))</f>
        <v/>
      </c>
      <c r="W215">
        <f>N(W214)+IF(AND(C215&lt;&gt;"",T215&lt;&gt;""),IF(C215=WOCHE!$B$3,1,0),0)</f>
        <v/>
      </c>
      <c r="X215">
        <f>N(X214)+IF(AND(V215&lt;&gt;"",T215&lt;&gt;""),IF(V215=MONAT!$AZ$3,1,0),0)</f>
        <v/>
      </c>
    </row>
    <row r="216">
      <c r="A216" s="19" t="n"/>
      <c r="B216" s="20">
        <f>IF(A216="","",CHOOSE(WEEKDAY(A216,2),"Mo","Di","Mi","Do","Fr","Sa","So"))</f>
        <v/>
      </c>
      <c r="C216" s="20">
        <f>IF(A216="","",INT((A216-DATE(YEAR(A216-WEEKDAY(A216-1)+4),1,3)+WEEKDAY(DATE(YEAR(A216-WEEKDAY(A216-1)+4),1,3))+5)/7))</f>
        <v/>
      </c>
      <c r="D216" s="21" t="n"/>
      <c r="E216" s="22" t="n"/>
      <c r="F216" s="23" t="n"/>
      <c r="G216" s="23" t="n"/>
      <c r="H216" s="23" t="n"/>
      <c r="I216" s="20">
        <f>IF(COUNT(F216:H216)=0,"",SUM(F216:H216))</f>
        <v/>
      </c>
      <c r="J216" s="23" t="n"/>
      <c r="K216" s="23" t="n"/>
      <c r="L216" s="23" t="n"/>
      <c r="M216" s="23" t="n"/>
      <c r="N216" s="23" t="n"/>
      <c r="O216" s="20">
        <f>IF(OR(I216="",COUNT(J216:N216)=0),"",IF(SUM(J216:N216)=I216,"✓","⚠ "&amp;SUM(J216:N216)&amp;" statt "&amp;I216))</f>
        <v/>
      </c>
      <c r="P216" s="21" t="n"/>
      <c r="Q216" s="21" t="n"/>
      <c r="R216" s="21" t="n"/>
      <c r="S216" s="24" t="n"/>
      <c r="T216" s="24" t="n"/>
      <c r="V216">
        <f>IF(A216="","",MONTH(A216))</f>
        <v/>
      </c>
      <c r="W216">
        <f>N(W215)+IF(AND(C216&lt;&gt;"",T216&lt;&gt;""),IF(C216=WOCHE!$B$3,1,0),0)</f>
        <v/>
      </c>
      <c r="X216">
        <f>N(X215)+IF(AND(V216&lt;&gt;"",T216&lt;&gt;""),IF(V216=MONAT!$AZ$3,1,0),0)</f>
        <v/>
      </c>
    </row>
    <row r="217">
      <c r="A217" s="19" t="n"/>
      <c r="B217" s="20">
        <f>IF(A217="","",CHOOSE(WEEKDAY(A217,2),"Mo","Di","Mi","Do","Fr","Sa","So"))</f>
        <v/>
      </c>
      <c r="C217" s="20">
        <f>IF(A217="","",INT((A217-DATE(YEAR(A217-WEEKDAY(A217-1)+4),1,3)+WEEKDAY(DATE(YEAR(A217-WEEKDAY(A217-1)+4),1,3))+5)/7))</f>
        <v/>
      </c>
      <c r="D217" s="21" t="n"/>
      <c r="E217" s="22" t="n"/>
      <c r="F217" s="23" t="n"/>
      <c r="G217" s="23" t="n"/>
      <c r="H217" s="23" t="n"/>
      <c r="I217" s="20">
        <f>IF(COUNT(F217:H217)=0,"",SUM(F217:H217))</f>
        <v/>
      </c>
      <c r="J217" s="23" t="n"/>
      <c r="K217" s="23" t="n"/>
      <c r="L217" s="23" t="n"/>
      <c r="M217" s="23" t="n"/>
      <c r="N217" s="23" t="n"/>
      <c r="O217" s="20">
        <f>IF(OR(I217="",COUNT(J217:N217)=0),"",IF(SUM(J217:N217)=I217,"✓","⚠ "&amp;SUM(J217:N217)&amp;" statt "&amp;I217))</f>
        <v/>
      </c>
      <c r="P217" s="21" t="n"/>
      <c r="Q217" s="21" t="n"/>
      <c r="R217" s="21" t="n"/>
      <c r="S217" s="24" t="n"/>
      <c r="T217" s="24" t="n"/>
      <c r="V217">
        <f>IF(A217="","",MONTH(A217))</f>
        <v/>
      </c>
      <c r="W217">
        <f>N(W216)+IF(AND(C217&lt;&gt;"",T217&lt;&gt;""),IF(C217=WOCHE!$B$3,1,0),0)</f>
        <v/>
      </c>
      <c r="X217">
        <f>N(X216)+IF(AND(V217&lt;&gt;"",T217&lt;&gt;""),IF(V217=MONAT!$AZ$3,1,0),0)</f>
        <v/>
      </c>
    </row>
    <row r="218">
      <c r="A218" s="19" t="n"/>
      <c r="B218" s="20">
        <f>IF(A218="","",CHOOSE(WEEKDAY(A218,2),"Mo","Di","Mi","Do","Fr","Sa","So"))</f>
        <v/>
      </c>
      <c r="C218" s="20">
        <f>IF(A218="","",INT((A218-DATE(YEAR(A218-WEEKDAY(A218-1)+4),1,3)+WEEKDAY(DATE(YEAR(A218-WEEKDAY(A218-1)+4),1,3))+5)/7))</f>
        <v/>
      </c>
      <c r="D218" s="21" t="n"/>
      <c r="E218" s="22" t="n"/>
      <c r="F218" s="23" t="n"/>
      <c r="G218" s="23" t="n"/>
      <c r="H218" s="23" t="n"/>
      <c r="I218" s="20">
        <f>IF(COUNT(F218:H218)=0,"",SUM(F218:H218))</f>
        <v/>
      </c>
      <c r="J218" s="23" t="n"/>
      <c r="K218" s="23" t="n"/>
      <c r="L218" s="23" t="n"/>
      <c r="M218" s="23" t="n"/>
      <c r="N218" s="23" t="n"/>
      <c r="O218" s="20">
        <f>IF(OR(I218="",COUNT(J218:N218)=0),"",IF(SUM(J218:N218)=I218,"✓","⚠ "&amp;SUM(J218:N218)&amp;" statt "&amp;I218))</f>
        <v/>
      </c>
      <c r="P218" s="21" t="n"/>
      <c r="Q218" s="21" t="n"/>
      <c r="R218" s="21" t="n"/>
      <c r="S218" s="24" t="n"/>
      <c r="T218" s="24" t="n"/>
      <c r="V218">
        <f>IF(A218="","",MONTH(A218))</f>
        <v/>
      </c>
      <c r="W218">
        <f>N(W217)+IF(AND(C218&lt;&gt;"",T218&lt;&gt;""),IF(C218=WOCHE!$B$3,1,0),0)</f>
        <v/>
      </c>
      <c r="X218">
        <f>N(X217)+IF(AND(V218&lt;&gt;"",T218&lt;&gt;""),IF(V218=MONAT!$AZ$3,1,0),0)</f>
        <v/>
      </c>
    </row>
    <row r="219">
      <c r="A219" s="19" t="n"/>
      <c r="B219" s="20">
        <f>IF(A219="","",CHOOSE(WEEKDAY(A219,2),"Mo","Di","Mi","Do","Fr","Sa","So"))</f>
        <v/>
      </c>
      <c r="C219" s="20">
        <f>IF(A219="","",INT((A219-DATE(YEAR(A219-WEEKDAY(A219-1)+4),1,3)+WEEKDAY(DATE(YEAR(A219-WEEKDAY(A219-1)+4),1,3))+5)/7))</f>
        <v/>
      </c>
      <c r="D219" s="21" t="n"/>
      <c r="E219" s="22" t="n"/>
      <c r="F219" s="23" t="n"/>
      <c r="G219" s="23" t="n"/>
      <c r="H219" s="23" t="n"/>
      <c r="I219" s="20">
        <f>IF(COUNT(F219:H219)=0,"",SUM(F219:H219))</f>
        <v/>
      </c>
      <c r="J219" s="23" t="n"/>
      <c r="K219" s="23" t="n"/>
      <c r="L219" s="23" t="n"/>
      <c r="M219" s="23" t="n"/>
      <c r="N219" s="23" t="n"/>
      <c r="O219" s="20">
        <f>IF(OR(I219="",COUNT(J219:N219)=0),"",IF(SUM(J219:N219)=I219,"✓","⚠ "&amp;SUM(J219:N219)&amp;" statt "&amp;I219))</f>
        <v/>
      </c>
      <c r="P219" s="21" t="n"/>
      <c r="Q219" s="21" t="n"/>
      <c r="R219" s="21" t="n"/>
      <c r="S219" s="24" t="n"/>
      <c r="T219" s="24" t="n"/>
      <c r="V219">
        <f>IF(A219="","",MONTH(A219))</f>
        <v/>
      </c>
      <c r="W219">
        <f>N(W218)+IF(AND(C219&lt;&gt;"",T219&lt;&gt;""),IF(C219=WOCHE!$B$3,1,0),0)</f>
        <v/>
      </c>
      <c r="X219">
        <f>N(X218)+IF(AND(V219&lt;&gt;"",T219&lt;&gt;""),IF(V219=MONAT!$AZ$3,1,0),0)</f>
        <v/>
      </c>
    </row>
    <row r="220">
      <c r="A220" s="19" t="n"/>
      <c r="B220" s="20">
        <f>IF(A220="","",CHOOSE(WEEKDAY(A220,2),"Mo","Di","Mi","Do","Fr","Sa","So"))</f>
        <v/>
      </c>
      <c r="C220" s="20">
        <f>IF(A220="","",INT((A220-DATE(YEAR(A220-WEEKDAY(A220-1)+4),1,3)+WEEKDAY(DATE(YEAR(A220-WEEKDAY(A220-1)+4),1,3))+5)/7))</f>
        <v/>
      </c>
      <c r="D220" s="21" t="n"/>
      <c r="E220" s="22" t="n"/>
      <c r="F220" s="23" t="n"/>
      <c r="G220" s="23" t="n"/>
      <c r="H220" s="23" t="n"/>
      <c r="I220" s="20">
        <f>IF(COUNT(F220:H220)=0,"",SUM(F220:H220))</f>
        <v/>
      </c>
      <c r="J220" s="23" t="n"/>
      <c r="K220" s="23" t="n"/>
      <c r="L220" s="23" t="n"/>
      <c r="M220" s="23" t="n"/>
      <c r="N220" s="23" t="n"/>
      <c r="O220" s="20">
        <f>IF(OR(I220="",COUNT(J220:N220)=0),"",IF(SUM(J220:N220)=I220,"✓","⚠ "&amp;SUM(J220:N220)&amp;" statt "&amp;I220))</f>
        <v/>
      </c>
      <c r="P220" s="21" t="n"/>
      <c r="Q220" s="21" t="n"/>
      <c r="R220" s="21" t="n"/>
      <c r="S220" s="24" t="n"/>
      <c r="T220" s="24" t="n"/>
      <c r="V220">
        <f>IF(A220="","",MONTH(A220))</f>
        <v/>
      </c>
      <c r="W220">
        <f>N(W219)+IF(AND(C220&lt;&gt;"",T220&lt;&gt;""),IF(C220=WOCHE!$B$3,1,0),0)</f>
        <v/>
      </c>
      <c r="X220">
        <f>N(X219)+IF(AND(V220&lt;&gt;"",T220&lt;&gt;""),IF(V220=MONAT!$AZ$3,1,0),0)</f>
        <v/>
      </c>
    </row>
    <row r="221">
      <c r="A221" s="19" t="n"/>
      <c r="B221" s="20">
        <f>IF(A221="","",CHOOSE(WEEKDAY(A221,2),"Mo","Di","Mi","Do","Fr","Sa","So"))</f>
        <v/>
      </c>
      <c r="C221" s="20">
        <f>IF(A221="","",INT((A221-DATE(YEAR(A221-WEEKDAY(A221-1)+4),1,3)+WEEKDAY(DATE(YEAR(A221-WEEKDAY(A221-1)+4),1,3))+5)/7))</f>
        <v/>
      </c>
      <c r="D221" s="21" t="n"/>
      <c r="E221" s="22" t="n"/>
      <c r="F221" s="23" t="n"/>
      <c r="G221" s="23" t="n"/>
      <c r="H221" s="23" t="n"/>
      <c r="I221" s="20">
        <f>IF(COUNT(F221:H221)=0,"",SUM(F221:H221))</f>
        <v/>
      </c>
      <c r="J221" s="23" t="n"/>
      <c r="K221" s="23" t="n"/>
      <c r="L221" s="23" t="n"/>
      <c r="M221" s="23" t="n"/>
      <c r="N221" s="23" t="n"/>
      <c r="O221" s="20">
        <f>IF(OR(I221="",COUNT(J221:N221)=0),"",IF(SUM(J221:N221)=I221,"✓","⚠ "&amp;SUM(J221:N221)&amp;" statt "&amp;I221))</f>
        <v/>
      </c>
      <c r="P221" s="21" t="n"/>
      <c r="Q221" s="21" t="n"/>
      <c r="R221" s="21" t="n"/>
      <c r="S221" s="24" t="n"/>
      <c r="T221" s="24" t="n"/>
      <c r="V221">
        <f>IF(A221="","",MONTH(A221))</f>
        <v/>
      </c>
      <c r="W221">
        <f>N(W220)+IF(AND(C221&lt;&gt;"",T221&lt;&gt;""),IF(C221=WOCHE!$B$3,1,0),0)</f>
        <v/>
      </c>
      <c r="X221">
        <f>N(X220)+IF(AND(V221&lt;&gt;"",T221&lt;&gt;""),IF(V221=MONAT!$AZ$3,1,0),0)</f>
        <v/>
      </c>
    </row>
    <row r="222">
      <c r="A222" s="19" t="n"/>
      <c r="B222" s="20">
        <f>IF(A222="","",CHOOSE(WEEKDAY(A222,2),"Mo","Di","Mi","Do","Fr","Sa","So"))</f>
        <v/>
      </c>
      <c r="C222" s="20">
        <f>IF(A222="","",INT((A222-DATE(YEAR(A222-WEEKDAY(A222-1)+4),1,3)+WEEKDAY(DATE(YEAR(A222-WEEKDAY(A222-1)+4),1,3))+5)/7))</f>
        <v/>
      </c>
      <c r="D222" s="21" t="n"/>
      <c r="E222" s="22" t="n"/>
      <c r="F222" s="23" t="n"/>
      <c r="G222" s="23" t="n"/>
      <c r="H222" s="23" t="n"/>
      <c r="I222" s="20">
        <f>IF(COUNT(F222:H222)=0,"",SUM(F222:H222))</f>
        <v/>
      </c>
      <c r="J222" s="23" t="n"/>
      <c r="K222" s="23" t="n"/>
      <c r="L222" s="23" t="n"/>
      <c r="M222" s="23" t="n"/>
      <c r="N222" s="23" t="n"/>
      <c r="O222" s="20">
        <f>IF(OR(I222="",COUNT(J222:N222)=0),"",IF(SUM(J222:N222)=I222,"✓","⚠ "&amp;SUM(J222:N222)&amp;" statt "&amp;I222))</f>
        <v/>
      </c>
      <c r="P222" s="21" t="n"/>
      <c r="Q222" s="21" t="n"/>
      <c r="R222" s="21" t="n"/>
      <c r="S222" s="24" t="n"/>
      <c r="T222" s="24" t="n"/>
      <c r="V222">
        <f>IF(A222="","",MONTH(A222))</f>
        <v/>
      </c>
      <c r="W222">
        <f>N(W221)+IF(AND(C222&lt;&gt;"",T222&lt;&gt;""),IF(C222=WOCHE!$B$3,1,0),0)</f>
        <v/>
      </c>
      <c r="X222">
        <f>N(X221)+IF(AND(V222&lt;&gt;"",T222&lt;&gt;""),IF(V222=MONAT!$AZ$3,1,0),0)</f>
        <v/>
      </c>
    </row>
    <row r="223">
      <c r="A223" s="19" t="n"/>
      <c r="B223" s="20">
        <f>IF(A223="","",CHOOSE(WEEKDAY(A223,2),"Mo","Di","Mi","Do","Fr","Sa","So"))</f>
        <v/>
      </c>
      <c r="C223" s="20">
        <f>IF(A223="","",INT((A223-DATE(YEAR(A223-WEEKDAY(A223-1)+4),1,3)+WEEKDAY(DATE(YEAR(A223-WEEKDAY(A223-1)+4),1,3))+5)/7))</f>
        <v/>
      </c>
      <c r="D223" s="21" t="n"/>
      <c r="E223" s="22" t="n"/>
      <c r="F223" s="23" t="n"/>
      <c r="G223" s="23" t="n"/>
      <c r="H223" s="23" t="n"/>
      <c r="I223" s="20">
        <f>IF(COUNT(F223:H223)=0,"",SUM(F223:H223))</f>
        <v/>
      </c>
      <c r="J223" s="23" t="n"/>
      <c r="K223" s="23" t="n"/>
      <c r="L223" s="23" t="n"/>
      <c r="M223" s="23" t="n"/>
      <c r="N223" s="23" t="n"/>
      <c r="O223" s="20">
        <f>IF(OR(I223="",COUNT(J223:N223)=0),"",IF(SUM(J223:N223)=I223,"✓","⚠ "&amp;SUM(J223:N223)&amp;" statt "&amp;I223))</f>
        <v/>
      </c>
      <c r="P223" s="21" t="n"/>
      <c r="Q223" s="21" t="n"/>
      <c r="R223" s="21" t="n"/>
      <c r="S223" s="24" t="n"/>
      <c r="T223" s="24" t="n"/>
      <c r="V223">
        <f>IF(A223="","",MONTH(A223))</f>
        <v/>
      </c>
      <c r="W223">
        <f>N(W222)+IF(AND(C223&lt;&gt;"",T223&lt;&gt;""),IF(C223=WOCHE!$B$3,1,0),0)</f>
        <v/>
      </c>
      <c r="X223">
        <f>N(X222)+IF(AND(V223&lt;&gt;"",T223&lt;&gt;""),IF(V223=MONAT!$AZ$3,1,0),0)</f>
        <v/>
      </c>
    </row>
    <row r="224">
      <c r="A224" s="19" t="n"/>
      <c r="B224" s="20">
        <f>IF(A224="","",CHOOSE(WEEKDAY(A224,2),"Mo","Di","Mi","Do","Fr","Sa","So"))</f>
        <v/>
      </c>
      <c r="C224" s="20">
        <f>IF(A224="","",INT((A224-DATE(YEAR(A224-WEEKDAY(A224-1)+4),1,3)+WEEKDAY(DATE(YEAR(A224-WEEKDAY(A224-1)+4),1,3))+5)/7))</f>
        <v/>
      </c>
      <c r="D224" s="21" t="n"/>
      <c r="E224" s="22" t="n"/>
      <c r="F224" s="23" t="n"/>
      <c r="G224" s="23" t="n"/>
      <c r="H224" s="23" t="n"/>
      <c r="I224" s="20">
        <f>IF(COUNT(F224:H224)=0,"",SUM(F224:H224))</f>
        <v/>
      </c>
      <c r="J224" s="23" t="n"/>
      <c r="K224" s="23" t="n"/>
      <c r="L224" s="23" t="n"/>
      <c r="M224" s="23" t="n"/>
      <c r="N224" s="23" t="n"/>
      <c r="O224" s="20">
        <f>IF(OR(I224="",COUNT(J224:N224)=0),"",IF(SUM(J224:N224)=I224,"✓","⚠ "&amp;SUM(J224:N224)&amp;" statt "&amp;I224))</f>
        <v/>
      </c>
      <c r="P224" s="21" t="n"/>
      <c r="Q224" s="21" t="n"/>
      <c r="R224" s="21" t="n"/>
      <c r="S224" s="24" t="n"/>
      <c r="T224" s="24" t="n"/>
      <c r="V224">
        <f>IF(A224="","",MONTH(A224))</f>
        <v/>
      </c>
      <c r="W224">
        <f>N(W223)+IF(AND(C224&lt;&gt;"",T224&lt;&gt;""),IF(C224=WOCHE!$B$3,1,0),0)</f>
        <v/>
      </c>
      <c r="X224">
        <f>N(X223)+IF(AND(V224&lt;&gt;"",T224&lt;&gt;""),IF(V224=MONAT!$AZ$3,1,0),0)</f>
        <v/>
      </c>
    </row>
    <row r="225">
      <c r="A225" s="19" t="n"/>
      <c r="B225" s="20">
        <f>IF(A225="","",CHOOSE(WEEKDAY(A225,2),"Mo","Di","Mi","Do","Fr","Sa","So"))</f>
        <v/>
      </c>
      <c r="C225" s="20">
        <f>IF(A225="","",INT((A225-DATE(YEAR(A225-WEEKDAY(A225-1)+4),1,3)+WEEKDAY(DATE(YEAR(A225-WEEKDAY(A225-1)+4),1,3))+5)/7))</f>
        <v/>
      </c>
      <c r="D225" s="21" t="n"/>
      <c r="E225" s="22" t="n"/>
      <c r="F225" s="23" t="n"/>
      <c r="G225" s="23" t="n"/>
      <c r="H225" s="23" t="n"/>
      <c r="I225" s="20">
        <f>IF(COUNT(F225:H225)=0,"",SUM(F225:H225))</f>
        <v/>
      </c>
      <c r="J225" s="23" t="n"/>
      <c r="K225" s="23" t="n"/>
      <c r="L225" s="23" t="n"/>
      <c r="M225" s="23" t="n"/>
      <c r="N225" s="23" t="n"/>
      <c r="O225" s="20">
        <f>IF(OR(I225="",COUNT(J225:N225)=0),"",IF(SUM(J225:N225)=I225,"✓","⚠ "&amp;SUM(J225:N225)&amp;" statt "&amp;I225))</f>
        <v/>
      </c>
      <c r="P225" s="21" t="n"/>
      <c r="Q225" s="21" t="n"/>
      <c r="R225" s="21" t="n"/>
      <c r="S225" s="24" t="n"/>
      <c r="T225" s="24" t="n"/>
      <c r="V225">
        <f>IF(A225="","",MONTH(A225))</f>
        <v/>
      </c>
      <c r="W225">
        <f>N(W224)+IF(AND(C225&lt;&gt;"",T225&lt;&gt;""),IF(C225=WOCHE!$B$3,1,0),0)</f>
        <v/>
      </c>
      <c r="X225">
        <f>N(X224)+IF(AND(V225&lt;&gt;"",T225&lt;&gt;""),IF(V225=MONAT!$AZ$3,1,0),0)</f>
        <v/>
      </c>
    </row>
    <row r="226">
      <c r="A226" s="19" t="n"/>
      <c r="B226" s="20">
        <f>IF(A226="","",CHOOSE(WEEKDAY(A226,2),"Mo","Di","Mi","Do","Fr","Sa","So"))</f>
        <v/>
      </c>
      <c r="C226" s="20">
        <f>IF(A226="","",INT((A226-DATE(YEAR(A226-WEEKDAY(A226-1)+4),1,3)+WEEKDAY(DATE(YEAR(A226-WEEKDAY(A226-1)+4),1,3))+5)/7))</f>
        <v/>
      </c>
      <c r="D226" s="21" t="n"/>
      <c r="E226" s="22" t="n"/>
      <c r="F226" s="23" t="n"/>
      <c r="G226" s="23" t="n"/>
      <c r="H226" s="23" t="n"/>
      <c r="I226" s="20">
        <f>IF(COUNT(F226:H226)=0,"",SUM(F226:H226))</f>
        <v/>
      </c>
      <c r="J226" s="23" t="n"/>
      <c r="K226" s="23" t="n"/>
      <c r="L226" s="23" t="n"/>
      <c r="M226" s="23" t="n"/>
      <c r="N226" s="23" t="n"/>
      <c r="O226" s="20">
        <f>IF(OR(I226="",COUNT(J226:N226)=0),"",IF(SUM(J226:N226)=I226,"✓","⚠ "&amp;SUM(J226:N226)&amp;" statt "&amp;I226))</f>
        <v/>
      </c>
      <c r="P226" s="21" t="n"/>
      <c r="Q226" s="21" t="n"/>
      <c r="R226" s="21" t="n"/>
      <c r="S226" s="24" t="n"/>
      <c r="T226" s="24" t="n"/>
      <c r="V226">
        <f>IF(A226="","",MONTH(A226))</f>
        <v/>
      </c>
      <c r="W226">
        <f>N(W225)+IF(AND(C226&lt;&gt;"",T226&lt;&gt;""),IF(C226=WOCHE!$B$3,1,0),0)</f>
        <v/>
      </c>
      <c r="X226">
        <f>N(X225)+IF(AND(V226&lt;&gt;"",T226&lt;&gt;""),IF(V226=MONAT!$AZ$3,1,0),0)</f>
        <v/>
      </c>
    </row>
    <row r="227">
      <c r="A227" s="19" t="n"/>
      <c r="B227" s="20">
        <f>IF(A227="","",CHOOSE(WEEKDAY(A227,2),"Mo","Di","Mi","Do","Fr","Sa","So"))</f>
        <v/>
      </c>
      <c r="C227" s="20">
        <f>IF(A227="","",INT((A227-DATE(YEAR(A227-WEEKDAY(A227-1)+4),1,3)+WEEKDAY(DATE(YEAR(A227-WEEKDAY(A227-1)+4),1,3))+5)/7))</f>
        <v/>
      </c>
      <c r="D227" s="21" t="n"/>
      <c r="E227" s="22" t="n"/>
      <c r="F227" s="23" t="n"/>
      <c r="G227" s="23" t="n"/>
      <c r="H227" s="23" t="n"/>
      <c r="I227" s="20">
        <f>IF(COUNT(F227:H227)=0,"",SUM(F227:H227))</f>
        <v/>
      </c>
      <c r="J227" s="23" t="n"/>
      <c r="K227" s="23" t="n"/>
      <c r="L227" s="23" t="n"/>
      <c r="M227" s="23" t="n"/>
      <c r="N227" s="23" t="n"/>
      <c r="O227" s="20">
        <f>IF(OR(I227="",COUNT(J227:N227)=0),"",IF(SUM(J227:N227)=I227,"✓","⚠ "&amp;SUM(J227:N227)&amp;" statt "&amp;I227))</f>
        <v/>
      </c>
      <c r="P227" s="21" t="n"/>
      <c r="Q227" s="21" t="n"/>
      <c r="R227" s="21" t="n"/>
      <c r="S227" s="24" t="n"/>
      <c r="T227" s="24" t="n"/>
      <c r="V227">
        <f>IF(A227="","",MONTH(A227))</f>
        <v/>
      </c>
      <c r="W227">
        <f>N(W226)+IF(AND(C227&lt;&gt;"",T227&lt;&gt;""),IF(C227=WOCHE!$B$3,1,0),0)</f>
        <v/>
      </c>
      <c r="X227">
        <f>N(X226)+IF(AND(V227&lt;&gt;"",T227&lt;&gt;""),IF(V227=MONAT!$AZ$3,1,0),0)</f>
        <v/>
      </c>
    </row>
    <row r="228">
      <c r="A228" s="19" t="n"/>
      <c r="B228" s="20">
        <f>IF(A228="","",CHOOSE(WEEKDAY(A228,2),"Mo","Di","Mi","Do","Fr","Sa","So"))</f>
        <v/>
      </c>
      <c r="C228" s="20">
        <f>IF(A228="","",INT((A228-DATE(YEAR(A228-WEEKDAY(A228-1)+4),1,3)+WEEKDAY(DATE(YEAR(A228-WEEKDAY(A228-1)+4),1,3))+5)/7))</f>
        <v/>
      </c>
      <c r="D228" s="21" t="n"/>
      <c r="E228" s="22" t="n"/>
      <c r="F228" s="23" t="n"/>
      <c r="G228" s="23" t="n"/>
      <c r="H228" s="23" t="n"/>
      <c r="I228" s="20">
        <f>IF(COUNT(F228:H228)=0,"",SUM(F228:H228))</f>
        <v/>
      </c>
      <c r="J228" s="23" t="n"/>
      <c r="K228" s="23" t="n"/>
      <c r="L228" s="23" t="n"/>
      <c r="M228" s="23" t="n"/>
      <c r="N228" s="23" t="n"/>
      <c r="O228" s="20">
        <f>IF(OR(I228="",COUNT(J228:N228)=0),"",IF(SUM(J228:N228)=I228,"✓","⚠ "&amp;SUM(J228:N228)&amp;" statt "&amp;I228))</f>
        <v/>
      </c>
      <c r="P228" s="21" t="n"/>
      <c r="Q228" s="21" t="n"/>
      <c r="R228" s="21" t="n"/>
      <c r="S228" s="24" t="n"/>
      <c r="T228" s="24" t="n"/>
      <c r="V228">
        <f>IF(A228="","",MONTH(A228))</f>
        <v/>
      </c>
      <c r="W228">
        <f>N(W227)+IF(AND(C228&lt;&gt;"",T228&lt;&gt;""),IF(C228=WOCHE!$B$3,1,0),0)</f>
        <v/>
      </c>
      <c r="X228">
        <f>N(X227)+IF(AND(V228&lt;&gt;"",T228&lt;&gt;""),IF(V228=MONAT!$AZ$3,1,0),0)</f>
        <v/>
      </c>
    </row>
    <row r="229">
      <c r="A229" s="19" t="n"/>
      <c r="B229" s="20">
        <f>IF(A229="","",CHOOSE(WEEKDAY(A229,2),"Mo","Di","Mi","Do","Fr","Sa","So"))</f>
        <v/>
      </c>
      <c r="C229" s="20">
        <f>IF(A229="","",INT((A229-DATE(YEAR(A229-WEEKDAY(A229-1)+4),1,3)+WEEKDAY(DATE(YEAR(A229-WEEKDAY(A229-1)+4),1,3))+5)/7))</f>
        <v/>
      </c>
      <c r="D229" s="21" t="n"/>
      <c r="E229" s="22" t="n"/>
      <c r="F229" s="23" t="n"/>
      <c r="G229" s="23" t="n"/>
      <c r="H229" s="23" t="n"/>
      <c r="I229" s="20">
        <f>IF(COUNT(F229:H229)=0,"",SUM(F229:H229))</f>
        <v/>
      </c>
      <c r="J229" s="23" t="n"/>
      <c r="K229" s="23" t="n"/>
      <c r="L229" s="23" t="n"/>
      <c r="M229" s="23" t="n"/>
      <c r="N229" s="23" t="n"/>
      <c r="O229" s="20">
        <f>IF(OR(I229="",COUNT(J229:N229)=0),"",IF(SUM(J229:N229)=I229,"✓","⚠ "&amp;SUM(J229:N229)&amp;" statt "&amp;I229))</f>
        <v/>
      </c>
      <c r="P229" s="21" t="n"/>
      <c r="Q229" s="21" t="n"/>
      <c r="R229" s="21" t="n"/>
      <c r="S229" s="24" t="n"/>
      <c r="T229" s="24" t="n"/>
      <c r="V229">
        <f>IF(A229="","",MONTH(A229))</f>
        <v/>
      </c>
      <c r="W229">
        <f>N(W228)+IF(AND(C229&lt;&gt;"",T229&lt;&gt;""),IF(C229=WOCHE!$B$3,1,0),0)</f>
        <v/>
      </c>
      <c r="X229">
        <f>N(X228)+IF(AND(V229&lt;&gt;"",T229&lt;&gt;""),IF(V229=MONAT!$AZ$3,1,0),0)</f>
        <v/>
      </c>
    </row>
    <row r="230">
      <c r="A230" s="19" t="n"/>
      <c r="B230" s="20">
        <f>IF(A230="","",CHOOSE(WEEKDAY(A230,2),"Mo","Di","Mi","Do","Fr","Sa","So"))</f>
        <v/>
      </c>
      <c r="C230" s="20">
        <f>IF(A230="","",INT((A230-DATE(YEAR(A230-WEEKDAY(A230-1)+4),1,3)+WEEKDAY(DATE(YEAR(A230-WEEKDAY(A230-1)+4),1,3))+5)/7))</f>
        <v/>
      </c>
      <c r="D230" s="21" t="n"/>
      <c r="E230" s="22" t="n"/>
      <c r="F230" s="23" t="n"/>
      <c r="G230" s="23" t="n"/>
      <c r="H230" s="23" t="n"/>
      <c r="I230" s="20">
        <f>IF(COUNT(F230:H230)=0,"",SUM(F230:H230))</f>
        <v/>
      </c>
      <c r="J230" s="23" t="n"/>
      <c r="K230" s="23" t="n"/>
      <c r="L230" s="23" t="n"/>
      <c r="M230" s="23" t="n"/>
      <c r="N230" s="23" t="n"/>
      <c r="O230" s="20">
        <f>IF(OR(I230="",COUNT(J230:N230)=0),"",IF(SUM(J230:N230)=I230,"✓","⚠ "&amp;SUM(J230:N230)&amp;" statt "&amp;I230))</f>
        <v/>
      </c>
      <c r="P230" s="21" t="n"/>
      <c r="Q230" s="21" t="n"/>
      <c r="R230" s="21" t="n"/>
      <c r="S230" s="24" t="n"/>
      <c r="T230" s="24" t="n"/>
      <c r="V230">
        <f>IF(A230="","",MONTH(A230))</f>
        <v/>
      </c>
      <c r="W230">
        <f>N(W229)+IF(AND(C230&lt;&gt;"",T230&lt;&gt;""),IF(C230=WOCHE!$B$3,1,0),0)</f>
        <v/>
      </c>
      <c r="X230">
        <f>N(X229)+IF(AND(V230&lt;&gt;"",T230&lt;&gt;""),IF(V230=MONAT!$AZ$3,1,0),0)</f>
        <v/>
      </c>
    </row>
    <row r="231">
      <c r="A231" s="19" t="n"/>
      <c r="B231" s="20">
        <f>IF(A231="","",CHOOSE(WEEKDAY(A231,2),"Mo","Di","Mi","Do","Fr","Sa","So"))</f>
        <v/>
      </c>
      <c r="C231" s="20">
        <f>IF(A231="","",INT((A231-DATE(YEAR(A231-WEEKDAY(A231-1)+4),1,3)+WEEKDAY(DATE(YEAR(A231-WEEKDAY(A231-1)+4),1,3))+5)/7))</f>
        <v/>
      </c>
      <c r="D231" s="21" t="n"/>
      <c r="E231" s="22" t="n"/>
      <c r="F231" s="23" t="n"/>
      <c r="G231" s="23" t="n"/>
      <c r="H231" s="23" t="n"/>
      <c r="I231" s="20">
        <f>IF(COUNT(F231:H231)=0,"",SUM(F231:H231))</f>
        <v/>
      </c>
      <c r="J231" s="23" t="n"/>
      <c r="K231" s="23" t="n"/>
      <c r="L231" s="23" t="n"/>
      <c r="M231" s="23" t="n"/>
      <c r="N231" s="23" t="n"/>
      <c r="O231" s="20">
        <f>IF(OR(I231="",COUNT(J231:N231)=0),"",IF(SUM(J231:N231)=I231,"✓","⚠ "&amp;SUM(J231:N231)&amp;" statt "&amp;I231))</f>
        <v/>
      </c>
      <c r="P231" s="21" t="n"/>
      <c r="Q231" s="21" t="n"/>
      <c r="R231" s="21" t="n"/>
      <c r="S231" s="24" t="n"/>
      <c r="T231" s="24" t="n"/>
      <c r="V231">
        <f>IF(A231="","",MONTH(A231))</f>
        <v/>
      </c>
      <c r="W231">
        <f>N(W230)+IF(AND(C231&lt;&gt;"",T231&lt;&gt;""),IF(C231=WOCHE!$B$3,1,0),0)</f>
        <v/>
      </c>
      <c r="X231">
        <f>N(X230)+IF(AND(V231&lt;&gt;"",T231&lt;&gt;""),IF(V231=MONAT!$AZ$3,1,0),0)</f>
        <v/>
      </c>
    </row>
    <row r="232">
      <c r="A232" s="19" t="n"/>
      <c r="B232" s="20">
        <f>IF(A232="","",CHOOSE(WEEKDAY(A232,2),"Mo","Di","Mi","Do","Fr","Sa","So"))</f>
        <v/>
      </c>
      <c r="C232" s="20">
        <f>IF(A232="","",INT((A232-DATE(YEAR(A232-WEEKDAY(A232-1)+4),1,3)+WEEKDAY(DATE(YEAR(A232-WEEKDAY(A232-1)+4),1,3))+5)/7))</f>
        <v/>
      </c>
      <c r="D232" s="21" t="n"/>
      <c r="E232" s="22" t="n"/>
      <c r="F232" s="23" t="n"/>
      <c r="G232" s="23" t="n"/>
      <c r="H232" s="23" t="n"/>
      <c r="I232" s="20">
        <f>IF(COUNT(F232:H232)=0,"",SUM(F232:H232))</f>
        <v/>
      </c>
      <c r="J232" s="23" t="n"/>
      <c r="K232" s="23" t="n"/>
      <c r="L232" s="23" t="n"/>
      <c r="M232" s="23" t="n"/>
      <c r="N232" s="23" t="n"/>
      <c r="O232" s="20">
        <f>IF(OR(I232="",COUNT(J232:N232)=0),"",IF(SUM(J232:N232)=I232,"✓","⚠ "&amp;SUM(J232:N232)&amp;" statt "&amp;I232))</f>
        <v/>
      </c>
      <c r="P232" s="21" t="n"/>
      <c r="Q232" s="21" t="n"/>
      <c r="R232" s="21" t="n"/>
      <c r="S232" s="24" t="n"/>
      <c r="T232" s="24" t="n"/>
      <c r="V232">
        <f>IF(A232="","",MONTH(A232))</f>
        <v/>
      </c>
      <c r="W232">
        <f>N(W231)+IF(AND(C232&lt;&gt;"",T232&lt;&gt;""),IF(C232=WOCHE!$B$3,1,0),0)</f>
        <v/>
      </c>
      <c r="X232">
        <f>N(X231)+IF(AND(V232&lt;&gt;"",T232&lt;&gt;""),IF(V232=MONAT!$AZ$3,1,0),0)</f>
        <v/>
      </c>
    </row>
    <row r="233">
      <c r="A233" s="19" t="n"/>
      <c r="B233" s="20">
        <f>IF(A233="","",CHOOSE(WEEKDAY(A233,2),"Mo","Di","Mi","Do","Fr","Sa","So"))</f>
        <v/>
      </c>
      <c r="C233" s="20">
        <f>IF(A233="","",INT((A233-DATE(YEAR(A233-WEEKDAY(A233-1)+4),1,3)+WEEKDAY(DATE(YEAR(A233-WEEKDAY(A233-1)+4),1,3))+5)/7))</f>
        <v/>
      </c>
      <c r="D233" s="21" t="n"/>
      <c r="E233" s="22" t="n"/>
      <c r="F233" s="23" t="n"/>
      <c r="G233" s="23" t="n"/>
      <c r="H233" s="23" t="n"/>
      <c r="I233" s="20">
        <f>IF(COUNT(F233:H233)=0,"",SUM(F233:H233))</f>
        <v/>
      </c>
      <c r="J233" s="23" t="n"/>
      <c r="K233" s="23" t="n"/>
      <c r="L233" s="23" t="n"/>
      <c r="M233" s="23" t="n"/>
      <c r="N233" s="23" t="n"/>
      <c r="O233" s="20">
        <f>IF(OR(I233="",COUNT(J233:N233)=0),"",IF(SUM(J233:N233)=I233,"✓","⚠ "&amp;SUM(J233:N233)&amp;" statt "&amp;I233))</f>
        <v/>
      </c>
      <c r="P233" s="21" t="n"/>
      <c r="Q233" s="21" t="n"/>
      <c r="R233" s="21" t="n"/>
      <c r="S233" s="24" t="n"/>
      <c r="T233" s="24" t="n"/>
      <c r="V233">
        <f>IF(A233="","",MONTH(A233))</f>
        <v/>
      </c>
      <c r="W233">
        <f>N(W232)+IF(AND(C233&lt;&gt;"",T233&lt;&gt;""),IF(C233=WOCHE!$B$3,1,0),0)</f>
        <v/>
      </c>
      <c r="X233">
        <f>N(X232)+IF(AND(V233&lt;&gt;"",T233&lt;&gt;""),IF(V233=MONAT!$AZ$3,1,0),0)</f>
        <v/>
      </c>
    </row>
    <row r="234">
      <c r="A234" s="19" t="n"/>
      <c r="B234" s="20">
        <f>IF(A234="","",CHOOSE(WEEKDAY(A234,2),"Mo","Di","Mi","Do","Fr","Sa","So"))</f>
        <v/>
      </c>
      <c r="C234" s="20">
        <f>IF(A234="","",INT((A234-DATE(YEAR(A234-WEEKDAY(A234-1)+4),1,3)+WEEKDAY(DATE(YEAR(A234-WEEKDAY(A234-1)+4),1,3))+5)/7))</f>
        <v/>
      </c>
      <c r="D234" s="21" t="n"/>
      <c r="E234" s="22" t="n"/>
      <c r="F234" s="23" t="n"/>
      <c r="G234" s="23" t="n"/>
      <c r="H234" s="23" t="n"/>
      <c r="I234" s="20">
        <f>IF(COUNT(F234:H234)=0,"",SUM(F234:H234))</f>
        <v/>
      </c>
      <c r="J234" s="23" t="n"/>
      <c r="K234" s="23" t="n"/>
      <c r="L234" s="23" t="n"/>
      <c r="M234" s="23" t="n"/>
      <c r="N234" s="23" t="n"/>
      <c r="O234" s="20">
        <f>IF(OR(I234="",COUNT(J234:N234)=0),"",IF(SUM(J234:N234)=I234,"✓","⚠ "&amp;SUM(J234:N234)&amp;" statt "&amp;I234))</f>
        <v/>
      </c>
      <c r="P234" s="21" t="n"/>
      <c r="Q234" s="21" t="n"/>
      <c r="R234" s="21" t="n"/>
      <c r="S234" s="24" t="n"/>
      <c r="T234" s="24" t="n"/>
      <c r="V234">
        <f>IF(A234="","",MONTH(A234))</f>
        <v/>
      </c>
      <c r="W234">
        <f>N(W233)+IF(AND(C234&lt;&gt;"",T234&lt;&gt;""),IF(C234=WOCHE!$B$3,1,0),0)</f>
        <v/>
      </c>
      <c r="X234">
        <f>N(X233)+IF(AND(V234&lt;&gt;"",T234&lt;&gt;""),IF(V234=MONAT!$AZ$3,1,0),0)</f>
        <v/>
      </c>
    </row>
    <row r="235">
      <c r="A235" s="19" t="n"/>
      <c r="B235" s="20">
        <f>IF(A235="","",CHOOSE(WEEKDAY(A235,2),"Mo","Di","Mi","Do","Fr","Sa","So"))</f>
        <v/>
      </c>
      <c r="C235" s="20">
        <f>IF(A235="","",INT((A235-DATE(YEAR(A235-WEEKDAY(A235-1)+4),1,3)+WEEKDAY(DATE(YEAR(A235-WEEKDAY(A235-1)+4),1,3))+5)/7))</f>
        <v/>
      </c>
      <c r="D235" s="21" t="n"/>
      <c r="E235" s="22" t="n"/>
      <c r="F235" s="23" t="n"/>
      <c r="G235" s="23" t="n"/>
      <c r="H235" s="23" t="n"/>
      <c r="I235" s="20">
        <f>IF(COUNT(F235:H235)=0,"",SUM(F235:H235))</f>
        <v/>
      </c>
      <c r="J235" s="23" t="n"/>
      <c r="K235" s="23" t="n"/>
      <c r="L235" s="23" t="n"/>
      <c r="M235" s="23" t="n"/>
      <c r="N235" s="23" t="n"/>
      <c r="O235" s="20">
        <f>IF(OR(I235="",COUNT(J235:N235)=0),"",IF(SUM(J235:N235)=I235,"✓","⚠ "&amp;SUM(J235:N235)&amp;" statt "&amp;I235))</f>
        <v/>
      </c>
      <c r="P235" s="21" t="n"/>
      <c r="Q235" s="21" t="n"/>
      <c r="R235" s="21" t="n"/>
      <c r="S235" s="24" t="n"/>
      <c r="T235" s="24" t="n"/>
      <c r="V235">
        <f>IF(A235="","",MONTH(A235))</f>
        <v/>
      </c>
      <c r="W235">
        <f>N(W234)+IF(AND(C235&lt;&gt;"",T235&lt;&gt;""),IF(C235=WOCHE!$B$3,1,0),0)</f>
        <v/>
      </c>
      <c r="X235">
        <f>N(X234)+IF(AND(V235&lt;&gt;"",T235&lt;&gt;""),IF(V235=MONAT!$AZ$3,1,0),0)</f>
        <v/>
      </c>
    </row>
    <row r="236">
      <c r="A236" s="19" t="n"/>
      <c r="B236" s="20">
        <f>IF(A236="","",CHOOSE(WEEKDAY(A236,2),"Mo","Di","Mi","Do","Fr","Sa","So"))</f>
        <v/>
      </c>
      <c r="C236" s="20">
        <f>IF(A236="","",INT((A236-DATE(YEAR(A236-WEEKDAY(A236-1)+4),1,3)+WEEKDAY(DATE(YEAR(A236-WEEKDAY(A236-1)+4),1,3))+5)/7))</f>
        <v/>
      </c>
      <c r="D236" s="21" t="n"/>
      <c r="E236" s="22" t="n"/>
      <c r="F236" s="23" t="n"/>
      <c r="G236" s="23" t="n"/>
      <c r="H236" s="23" t="n"/>
      <c r="I236" s="20">
        <f>IF(COUNT(F236:H236)=0,"",SUM(F236:H236))</f>
        <v/>
      </c>
      <c r="J236" s="23" t="n"/>
      <c r="K236" s="23" t="n"/>
      <c r="L236" s="23" t="n"/>
      <c r="M236" s="23" t="n"/>
      <c r="N236" s="23" t="n"/>
      <c r="O236" s="20">
        <f>IF(OR(I236="",COUNT(J236:N236)=0),"",IF(SUM(J236:N236)=I236,"✓","⚠ "&amp;SUM(J236:N236)&amp;" statt "&amp;I236))</f>
        <v/>
      </c>
      <c r="P236" s="21" t="n"/>
      <c r="Q236" s="21" t="n"/>
      <c r="R236" s="21" t="n"/>
      <c r="S236" s="24" t="n"/>
      <c r="T236" s="24" t="n"/>
      <c r="V236">
        <f>IF(A236="","",MONTH(A236))</f>
        <v/>
      </c>
      <c r="W236">
        <f>N(W235)+IF(AND(C236&lt;&gt;"",T236&lt;&gt;""),IF(C236=WOCHE!$B$3,1,0),0)</f>
        <v/>
      </c>
      <c r="X236">
        <f>N(X235)+IF(AND(V236&lt;&gt;"",T236&lt;&gt;""),IF(V236=MONAT!$AZ$3,1,0),0)</f>
        <v/>
      </c>
    </row>
    <row r="237">
      <c r="A237" s="19" t="n"/>
      <c r="B237" s="20">
        <f>IF(A237="","",CHOOSE(WEEKDAY(A237,2),"Mo","Di","Mi","Do","Fr","Sa","So"))</f>
        <v/>
      </c>
      <c r="C237" s="20">
        <f>IF(A237="","",INT((A237-DATE(YEAR(A237-WEEKDAY(A237-1)+4),1,3)+WEEKDAY(DATE(YEAR(A237-WEEKDAY(A237-1)+4),1,3))+5)/7))</f>
        <v/>
      </c>
      <c r="D237" s="21" t="n"/>
      <c r="E237" s="22" t="n"/>
      <c r="F237" s="23" t="n"/>
      <c r="G237" s="23" t="n"/>
      <c r="H237" s="23" t="n"/>
      <c r="I237" s="20">
        <f>IF(COUNT(F237:H237)=0,"",SUM(F237:H237))</f>
        <v/>
      </c>
      <c r="J237" s="23" t="n"/>
      <c r="K237" s="23" t="n"/>
      <c r="L237" s="23" t="n"/>
      <c r="M237" s="23" t="n"/>
      <c r="N237" s="23" t="n"/>
      <c r="O237" s="20">
        <f>IF(OR(I237="",COUNT(J237:N237)=0),"",IF(SUM(J237:N237)=I237,"✓","⚠ "&amp;SUM(J237:N237)&amp;" statt "&amp;I237))</f>
        <v/>
      </c>
      <c r="P237" s="21" t="n"/>
      <c r="Q237" s="21" t="n"/>
      <c r="R237" s="21" t="n"/>
      <c r="S237" s="24" t="n"/>
      <c r="T237" s="24" t="n"/>
      <c r="V237">
        <f>IF(A237="","",MONTH(A237))</f>
        <v/>
      </c>
      <c r="W237">
        <f>N(W236)+IF(AND(C237&lt;&gt;"",T237&lt;&gt;""),IF(C237=WOCHE!$B$3,1,0),0)</f>
        <v/>
      </c>
      <c r="X237">
        <f>N(X236)+IF(AND(V237&lt;&gt;"",T237&lt;&gt;""),IF(V237=MONAT!$AZ$3,1,0),0)</f>
        <v/>
      </c>
    </row>
    <row r="238">
      <c r="A238" s="19" t="n"/>
      <c r="B238" s="20">
        <f>IF(A238="","",CHOOSE(WEEKDAY(A238,2),"Mo","Di","Mi","Do","Fr","Sa","So"))</f>
        <v/>
      </c>
      <c r="C238" s="20">
        <f>IF(A238="","",INT((A238-DATE(YEAR(A238-WEEKDAY(A238-1)+4),1,3)+WEEKDAY(DATE(YEAR(A238-WEEKDAY(A238-1)+4),1,3))+5)/7))</f>
        <v/>
      </c>
      <c r="D238" s="21" t="n"/>
      <c r="E238" s="22" t="n"/>
      <c r="F238" s="23" t="n"/>
      <c r="G238" s="23" t="n"/>
      <c r="H238" s="23" t="n"/>
      <c r="I238" s="20">
        <f>IF(COUNT(F238:H238)=0,"",SUM(F238:H238))</f>
        <v/>
      </c>
      <c r="J238" s="23" t="n"/>
      <c r="K238" s="23" t="n"/>
      <c r="L238" s="23" t="n"/>
      <c r="M238" s="23" t="n"/>
      <c r="N238" s="23" t="n"/>
      <c r="O238" s="20">
        <f>IF(OR(I238="",COUNT(J238:N238)=0),"",IF(SUM(J238:N238)=I238,"✓","⚠ "&amp;SUM(J238:N238)&amp;" statt "&amp;I238))</f>
        <v/>
      </c>
      <c r="P238" s="21" t="n"/>
      <c r="Q238" s="21" t="n"/>
      <c r="R238" s="21" t="n"/>
      <c r="S238" s="24" t="n"/>
      <c r="T238" s="24" t="n"/>
      <c r="V238">
        <f>IF(A238="","",MONTH(A238))</f>
        <v/>
      </c>
      <c r="W238">
        <f>N(W237)+IF(AND(C238&lt;&gt;"",T238&lt;&gt;""),IF(C238=WOCHE!$B$3,1,0),0)</f>
        <v/>
      </c>
      <c r="X238">
        <f>N(X237)+IF(AND(V238&lt;&gt;"",T238&lt;&gt;""),IF(V238=MONAT!$AZ$3,1,0),0)</f>
        <v/>
      </c>
    </row>
    <row r="239">
      <c r="A239" s="19" t="n"/>
      <c r="B239" s="20">
        <f>IF(A239="","",CHOOSE(WEEKDAY(A239,2),"Mo","Di","Mi","Do","Fr","Sa","So"))</f>
        <v/>
      </c>
      <c r="C239" s="20">
        <f>IF(A239="","",INT((A239-DATE(YEAR(A239-WEEKDAY(A239-1)+4),1,3)+WEEKDAY(DATE(YEAR(A239-WEEKDAY(A239-1)+4),1,3))+5)/7))</f>
        <v/>
      </c>
      <c r="D239" s="21" t="n"/>
      <c r="E239" s="22" t="n"/>
      <c r="F239" s="23" t="n"/>
      <c r="G239" s="23" t="n"/>
      <c r="H239" s="23" t="n"/>
      <c r="I239" s="20">
        <f>IF(COUNT(F239:H239)=0,"",SUM(F239:H239))</f>
        <v/>
      </c>
      <c r="J239" s="23" t="n"/>
      <c r="K239" s="23" t="n"/>
      <c r="L239" s="23" t="n"/>
      <c r="M239" s="23" t="n"/>
      <c r="N239" s="23" t="n"/>
      <c r="O239" s="20">
        <f>IF(OR(I239="",COUNT(J239:N239)=0),"",IF(SUM(J239:N239)=I239,"✓","⚠ "&amp;SUM(J239:N239)&amp;" statt "&amp;I239))</f>
        <v/>
      </c>
      <c r="P239" s="21" t="n"/>
      <c r="Q239" s="21" t="n"/>
      <c r="R239" s="21" t="n"/>
      <c r="S239" s="24" t="n"/>
      <c r="T239" s="24" t="n"/>
      <c r="V239">
        <f>IF(A239="","",MONTH(A239))</f>
        <v/>
      </c>
      <c r="W239">
        <f>N(W238)+IF(AND(C239&lt;&gt;"",T239&lt;&gt;""),IF(C239=WOCHE!$B$3,1,0),0)</f>
        <v/>
      </c>
      <c r="X239">
        <f>N(X238)+IF(AND(V239&lt;&gt;"",T239&lt;&gt;""),IF(V239=MONAT!$AZ$3,1,0),0)</f>
        <v/>
      </c>
    </row>
    <row r="240">
      <c r="A240" s="19" t="n"/>
      <c r="B240" s="20">
        <f>IF(A240="","",CHOOSE(WEEKDAY(A240,2),"Mo","Di","Mi","Do","Fr","Sa","So"))</f>
        <v/>
      </c>
      <c r="C240" s="20">
        <f>IF(A240="","",INT((A240-DATE(YEAR(A240-WEEKDAY(A240-1)+4),1,3)+WEEKDAY(DATE(YEAR(A240-WEEKDAY(A240-1)+4),1,3))+5)/7))</f>
        <v/>
      </c>
      <c r="D240" s="21" t="n"/>
      <c r="E240" s="22" t="n"/>
      <c r="F240" s="23" t="n"/>
      <c r="G240" s="23" t="n"/>
      <c r="H240" s="23" t="n"/>
      <c r="I240" s="20">
        <f>IF(COUNT(F240:H240)=0,"",SUM(F240:H240))</f>
        <v/>
      </c>
      <c r="J240" s="23" t="n"/>
      <c r="K240" s="23" t="n"/>
      <c r="L240" s="23" t="n"/>
      <c r="M240" s="23" t="n"/>
      <c r="N240" s="23" t="n"/>
      <c r="O240" s="20">
        <f>IF(OR(I240="",COUNT(J240:N240)=0),"",IF(SUM(J240:N240)=I240,"✓","⚠ "&amp;SUM(J240:N240)&amp;" statt "&amp;I240))</f>
        <v/>
      </c>
      <c r="P240" s="21" t="n"/>
      <c r="Q240" s="21" t="n"/>
      <c r="R240" s="21" t="n"/>
      <c r="S240" s="24" t="n"/>
      <c r="T240" s="24" t="n"/>
      <c r="V240">
        <f>IF(A240="","",MONTH(A240))</f>
        <v/>
      </c>
      <c r="W240">
        <f>N(W239)+IF(AND(C240&lt;&gt;"",T240&lt;&gt;""),IF(C240=WOCHE!$B$3,1,0),0)</f>
        <v/>
      </c>
      <c r="X240">
        <f>N(X239)+IF(AND(V240&lt;&gt;"",T240&lt;&gt;""),IF(V240=MONAT!$AZ$3,1,0),0)</f>
        <v/>
      </c>
    </row>
    <row r="241">
      <c r="A241" s="19" t="n"/>
      <c r="B241" s="20">
        <f>IF(A241="","",CHOOSE(WEEKDAY(A241,2),"Mo","Di","Mi","Do","Fr","Sa","So"))</f>
        <v/>
      </c>
      <c r="C241" s="20">
        <f>IF(A241="","",INT((A241-DATE(YEAR(A241-WEEKDAY(A241-1)+4),1,3)+WEEKDAY(DATE(YEAR(A241-WEEKDAY(A241-1)+4),1,3))+5)/7))</f>
        <v/>
      </c>
      <c r="D241" s="21" t="n"/>
      <c r="E241" s="22" t="n"/>
      <c r="F241" s="23" t="n"/>
      <c r="G241" s="23" t="n"/>
      <c r="H241" s="23" t="n"/>
      <c r="I241" s="20">
        <f>IF(COUNT(F241:H241)=0,"",SUM(F241:H241))</f>
        <v/>
      </c>
      <c r="J241" s="23" t="n"/>
      <c r="K241" s="23" t="n"/>
      <c r="L241" s="23" t="n"/>
      <c r="M241" s="23" t="n"/>
      <c r="N241" s="23" t="n"/>
      <c r="O241" s="20">
        <f>IF(OR(I241="",COUNT(J241:N241)=0),"",IF(SUM(J241:N241)=I241,"✓","⚠ "&amp;SUM(J241:N241)&amp;" statt "&amp;I241))</f>
        <v/>
      </c>
      <c r="P241" s="21" t="n"/>
      <c r="Q241" s="21" t="n"/>
      <c r="R241" s="21" t="n"/>
      <c r="S241" s="24" t="n"/>
      <c r="T241" s="24" t="n"/>
      <c r="V241">
        <f>IF(A241="","",MONTH(A241))</f>
        <v/>
      </c>
      <c r="W241">
        <f>N(W240)+IF(AND(C241&lt;&gt;"",T241&lt;&gt;""),IF(C241=WOCHE!$B$3,1,0),0)</f>
        <v/>
      </c>
      <c r="X241">
        <f>N(X240)+IF(AND(V241&lt;&gt;"",T241&lt;&gt;""),IF(V241=MONAT!$AZ$3,1,0),0)</f>
        <v/>
      </c>
    </row>
    <row r="242">
      <c r="A242" s="19" t="n"/>
      <c r="B242" s="20">
        <f>IF(A242="","",CHOOSE(WEEKDAY(A242,2),"Mo","Di","Mi","Do","Fr","Sa","So"))</f>
        <v/>
      </c>
      <c r="C242" s="20">
        <f>IF(A242="","",INT((A242-DATE(YEAR(A242-WEEKDAY(A242-1)+4),1,3)+WEEKDAY(DATE(YEAR(A242-WEEKDAY(A242-1)+4),1,3))+5)/7))</f>
        <v/>
      </c>
      <c r="D242" s="21" t="n"/>
      <c r="E242" s="22" t="n"/>
      <c r="F242" s="23" t="n"/>
      <c r="G242" s="23" t="n"/>
      <c r="H242" s="23" t="n"/>
      <c r="I242" s="20">
        <f>IF(COUNT(F242:H242)=0,"",SUM(F242:H242))</f>
        <v/>
      </c>
      <c r="J242" s="23" t="n"/>
      <c r="K242" s="23" t="n"/>
      <c r="L242" s="23" t="n"/>
      <c r="M242" s="23" t="n"/>
      <c r="N242" s="23" t="n"/>
      <c r="O242" s="20">
        <f>IF(OR(I242="",COUNT(J242:N242)=0),"",IF(SUM(J242:N242)=I242,"✓","⚠ "&amp;SUM(J242:N242)&amp;" statt "&amp;I242))</f>
        <v/>
      </c>
      <c r="P242" s="21" t="n"/>
      <c r="Q242" s="21" t="n"/>
      <c r="R242" s="21" t="n"/>
      <c r="S242" s="24" t="n"/>
      <c r="T242" s="24" t="n"/>
      <c r="V242">
        <f>IF(A242="","",MONTH(A242))</f>
        <v/>
      </c>
      <c r="W242">
        <f>N(W241)+IF(AND(C242&lt;&gt;"",T242&lt;&gt;""),IF(C242=WOCHE!$B$3,1,0),0)</f>
        <v/>
      </c>
      <c r="X242">
        <f>N(X241)+IF(AND(V242&lt;&gt;"",T242&lt;&gt;""),IF(V242=MONAT!$AZ$3,1,0),0)</f>
        <v/>
      </c>
    </row>
    <row r="243">
      <c r="A243" s="19" t="n"/>
      <c r="B243" s="20">
        <f>IF(A243="","",CHOOSE(WEEKDAY(A243,2),"Mo","Di","Mi","Do","Fr","Sa","So"))</f>
        <v/>
      </c>
      <c r="C243" s="20">
        <f>IF(A243="","",INT((A243-DATE(YEAR(A243-WEEKDAY(A243-1)+4),1,3)+WEEKDAY(DATE(YEAR(A243-WEEKDAY(A243-1)+4),1,3))+5)/7))</f>
        <v/>
      </c>
      <c r="D243" s="21" t="n"/>
      <c r="E243" s="22" t="n"/>
      <c r="F243" s="23" t="n"/>
      <c r="G243" s="23" t="n"/>
      <c r="H243" s="23" t="n"/>
      <c r="I243" s="20">
        <f>IF(COUNT(F243:H243)=0,"",SUM(F243:H243))</f>
        <v/>
      </c>
      <c r="J243" s="23" t="n"/>
      <c r="K243" s="23" t="n"/>
      <c r="L243" s="23" t="n"/>
      <c r="M243" s="23" t="n"/>
      <c r="N243" s="23" t="n"/>
      <c r="O243" s="20">
        <f>IF(OR(I243="",COUNT(J243:N243)=0),"",IF(SUM(J243:N243)=I243,"✓","⚠ "&amp;SUM(J243:N243)&amp;" statt "&amp;I243))</f>
        <v/>
      </c>
      <c r="P243" s="21" t="n"/>
      <c r="Q243" s="21" t="n"/>
      <c r="R243" s="21" t="n"/>
      <c r="S243" s="24" t="n"/>
      <c r="T243" s="24" t="n"/>
      <c r="V243">
        <f>IF(A243="","",MONTH(A243))</f>
        <v/>
      </c>
      <c r="W243">
        <f>N(W242)+IF(AND(C243&lt;&gt;"",T243&lt;&gt;""),IF(C243=WOCHE!$B$3,1,0),0)</f>
        <v/>
      </c>
      <c r="X243">
        <f>N(X242)+IF(AND(V243&lt;&gt;"",T243&lt;&gt;""),IF(V243=MONAT!$AZ$3,1,0),0)</f>
        <v/>
      </c>
    </row>
    <row r="244">
      <c r="A244" s="19" t="n"/>
      <c r="B244" s="20">
        <f>IF(A244="","",CHOOSE(WEEKDAY(A244,2),"Mo","Di","Mi","Do","Fr","Sa","So"))</f>
        <v/>
      </c>
      <c r="C244" s="20">
        <f>IF(A244="","",INT((A244-DATE(YEAR(A244-WEEKDAY(A244-1)+4),1,3)+WEEKDAY(DATE(YEAR(A244-WEEKDAY(A244-1)+4),1,3))+5)/7))</f>
        <v/>
      </c>
      <c r="D244" s="21" t="n"/>
      <c r="E244" s="22" t="n"/>
      <c r="F244" s="23" t="n"/>
      <c r="G244" s="23" t="n"/>
      <c r="H244" s="23" t="n"/>
      <c r="I244" s="20">
        <f>IF(COUNT(F244:H244)=0,"",SUM(F244:H244))</f>
        <v/>
      </c>
      <c r="J244" s="23" t="n"/>
      <c r="K244" s="23" t="n"/>
      <c r="L244" s="23" t="n"/>
      <c r="M244" s="23" t="n"/>
      <c r="N244" s="23" t="n"/>
      <c r="O244" s="20">
        <f>IF(OR(I244="",COUNT(J244:N244)=0),"",IF(SUM(J244:N244)=I244,"✓","⚠ "&amp;SUM(J244:N244)&amp;" statt "&amp;I244))</f>
        <v/>
      </c>
      <c r="P244" s="21" t="n"/>
      <c r="Q244" s="21" t="n"/>
      <c r="R244" s="21" t="n"/>
      <c r="S244" s="24" t="n"/>
      <c r="T244" s="24" t="n"/>
      <c r="V244">
        <f>IF(A244="","",MONTH(A244))</f>
        <v/>
      </c>
      <c r="W244">
        <f>N(W243)+IF(AND(C244&lt;&gt;"",T244&lt;&gt;""),IF(C244=WOCHE!$B$3,1,0),0)</f>
        <v/>
      </c>
      <c r="X244">
        <f>N(X243)+IF(AND(V244&lt;&gt;"",T244&lt;&gt;""),IF(V244=MONAT!$AZ$3,1,0),0)</f>
        <v/>
      </c>
    </row>
    <row r="245">
      <c r="A245" s="19" t="n"/>
      <c r="B245" s="20">
        <f>IF(A245="","",CHOOSE(WEEKDAY(A245,2),"Mo","Di","Mi","Do","Fr","Sa","So"))</f>
        <v/>
      </c>
      <c r="C245" s="20">
        <f>IF(A245="","",INT((A245-DATE(YEAR(A245-WEEKDAY(A245-1)+4),1,3)+WEEKDAY(DATE(YEAR(A245-WEEKDAY(A245-1)+4),1,3))+5)/7))</f>
        <v/>
      </c>
      <c r="D245" s="21" t="n"/>
      <c r="E245" s="22" t="n"/>
      <c r="F245" s="23" t="n"/>
      <c r="G245" s="23" t="n"/>
      <c r="H245" s="23" t="n"/>
      <c r="I245" s="20">
        <f>IF(COUNT(F245:H245)=0,"",SUM(F245:H245))</f>
        <v/>
      </c>
      <c r="J245" s="23" t="n"/>
      <c r="K245" s="23" t="n"/>
      <c r="L245" s="23" t="n"/>
      <c r="M245" s="23" t="n"/>
      <c r="N245" s="23" t="n"/>
      <c r="O245" s="20">
        <f>IF(OR(I245="",COUNT(J245:N245)=0),"",IF(SUM(J245:N245)=I245,"✓","⚠ "&amp;SUM(J245:N245)&amp;" statt "&amp;I245))</f>
        <v/>
      </c>
      <c r="P245" s="21" t="n"/>
      <c r="Q245" s="21" t="n"/>
      <c r="R245" s="21" t="n"/>
      <c r="S245" s="24" t="n"/>
      <c r="T245" s="24" t="n"/>
      <c r="V245">
        <f>IF(A245="","",MONTH(A245))</f>
        <v/>
      </c>
      <c r="W245">
        <f>N(W244)+IF(AND(C245&lt;&gt;"",T245&lt;&gt;""),IF(C245=WOCHE!$B$3,1,0),0)</f>
        <v/>
      </c>
      <c r="X245">
        <f>N(X244)+IF(AND(V245&lt;&gt;"",T245&lt;&gt;""),IF(V245=MONAT!$AZ$3,1,0),0)</f>
        <v/>
      </c>
    </row>
    <row r="246">
      <c r="A246" s="19" t="n"/>
      <c r="B246" s="20">
        <f>IF(A246="","",CHOOSE(WEEKDAY(A246,2),"Mo","Di","Mi","Do","Fr","Sa","So"))</f>
        <v/>
      </c>
      <c r="C246" s="20">
        <f>IF(A246="","",INT((A246-DATE(YEAR(A246-WEEKDAY(A246-1)+4),1,3)+WEEKDAY(DATE(YEAR(A246-WEEKDAY(A246-1)+4),1,3))+5)/7))</f>
        <v/>
      </c>
      <c r="D246" s="21" t="n"/>
      <c r="E246" s="22" t="n"/>
      <c r="F246" s="23" t="n"/>
      <c r="G246" s="23" t="n"/>
      <c r="H246" s="23" t="n"/>
      <c r="I246" s="20">
        <f>IF(COUNT(F246:H246)=0,"",SUM(F246:H246))</f>
        <v/>
      </c>
      <c r="J246" s="23" t="n"/>
      <c r="K246" s="23" t="n"/>
      <c r="L246" s="23" t="n"/>
      <c r="M246" s="23" t="n"/>
      <c r="N246" s="23" t="n"/>
      <c r="O246" s="20">
        <f>IF(OR(I246="",COUNT(J246:N246)=0),"",IF(SUM(J246:N246)=I246,"✓","⚠ "&amp;SUM(J246:N246)&amp;" statt "&amp;I246))</f>
        <v/>
      </c>
      <c r="P246" s="21" t="n"/>
      <c r="Q246" s="21" t="n"/>
      <c r="R246" s="21" t="n"/>
      <c r="S246" s="24" t="n"/>
      <c r="T246" s="24" t="n"/>
      <c r="V246">
        <f>IF(A246="","",MONTH(A246))</f>
        <v/>
      </c>
      <c r="W246">
        <f>N(W245)+IF(AND(C246&lt;&gt;"",T246&lt;&gt;""),IF(C246=WOCHE!$B$3,1,0),0)</f>
        <v/>
      </c>
      <c r="X246">
        <f>N(X245)+IF(AND(V246&lt;&gt;"",T246&lt;&gt;""),IF(V246=MONAT!$AZ$3,1,0),0)</f>
        <v/>
      </c>
    </row>
    <row r="247">
      <c r="A247" s="19" t="n"/>
      <c r="B247" s="20">
        <f>IF(A247="","",CHOOSE(WEEKDAY(A247,2),"Mo","Di","Mi","Do","Fr","Sa","So"))</f>
        <v/>
      </c>
      <c r="C247" s="20">
        <f>IF(A247="","",INT((A247-DATE(YEAR(A247-WEEKDAY(A247-1)+4),1,3)+WEEKDAY(DATE(YEAR(A247-WEEKDAY(A247-1)+4),1,3))+5)/7))</f>
        <v/>
      </c>
      <c r="D247" s="21" t="n"/>
      <c r="E247" s="22" t="n"/>
      <c r="F247" s="23" t="n"/>
      <c r="G247" s="23" t="n"/>
      <c r="H247" s="23" t="n"/>
      <c r="I247" s="20">
        <f>IF(COUNT(F247:H247)=0,"",SUM(F247:H247))</f>
        <v/>
      </c>
      <c r="J247" s="23" t="n"/>
      <c r="K247" s="23" t="n"/>
      <c r="L247" s="23" t="n"/>
      <c r="M247" s="23" t="n"/>
      <c r="N247" s="23" t="n"/>
      <c r="O247" s="20">
        <f>IF(OR(I247="",COUNT(J247:N247)=0),"",IF(SUM(J247:N247)=I247,"✓","⚠ "&amp;SUM(J247:N247)&amp;" statt "&amp;I247))</f>
        <v/>
      </c>
      <c r="P247" s="21" t="n"/>
      <c r="Q247" s="21" t="n"/>
      <c r="R247" s="21" t="n"/>
      <c r="S247" s="24" t="n"/>
      <c r="T247" s="24" t="n"/>
      <c r="V247">
        <f>IF(A247="","",MONTH(A247))</f>
        <v/>
      </c>
      <c r="W247">
        <f>N(W246)+IF(AND(C247&lt;&gt;"",T247&lt;&gt;""),IF(C247=WOCHE!$B$3,1,0),0)</f>
        <v/>
      </c>
      <c r="X247">
        <f>N(X246)+IF(AND(V247&lt;&gt;"",T247&lt;&gt;""),IF(V247=MONAT!$AZ$3,1,0),0)</f>
        <v/>
      </c>
    </row>
    <row r="248">
      <c r="A248" s="19" t="n"/>
      <c r="B248" s="20">
        <f>IF(A248="","",CHOOSE(WEEKDAY(A248,2),"Mo","Di","Mi","Do","Fr","Sa","So"))</f>
        <v/>
      </c>
      <c r="C248" s="20">
        <f>IF(A248="","",INT((A248-DATE(YEAR(A248-WEEKDAY(A248-1)+4),1,3)+WEEKDAY(DATE(YEAR(A248-WEEKDAY(A248-1)+4),1,3))+5)/7))</f>
        <v/>
      </c>
      <c r="D248" s="21" t="n"/>
      <c r="E248" s="22" t="n"/>
      <c r="F248" s="23" t="n"/>
      <c r="G248" s="23" t="n"/>
      <c r="H248" s="23" t="n"/>
      <c r="I248" s="20">
        <f>IF(COUNT(F248:H248)=0,"",SUM(F248:H248))</f>
        <v/>
      </c>
      <c r="J248" s="23" t="n"/>
      <c r="K248" s="23" t="n"/>
      <c r="L248" s="23" t="n"/>
      <c r="M248" s="23" t="n"/>
      <c r="N248" s="23" t="n"/>
      <c r="O248" s="20">
        <f>IF(OR(I248="",COUNT(J248:N248)=0),"",IF(SUM(J248:N248)=I248,"✓","⚠ "&amp;SUM(J248:N248)&amp;" statt "&amp;I248))</f>
        <v/>
      </c>
      <c r="P248" s="21" t="n"/>
      <c r="Q248" s="21" t="n"/>
      <c r="R248" s="21" t="n"/>
      <c r="S248" s="24" t="n"/>
      <c r="T248" s="24" t="n"/>
      <c r="V248">
        <f>IF(A248="","",MONTH(A248))</f>
        <v/>
      </c>
      <c r="W248">
        <f>N(W247)+IF(AND(C248&lt;&gt;"",T248&lt;&gt;""),IF(C248=WOCHE!$B$3,1,0),0)</f>
        <v/>
      </c>
      <c r="X248">
        <f>N(X247)+IF(AND(V248&lt;&gt;"",T248&lt;&gt;""),IF(V248=MONAT!$AZ$3,1,0),0)</f>
        <v/>
      </c>
    </row>
    <row r="249">
      <c r="A249" s="19" t="n"/>
      <c r="B249" s="20">
        <f>IF(A249="","",CHOOSE(WEEKDAY(A249,2),"Mo","Di","Mi","Do","Fr","Sa","So"))</f>
        <v/>
      </c>
      <c r="C249" s="20">
        <f>IF(A249="","",INT((A249-DATE(YEAR(A249-WEEKDAY(A249-1)+4),1,3)+WEEKDAY(DATE(YEAR(A249-WEEKDAY(A249-1)+4),1,3))+5)/7))</f>
        <v/>
      </c>
      <c r="D249" s="21" t="n"/>
      <c r="E249" s="22" t="n"/>
      <c r="F249" s="23" t="n"/>
      <c r="G249" s="23" t="n"/>
      <c r="H249" s="23" t="n"/>
      <c r="I249" s="20">
        <f>IF(COUNT(F249:H249)=0,"",SUM(F249:H249))</f>
        <v/>
      </c>
      <c r="J249" s="23" t="n"/>
      <c r="K249" s="23" t="n"/>
      <c r="L249" s="23" t="n"/>
      <c r="M249" s="23" t="n"/>
      <c r="N249" s="23" t="n"/>
      <c r="O249" s="20">
        <f>IF(OR(I249="",COUNT(J249:N249)=0),"",IF(SUM(J249:N249)=I249,"✓","⚠ "&amp;SUM(J249:N249)&amp;" statt "&amp;I249))</f>
        <v/>
      </c>
      <c r="P249" s="21" t="n"/>
      <c r="Q249" s="21" t="n"/>
      <c r="R249" s="21" t="n"/>
      <c r="S249" s="24" t="n"/>
      <c r="T249" s="24" t="n"/>
      <c r="V249">
        <f>IF(A249="","",MONTH(A249))</f>
        <v/>
      </c>
      <c r="W249">
        <f>N(W248)+IF(AND(C249&lt;&gt;"",T249&lt;&gt;""),IF(C249=WOCHE!$B$3,1,0),0)</f>
        <v/>
      </c>
      <c r="X249">
        <f>N(X248)+IF(AND(V249&lt;&gt;"",T249&lt;&gt;""),IF(V249=MONAT!$AZ$3,1,0),0)</f>
        <v/>
      </c>
    </row>
    <row r="250">
      <c r="A250" s="19" t="n"/>
      <c r="B250" s="20">
        <f>IF(A250="","",CHOOSE(WEEKDAY(A250,2),"Mo","Di","Mi","Do","Fr","Sa","So"))</f>
        <v/>
      </c>
      <c r="C250" s="20">
        <f>IF(A250="","",INT((A250-DATE(YEAR(A250-WEEKDAY(A250-1)+4),1,3)+WEEKDAY(DATE(YEAR(A250-WEEKDAY(A250-1)+4),1,3))+5)/7))</f>
        <v/>
      </c>
      <c r="D250" s="21" t="n"/>
      <c r="E250" s="22" t="n"/>
      <c r="F250" s="23" t="n"/>
      <c r="G250" s="23" t="n"/>
      <c r="H250" s="23" t="n"/>
      <c r="I250" s="20">
        <f>IF(COUNT(F250:H250)=0,"",SUM(F250:H250))</f>
        <v/>
      </c>
      <c r="J250" s="23" t="n"/>
      <c r="K250" s="23" t="n"/>
      <c r="L250" s="23" t="n"/>
      <c r="M250" s="23" t="n"/>
      <c r="N250" s="23" t="n"/>
      <c r="O250" s="20">
        <f>IF(OR(I250="",COUNT(J250:N250)=0),"",IF(SUM(J250:N250)=I250,"✓","⚠ "&amp;SUM(J250:N250)&amp;" statt "&amp;I250))</f>
        <v/>
      </c>
      <c r="P250" s="21" t="n"/>
      <c r="Q250" s="21" t="n"/>
      <c r="R250" s="21" t="n"/>
      <c r="S250" s="24" t="n"/>
      <c r="T250" s="24" t="n"/>
      <c r="V250">
        <f>IF(A250="","",MONTH(A250))</f>
        <v/>
      </c>
      <c r="W250">
        <f>N(W249)+IF(AND(C250&lt;&gt;"",T250&lt;&gt;""),IF(C250=WOCHE!$B$3,1,0),0)</f>
        <v/>
      </c>
      <c r="X250">
        <f>N(X249)+IF(AND(V250&lt;&gt;"",T250&lt;&gt;""),IF(V250=MONAT!$AZ$3,1,0),0)</f>
        <v/>
      </c>
    </row>
    <row r="251">
      <c r="A251" s="19" t="n"/>
      <c r="B251" s="20">
        <f>IF(A251="","",CHOOSE(WEEKDAY(A251,2),"Mo","Di","Mi","Do","Fr","Sa","So"))</f>
        <v/>
      </c>
      <c r="C251" s="20">
        <f>IF(A251="","",INT((A251-DATE(YEAR(A251-WEEKDAY(A251-1)+4),1,3)+WEEKDAY(DATE(YEAR(A251-WEEKDAY(A251-1)+4),1,3))+5)/7))</f>
        <v/>
      </c>
      <c r="D251" s="21" t="n"/>
      <c r="E251" s="22" t="n"/>
      <c r="F251" s="23" t="n"/>
      <c r="G251" s="23" t="n"/>
      <c r="H251" s="23" t="n"/>
      <c r="I251" s="20">
        <f>IF(COUNT(F251:H251)=0,"",SUM(F251:H251))</f>
        <v/>
      </c>
      <c r="J251" s="23" t="n"/>
      <c r="K251" s="23" t="n"/>
      <c r="L251" s="23" t="n"/>
      <c r="M251" s="23" t="n"/>
      <c r="N251" s="23" t="n"/>
      <c r="O251" s="20">
        <f>IF(OR(I251="",COUNT(J251:N251)=0),"",IF(SUM(J251:N251)=I251,"✓","⚠ "&amp;SUM(J251:N251)&amp;" statt "&amp;I251))</f>
        <v/>
      </c>
      <c r="P251" s="21" t="n"/>
      <c r="Q251" s="21" t="n"/>
      <c r="R251" s="21" t="n"/>
      <c r="S251" s="24" t="n"/>
      <c r="T251" s="24" t="n"/>
      <c r="V251">
        <f>IF(A251="","",MONTH(A251))</f>
        <v/>
      </c>
      <c r="W251">
        <f>N(W250)+IF(AND(C251&lt;&gt;"",T251&lt;&gt;""),IF(C251=WOCHE!$B$3,1,0),0)</f>
        <v/>
      </c>
      <c r="X251">
        <f>N(X250)+IF(AND(V251&lt;&gt;"",T251&lt;&gt;""),IF(V251=MONAT!$AZ$3,1,0),0)</f>
        <v/>
      </c>
    </row>
    <row r="252">
      <c r="A252" s="19" t="n"/>
      <c r="B252" s="20">
        <f>IF(A252="","",CHOOSE(WEEKDAY(A252,2),"Mo","Di","Mi","Do","Fr","Sa","So"))</f>
        <v/>
      </c>
      <c r="C252" s="20">
        <f>IF(A252="","",INT((A252-DATE(YEAR(A252-WEEKDAY(A252-1)+4),1,3)+WEEKDAY(DATE(YEAR(A252-WEEKDAY(A252-1)+4),1,3))+5)/7))</f>
        <v/>
      </c>
      <c r="D252" s="21" t="n"/>
      <c r="E252" s="22" t="n"/>
      <c r="F252" s="23" t="n"/>
      <c r="G252" s="23" t="n"/>
      <c r="H252" s="23" t="n"/>
      <c r="I252" s="20">
        <f>IF(COUNT(F252:H252)=0,"",SUM(F252:H252))</f>
        <v/>
      </c>
      <c r="J252" s="23" t="n"/>
      <c r="K252" s="23" t="n"/>
      <c r="L252" s="23" t="n"/>
      <c r="M252" s="23" t="n"/>
      <c r="N252" s="23" t="n"/>
      <c r="O252" s="20">
        <f>IF(OR(I252="",COUNT(J252:N252)=0),"",IF(SUM(J252:N252)=I252,"✓","⚠ "&amp;SUM(J252:N252)&amp;" statt "&amp;I252))</f>
        <v/>
      </c>
      <c r="P252" s="21" t="n"/>
      <c r="Q252" s="21" t="n"/>
      <c r="R252" s="21" t="n"/>
      <c r="S252" s="24" t="n"/>
      <c r="T252" s="24" t="n"/>
      <c r="V252">
        <f>IF(A252="","",MONTH(A252))</f>
        <v/>
      </c>
      <c r="W252">
        <f>N(W251)+IF(AND(C252&lt;&gt;"",T252&lt;&gt;""),IF(C252=WOCHE!$B$3,1,0),0)</f>
        <v/>
      </c>
      <c r="X252">
        <f>N(X251)+IF(AND(V252&lt;&gt;"",T252&lt;&gt;""),IF(V252=MONAT!$AZ$3,1,0),0)</f>
        <v/>
      </c>
    </row>
    <row r="253">
      <c r="A253" s="19" t="n"/>
      <c r="B253" s="20">
        <f>IF(A253="","",CHOOSE(WEEKDAY(A253,2),"Mo","Di","Mi","Do","Fr","Sa","So"))</f>
        <v/>
      </c>
      <c r="C253" s="20">
        <f>IF(A253="","",INT((A253-DATE(YEAR(A253-WEEKDAY(A253-1)+4),1,3)+WEEKDAY(DATE(YEAR(A253-WEEKDAY(A253-1)+4),1,3))+5)/7))</f>
        <v/>
      </c>
      <c r="D253" s="21" t="n"/>
      <c r="E253" s="22" t="n"/>
      <c r="F253" s="23" t="n"/>
      <c r="G253" s="23" t="n"/>
      <c r="H253" s="23" t="n"/>
      <c r="I253" s="20">
        <f>IF(COUNT(F253:H253)=0,"",SUM(F253:H253))</f>
        <v/>
      </c>
      <c r="J253" s="23" t="n"/>
      <c r="K253" s="23" t="n"/>
      <c r="L253" s="23" t="n"/>
      <c r="M253" s="23" t="n"/>
      <c r="N253" s="23" t="n"/>
      <c r="O253" s="20">
        <f>IF(OR(I253="",COUNT(J253:N253)=0),"",IF(SUM(J253:N253)=I253,"✓","⚠ "&amp;SUM(J253:N253)&amp;" statt "&amp;I253))</f>
        <v/>
      </c>
      <c r="P253" s="21" t="n"/>
      <c r="Q253" s="21" t="n"/>
      <c r="R253" s="21" t="n"/>
      <c r="S253" s="24" t="n"/>
      <c r="T253" s="24" t="n"/>
      <c r="V253">
        <f>IF(A253="","",MONTH(A253))</f>
        <v/>
      </c>
      <c r="W253">
        <f>N(W252)+IF(AND(C253&lt;&gt;"",T253&lt;&gt;""),IF(C253=WOCHE!$B$3,1,0),0)</f>
        <v/>
      </c>
      <c r="X253">
        <f>N(X252)+IF(AND(V253&lt;&gt;"",T253&lt;&gt;""),IF(V253=MONAT!$AZ$3,1,0),0)</f>
        <v/>
      </c>
    </row>
    <row r="254">
      <c r="A254" s="19" t="n"/>
      <c r="B254" s="20">
        <f>IF(A254="","",CHOOSE(WEEKDAY(A254,2),"Mo","Di","Mi","Do","Fr","Sa","So"))</f>
        <v/>
      </c>
      <c r="C254" s="20">
        <f>IF(A254="","",INT((A254-DATE(YEAR(A254-WEEKDAY(A254-1)+4),1,3)+WEEKDAY(DATE(YEAR(A254-WEEKDAY(A254-1)+4),1,3))+5)/7))</f>
        <v/>
      </c>
      <c r="D254" s="21" t="n"/>
      <c r="E254" s="22" t="n"/>
      <c r="F254" s="23" t="n"/>
      <c r="G254" s="23" t="n"/>
      <c r="H254" s="23" t="n"/>
      <c r="I254" s="20">
        <f>IF(COUNT(F254:H254)=0,"",SUM(F254:H254))</f>
        <v/>
      </c>
      <c r="J254" s="23" t="n"/>
      <c r="K254" s="23" t="n"/>
      <c r="L254" s="23" t="n"/>
      <c r="M254" s="23" t="n"/>
      <c r="N254" s="23" t="n"/>
      <c r="O254" s="20">
        <f>IF(OR(I254="",COUNT(J254:N254)=0),"",IF(SUM(J254:N254)=I254,"✓","⚠ "&amp;SUM(J254:N254)&amp;" statt "&amp;I254))</f>
        <v/>
      </c>
      <c r="P254" s="21" t="n"/>
      <c r="Q254" s="21" t="n"/>
      <c r="R254" s="21" t="n"/>
      <c r="S254" s="24" t="n"/>
      <c r="T254" s="24" t="n"/>
      <c r="V254">
        <f>IF(A254="","",MONTH(A254))</f>
        <v/>
      </c>
      <c r="W254">
        <f>N(W253)+IF(AND(C254&lt;&gt;"",T254&lt;&gt;""),IF(C254=WOCHE!$B$3,1,0),0)</f>
        <v/>
      </c>
      <c r="X254">
        <f>N(X253)+IF(AND(V254&lt;&gt;"",T254&lt;&gt;""),IF(V254=MONAT!$AZ$3,1,0),0)</f>
        <v/>
      </c>
    </row>
    <row r="255">
      <c r="A255" s="19" t="n"/>
      <c r="B255" s="20">
        <f>IF(A255="","",CHOOSE(WEEKDAY(A255,2),"Mo","Di","Mi","Do","Fr","Sa","So"))</f>
        <v/>
      </c>
      <c r="C255" s="20">
        <f>IF(A255="","",INT((A255-DATE(YEAR(A255-WEEKDAY(A255-1)+4),1,3)+WEEKDAY(DATE(YEAR(A255-WEEKDAY(A255-1)+4),1,3))+5)/7))</f>
        <v/>
      </c>
      <c r="D255" s="21" t="n"/>
      <c r="E255" s="22" t="n"/>
      <c r="F255" s="23" t="n"/>
      <c r="G255" s="23" t="n"/>
      <c r="H255" s="23" t="n"/>
      <c r="I255" s="20">
        <f>IF(COUNT(F255:H255)=0,"",SUM(F255:H255))</f>
        <v/>
      </c>
      <c r="J255" s="23" t="n"/>
      <c r="K255" s="23" t="n"/>
      <c r="L255" s="23" t="n"/>
      <c r="M255" s="23" t="n"/>
      <c r="N255" s="23" t="n"/>
      <c r="O255" s="20">
        <f>IF(OR(I255="",COUNT(J255:N255)=0),"",IF(SUM(J255:N255)=I255,"✓","⚠ "&amp;SUM(J255:N255)&amp;" statt "&amp;I255))</f>
        <v/>
      </c>
      <c r="P255" s="21" t="n"/>
      <c r="Q255" s="21" t="n"/>
      <c r="R255" s="21" t="n"/>
      <c r="S255" s="24" t="n"/>
      <c r="T255" s="24" t="n"/>
      <c r="V255">
        <f>IF(A255="","",MONTH(A255))</f>
        <v/>
      </c>
      <c r="W255">
        <f>N(W254)+IF(AND(C255&lt;&gt;"",T255&lt;&gt;""),IF(C255=WOCHE!$B$3,1,0),0)</f>
        <v/>
      </c>
      <c r="X255">
        <f>N(X254)+IF(AND(V255&lt;&gt;"",T255&lt;&gt;""),IF(V255=MONAT!$AZ$3,1,0),0)</f>
        <v/>
      </c>
    </row>
    <row r="256">
      <c r="A256" s="19" t="n"/>
      <c r="B256" s="20">
        <f>IF(A256="","",CHOOSE(WEEKDAY(A256,2),"Mo","Di","Mi","Do","Fr","Sa","So"))</f>
        <v/>
      </c>
      <c r="C256" s="20">
        <f>IF(A256="","",INT((A256-DATE(YEAR(A256-WEEKDAY(A256-1)+4),1,3)+WEEKDAY(DATE(YEAR(A256-WEEKDAY(A256-1)+4),1,3))+5)/7))</f>
        <v/>
      </c>
      <c r="D256" s="21" t="n"/>
      <c r="E256" s="22" t="n"/>
      <c r="F256" s="23" t="n"/>
      <c r="G256" s="23" t="n"/>
      <c r="H256" s="23" t="n"/>
      <c r="I256" s="20">
        <f>IF(COUNT(F256:H256)=0,"",SUM(F256:H256))</f>
        <v/>
      </c>
      <c r="J256" s="23" t="n"/>
      <c r="K256" s="23" t="n"/>
      <c r="L256" s="23" t="n"/>
      <c r="M256" s="23" t="n"/>
      <c r="N256" s="23" t="n"/>
      <c r="O256" s="20">
        <f>IF(OR(I256="",COUNT(J256:N256)=0),"",IF(SUM(J256:N256)=I256,"✓","⚠ "&amp;SUM(J256:N256)&amp;" statt "&amp;I256))</f>
        <v/>
      </c>
      <c r="P256" s="21" t="n"/>
      <c r="Q256" s="21" t="n"/>
      <c r="R256" s="21" t="n"/>
      <c r="S256" s="24" t="n"/>
      <c r="T256" s="24" t="n"/>
      <c r="V256">
        <f>IF(A256="","",MONTH(A256))</f>
        <v/>
      </c>
      <c r="W256">
        <f>N(W255)+IF(AND(C256&lt;&gt;"",T256&lt;&gt;""),IF(C256=WOCHE!$B$3,1,0),0)</f>
        <v/>
      </c>
      <c r="X256">
        <f>N(X255)+IF(AND(V256&lt;&gt;"",T256&lt;&gt;""),IF(V256=MONAT!$AZ$3,1,0),0)</f>
        <v/>
      </c>
    </row>
    <row r="257">
      <c r="A257" s="19" t="n"/>
      <c r="B257" s="20">
        <f>IF(A257="","",CHOOSE(WEEKDAY(A257,2),"Mo","Di","Mi","Do","Fr","Sa","So"))</f>
        <v/>
      </c>
      <c r="C257" s="20">
        <f>IF(A257="","",INT((A257-DATE(YEAR(A257-WEEKDAY(A257-1)+4),1,3)+WEEKDAY(DATE(YEAR(A257-WEEKDAY(A257-1)+4),1,3))+5)/7))</f>
        <v/>
      </c>
      <c r="D257" s="21" t="n"/>
      <c r="E257" s="22" t="n"/>
      <c r="F257" s="23" t="n"/>
      <c r="G257" s="23" t="n"/>
      <c r="H257" s="23" t="n"/>
      <c r="I257" s="20">
        <f>IF(COUNT(F257:H257)=0,"",SUM(F257:H257))</f>
        <v/>
      </c>
      <c r="J257" s="23" t="n"/>
      <c r="K257" s="23" t="n"/>
      <c r="L257" s="23" t="n"/>
      <c r="M257" s="23" t="n"/>
      <c r="N257" s="23" t="n"/>
      <c r="O257" s="20">
        <f>IF(OR(I257="",COUNT(J257:N257)=0),"",IF(SUM(J257:N257)=I257,"✓","⚠ "&amp;SUM(J257:N257)&amp;" statt "&amp;I257))</f>
        <v/>
      </c>
      <c r="P257" s="21" t="n"/>
      <c r="Q257" s="21" t="n"/>
      <c r="R257" s="21" t="n"/>
      <c r="S257" s="24" t="n"/>
      <c r="T257" s="24" t="n"/>
      <c r="V257">
        <f>IF(A257="","",MONTH(A257))</f>
        <v/>
      </c>
      <c r="W257">
        <f>N(W256)+IF(AND(C257&lt;&gt;"",T257&lt;&gt;""),IF(C257=WOCHE!$B$3,1,0),0)</f>
        <v/>
      </c>
      <c r="X257">
        <f>N(X256)+IF(AND(V257&lt;&gt;"",T257&lt;&gt;""),IF(V257=MONAT!$AZ$3,1,0),0)</f>
        <v/>
      </c>
    </row>
    <row r="258">
      <c r="A258" s="19" t="n"/>
      <c r="B258" s="20">
        <f>IF(A258="","",CHOOSE(WEEKDAY(A258,2),"Mo","Di","Mi","Do","Fr","Sa","So"))</f>
        <v/>
      </c>
      <c r="C258" s="20">
        <f>IF(A258="","",INT((A258-DATE(YEAR(A258-WEEKDAY(A258-1)+4),1,3)+WEEKDAY(DATE(YEAR(A258-WEEKDAY(A258-1)+4),1,3))+5)/7))</f>
        <v/>
      </c>
      <c r="D258" s="21" t="n"/>
      <c r="E258" s="22" t="n"/>
      <c r="F258" s="23" t="n"/>
      <c r="G258" s="23" t="n"/>
      <c r="H258" s="23" t="n"/>
      <c r="I258" s="20">
        <f>IF(COUNT(F258:H258)=0,"",SUM(F258:H258))</f>
        <v/>
      </c>
      <c r="J258" s="23" t="n"/>
      <c r="K258" s="23" t="n"/>
      <c r="L258" s="23" t="n"/>
      <c r="M258" s="23" t="n"/>
      <c r="N258" s="23" t="n"/>
      <c r="O258" s="20">
        <f>IF(OR(I258="",COUNT(J258:N258)=0),"",IF(SUM(J258:N258)=I258,"✓","⚠ "&amp;SUM(J258:N258)&amp;" statt "&amp;I258))</f>
        <v/>
      </c>
      <c r="P258" s="21" t="n"/>
      <c r="Q258" s="21" t="n"/>
      <c r="R258" s="21" t="n"/>
      <c r="S258" s="24" t="n"/>
      <c r="T258" s="24" t="n"/>
      <c r="V258">
        <f>IF(A258="","",MONTH(A258))</f>
        <v/>
      </c>
      <c r="W258">
        <f>N(W257)+IF(AND(C258&lt;&gt;"",T258&lt;&gt;""),IF(C258=WOCHE!$B$3,1,0),0)</f>
        <v/>
      </c>
      <c r="X258">
        <f>N(X257)+IF(AND(V258&lt;&gt;"",T258&lt;&gt;""),IF(V258=MONAT!$AZ$3,1,0),0)</f>
        <v/>
      </c>
    </row>
    <row r="259">
      <c r="A259" s="19" t="n"/>
      <c r="B259" s="20">
        <f>IF(A259="","",CHOOSE(WEEKDAY(A259,2),"Mo","Di","Mi","Do","Fr","Sa","So"))</f>
        <v/>
      </c>
      <c r="C259" s="20">
        <f>IF(A259="","",INT((A259-DATE(YEAR(A259-WEEKDAY(A259-1)+4),1,3)+WEEKDAY(DATE(YEAR(A259-WEEKDAY(A259-1)+4),1,3))+5)/7))</f>
        <v/>
      </c>
      <c r="D259" s="21" t="n"/>
      <c r="E259" s="22" t="n"/>
      <c r="F259" s="23" t="n"/>
      <c r="G259" s="23" t="n"/>
      <c r="H259" s="23" t="n"/>
      <c r="I259" s="20">
        <f>IF(COUNT(F259:H259)=0,"",SUM(F259:H259))</f>
        <v/>
      </c>
      <c r="J259" s="23" t="n"/>
      <c r="K259" s="23" t="n"/>
      <c r="L259" s="23" t="n"/>
      <c r="M259" s="23" t="n"/>
      <c r="N259" s="23" t="n"/>
      <c r="O259" s="20">
        <f>IF(OR(I259="",COUNT(J259:N259)=0),"",IF(SUM(J259:N259)=I259,"✓","⚠ "&amp;SUM(J259:N259)&amp;" statt "&amp;I259))</f>
        <v/>
      </c>
      <c r="P259" s="21" t="n"/>
      <c r="Q259" s="21" t="n"/>
      <c r="R259" s="21" t="n"/>
      <c r="S259" s="24" t="n"/>
      <c r="T259" s="24" t="n"/>
      <c r="V259">
        <f>IF(A259="","",MONTH(A259))</f>
        <v/>
      </c>
      <c r="W259">
        <f>N(W258)+IF(AND(C259&lt;&gt;"",T259&lt;&gt;""),IF(C259=WOCHE!$B$3,1,0),0)</f>
        <v/>
      </c>
      <c r="X259">
        <f>N(X258)+IF(AND(V259&lt;&gt;"",T259&lt;&gt;""),IF(V259=MONAT!$AZ$3,1,0),0)</f>
        <v/>
      </c>
    </row>
    <row r="260">
      <c r="A260" s="19" t="n"/>
      <c r="B260" s="20">
        <f>IF(A260="","",CHOOSE(WEEKDAY(A260,2),"Mo","Di","Mi","Do","Fr","Sa","So"))</f>
        <v/>
      </c>
      <c r="C260" s="20">
        <f>IF(A260="","",INT((A260-DATE(YEAR(A260-WEEKDAY(A260-1)+4),1,3)+WEEKDAY(DATE(YEAR(A260-WEEKDAY(A260-1)+4),1,3))+5)/7))</f>
        <v/>
      </c>
      <c r="D260" s="21" t="n"/>
      <c r="E260" s="22" t="n"/>
      <c r="F260" s="23" t="n"/>
      <c r="G260" s="23" t="n"/>
      <c r="H260" s="23" t="n"/>
      <c r="I260" s="20">
        <f>IF(COUNT(F260:H260)=0,"",SUM(F260:H260))</f>
        <v/>
      </c>
      <c r="J260" s="23" t="n"/>
      <c r="K260" s="23" t="n"/>
      <c r="L260" s="23" t="n"/>
      <c r="M260" s="23" t="n"/>
      <c r="N260" s="23" t="n"/>
      <c r="O260" s="20">
        <f>IF(OR(I260="",COUNT(J260:N260)=0),"",IF(SUM(J260:N260)=I260,"✓","⚠ "&amp;SUM(J260:N260)&amp;" statt "&amp;I260))</f>
        <v/>
      </c>
      <c r="P260" s="21" t="n"/>
      <c r="Q260" s="21" t="n"/>
      <c r="R260" s="21" t="n"/>
      <c r="S260" s="24" t="n"/>
      <c r="T260" s="24" t="n"/>
      <c r="V260">
        <f>IF(A260="","",MONTH(A260))</f>
        <v/>
      </c>
      <c r="W260">
        <f>N(W259)+IF(AND(C260&lt;&gt;"",T260&lt;&gt;""),IF(C260=WOCHE!$B$3,1,0),0)</f>
        <v/>
      </c>
      <c r="X260">
        <f>N(X259)+IF(AND(V260&lt;&gt;"",T260&lt;&gt;""),IF(V260=MONAT!$AZ$3,1,0),0)</f>
        <v/>
      </c>
    </row>
    <row r="261">
      <c r="A261" s="19" t="n"/>
      <c r="B261" s="20">
        <f>IF(A261="","",CHOOSE(WEEKDAY(A261,2),"Mo","Di","Mi","Do","Fr","Sa","So"))</f>
        <v/>
      </c>
      <c r="C261" s="20">
        <f>IF(A261="","",INT((A261-DATE(YEAR(A261-WEEKDAY(A261-1)+4),1,3)+WEEKDAY(DATE(YEAR(A261-WEEKDAY(A261-1)+4),1,3))+5)/7))</f>
        <v/>
      </c>
      <c r="D261" s="21" t="n"/>
      <c r="E261" s="22" t="n"/>
      <c r="F261" s="23" t="n"/>
      <c r="G261" s="23" t="n"/>
      <c r="H261" s="23" t="n"/>
      <c r="I261" s="20">
        <f>IF(COUNT(F261:H261)=0,"",SUM(F261:H261))</f>
        <v/>
      </c>
      <c r="J261" s="23" t="n"/>
      <c r="K261" s="23" t="n"/>
      <c r="L261" s="23" t="n"/>
      <c r="M261" s="23" t="n"/>
      <c r="N261" s="23" t="n"/>
      <c r="O261" s="20">
        <f>IF(OR(I261="",COUNT(J261:N261)=0),"",IF(SUM(J261:N261)=I261,"✓","⚠ "&amp;SUM(J261:N261)&amp;" statt "&amp;I261))</f>
        <v/>
      </c>
      <c r="P261" s="21" t="n"/>
      <c r="Q261" s="21" t="n"/>
      <c r="R261" s="21" t="n"/>
      <c r="S261" s="24" t="n"/>
      <c r="T261" s="24" t="n"/>
      <c r="V261">
        <f>IF(A261="","",MONTH(A261))</f>
        <v/>
      </c>
      <c r="W261">
        <f>N(W260)+IF(AND(C261&lt;&gt;"",T261&lt;&gt;""),IF(C261=WOCHE!$B$3,1,0),0)</f>
        <v/>
      </c>
      <c r="X261">
        <f>N(X260)+IF(AND(V261&lt;&gt;"",T261&lt;&gt;""),IF(V261=MONAT!$AZ$3,1,0),0)</f>
        <v/>
      </c>
    </row>
    <row r="262">
      <c r="A262" s="19" t="n"/>
      <c r="B262" s="20">
        <f>IF(A262="","",CHOOSE(WEEKDAY(A262,2),"Mo","Di","Mi","Do","Fr","Sa","So"))</f>
        <v/>
      </c>
      <c r="C262" s="20">
        <f>IF(A262="","",INT((A262-DATE(YEAR(A262-WEEKDAY(A262-1)+4),1,3)+WEEKDAY(DATE(YEAR(A262-WEEKDAY(A262-1)+4),1,3))+5)/7))</f>
        <v/>
      </c>
      <c r="D262" s="21" t="n"/>
      <c r="E262" s="22" t="n"/>
      <c r="F262" s="23" t="n"/>
      <c r="G262" s="23" t="n"/>
      <c r="H262" s="23" t="n"/>
      <c r="I262" s="20">
        <f>IF(COUNT(F262:H262)=0,"",SUM(F262:H262))</f>
        <v/>
      </c>
      <c r="J262" s="23" t="n"/>
      <c r="K262" s="23" t="n"/>
      <c r="L262" s="23" t="n"/>
      <c r="M262" s="23" t="n"/>
      <c r="N262" s="23" t="n"/>
      <c r="O262" s="20">
        <f>IF(OR(I262="",COUNT(J262:N262)=0),"",IF(SUM(J262:N262)=I262,"✓","⚠ "&amp;SUM(J262:N262)&amp;" statt "&amp;I262))</f>
        <v/>
      </c>
      <c r="P262" s="21" t="n"/>
      <c r="Q262" s="21" t="n"/>
      <c r="R262" s="21" t="n"/>
      <c r="S262" s="24" t="n"/>
      <c r="T262" s="24" t="n"/>
      <c r="V262">
        <f>IF(A262="","",MONTH(A262))</f>
        <v/>
      </c>
      <c r="W262">
        <f>N(W261)+IF(AND(C262&lt;&gt;"",T262&lt;&gt;""),IF(C262=WOCHE!$B$3,1,0),0)</f>
        <v/>
      </c>
      <c r="X262">
        <f>N(X261)+IF(AND(V262&lt;&gt;"",T262&lt;&gt;""),IF(V262=MONAT!$AZ$3,1,0),0)</f>
        <v/>
      </c>
    </row>
    <row r="263">
      <c r="A263" s="19" t="n"/>
      <c r="B263" s="20">
        <f>IF(A263="","",CHOOSE(WEEKDAY(A263,2),"Mo","Di","Mi","Do","Fr","Sa","So"))</f>
        <v/>
      </c>
      <c r="C263" s="20">
        <f>IF(A263="","",INT((A263-DATE(YEAR(A263-WEEKDAY(A263-1)+4),1,3)+WEEKDAY(DATE(YEAR(A263-WEEKDAY(A263-1)+4),1,3))+5)/7))</f>
        <v/>
      </c>
      <c r="D263" s="21" t="n"/>
      <c r="E263" s="22" t="n"/>
      <c r="F263" s="23" t="n"/>
      <c r="G263" s="23" t="n"/>
      <c r="H263" s="23" t="n"/>
      <c r="I263" s="20">
        <f>IF(COUNT(F263:H263)=0,"",SUM(F263:H263))</f>
        <v/>
      </c>
      <c r="J263" s="23" t="n"/>
      <c r="K263" s="23" t="n"/>
      <c r="L263" s="23" t="n"/>
      <c r="M263" s="23" t="n"/>
      <c r="N263" s="23" t="n"/>
      <c r="O263" s="20">
        <f>IF(OR(I263="",COUNT(J263:N263)=0),"",IF(SUM(J263:N263)=I263,"✓","⚠ "&amp;SUM(J263:N263)&amp;" statt "&amp;I263))</f>
        <v/>
      </c>
      <c r="P263" s="21" t="n"/>
      <c r="Q263" s="21" t="n"/>
      <c r="R263" s="21" t="n"/>
      <c r="S263" s="24" t="n"/>
      <c r="T263" s="24" t="n"/>
      <c r="V263">
        <f>IF(A263="","",MONTH(A263))</f>
        <v/>
      </c>
      <c r="W263">
        <f>N(W262)+IF(AND(C263&lt;&gt;"",T263&lt;&gt;""),IF(C263=WOCHE!$B$3,1,0),0)</f>
        <v/>
      </c>
      <c r="X263">
        <f>N(X262)+IF(AND(V263&lt;&gt;"",T263&lt;&gt;""),IF(V263=MONAT!$AZ$3,1,0),0)</f>
        <v/>
      </c>
    </row>
    <row r="264">
      <c r="A264" s="19" t="n"/>
      <c r="B264" s="20">
        <f>IF(A264="","",CHOOSE(WEEKDAY(A264,2),"Mo","Di","Mi","Do","Fr","Sa","So"))</f>
        <v/>
      </c>
      <c r="C264" s="20">
        <f>IF(A264="","",INT((A264-DATE(YEAR(A264-WEEKDAY(A264-1)+4),1,3)+WEEKDAY(DATE(YEAR(A264-WEEKDAY(A264-1)+4),1,3))+5)/7))</f>
        <v/>
      </c>
      <c r="D264" s="21" t="n"/>
      <c r="E264" s="22" t="n"/>
      <c r="F264" s="23" t="n"/>
      <c r="G264" s="23" t="n"/>
      <c r="H264" s="23" t="n"/>
      <c r="I264" s="20">
        <f>IF(COUNT(F264:H264)=0,"",SUM(F264:H264))</f>
        <v/>
      </c>
      <c r="J264" s="23" t="n"/>
      <c r="K264" s="23" t="n"/>
      <c r="L264" s="23" t="n"/>
      <c r="M264" s="23" t="n"/>
      <c r="N264" s="23" t="n"/>
      <c r="O264" s="20">
        <f>IF(OR(I264="",COUNT(J264:N264)=0),"",IF(SUM(J264:N264)=I264,"✓","⚠ "&amp;SUM(J264:N264)&amp;" statt "&amp;I264))</f>
        <v/>
      </c>
      <c r="P264" s="21" t="n"/>
      <c r="Q264" s="21" t="n"/>
      <c r="R264" s="21" t="n"/>
      <c r="S264" s="24" t="n"/>
      <c r="T264" s="24" t="n"/>
      <c r="V264">
        <f>IF(A264="","",MONTH(A264))</f>
        <v/>
      </c>
      <c r="W264">
        <f>N(W263)+IF(AND(C264&lt;&gt;"",T264&lt;&gt;""),IF(C264=WOCHE!$B$3,1,0),0)</f>
        <v/>
      </c>
      <c r="X264">
        <f>N(X263)+IF(AND(V264&lt;&gt;"",T264&lt;&gt;""),IF(V264=MONAT!$AZ$3,1,0),0)</f>
        <v/>
      </c>
    </row>
    <row r="265">
      <c r="A265" s="19" t="n"/>
      <c r="B265" s="20">
        <f>IF(A265="","",CHOOSE(WEEKDAY(A265,2),"Mo","Di","Mi","Do","Fr","Sa","So"))</f>
        <v/>
      </c>
      <c r="C265" s="20">
        <f>IF(A265="","",INT((A265-DATE(YEAR(A265-WEEKDAY(A265-1)+4),1,3)+WEEKDAY(DATE(YEAR(A265-WEEKDAY(A265-1)+4),1,3))+5)/7))</f>
        <v/>
      </c>
      <c r="D265" s="21" t="n"/>
      <c r="E265" s="22" t="n"/>
      <c r="F265" s="23" t="n"/>
      <c r="G265" s="23" t="n"/>
      <c r="H265" s="23" t="n"/>
      <c r="I265" s="20">
        <f>IF(COUNT(F265:H265)=0,"",SUM(F265:H265))</f>
        <v/>
      </c>
      <c r="J265" s="23" t="n"/>
      <c r="K265" s="23" t="n"/>
      <c r="L265" s="23" t="n"/>
      <c r="M265" s="23" t="n"/>
      <c r="N265" s="23" t="n"/>
      <c r="O265" s="20">
        <f>IF(OR(I265="",COUNT(J265:N265)=0),"",IF(SUM(J265:N265)=I265,"✓","⚠ "&amp;SUM(J265:N265)&amp;" statt "&amp;I265))</f>
        <v/>
      </c>
      <c r="P265" s="21" t="n"/>
      <c r="Q265" s="21" t="n"/>
      <c r="R265" s="21" t="n"/>
      <c r="S265" s="24" t="n"/>
      <c r="T265" s="24" t="n"/>
      <c r="V265">
        <f>IF(A265="","",MONTH(A265))</f>
        <v/>
      </c>
      <c r="W265">
        <f>N(W264)+IF(AND(C265&lt;&gt;"",T265&lt;&gt;""),IF(C265=WOCHE!$B$3,1,0),0)</f>
        <v/>
      </c>
      <c r="X265">
        <f>N(X264)+IF(AND(V265&lt;&gt;"",T265&lt;&gt;""),IF(V265=MONAT!$AZ$3,1,0),0)</f>
        <v/>
      </c>
    </row>
    <row r="266">
      <c r="A266" s="19" t="n"/>
      <c r="B266" s="20">
        <f>IF(A266="","",CHOOSE(WEEKDAY(A266,2),"Mo","Di","Mi","Do","Fr","Sa","So"))</f>
        <v/>
      </c>
      <c r="C266" s="20">
        <f>IF(A266="","",INT((A266-DATE(YEAR(A266-WEEKDAY(A266-1)+4),1,3)+WEEKDAY(DATE(YEAR(A266-WEEKDAY(A266-1)+4),1,3))+5)/7))</f>
        <v/>
      </c>
      <c r="D266" s="21" t="n"/>
      <c r="E266" s="22" t="n"/>
      <c r="F266" s="23" t="n"/>
      <c r="G266" s="23" t="n"/>
      <c r="H266" s="23" t="n"/>
      <c r="I266" s="20">
        <f>IF(COUNT(F266:H266)=0,"",SUM(F266:H266))</f>
        <v/>
      </c>
      <c r="J266" s="23" t="n"/>
      <c r="K266" s="23" t="n"/>
      <c r="L266" s="23" t="n"/>
      <c r="M266" s="23" t="n"/>
      <c r="N266" s="23" t="n"/>
      <c r="O266" s="20">
        <f>IF(OR(I266="",COUNT(J266:N266)=0),"",IF(SUM(J266:N266)=I266,"✓","⚠ "&amp;SUM(J266:N266)&amp;" statt "&amp;I266))</f>
        <v/>
      </c>
      <c r="P266" s="21" t="n"/>
      <c r="Q266" s="21" t="n"/>
      <c r="R266" s="21" t="n"/>
      <c r="S266" s="24" t="n"/>
      <c r="T266" s="24" t="n"/>
      <c r="V266">
        <f>IF(A266="","",MONTH(A266))</f>
        <v/>
      </c>
      <c r="W266">
        <f>N(W265)+IF(AND(C266&lt;&gt;"",T266&lt;&gt;""),IF(C266=WOCHE!$B$3,1,0),0)</f>
        <v/>
      </c>
      <c r="X266">
        <f>N(X265)+IF(AND(V266&lt;&gt;"",T266&lt;&gt;""),IF(V266=MONAT!$AZ$3,1,0),0)</f>
        <v/>
      </c>
    </row>
    <row r="267">
      <c r="A267" s="19" t="n"/>
      <c r="B267" s="20">
        <f>IF(A267="","",CHOOSE(WEEKDAY(A267,2),"Mo","Di","Mi","Do","Fr","Sa","So"))</f>
        <v/>
      </c>
      <c r="C267" s="20">
        <f>IF(A267="","",INT((A267-DATE(YEAR(A267-WEEKDAY(A267-1)+4),1,3)+WEEKDAY(DATE(YEAR(A267-WEEKDAY(A267-1)+4),1,3))+5)/7))</f>
        <v/>
      </c>
      <c r="D267" s="21" t="n"/>
      <c r="E267" s="22" t="n"/>
      <c r="F267" s="23" t="n"/>
      <c r="G267" s="23" t="n"/>
      <c r="H267" s="23" t="n"/>
      <c r="I267" s="20">
        <f>IF(COUNT(F267:H267)=0,"",SUM(F267:H267))</f>
        <v/>
      </c>
      <c r="J267" s="23" t="n"/>
      <c r="K267" s="23" t="n"/>
      <c r="L267" s="23" t="n"/>
      <c r="M267" s="23" t="n"/>
      <c r="N267" s="23" t="n"/>
      <c r="O267" s="20">
        <f>IF(OR(I267="",COUNT(J267:N267)=0),"",IF(SUM(J267:N267)=I267,"✓","⚠ "&amp;SUM(J267:N267)&amp;" statt "&amp;I267))</f>
        <v/>
      </c>
      <c r="P267" s="21" t="n"/>
      <c r="Q267" s="21" t="n"/>
      <c r="R267" s="21" t="n"/>
      <c r="S267" s="24" t="n"/>
      <c r="T267" s="24" t="n"/>
      <c r="V267">
        <f>IF(A267="","",MONTH(A267))</f>
        <v/>
      </c>
      <c r="W267">
        <f>N(W266)+IF(AND(C267&lt;&gt;"",T267&lt;&gt;""),IF(C267=WOCHE!$B$3,1,0),0)</f>
        <v/>
      </c>
      <c r="X267">
        <f>N(X266)+IF(AND(V267&lt;&gt;"",T267&lt;&gt;""),IF(V267=MONAT!$AZ$3,1,0),0)</f>
        <v/>
      </c>
    </row>
    <row r="268">
      <c r="A268" s="19" t="n"/>
      <c r="B268" s="20">
        <f>IF(A268="","",CHOOSE(WEEKDAY(A268,2),"Mo","Di","Mi","Do","Fr","Sa","So"))</f>
        <v/>
      </c>
      <c r="C268" s="20">
        <f>IF(A268="","",INT((A268-DATE(YEAR(A268-WEEKDAY(A268-1)+4),1,3)+WEEKDAY(DATE(YEAR(A268-WEEKDAY(A268-1)+4),1,3))+5)/7))</f>
        <v/>
      </c>
      <c r="D268" s="21" t="n"/>
      <c r="E268" s="22" t="n"/>
      <c r="F268" s="23" t="n"/>
      <c r="G268" s="23" t="n"/>
      <c r="H268" s="23" t="n"/>
      <c r="I268" s="20">
        <f>IF(COUNT(F268:H268)=0,"",SUM(F268:H268))</f>
        <v/>
      </c>
      <c r="J268" s="23" t="n"/>
      <c r="K268" s="23" t="n"/>
      <c r="L268" s="23" t="n"/>
      <c r="M268" s="23" t="n"/>
      <c r="N268" s="23" t="n"/>
      <c r="O268" s="20">
        <f>IF(OR(I268="",COUNT(J268:N268)=0),"",IF(SUM(J268:N268)=I268,"✓","⚠ "&amp;SUM(J268:N268)&amp;" statt "&amp;I268))</f>
        <v/>
      </c>
      <c r="P268" s="21" t="n"/>
      <c r="Q268" s="21" t="n"/>
      <c r="R268" s="21" t="n"/>
      <c r="S268" s="24" t="n"/>
      <c r="T268" s="24" t="n"/>
      <c r="V268">
        <f>IF(A268="","",MONTH(A268))</f>
        <v/>
      </c>
      <c r="W268">
        <f>N(W267)+IF(AND(C268&lt;&gt;"",T268&lt;&gt;""),IF(C268=WOCHE!$B$3,1,0),0)</f>
        <v/>
      </c>
      <c r="X268">
        <f>N(X267)+IF(AND(V268&lt;&gt;"",T268&lt;&gt;""),IF(V268=MONAT!$AZ$3,1,0),0)</f>
        <v/>
      </c>
    </row>
    <row r="269">
      <c r="A269" s="19" t="n"/>
      <c r="B269" s="20">
        <f>IF(A269="","",CHOOSE(WEEKDAY(A269,2),"Mo","Di","Mi","Do","Fr","Sa","So"))</f>
        <v/>
      </c>
      <c r="C269" s="20">
        <f>IF(A269="","",INT((A269-DATE(YEAR(A269-WEEKDAY(A269-1)+4),1,3)+WEEKDAY(DATE(YEAR(A269-WEEKDAY(A269-1)+4),1,3))+5)/7))</f>
        <v/>
      </c>
      <c r="D269" s="21" t="n"/>
      <c r="E269" s="22" t="n"/>
      <c r="F269" s="23" t="n"/>
      <c r="G269" s="23" t="n"/>
      <c r="H269" s="23" t="n"/>
      <c r="I269" s="20">
        <f>IF(COUNT(F269:H269)=0,"",SUM(F269:H269))</f>
        <v/>
      </c>
      <c r="J269" s="23" t="n"/>
      <c r="K269" s="23" t="n"/>
      <c r="L269" s="23" t="n"/>
      <c r="M269" s="23" t="n"/>
      <c r="N269" s="23" t="n"/>
      <c r="O269" s="20">
        <f>IF(OR(I269="",COUNT(J269:N269)=0),"",IF(SUM(J269:N269)=I269,"✓","⚠ "&amp;SUM(J269:N269)&amp;" statt "&amp;I269))</f>
        <v/>
      </c>
      <c r="P269" s="21" t="n"/>
      <c r="Q269" s="21" t="n"/>
      <c r="R269" s="21" t="n"/>
      <c r="S269" s="24" t="n"/>
      <c r="T269" s="24" t="n"/>
      <c r="V269">
        <f>IF(A269="","",MONTH(A269))</f>
        <v/>
      </c>
      <c r="W269">
        <f>N(W268)+IF(AND(C269&lt;&gt;"",T269&lt;&gt;""),IF(C269=WOCHE!$B$3,1,0),0)</f>
        <v/>
      </c>
      <c r="X269">
        <f>N(X268)+IF(AND(V269&lt;&gt;"",T269&lt;&gt;""),IF(V269=MONAT!$AZ$3,1,0),0)</f>
        <v/>
      </c>
    </row>
    <row r="270">
      <c r="A270" s="19" t="n"/>
      <c r="B270" s="20">
        <f>IF(A270="","",CHOOSE(WEEKDAY(A270,2),"Mo","Di","Mi","Do","Fr","Sa","So"))</f>
        <v/>
      </c>
      <c r="C270" s="20">
        <f>IF(A270="","",INT((A270-DATE(YEAR(A270-WEEKDAY(A270-1)+4),1,3)+WEEKDAY(DATE(YEAR(A270-WEEKDAY(A270-1)+4),1,3))+5)/7))</f>
        <v/>
      </c>
      <c r="D270" s="21" t="n"/>
      <c r="E270" s="22" t="n"/>
      <c r="F270" s="23" t="n"/>
      <c r="G270" s="23" t="n"/>
      <c r="H270" s="23" t="n"/>
      <c r="I270" s="20">
        <f>IF(COUNT(F270:H270)=0,"",SUM(F270:H270))</f>
        <v/>
      </c>
      <c r="J270" s="23" t="n"/>
      <c r="K270" s="23" t="n"/>
      <c r="L270" s="23" t="n"/>
      <c r="M270" s="23" t="n"/>
      <c r="N270" s="23" t="n"/>
      <c r="O270" s="20">
        <f>IF(OR(I270="",COUNT(J270:N270)=0),"",IF(SUM(J270:N270)=I270,"✓","⚠ "&amp;SUM(J270:N270)&amp;" statt "&amp;I270))</f>
        <v/>
      </c>
      <c r="P270" s="21" t="n"/>
      <c r="Q270" s="21" t="n"/>
      <c r="R270" s="21" t="n"/>
      <c r="S270" s="24" t="n"/>
      <c r="T270" s="24" t="n"/>
      <c r="V270">
        <f>IF(A270="","",MONTH(A270))</f>
        <v/>
      </c>
      <c r="W270">
        <f>N(W269)+IF(AND(C270&lt;&gt;"",T270&lt;&gt;""),IF(C270=WOCHE!$B$3,1,0),0)</f>
        <v/>
      </c>
      <c r="X270">
        <f>N(X269)+IF(AND(V270&lt;&gt;"",T270&lt;&gt;""),IF(V270=MONAT!$AZ$3,1,0),0)</f>
        <v/>
      </c>
    </row>
    <row r="271">
      <c r="A271" s="19" t="n"/>
      <c r="B271" s="20">
        <f>IF(A271="","",CHOOSE(WEEKDAY(A271,2),"Mo","Di","Mi","Do","Fr","Sa","So"))</f>
        <v/>
      </c>
      <c r="C271" s="20">
        <f>IF(A271="","",INT((A271-DATE(YEAR(A271-WEEKDAY(A271-1)+4),1,3)+WEEKDAY(DATE(YEAR(A271-WEEKDAY(A271-1)+4),1,3))+5)/7))</f>
        <v/>
      </c>
      <c r="D271" s="21" t="n"/>
      <c r="E271" s="22" t="n"/>
      <c r="F271" s="23" t="n"/>
      <c r="G271" s="23" t="n"/>
      <c r="H271" s="23" t="n"/>
      <c r="I271" s="20">
        <f>IF(COUNT(F271:H271)=0,"",SUM(F271:H271))</f>
        <v/>
      </c>
      <c r="J271" s="23" t="n"/>
      <c r="K271" s="23" t="n"/>
      <c r="L271" s="23" t="n"/>
      <c r="M271" s="23" t="n"/>
      <c r="N271" s="23" t="n"/>
      <c r="O271" s="20">
        <f>IF(OR(I271="",COUNT(J271:N271)=0),"",IF(SUM(J271:N271)=I271,"✓","⚠ "&amp;SUM(J271:N271)&amp;" statt "&amp;I271))</f>
        <v/>
      </c>
      <c r="P271" s="21" t="n"/>
      <c r="Q271" s="21" t="n"/>
      <c r="R271" s="21" t="n"/>
      <c r="S271" s="24" t="n"/>
      <c r="T271" s="24" t="n"/>
      <c r="V271">
        <f>IF(A271="","",MONTH(A271))</f>
        <v/>
      </c>
      <c r="W271">
        <f>N(W270)+IF(AND(C271&lt;&gt;"",T271&lt;&gt;""),IF(C271=WOCHE!$B$3,1,0),0)</f>
        <v/>
      </c>
      <c r="X271">
        <f>N(X270)+IF(AND(V271&lt;&gt;"",T271&lt;&gt;""),IF(V271=MONAT!$AZ$3,1,0),0)</f>
        <v/>
      </c>
    </row>
    <row r="272">
      <c r="A272" s="19" t="n"/>
      <c r="B272" s="20">
        <f>IF(A272="","",CHOOSE(WEEKDAY(A272,2),"Mo","Di","Mi","Do","Fr","Sa","So"))</f>
        <v/>
      </c>
      <c r="C272" s="20">
        <f>IF(A272="","",INT((A272-DATE(YEAR(A272-WEEKDAY(A272-1)+4),1,3)+WEEKDAY(DATE(YEAR(A272-WEEKDAY(A272-1)+4),1,3))+5)/7))</f>
        <v/>
      </c>
      <c r="D272" s="21" t="n"/>
      <c r="E272" s="22" t="n"/>
      <c r="F272" s="23" t="n"/>
      <c r="G272" s="23" t="n"/>
      <c r="H272" s="23" t="n"/>
      <c r="I272" s="20">
        <f>IF(COUNT(F272:H272)=0,"",SUM(F272:H272))</f>
        <v/>
      </c>
      <c r="J272" s="23" t="n"/>
      <c r="K272" s="23" t="n"/>
      <c r="L272" s="23" t="n"/>
      <c r="M272" s="23" t="n"/>
      <c r="N272" s="23" t="n"/>
      <c r="O272" s="20">
        <f>IF(OR(I272="",COUNT(J272:N272)=0),"",IF(SUM(J272:N272)=I272,"✓","⚠ "&amp;SUM(J272:N272)&amp;" statt "&amp;I272))</f>
        <v/>
      </c>
      <c r="P272" s="21" t="n"/>
      <c r="Q272" s="21" t="n"/>
      <c r="R272" s="21" t="n"/>
      <c r="S272" s="24" t="n"/>
      <c r="T272" s="24" t="n"/>
      <c r="V272">
        <f>IF(A272="","",MONTH(A272))</f>
        <v/>
      </c>
      <c r="W272">
        <f>N(W271)+IF(AND(C272&lt;&gt;"",T272&lt;&gt;""),IF(C272=WOCHE!$B$3,1,0),0)</f>
        <v/>
      </c>
      <c r="X272">
        <f>N(X271)+IF(AND(V272&lt;&gt;"",T272&lt;&gt;""),IF(V272=MONAT!$AZ$3,1,0),0)</f>
        <v/>
      </c>
    </row>
    <row r="273">
      <c r="A273" s="19" t="n"/>
      <c r="B273" s="20">
        <f>IF(A273="","",CHOOSE(WEEKDAY(A273,2),"Mo","Di","Mi","Do","Fr","Sa","So"))</f>
        <v/>
      </c>
      <c r="C273" s="20">
        <f>IF(A273="","",INT((A273-DATE(YEAR(A273-WEEKDAY(A273-1)+4),1,3)+WEEKDAY(DATE(YEAR(A273-WEEKDAY(A273-1)+4),1,3))+5)/7))</f>
        <v/>
      </c>
      <c r="D273" s="21" t="n"/>
      <c r="E273" s="22" t="n"/>
      <c r="F273" s="23" t="n"/>
      <c r="G273" s="23" t="n"/>
      <c r="H273" s="23" t="n"/>
      <c r="I273" s="20">
        <f>IF(COUNT(F273:H273)=0,"",SUM(F273:H273))</f>
        <v/>
      </c>
      <c r="J273" s="23" t="n"/>
      <c r="K273" s="23" t="n"/>
      <c r="L273" s="23" t="n"/>
      <c r="M273" s="23" t="n"/>
      <c r="N273" s="23" t="n"/>
      <c r="O273" s="20">
        <f>IF(OR(I273="",COUNT(J273:N273)=0),"",IF(SUM(J273:N273)=I273,"✓","⚠ "&amp;SUM(J273:N273)&amp;" statt "&amp;I273))</f>
        <v/>
      </c>
      <c r="P273" s="21" t="n"/>
      <c r="Q273" s="21" t="n"/>
      <c r="R273" s="21" t="n"/>
      <c r="S273" s="24" t="n"/>
      <c r="T273" s="24" t="n"/>
      <c r="V273">
        <f>IF(A273="","",MONTH(A273))</f>
        <v/>
      </c>
      <c r="W273">
        <f>N(W272)+IF(AND(C273&lt;&gt;"",T273&lt;&gt;""),IF(C273=WOCHE!$B$3,1,0),0)</f>
        <v/>
      </c>
      <c r="X273">
        <f>N(X272)+IF(AND(V273&lt;&gt;"",T273&lt;&gt;""),IF(V273=MONAT!$AZ$3,1,0),0)</f>
        <v/>
      </c>
    </row>
    <row r="274">
      <c r="A274" s="19" t="n"/>
      <c r="B274" s="20">
        <f>IF(A274="","",CHOOSE(WEEKDAY(A274,2),"Mo","Di","Mi","Do","Fr","Sa","So"))</f>
        <v/>
      </c>
      <c r="C274" s="20">
        <f>IF(A274="","",INT((A274-DATE(YEAR(A274-WEEKDAY(A274-1)+4),1,3)+WEEKDAY(DATE(YEAR(A274-WEEKDAY(A274-1)+4),1,3))+5)/7))</f>
        <v/>
      </c>
      <c r="D274" s="21" t="n"/>
      <c r="E274" s="22" t="n"/>
      <c r="F274" s="23" t="n"/>
      <c r="G274" s="23" t="n"/>
      <c r="H274" s="23" t="n"/>
      <c r="I274" s="20">
        <f>IF(COUNT(F274:H274)=0,"",SUM(F274:H274))</f>
        <v/>
      </c>
      <c r="J274" s="23" t="n"/>
      <c r="K274" s="23" t="n"/>
      <c r="L274" s="23" t="n"/>
      <c r="M274" s="23" t="n"/>
      <c r="N274" s="23" t="n"/>
      <c r="O274" s="20">
        <f>IF(OR(I274="",COUNT(J274:N274)=0),"",IF(SUM(J274:N274)=I274,"✓","⚠ "&amp;SUM(J274:N274)&amp;" statt "&amp;I274))</f>
        <v/>
      </c>
      <c r="P274" s="21" t="n"/>
      <c r="Q274" s="21" t="n"/>
      <c r="R274" s="21" t="n"/>
      <c r="S274" s="24" t="n"/>
      <c r="T274" s="24" t="n"/>
      <c r="V274">
        <f>IF(A274="","",MONTH(A274))</f>
        <v/>
      </c>
      <c r="W274">
        <f>N(W273)+IF(AND(C274&lt;&gt;"",T274&lt;&gt;""),IF(C274=WOCHE!$B$3,1,0),0)</f>
        <v/>
      </c>
      <c r="X274">
        <f>N(X273)+IF(AND(V274&lt;&gt;"",T274&lt;&gt;""),IF(V274=MONAT!$AZ$3,1,0),0)</f>
        <v/>
      </c>
    </row>
    <row r="275">
      <c r="A275" s="19" t="n"/>
      <c r="B275" s="20">
        <f>IF(A275="","",CHOOSE(WEEKDAY(A275,2),"Mo","Di","Mi","Do","Fr","Sa","So"))</f>
        <v/>
      </c>
      <c r="C275" s="20">
        <f>IF(A275="","",INT((A275-DATE(YEAR(A275-WEEKDAY(A275-1)+4),1,3)+WEEKDAY(DATE(YEAR(A275-WEEKDAY(A275-1)+4),1,3))+5)/7))</f>
        <v/>
      </c>
      <c r="D275" s="21" t="n"/>
      <c r="E275" s="22" t="n"/>
      <c r="F275" s="23" t="n"/>
      <c r="G275" s="23" t="n"/>
      <c r="H275" s="23" t="n"/>
      <c r="I275" s="20">
        <f>IF(COUNT(F275:H275)=0,"",SUM(F275:H275))</f>
        <v/>
      </c>
      <c r="J275" s="23" t="n"/>
      <c r="K275" s="23" t="n"/>
      <c r="L275" s="23" t="n"/>
      <c r="M275" s="23" t="n"/>
      <c r="N275" s="23" t="n"/>
      <c r="O275" s="20">
        <f>IF(OR(I275="",COUNT(J275:N275)=0),"",IF(SUM(J275:N275)=I275,"✓","⚠ "&amp;SUM(J275:N275)&amp;" statt "&amp;I275))</f>
        <v/>
      </c>
      <c r="P275" s="21" t="n"/>
      <c r="Q275" s="21" t="n"/>
      <c r="R275" s="21" t="n"/>
      <c r="S275" s="24" t="n"/>
      <c r="T275" s="24" t="n"/>
      <c r="V275">
        <f>IF(A275="","",MONTH(A275))</f>
        <v/>
      </c>
      <c r="W275">
        <f>N(W274)+IF(AND(C275&lt;&gt;"",T275&lt;&gt;""),IF(C275=WOCHE!$B$3,1,0),0)</f>
        <v/>
      </c>
      <c r="X275">
        <f>N(X274)+IF(AND(V275&lt;&gt;"",T275&lt;&gt;""),IF(V275=MONAT!$AZ$3,1,0),0)</f>
        <v/>
      </c>
    </row>
    <row r="276">
      <c r="A276" s="19" t="n"/>
      <c r="B276" s="20">
        <f>IF(A276="","",CHOOSE(WEEKDAY(A276,2),"Mo","Di","Mi","Do","Fr","Sa","So"))</f>
        <v/>
      </c>
      <c r="C276" s="20">
        <f>IF(A276="","",INT((A276-DATE(YEAR(A276-WEEKDAY(A276-1)+4),1,3)+WEEKDAY(DATE(YEAR(A276-WEEKDAY(A276-1)+4),1,3))+5)/7))</f>
        <v/>
      </c>
      <c r="D276" s="21" t="n"/>
      <c r="E276" s="22" t="n"/>
      <c r="F276" s="23" t="n"/>
      <c r="G276" s="23" t="n"/>
      <c r="H276" s="23" t="n"/>
      <c r="I276" s="20">
        <f>IF(COUNT(F276:H276)=0,"",SUM(F276:H276))</f>
        <v/>
      </c>
      <c r="J276" s="23" t="n"/>
      <c r="K276" s="23" t="n"/>
      <c r="L276" s="23" t="n"/>
      <c r="M276" s="23" t="n"/>
      <c r="N276" s="23" t="n"/>
      <c r="O276" s="20">
        <f>IF(OR(I276="",COUNT(J276:N276)=0),"",IF(SUM(J276:N276)=I276,"✓","⚠ "&amp;SUM(J276:N276)&amp;" statt "&amp;I276))</f>
        <v/>
      </c>
      <c r="P276" s="21" t="n"/>
      <c r="Q276" s="21" t="n"/>
      <c r="R276" s="21" t="n"/>
      <c r="S276" s="24" t="n"/>
      <c r="T276" s="24" t="n"/>
      <c r="V276">
        <f>IF(A276="","",MONTH(A276))</f>
        <v/>
      </c>
      <c r="W276">
        <f>N(W275)+IF(AND(C276&lt;&gt;"",T276&lt;&gt;""),IF(C276=WOCHE!$B$3,1,0),0)</f>
        <v/>
      </c>
      <c r="X276">
        <f>N(X275)+IF(AND(V276&lt;&gt;"",T276&lt;&gt;""),IF(V276=MONAT!$AZ$3,1,0),0)</f>
        <v/>
      </c>
    </row>
    <row r="277">
      <c r="A277" s="19" t="n"/>
      <c r="B277" s="20">
        <f>IF(A277="","",CHOOSE(WEEKDAY(A277,2),"Mo","Di","Mi","Do","Fr","Sa","So"))</f>
        <v/>
      </c>
      <c r="C277" s="20">
        <f>IF(A277="","",INT((A277-DATE(YEAR(A277-WEEKDAY(A277-1)+4),1,3)+WEEKDAY(DATE(YEAR(A277-WEEKDAY(A277-1)+4),1,3))+5)/7))</f>
        <v/>
      </c>
      <c r="D277" s="21" t="n"/>
      <c r="E277" s="22" t="n"/>
      <c r="F277" s="23" t="n"/>
      <c r="G277" s="23" t="n"/>
      <c r="H277" s="23" t="n"/>
      <c r="I277" s="20">
        <f>IF(COUNT(F277:H277)=0,"",SUM(F277:H277))</f>
        <v/>
      </c>
      <c r="J277" s="23" t="n"/>
      <c r="K277" s="23" t="n"/>
      <c r="L277" s="23" t="n"/>
      <c r="M277" s="23" t="n"/>
      <c r="N277" s="23" t="n"/>
      <c r="O277" s="20">
        <f>IF(OR(I277="",COUNT(J277:N277)=0),"",IF(SUM(J277:N277)=I277,"✓","⚠ "&amp;SUM(J277:N277)&amp;" statt "&amp;I277))</f>
        <v/>
      </c>
      <c r="P277" s="21" t="n"/>
      <c r="Q277" s="21" t="n"/>
      <c r="R277" s="21" t="n"/>
      <c r="S277" s="24" t="n"/>
      <c r="T277" s="24" t="n"/>
      <c r="V277">
        <f>IF(A277="","",MONTH(A277))</f>
        <v/>
      </c>
      <c r="W277">
        <f>N(W276)+IF(AND(C277&lt;&gt;"",T277&lt;&gt;""),IF(C277=WOCHE!$B$3,1,0),0)</f>
        <v/>
      </c>
      <c r="X277">
        <f>N(X276)+IF(AND(V277&lt;&gt;"",T277&lt;&gt;""),IF(V277=MONAT!$AZ$3,1,0),0)</f>
        <v/>
      </c>
    </row>
    <row r="278">
      <c r="A278" s="19" t="n"/>
      <c r="B278" s="20">
        <f>IF(A278="","",CHOOSE(WEEKDAY(A278,2),"Mo","Di","Mi","Do","Fr","Sa","So"))</f>
        <v/>
      </c>
      <c r="C278" s="20">
        <f>IF(A278="","",INT((A278-DATE(YEAR(A278-WEEKDAY(A278-1)+4),1,3)+WEEKDAY(DATE(YEAR(A278-WEEKDAY(A278-1)+4),1,3))+5)/7))</f>
        <v/>
      </c>
      <c r="D278" s="21" t="n"/>
      <c r="E278" s="22" t="n"/>
      <c r="F278" s="23" t="n"/>
      <c r="G278" s="23" t="n"/>
      <c r="H278" s="23" t="n"/>
      <c r="I278" s="20">
        <f>IF(COUNT(F278:H278)=0,"",SUM(F278:H278))</f>
        <v/>
      </c>
      <c r="J278" s="23" t="n"/>
      <c r="K278" s="23" t="n"/>
      <c r="L278" s="23" t="n"/>
      <c r="M278" s="23" t="n"/>
      <c r="N278" s="23" t="n"/>
      <c r="O278" s="20">
        <f>IF(OR(I278="",COUNT(J278:N278)=0),"",IF(SUM(J278:N278)=I278,"✓","⚠ "&amp;SUM(J278:N278)&amp;" statt "&amp;I278))</f>
        <v/>
      </c>
      <c r="P278" s="21" t="n"/>
      <c r="Q278" s="21" t="n"/>
      <c r="R278" s="21" t="n"/>
      <c r="S278" s="24" t="n"/>
      <c r="T278" s="24" t="n"/>
      <c r="V278">
        <f>IF(A278="","",MONTH(A278))</f>
        <v/>
      </c>
      <c r="W278">
        <f>N(W277)+IF(AND(C278&lt;&gt;"",T278&lt;&gt;""),IF(C278=WOCHE!$B$3,1,0),0)</f>
        <v/>
      </c>
      <c r="X278">
        <f>N(X277)+IF(AND(V278&lt;&gt;"",T278&lt;&gt;""),IF(V278=MONAT!$AZ$3,1,0),0)</f>
        <v/>
      </c>
    </row>
    <row r="279">
      <c r="A279" s="19" t="n"/>
      <c r="B279" s="20">
        <f>IF(A279="","",CHOOSE(WEEKDAY(A279,2),"Mo","Di","Mi","Do","Fr","Sa","So"))</f>
        <v/>
      </c>
      <c r="C279" s="20">
        <f>IF(A279="","",INT((A279-DATE(YEAR(A279-WEEKDAY(A279-1)+4),1,3)+WEEKDAY(DATE(YEAR(A279-WEEKDAY(A279-1)+4),1,3))+5)/7))</f>
        <v/>
      </c>
      <c r="D279" s="21" t="n"/>
      <c r="E279" s="22" t="n"/>
      <c r="F279" s="23" t="n"/>
      <c r="G279" s="23" t="n"/>
      <c r="H279" s="23" t="n"/>
      <c r="I279" s="20">
        <f>IF(COUNT(F279:H279)=0,"",SUM(F279:H279))</f>
        <v/>
      </c>
      <c r="J279" s="23" t="n"/>
      <c r="K279" s="23" t="n"/>
      <c r="L279" s="23" t="n"/>
      <c r="M279" s="23" t="n"/>
      <c r="N279" s="23" t="n"/>
      <c r="O279" s="20">
        <f>IF(OR(I279="",COUNT(J279:N279)=0),"",IF(SUM(J279:N279)=I279,"✓","⚠ "&amp;SUM(J279:N279)&amp;" statt "&amp;I279))</f>
        <v/>
      </c>
      <c r="P279" s="21" t="n"/>
      <c r="Q279" s="21" t="n"/>
      <c r="R279" s="21" t="n"/>
      <c r="S279" s="24" t="n"/>
      <c r="T279" s="24" t="n"/>
      <c r="V279">
        <f>IF(A279="","",MONTH(A279))</f>
        <v/>
      </c>
      <c r="W279">
        <f>N(W278)+IF(AND(C279&lt;&gt;"",T279&lt;&gt;""),IF(C279=WOCHE!$B$3,1,0),0)</f>
        <v/>
      </c>
      <c r="X279">
        <f>N(X278)+IF(AND(V279&lt;&gt;"",T279&lt;&gt;""),IF(V279=MONAT!$AZ$3,1,0),0)</f>
        <v/>
      </c>
    </row>
    <row r="280">
      <c r="A280" s="19" t="n"/>
      <c r="B280" s="20">
        <f>IF(A280="","",CHOOSE(WEEKDAY(A280,2),"Mo","Di","Mi","Do","Fr","Sa","So"))</f>
        <v/>
      </c>
      <c r="C280" s="20">
        <f>IF(A280="","",INT((A280-DATE(YEAR(A280-WEEKDAY(A280-1)+4),1,3)+WEEKDAY(DATE(YEAR(A280-WEEKDAY(A280-1)+4),1,3))+5)/7))</f>
        <v/>
      </c>
      <c r="D280" s="21" t="n"/>
      <c r="E280" s="22" t="n"/>
      <c r="F280" s="23" t="n"/>
      <c r="G280" s="23" t="n"/>
      <c r="H280" s="23" t="n"/>
      <c r="I280" s="20">
        <f>IF(COUNT(F280:H280)=0,"",SUM(F280:H280))</f>
        <v/>
      </c>
      <c r="J280" s="23" t="n"/>
      <c r="K280" s="23" t="n"/>
      <c r="L280" s="23" t="n"/>
      <c r="M280" s="23" t="n"/>
      <c r="N280" s="23" t="n"/>
      <c r="O280" s="20">
        <f>IF(OR(I280="",COUNT(J280:N280)=0),"",IF(SUM(J280:N280)=I280,"✓","⚠ "&amp;SUM(J280:N280)&amp;" statt "&amp;I280))</f>
        <v/>
      </c>
      <c r="P280" s="21" t="n"/>
      <c r="Q280" s="21" t="n"/>
      <c r="R280" s="21" t="n"/>
      <c r="S280" s="24" t="n"/>
      <c r="T280" s="24" t="n"/>
      <c r="V280">
        <f>IF(A280="","",MONTH(A280))</f>
        <v/>
      </c>
      <c r="W280">
        <f>N(W279)+IF(AND(C280&lt;&gt;"",T280&lt;&gt;""),IF(C280=WOCHE!$B$3,1,0),0)</f>
        <v/>
      </c>
      <c r="X280">
        <f>N(X279)+IF(AND(V280&lt;&gt;"",T280&lt;&gt;""),IF(V280=MONAT!$AZ$3,1,0),0)</f>
        <v/>
      </c>
    </row>
    <row r="281">
      <c r="A281" s="19" t="n"/>
      <c r="B281" s="20">
        <f>IF(A281="","",CHOOSE(WEEKDAY(A281,2),"Mo","Di","Mi","Do","Fr","Sa","So"))</f>
        <v/>
      </c>
      <c r="C281" s="20">
        <f>IF(A281="","",INT((A281-DATE(YEAR(A281-WEEKDAY(A281-1)+4),1,3)+WEEKDAY(DATE(YEAR(A281-WEEKDAY(A281-1)+4),1,3))+5)/7))</f>
        <v/>
      </c>
      <c r="D281" s="21" t="n"/>
      <c r="E281" s="22" t="n"/>
      <c r="F281" s="23" t="n"/>
      <c r="G281" s="23" t="n"/>
      <c r="H281" s="23" t="n"/>
      <c r="I281" s="20">
        <f>IF(COUNT(F281:H281)=0,"",SUM(F281:H281))</f>
        <v/>
      </c>
      <c r="J281" s="23" t="n"/>
      <c r="K281" s="23" t="n"/>
      <c r="L281" s="23" t="n"/>
      <c r="M281" s="23" t="n"/>
      <c r="N281" s="23" t="n"/>
      <c r="O281" s="20">
        <f>IF(OR(I281="",COUNT(J281:N281)=0),"",IF(SUM(J281:N281)=I281,"✓","⚠ "&amp;SUM(J281:N281)&amp;" statt "&amp;I281))</f>
        <v/>
      </c>
      <c r="P281" s="21" t="n"/>
      <c r="Q281" s="21" t="n"/>
      <c r="R281" s="21" t="n"/>
      <c r="S281" s="24" t="n"/>
      <c r="T281" s="24" t="n"/>
      <c r="V281">
        <f>IF(A281="","",MONTH(A281))</f>
        <v/>
      </c>
      <c r="W281">
        <f>N(W280)+IF(AND(C281&lt;&gt;"",T281&lt;&gt;""),IF(C281=WOCHE!$B$3,1,0),0)</f>
        <v/>
      </c>
      <c r="X281">
        <f>N(X280)+IF(AND(V281&lt;&gt;"",T281&lt;&gt;""),IF(V281=MONAT!$AZ$3,1,0),0)</f>
        <v/>
      </c>
    </row>
    <row r="282">
      <c r="A282" s="19" t="n"/>
      <c r="B282" s="20">
        <f>IF(A282="","",CHOOSE(WEEKDAY(A282,2),"Mo","Di","Mi","Do","Fr","Sa","So"))</f>
        <v/>
      </c>
      <c r="C282" s="20">
        <f>IF(A282="","",INT((A282-DATE(YEAR(A282-WEEKDAY(A282-1)+4),1,3)+WEEKDAY(DATE(YEAR(A282-WEEKDAY(A282-1)+4),1,3))+5)/7))</f>
        <v/>
      </c>
      <c r="D282" s="21" t="n"/>
      <c r="E282" s="22" t="n"/>
      <c r="F282" s="23" t="n"/>
      <c r="G282" s="23" t="n"/>
      <c r="H282" s="23" t="n"/>
      <c r="I282" s="20">
        <f>IF(COUNT(F282:H282)=0,"",SUM(F282:H282))</f>
        <v/>
      </c>
      <c r="J282" s="23" t="n"/>
      <c r="K282" s="23" t="n"/>
      <c r="L282" s="23" t="n"/>
      <c r="M282" s="23" t="n"/>
      <c r="N282" s="23" t="n"/>
      <c r="O282" s="20">
        <f>IF(OR(I282="",COUNT(J282:N282)=0),"",IF(SUM(J282:N282)=I282,"✓","⚠ "&amp;SUM(J282:N282)&amp;" statt "&amp;I282))</f>
        <v/>
      </c>
      <c r="P282" s="21" t="n"/>
      <c r="Q282" s="21" t="n"/>
      <c r="R282" s="21" t="n"/>
      <c r="S282" s="24" t="n"/>
      <c r="T282" s="24" t="n"/>
      <c r="V282">
        <f>IF(A282="","",MONTH(A282))</f>
        <v/>
      </c>
      <c r="W282">
        <f>N(W281)+IF(AND(C282&lt;&gt;"",T282&lt;&gt;""),IF(C282=WOCHE!$B$3,1,0),0)</f>
        <v/>
      </c>
      <c r="X282">
        <f>N(X281)+IF(AND(V282&lt;&gt;"",T282&lt;&gt;""),IF(V282=MONAT!$AZ$3,1,0),0)</f>
        <v/>
      </c>
    </row>
    <row r="283">
      <c r="A283" s="19" t="n"/>
      <c r="B283" s="20">
        <f>IF(A283="","",CHOOSE(WEEKDAY(A283,2),"Mo","Di","Mi","Do","Fr","Sa","So"))</f>
        <v/>
      </c>
      <c r="C283" s="20">
        <f>IF(A283="","",INT((A283-DATE(YEAR(A283-WEEKDAY(A283-1)+4),1,3)+WEEKDAY(DATE(YEAR(A283-WEEKDAY(A283-1)+4),1,3))+5)/7))</f>
        <v/>
      </c>
      <c r="D283" s="21" t="n"/>
      <c r="E283" s="22" t="n"/>
      <c r="F283" s="23" t="n"/>
      <c r="G283" s="23" t="n"/>
      <c r="H283" s="23" t="n"/>
      <c r="I283" s="20">
        <f>IF(COUNT(F283:H283)=0,"",SUM(F283:H283))</f>
        <v/>
      </c>
      <c r="J283" s="23" t="n"/>
      <c r="K283" s="23" t="n"/>
      <c r="L283" s="23" t="n"/>
      <c r="M283" s="23" t="n"/>
      <c r="N283" s="23" t="n"/>
      <c r="O283" s="20">
        <f>IF(OR(I283="",COUNT(J283:N283)=0),"",IF(SUM(J283:N283)=I283,"✓","⚠ "&amp;SUM(J283:N283)&amp;" statt "&amp;I283))</f>
        <v/>
      </c>
      <c r="P283" s="21" t="n"/>
      <c r="Q283" s="21" t="n"/>
      <c r="R283" s="21" t="n"/>
      <c r="S283" s="24" t="n"/>
      <c r="T283" s="24" t="n"/>
      <c r="V283">
        <f>IF(A283="","",MONTH(A283))</f>
        <v/>
      </c>
      <c r="W283">
        <f>N(W282)+IF(AND(C283&lt;&gt;"",T283&lt;&gt;""),IF(C283=WOCHE!$B$3,1,0),0)</f>
        <v/>
      </c>
      <c r="X283">
        <f>N(X282)+IF(AND(V283&lt;&gt;"",T283&lt;&gt;""),IF(V283=MONAT!$AZ$3,1,0),0)</f>
        <v/>
      </c>
    </row>
    <row r="284">
      <c r="A284" s="19" t="n"/>
      <c r="B284" s="20">
        <f>IF(A284="","",CHOOSE(WEEKDAY(A284,2),"Mo","Di","Mi","Do","Fr","Sa","So"))</f>
        <v/>
      </c>
      <c r="C284" s="20">
        <f>IF(A284="","",INT((A284-DATE(YEAR(A284-WEEKDAY(A284-1)+4),1,3)+WEEKDAY(DATE(YEAR(A284-WEEKDAY(A284-1)+4),1,3))+5)/7))</f>
        <v/>
      </c>
      <c r="D284" s="21" t="n"/>
      <c r="E284" s="22" t="n"/>
      <c r="F284" s="23" t="n"/>
      <c r="G284" s="23" t="n"/>
      <c r="H284" s="23" t="n"/>
      <c r="I284" s="20">
        <f>IF(COUNT(F284:H284)=0,"",SUM(F284:H284))</f>
        <v/>
      </c>
      <c r="J284" s="23" t="n"/>
      <c r="K284" s="23" t="n"/>
      <c r="L284" s="23" t="n"/>
      <c r="M284" s="23" t="n"/>
      <c r="N284" s="23" t="n"/>
      <c r="O284" s="20">
        <f>IF(OR(I284="",COUNT(J284:N284)=0),"",IF(SUM(J284:N284)=I284,"✓","⚠ "&amp;SUM(J284:N284)&amp;" statt "&amp;I284))</f>
        <v/>
      </c>
      <c r="P284" s="21" t="n"/>
      <c r="Q284" s="21" t="n"/>
      <c r="R284" s="21" t="n"/>
      <c r="S284" s="24" t="n"/>
      <c r="T284" s="24" t="n"/>
      <c r="V284">
        <f>IF(A284="","",MONTH(A284))</f>
        <v/>
      </c>
      <c r="W284">
        <f>N(W283)+IF(AND(C284&lt;&gt;"",T284&lt;&gt;""),IF(C284=WOCHE!$B$3,1,0),0)</f>
        <v/>
      </c>
      <c r="X284">
        <f>N(X283)+IF(AND(V284&lt;&gt;"",T284&lt;&gt;""),IF(V284=MONAT!$AZ$3,1,0),0)</f>
        <v/>
      </c>
    </row>
    <row r="285">
      <c r="A285" s="19" t="n"/>
      <c r="B285" s="20">
        <f>IF(A285="","",CHOOSE(WEEKDAY(A285,2),"Mo","Di","Mi","Do","Fr","Sa","So"))</f>
        <v/>
      </c>
      <c r="C285" s="20">
        <f>IF(A285="","",INT((A285-DATE(YEAR(A285-WEEKDAY(A285-1)+4),1,3)+WEEKDAY(DATE(YEAR(A285-WEEKDAY(A285-1)+4),1,3))+5)/7))</f>
        <v/>
      </c>
      <c r="D285" s="21" t="n"/>
      <c r="E285" s="22" t="n"/>
      <c r="F285" s="23" t="n"/>
      <c r="G285" s="23" t="n"/>
      <c r="H285" s="23" t="n"/>
      <c r="I285" s="20">
        <f>IF(COUNT(F285:H285)=0,"",SUM(F285:H285))</f>
        <v/>
      </c>
      <c r="J285" s="23" t="n"/>
      <c r="K285" s="23" t="n"/>
      <c r="L285" s="23" t="n"/>
      <c r="M285" s="23" t="n"/>
      <c r="N285" s="23" t="n"/>
      <c r="O285" s="20">
        <f>IF(OR(I285="",COUNT(J285:N285)=0),"",IF(SUM(J285:N285)=I285,"✓","⚠ "&amp;SUM(J285:N285)&amp;" statt "&amp;I285))</f>
        <v/>
      </c>
      <c r="P285" s="21" t="n"/>
      <c r="Q285" s="21" t="n"/>
      <c r="R285" s="21" t="n"/>
      <c r="S285" s="24" t="n"/>
      <c r="T285" s="24" t="n"/>
      <c r="V285">
        <f>IF(A285="","",MONTH(A285))</f>
        <v/>
      </c>
      <c r="W285">
        <f>N(W284)+IF(AND(C285&lt;&gt;"",T285&lt;&gt;""),IF(C285=WOCHE!$B$3,1,0),0)</f>
        <v/>
      </c>
      <c r="X285">
        <f>N(X284)+IF(AND(V285&lt;&gt;"",T285&lt;&gt;""),IF(V285=MONAT!$AZ$3,1,0),0)</f>
        <v/>
      </c>
    </row>
    <row r="286">
      <c r="A286" s="19" t="n"/>
      <c r="B286" s="20">
        <f>IF(A286="","",CHOOSE(WEEKDAY(A286,2),"Mo","Di","Mi","Do","Fr","Sa","So"))</f>
        <v/>
      </c>
      <c r="C286" s="20">
        <f>IF(A286="","",INT((A286-DATE(YEAR(A286-WEEKDAY(A286-1)+4),1,3)+WEEKDAY(DATE(YEAR(A286-WEEKDAY(A286-1)+4),1,3))+5)/7))</f>
        <v/>
      </c>
      <c r="D286" s="21" t="n"/>
      <c r="E286" s="22" t="n"/>
      <c r="F286" s="23" t="n"/>
      <c r="G286" s="23" t="n"/>
      <c r="H286" s="23" t="n"/>
      <c r="I286" s="20">
        <f>IF(COUNT(F286:H286)=0,"",SUM(F286:H286))</f>
        <v/>
      </c>
      <c r="J286" s="23" t="n"/>
      <c r="K286" s="23" t="n"/>
      <c r="L286" s="23" t="n"/>
      <c r="M286" s="23" t="n"/>
      <c r="N286" s="23" t="n"/>
      <c r="O286" s="20">
        <f>IF(OR(I286="",COUNT(J286:N286)=0),"",IF(SUM(J286:N286)=I286,"✓","⚠ "&amp;SUM(J286:N286)&amp;" statt "&amp;I286))</f>
        <v/>
      </c>
      <c r="P286" s="21" t="n"/>
      <c r="Q286" s="21" t="n"/>
      <c r="R286" s="21" t="n"/>
      <c r="S286" s="24" t="n"/>
      <c r="T286" s="24" t="n"/>
      <c r="V286">
        <f>IF(A286="","",MONTH(A286))</f>
        <v/>
      </c>
      <c r="W286">
        <f>N(W285)+IF(AND(C286&lt;&gt;"",T286&lt;&gt;""),IF(C286=WOCHE!$B$3,1,0),0)</f>
        <v/>
      </c>
      <c r="X286">
        <f>N(X285)+IF(AND(V286&lt;&gt;"",T286&lt;&gt;""),IF(V286=MONAT!$AZ$3,1,0),0)</f>
        <v/>
      </c>
    </row>
    <row r="287">
      <c r="A287" s="19" t="n"/>
      <c r="B287" s="20">
        <f>IF(A287="","",CHOOSE(WEEKDAY(A287,2),"Mo","Di","Mi","Do","Fr","Sa","So"))</f>
        <v/>
      </c>
      <c r="C287" s="20">
        <f>IF(A287="","",INT((A287-DATE(YEAR(A287-WEEKDAY(A287-1)+4),1,3)+WEEKDAY(DATE(YEAR(A287-WEEKDAY(A287-1)+4),1,3))+5)/7))</f>
        <v/>
      </c>
      <c r="D287" s="21" t="n"/>
      <c r="E287" s="22" t="n"/>
      <c r="F287" s="23" t="n"/>
      <c r="G287" s="23" t="n"/>
      <c r="H287" s="23" t="n"/>
      <c r="I287" s="20">
        <f>IF(COUNT(F287:H287)=0,"",SUM(F287:H287))</f>
        <v/>
      </c>
      <c r="J287" s="23" t="n"/>
      <c r="K287" s="23" t="n"/>
      <c r="L287" s="23" t="n"/>
      <c r="M287" s="23" t="n"/>
      <c r="N287" s="23" t="n"/>
      <c r="O287" s="20">
        <f>IF(OR(I287="",COUNT(J287:N287)=0),"",IF(SUM(J287:N287)=I287,"✓","⚠ "&amp;SUM(J287:N287)&amp;" statt "&amp;I287))</f>
        <v/>
      </c>
      <c r="P287" s="21" t="n"/>
      <c r="Q287" s="21" t="n"/>
      <c r="R287" s="21" t="n"/>
      <c r="S287" s="24" t="n"/>
      <c r="T287" s="24" t="n"/>
      <c r="V287">
        <f>IF(A287="","",MONTH(A287))</f>
        <v/>
      </c>
      <c r="W287">
        <f>N(W286)+IF(AND(C287&lt;&gt;"",T287&lt;&gt;""),IF(C287=WOCHE!$B$3,1,0),0)</f>
        <v/>
      </c>
      <c r="X287">
        <f>N(X286)+IF(AND(V287&lt;&gt;"",T287&lt;&gt;""),IF(V287=MONAT!$AZ$3,1,0),0)</f>
        <v/>
      </c>
    </row>
    <row r="288">
      <c r="A288" s="19" t="n"/>
      <c r="B288" s="20">
        <f>IF(A288="","",CHOOSE(WEEKDAY(A288,2),"Mo","Di","Mi","Do","Fr","Sa","So"))</f>
        <v/>
      </c>
      <c r="C288" s="20">
        <f>IF(A288="","",INT((A288-DATE(YEAR(A288-WEEKDAY(A288-1)+4),1,3)+WEEKDAY(DATE(YEAR(A288-WEEKDAY(A288-1)+4),1,3))+5)/7))</f>
        <v/>
      </c>
      <c r="D288" s="21" t="n"/>
      <c r="E288" s="22" t="n"/>
      <c r="F288" s="23" t="n"/>
      <c r="G288" s="23" t="n"/>
      <c r="H288" s="23" t="n"/>
      <c r="I288" s="20">
        <f>IF(COUNT(F288:H288)=0,"",SUM(F288:H288))</f>
        <v/>
      </c>
      <c r="J288" s="23" t="n"/>
      <c r="K288" s="23" t="n"/>
      <c r="L288" s="23" t="n"/>
      <c r="M288" s="23" t="n"/>
      <c r="N288" s="23" t="n"/>
      <c r="O288" s="20">
        <f>IF(OR(I288="",COUNT(J288:N288)=0),"",IF(SUM(J288:N288)=I288,"✓","⚠ "&amp;SUM(J288:N288)&amp;" statt "&amp;I288))</f>
        <v/>
      </c>
      <c r="P288" s="21" t="n"/>
      <c r="Q288" s="21" t="n"/>
      <c r="R288" s="21" t="n"/>
      <c r="S288" s="24" t="n"/>
      <c r="T288" s="24" t="n"/>
      <c r="V288">
        <f>IF(A288="","",MONTH(A288))</f>
        <v/>
      </c>
      <c r="W288">
        <f>N(W287)+IF(AND(C288&lt;&gt;"",T288&lt;&gt;""),IF(C288=WOCHE!$B$3,1,0),0)</f>
        <v/>
      </c>
      <c r="X288">
        <f>N(X287)+IF(AND(V288&lt;&gt;"",T288&lt;&gt;""),IF(V288=MONAT!$AZ$3,1,0),0)</f>
        <v/>
      </c>
    </row>
    <row r="289">
      <c r="A289" s="19" t="n"/>
      <c r="B289" s="20">
        <f>IF(A289="","",CHOOSE(WEEKDAY(A289,2),"Mo","Di","Mi","Do","Fr","Sa","So"))</f>
        <v/>
      </c>
      <c r="C289" s="20">
        <f>IF(A289="","",INT((A289-DATE(YEAR(A289-WEEKDAY(A289-1)+4),1,3)+WEEKDAY(DATE(YEAR(A289-WEEKDAY(A289-1)+4),1,3))+5)/7))</f>
        <v/>
      </c>
      <c r="D289" s="21" t="n"/>
      <c r="E289" s="22" t="n"/>
      <c r="F289" s="23" t="n"/>
      <c r="G289" s="23" t="n"/>
      <c r="H289" s="23" t="n"/>
      <c r="I289" s="20">
        <f>IF(COUNT(F289:H289)=0,"",SUM(F289:H289))</f>
        <v/>
      </c>
      <c r="J289" s="23" t="n"/>
      <c r="K289" s="23" t="n"/>
      <c r="L289" s="23" t="n"/>
      <c r="M289" s="23" t="n"/>
      <c r="N289" s="23" t="n"/>
      <c r="O289" s="20">
        <f>IF(OR(I289="",COUNT(J289:N289)=0),"",IF(SUM(J289:N289)=I289,"✓","⚠ "&amp;SUM(J289:N289)&amp;" statt "&amp;I289))</f>
        <v/>
      </c>
      <c r="P289" s="21" t="n"/>
      <c r="Q289" s="21" t="n"/>
      <c r="R289" s="21" t="n"/>
      <c r="S289" s="24" t="n"/>
      <c r="T289" s="24" t="n"/>
      <c r="V289">
        <f>IF(A289="","",MONTH(A289))</f>
        <v/>
      </c>
      <c r="W289">
        <f>N(W288)+IF(AND(C289&lt;&gt;"",T289&lt;&gt;""),IF(C289=WOCHE!$B$3,1,0),0)</f>
        <v/>
      </c>
      <c r="X289">
        <f>N(X288)+IF(AND(V289&lt;&gt;"",T289&lt;&gt;""),IF(V289=MONAT!$AZ$3,1,0),0)</f>
        <v/>
      </c>
    </row>
    <row r="290">
      <c r="A290" s="19" t="n"/>
      <c r="B290" s="20">
        <f>IF(A290="","",CHOOSE(WEEKDAY(A290,2),"Mo","Di","Mi","Do","Fr","Sa","So"))</f>
        <v/>
      </c>
      <c r="C290" s="20">
        <f>IF(A290="","",INT((A290-DATE(YEAR(A290-WEEKDAY(A290-1)+4),1,3)+WEEKDAY(DATE(YEAR(A290-WEEKDAY(A290-1)+4),1,3))+5)/7))</f>
        <v/>
      </c>
      <c r="D290" s="21" t="n"/>
      <c r="E290" s="22" t="n"/>
      <c r="F290" s="23" t="n"/>
      <c r="G290" s="23" t="n"/>
      <c r="H290" s="23" t="n"/>
      <c r="I290" s="20">
        <f>IF(COUNT(F290:H290)=0,"",SUM(F290:H290))</f>
        <v/>
      </c>
      <c r="J290" s="23" t="n"/>
      <c r="K290" s="23" t="n"/>
      <c r="L290" s="23" t="n"/>
      <c r="M290" s="23" t="n"/>
      <c r="N290" s="23" t="n"/>
      <c r="O290" s="20">
        <f>IF(OR(I290="",COUNT(J290:N290)=0),"",IF(SUM(J290:N290)=I290,"✓","⚠ "&amp;SUM(J290:N290)&amp;" statt "&amp;I290))</f>
        <v/>
      </c>
      <c r="P290" s="21" t="n"/>
      <c r="Q290" s="21" t="n"/>
      <c r="R290" s="21" t="n"/>
      <c r="S290" s="24" t="n"/>
      <c r="T290" s="24" t="n"/>
      <c r="V290">
        <f>IF(A290="","",MONTH(A290))</f>
        <v/>
      </c>
      <c r="W290">
        <f>N(W289)+IF(AND(C290&lt;&gt;"",T290&lt;&gt;""),IF(C290=WOCHE!$B$3,1,0),0)</f>
        <v/>
      </c>
      <c r="X290">
        <f>N(X289)+IF(AND(V290&lt;&gt;"",T290&lt;&gt;""),IF(V290=MONAT!$AZ$3,1,0),0)</f>
        <v/>
      </c>
    </row>
    <row r="291">
      <c r="A291" s="19" t="n"/>
      <c r="B291" s="20">
        <f>IF(A291="","",CHOOSE(WEEKDAY(A291,2),"Mo","Di","Mi","Do","Fr","Sa","So"))</f>
        <v/>
      </c>
      <c r="C291" s="20">
        <f>IF(A291="","",INT((A291-DATE(YEAR(A291-WEEKDAY(A291-1)+4),1,3)+WEEKDAY(DATE(YEAR(A291-WEEKDAY(A291-1)+4),1,3))+5)/7))</f>
        <v/>
      </c>
      <c r="D291" s="21" t="n"/>
      <c r="E291" s="22" t="n"/>
      <c r="F291" s="23" t="n"/>
      <c r="G291" s="23" t="n"/>
      <c r="H291" s="23" t="n"/>
      <c r="I291" s="20">
        <f>IF(COUNT(F291:H291)=0,"",SUM(F291:H291))</f>
        <v/>
      </c>
      <c r="J291" s="23" t="n"/>
      <c r="K291" s="23" t="n"/>
      <c r="L291" s="23" t="n"/>
      <c r="M291" s="23" t="n"/>
      <c r="N291" s="23" t="n"/>
      <c r="O291" s="20">
        <f>IF(OR(I291="",COUNT(J291:N291)=0),"",IF(SUM(J291:N291)=I291,"✓","⚠ "&amp;SUM(J291:N291)&amp;" statt "&amp;I291))</f>
        <v/>
      </c>
      <c r="P291" s="21" t="n"/>
      <c r="Q291" s="21" t="n"/>
      <c r="R291" s="21" t="n"/>
      <c r="S291" s="24" t="n"/>
      <c r="T291" s="24" t="n"/>
      <c r="V291">
        <f>IF(A291="","",MONTH(A291))</f>
        <v/>
      </c>
      <c r="W291">
        <f>N(W290)+IF(AND(C291&lt;&gt;"",T291&lt;&gt;""),IF(C291=WOCHE!$B$3,1,0),0)</f>
        <v/>
      </c>
      <c r="X291">
        <f>N(X290)+IF(AND(V291&lt;&gt;"",T291&lt;&gt;""),IF(V291=MONAT!$AZ$3,1,0),0)</f>
        <v/>
      </c>
    </row>
    <row r="292">
      <c r="A292" s="19" t="n"/>
      <c r="B292" s="20">
        <f>IF(A292="","",CHOOSE(WEEKDAY(A292,2),"Mo","Di","Mi","Do","Fr","Sa","So"))</f>
        <v/>
      </c>
      <c r="C292" s="20">
        <f>IF(A292="","",INT((A292-DATE(YEAR(A292-WEEKDAY(A292-1)+4),1,3)+WEEKDAY(DATE(YEAR(A292-WEEKDAY(A292-1)+4),1,3))+5)/7))</f>
        <v/>
      </c>
      <c r="D292" s="21" t="n"/>
      <c r="E292" s="22" t="n"/>
      <c r="F292" s="23" t="n"/>
      <c r="G292" s="23" t="n"/>
      <c r="H292" s="23" t="n"/>
      <c r="I292" s="20">
        <f>IF(COUNT(F292:H292)=0,"",SUM(F292:H292))</f>
        <v/>
      </c>
      <c r="J292" s="23" t="n"/>
      <c r="K292" s="23" t="n"/>
      <c r="L292" s="23" t="n"/>
      <c r="M292" s="23" t="n"/>
      <c r="N292" s="23" t="n"/>
      <c r="O292" s="20">
        <f>IF(OR(I292="",COUNT(J292:N292)=0),"",IF(SUM(J292:N292)=I292,"✓","⚠ "&amp;SUM(J292:N292)&amp;" statt "&amp;I292))</f>
        <v/>
      </c>
      <c r="P292" s="21" t="n"/>
      <c r="Q292" s="21" t="n"/>
      <c r="R292" s="21" t="n"/>
      <c r="S292" s="24" t="n"/>
      <c r="T292" s="24" t="n"/>
      <c r="V292">
        <f>IF(A292="","",MONTH(A292))</f>
        <v/>
      </c>
      <c r="W292">
        <f>N(W291)+IF(AND(C292&lt;&gt;"",T292&lt;&gt;""),IF(C292=WOCHE!$B$3,1,0),0)</f>
        <v/>
      </c>
      <c r="X292">
        <f>N(X291)+IF(AND(V292&lt;&gt;"",T292&lt;&gt;""),IF(V292=MONAT!$AZ$3,1,0),0)</f>
        <v/>
      </c>
    </row>
    <row r="293">
      <c r="A293" s="19" t="n"/>
      <c r="B293" s="20">
        <f>IF(A293="","",CHOOSE(WEEKDAY(A293,2),"Mo","Di","Mi","Do","Fr","Sa","So"))</f>
        <v/>
      </c>
      <c r="C293" s="20">
        <f>IF(A293="","",INT((A293-DATE(YEAR(A293-WEEKDAY(A293-1)+4),1,3)+WEEKDAY(DATE(YEAR(A293-WEEKDAY(A293-1)+4),1,3))+5)/7))</f>
        <v/>
      </c>
      <c r="D293" s="21" t="n"/>
      <c r="E293" s="22" t="n"/>
      <c r="F293" s="23" t="n"/>
      <c r="G293" s="23" t="n"/>
      <c r="H293" s="23" t="n"/>
      <c r="I293" s="20">
        <f>IF(COUNT(F293:H293)=0,"",SUM(F293:H293))</f>
        <v/>
      </c>
      <c r="J293" s="23" t="n"/>
      <c r="K293" s="23" t="n"/>
      <c r="L293" s="23" t="n"/>
      <c r="M293" s="23" t="n"/>
      <c r="N293" s="23" t="n"/>
      <c r="O293" s="20">
        <f>IF(OR(I293="",COUNT(J293:N293)=0),"",IF(SUM(J293:N293)=I293,"✓","⚠ "&amp;SUM(J293:N293)&amp;" statt "&amp;I293))</f>
        <v/>
      </c>
      <c r="P293" s="21" t="n"/>
      <c r="Q293" s="21" t="n"/>
      <c r="R293" s="21" t="n"/>
      <c r="S293" s="24" t="n"/>
      <c r="T293" s="24" t="n"/>
      <c r="V293">
        <f>IF(A293="","",MONTH(A293))</f>
        <v/>
      </c>
      <c r="W293">
        <f>N(W292)+IF(AND(C293&lt;&gt;"",T293&lt;&gt;""),IF(C293=WOCHE!$B$3,1,0),0)</f>
        <v/>
      </c>
      <c r="X293">
        <f>N(X292)+IF(AND(V293&lt;&gt;"",T293&lt;&gt;""),IF(V293=MONAT!$AZ$3,1,0),0)</f>
        <v/>
      </c>
    </row>
    <row r="294">
      <c r="A294" s="19" t="n"/>
      <c r="B294" s="20">
        <f>IF(A294="","",CHOOSE(WEEKDAY(A294,2),"Mo","Di","Mi","Do","Fr","Sa","So"))</f>
        <v/>
      </c>
      <c r="C294" s="20">
        <f>IF(A294="","",INT((A294-DATE(YEAR(A294-WEEKDAY(A294-1)+4),1,3)+WEEKDAY(DATE(YEAR(A294-WEEKDAY(A294-1)+4),1,3))+5)/7))</f>
        <v/>
      </c>
      <c r="D294" s="21" t="n"/>
      <c r="E294" s="22" t="n"/>
      <c r="F294" s="23" t="n"/>
      <c r="G294" s="23" t="n"/>
      <c r="H294" s="23" t="n"/>
      <c r="I294" s="20">
        <f>IF(COUNT(F294:H294)=0,"",SUM(F294:H294))</f>
        <v/>
      </c>
      <c r="J294" s="23" t="n"/>
      <c r="K294" s="23" t="n"/>
      <c r="L294" s="23" t="n"/>
      <c r="M294" s="23" t="n"/>
      <c r="N294" s="23" t="n"/>
      <c r="O294" s="20">
        <f>IF(OR(I294="",COUNT(J294:N294)=0),"",IF(SUM(J294:N294)=I294,"✓","⚠ "&amp;SUM(J294:N294)&amp;" statt "&amp;I294))</f>
        <v/>
      </c>
      <c r="P294" s="21" t="n"/>
      <c r="Q294" s="21" t="n"/>
      <c r="R294" s="21" t="n"/>
      <c r="S294" s="24" t="n"/>
      <c r="T294" s="24" t="n"/>
      <c r="V294">
        <f>IF(A294="","",MONTH(A294))</f>
        <v/>
      </c>
      <c r="W294">
        <f>N(W293)+IF(AND(C294&lt;&gt;"",T294&lt;&gt;""),IF(C294=WOCHE!$B$3,1,0),0)</f>
        <v/>
      </c>
      <c r="X294">
        <f>N(X293)+IF(AND(V294&lt;&gt;"",T294&lt;&gt;""),IF(V294=MONAT!$AZ$3,1,0),0)</f>
        <v/>
      </c>
    </row>
    <row r="295">
      <c r="A295" s="19" t="n"/>
      <c r="B295" s="20">
        <f>IF(A295="","",CHOOSE(WEEKDAY(A295,2),"Mo","Di","Mi","Do","Fr","Sa","So"))</f>
        <v/>
      </c>
      <c r="C295" s="20">
        <f>IF(A295="","",INT((A295-DATE(YEAR(A295-WEEKDAY(A295-1)+4),1,3)+WEEKDAY(DATE(YEAR(A295-WEEKDAY(A295-1)+4),1,3))+5)/7))</f>
        <v/>
      </c>
      <c r="D295" s="21" t="n"/>
      <c r="E295" s="22" t="n"/>
      <c r="F295" s="23" t="n"/>
      <c r="G295" s="23" t="n"/>
      <c r="H295" s="23" t="n"/>
      <c r="I295" s="20">
        <f>IF(COUNT(F295:H295)=0,"",SUM(F295:H295))</f>
        <v/>
      </c>
      <c r="J295" s="23" t="n"/>
      <c r="K295" s="23" t="n"/>
      <c r="L295" s="23" t="n"/>
      <c r="M295" s="23" t="n"/>
      <c r="N295" s="23" t="n"/>
      <c r="O295" s="20">
        <f>IF(OR(I295="",COUNT(J295:N295)=0),"",IF(SUM(J295:N295)=I295,"✓","⚠ "&amp;SUM(J295:N295)&amp;" statt "&amp;I295))</f>
        <v/>
      </c>
      <c r="P295" s="21" t="n"/>
      <c r="Q295" s="21" t="n"/>
      <c r="R295" s="21" t="n"/>
      <c r="S295" s="24" t="n"/>
      <c r="T295" s="24" t="n"/>
      <c r="V295">
        <f>IF(A295="","",MONTH(A295))</f>
        <v/>
      </c>
      <c r="W295">
        <f>N(W294)+IF(AND(C295&lt;&gt;"",T295&lt;&gt;""),IF(C295=WOCHE!$B$3,1,0),0)</f>
        <v/>
      </c>
      <c r="X295">
        <f>N(X294)+IF(AND(V295&lt;&gt;"",T295&lt;&gt;""),IF(V295=MONAT!$AZ$3,1,0),0)</f>
        <v/>
      </c>
    </row>
    <row r="296">
      <c r="A296" s="19" t="n"/>
      <c r="B296" s="20">
        <f>IF(A296="","",CHOOSE(WEEKDAY(A296,2),"Mo","Di","Mi","Do","Fr","Sa","So"))</f>
        <v/>
      </c>
      <c r="C296" s="20">
        <f>IF(A296="","",INT((A296-DATE(YEAR(A296-WEEKDAY(A296-1)+4),1,3)+WEEKDAY(DATE(YEAR(A296-WEEKDAY(A296-1)+4),1,3))+5)/7))</f>
        <v/>
      </c>
      <c r="D296" s="21" t="n"/>
      <c r="E296" s="22" t="n"/>
      <c r="F296" s="23" t="n"/>
      <c r="G296" s="23" t="n"/>
      <c r="H296" s="23" t="n"/>
      <c r="I296" s="20">
        <f>IF(COUNT(F296:H296)=0,"",SUM(F296:H296))</f>
        <v/>
      </c>
      <c r="J296" s="23" t="n"/>
      <c r="K296" s="23" t="n"/>
      <c r="L296" s="23" t="n"/>
      <c r="M296" s="23" t="n"/>
      <c r="N296" s="23" t="n"/>
      <c r="O296" s="20">
        <f>IF(OR(I296="",COUNT(J296:N296)=0),"",IF(SUM(J296:N296)=I296,"✓","⚠ "&amp;SUM(J296:N296)&amp;" statt "&amp;I296))</f>
        <v/>
      </c>
      <c r="P296" s="21" t="n"/>
      <c r="Q296" s="21" t="n"/>
      <c r="R296" s="21" t="n"/>
      <c r="S296" s="24" t="n"/>
      <c r="T296" s="24" t="n"/>
      <c r="V296">
        <f>IF(A296="","",MONTH(A296))</f>
        <v/>
      </c>
      <c r="W296">
        <f>N(W295)+IF(AND(C296&lt;&gt;"",T296&lt;&gt;""),IF(C296=WOCHE!$B$3,1,0),0)</f>
        <v/>
      </c>
      <c r="X296">
        <f>N(X295)+IF(AND(V296&lt;&gt;"",T296&lt;&gt;""),IF(V296=MONAT!$AZ$3,1,0),0)</f>
        <v/>
      </c>
    </row>
    <row r="297">
      <c r="A297" s="19" t="n"/>
      <c r="B297" s="20">
        <f>IF(A297="","",CHOOSE(WEEKDAY(A297,2),"Mo","Di","Mi","Do","Fr","Sa","So"))</f>
        <v/>
      </c>
      <c r="C297" s="20">
        <f>IF(A297="","",INT((A297-DATE(YEAR(A297-WEEKDAY(A297-1)+4),1,3)+WEEKDAY(DATE(YEAR(A297-WEEKDAY(A297-1)+4),1,3))+5)/7))</f>
        <v/>
      </c>
      <c r="D297" s="21" t="n"/>
      <c r="E297" s="22" t="n"/>
      <c r="F297" s="23" t="n"/>
      <c r="G297" s="23" t="n"/>
      <c r="H297" s="23" t="n"/>
      <c r="I297" s="20">
        <f>IF(COUNT(F297:H297)=0,"",SUM(F297:H297))</f>
        <v/>
      </c>
      <c r="J297" s="23" t="n"/>
      <c r="K297" s="23" t="n"/>
      <c r="L297" s="23" t="n"/>
      <c r="M297" s="23" t="n"/>
      <c r="N297" s="23" t="n"/>
      <c r="O297" s="20">
        <f>IF(OR(I297="",COUNT(J297:N297)=0),"",IF(SUM(J297:N297)=I297,"✓","⚠ "&amp;SUM(J297:N297)&amp;" statt "&amp;I297))</f>
        <v/>
      </c>
      <c r="P297" s="21" t="n"/>
      <c r="Q297" s="21" t="n"/>
      <c r="R297" s="21" t="n"/>
      <c r="S297" s="24" t="n"/>
      <c r="T297" s="24" t="n"/>
      <c r="V297">
        <f>IF(A297="","",MONTH(A297))</f>
        <v/>
      </c>
      <c r="W297">
        <f>N(W296)+IF(AND(C297&lt;&gt;"",T297&lt;&gt;""),IF(C297=WOCHE!$B$3,1,0),0)</f>
        <v/>
      </c>
      <c r="X297">
        <f>N(X296)+IF(AND(V297&lt;&gt;"",T297&lt;&gt;""),IF(V297=MONAT!$AZ$3,1,0),0)</f>
        <v/>
      </c>
    </row>
    <row r="298">
      <c r="A298" s="19" t="n"/>
      <c r="B298" s="20">
        <f>IF(A298="","",CHOOSE(WEEKDAY(A298,2),"Mo","Di","Mi","Do","Fr","Sa","So"))</f>
        <v/>
      </c>
      <c r="C298" s="20">
        <f>IF(A298="","",INT((A298-DATE(YEAR(A298-WEEKDAY(A298-1)+4),1,3)+WEEKDAY(DATE(YEAR(A298-WEEKDAY(A298-1)+4),1,3))+5)/7))</f>
        <v/>
      </c>
      <c r="D298" s="21" t="n"/>
      <c r="E298" s="22" t="n"/>
      <c r="F298" s="23" t="n"/>
      <c r="G298" s="23" t="n"/>
      <c r="H298" s="23" t="n"/>
      <c r="I298" s="20">
        <f>IF(COUNT(F298:H298)=0,"",SUM(F298:H298))</f>
        <v/>
      </c>
      <c r="J298" s="23" t="n"/>
      <c r="K298" s="23" t="n"/>
      <c r="L298" s="23" t="n"/>
      <c r="M298" s="23" t="n"/>
      <c r="N298" s="23" t="n"/>
      <c r="O298" s="20">
        <f>IF(OR(I298="",COUNT(J298:N298)=0),"",IF(SUM(J298:N298)=I298,"✓","⚠ "&amp;SUM(J298:N298)&amp;" statt "&amp;I298))</f>
        <v/>
      </c>
      <c r="P298" s="21" t="n"/>
      <c r="Q298" s="21" t="n"/>
      <c r="R298" s="21" t="n"/>
      <c r="S298" s="24" t="n"/>
      <c r="T298" s="24" t="n"/>
      <c r="V298">
        <f>IF(A298="","",MONTH(A298))</f>
        <v/>
      </c>
      <c r="W298">
        <f>N(W297)+IF(AND(C298&lt;&gt;"",T298&lt;&gt;""),IF(C298=WOCHE!$B$3,1,0),0)</f>
        <v/>
      </c>
      <c r="X298">
        <f>N(X297)+IF(AND(V298&lt;&gt;"",T298&lt;&gt;""),IF(V298=MONAT!$AZ$3,1,0),0)</f>
        <v/>
      </c>
    </row>
    <row r="299">
      <c r="A299" s="19" t="n"/>
      <c r="B299" s="20">
        <f>IF(A299="","",CHOOSE(WEEKDAY(A299,2),"Mo","Di","Mi","Do","Fr","Sa","So"))</f>
        <v/>
      </c>
      <c r="C299" s="20">
        <f>IF(A299="","",INT((A299-DATE(YEAR(A299-WEEKDAY(A299-1)+4),1,3)+WEEKDAY(DATE(YEAR(A299-WEEKDAY(A299-1)+4),1,3))+5)/7))</f>
        <v/>
      </c>
      <c r="D299" s="21" t="n"/>
      <c r="E299" s="22" t="n"/>
      <c r="F299" s="23" t="n"/>
      <c r="G299" s="23" t="n"/>
      <c r="H299" s="23" t="n"/>
      <c r="I299" s="20">
        <f>IF(COUNT(F299:H299)=0,"",SUM(F299:H299))</f>
        <v/>
      </c>
      <c r="J299" s="23" t="n"/>
      <c r="K299" s="23" t="n"/>
      <c r="L299" s="23" t="n"/>
      <c r="M299" s="23" t="n"/>
      <c r="N299" s="23" t="n"/>
      <c r="O299" s="20">
        <f>IF(OR(I299="",COUNT(J299:N299)=0),"",IF(SUM(J299:N299)=I299,"✓","⚠ "&amp;SUM(J299:N299)&amp;" statt "&amp;I299))</f>
        <v/>
      </c>
      <c r="P299" s="21" t="n"/>
      <c r="Q299" s="21" t="n"/>
      <c r="R299" s="21" t="n"/>
      <c r="S299" s="24" t="n"/>
      <c r="T299" s="24" t="n"/>
      <c r="V299">
        <f>IF(A299="","",MONTH(A299))</f>
        <v/>
      </c>
      <c r="W299">
        <f>N(W298)+IF(AND(C299&lt;&gt;"",T299&lt;&gt;""),IF(C299=WOCHE!$B$3,1,0),0)</f>
        <v/>
      </c>
      <c r="X299">
        <f>N(X298)+IF(AND(V299&lt;&gt;"",T299&lt;&gt;""),IF(V299=MONAT!$AZ$3,1,0),0)</f>
        <v/>
      </c>
    </row>
    <row r="300">
      <c r="A300" s="19" t="n"/>
      <c r="B300" s="20">
        <f>IF(A300="","",CHOOSE(WEEKDAY(A300,2),"Mo","Di","Mi","Do","Fr","Sa","So"))</f>
        <v/>
      </c>
      <c r="C300" s="20">
        <f>IF(A300="","",INT((A300-DATE(YEAR(A300-WEEKDAY(A300-1)+4),1,3)+WEEKDAY(DATE(YEAR(A300-WEEKDAY(A300-1)+4),1,3))+5)/7))</f>
        <v/>
      </c>
      <c r="D300" s="21" t="n"/>
      <c r="E300" s="22" t="n"/>
      <c r="F300" s="23" t="n"/>
      <c r="G300" s="23" t="n"/>
      <c r="H300" s="23" t="n"/>
      <c r="I300" s="20">
        <f>IF(COUNT(F300:H300)=0,"",SUM(F300:H300))</f>
        <v/>
      </c>
      <c r="J300" s="23" t="n"/>
      <c r="K300" s="23" t="n"/>
      <c r="L300" s="23" t="n"/>
      <c r="M300" s="23" t="n"/>
      <c r="N300" s="23" t="n"/>
      <c r="O300" s="20">
        <f>IF(OR(I300="",COUNT(J300:N300)=0),"",IF(SUM(J300:N300)=I300,"✓","⚠ "&amp;SUM(J300:N300)&amp;" statt "&amp;I300))</f>
        <v/>
      </c>
      <c r="P300" s="21" t="n"/>
      <c r="Q300" s="21" t="n"/>
      <c r="R300" s="21" t="n"/>
      <c r="S300" s="24" t="n"/>
      <c r="T300" s="24" t="n"/>
      <c r="V300">
        <f>IF(A300="","",MONTH(A300))</f>
        <v/>
      </c>
      <c r="W300">
        <f>N(W299)+IF(AND(C300&lt;&gt;"",T300&lt;&gt;""),IF(C300=WOCHE!$B$3,1,0),0)</f>
        <v/>
      </c>
      <c r="X300">
        <f>N(X299)+IF(AND(V300&lt;&gt;"",T300&lt;&gt;""),IF(V300=MONAT!$AZ$3,1,0),0)</f>
        <v/>
      </c>
    </row>
    <row r="301">
      <c r="A301" s="19" t="n"/>
      <c r="B301" s="20">
        <f>IF(A301="","",CHOOSE(WEEKDAY(A301,2),"Mo","Di","Mi","Do","Fr","Sa","So"))</f>
        <v/>
      </c>
      <c r="C301" s="20">
        <f>IF(A301="","",INT((A301-DATE(YEAR(A301-WEEKDAY(A301-1)+4),1,3)+WEEKDAY(DATE(YEAR(A301-WEEKDAY(A301-1)+4),1,3))+5)/7))</f>
        <v/>
      </c>
      <c r="D301" s="21" t="n"/>
      <c r="E301" s="22" t="n"/>
      <c r="F301" s="23" t="n"/>
      <c r="G301" s="23" t="n"/>
      <c r="H301" s="23" t="n"/>
      <c r="I301" s="20">
        <f>IF(COUNT(F301:H301)=0,"",SUM(F301:H301))</f>
        <v/>
      </c>
      <c r="J301" s="23" t="n"/>
      <c r="K301" s="23" t="n"/>
      <c r="L301" s="23" t="n"/>
      <c r="M301" s="23" t="n"/>
      <c r="N301" s="23" t="n"/>
      <c r="O301" s="20">
        <f>IF(OR(I301="",COUNT(J301:N301)=0),"",IF(SUM(J301:N301)=I301,"✓","⚠ "&amp;SUM(J301:N301)&amp;" statt "&amp;I301))</f>
        <v/>
      </c>
      <c r="P301" s="21" t="n"/>
      <c r="Q301" s="21" t="n"/>
      <c r="R301" s="21" t="n"/>
      <c r="S301" s="24" t="n"/>
      <c r="T301" s="24" t="n"/>
      <c r="V301">
        <f>IF(A301="","",MONTH(A301))</f>
        <v/>
      </c>
      <c r="W301">
        <f>N(W300)+IF(AND(C301&lt;&gt;"",T301&lt;&gt;""),IF(C301=WOCHE!$B$3,1,0),0)</f>
        <v/>
      </c>
      <c r="X301">
        <f>N(X300)+IF(AND(V301&lt;&gt;"",T301&lt;&gt;""),IF(V301=MONAT!$AZ$3,1,0),0)</f>
        <v/>
      </c>
    </row>
    <row r="302">
      <c r="A302" s="19" t="n"/>
      <c r="B302" s="20">
        <f>IF(A302="","",CHOOSE(WEEKDAY(A302,2),"Mo","Di","Mi","Do","Fr","Sa","So"))</f>
        <v/>
      </c>
      <c r="C302" s="20">
        <f>IF(A302="","",INT((A302-DATE(YEAR(A302-WEEKDAY(A302-1)+4),1,3)+WEEKDAY(DATE(YEAR(A302-WEEKDAY(A302-1)+4),1,3))+5)/7))</f>
        <v/>
      </c>
      <c r="D302" s="21" t="n"/>
      <c r="E302" s="22" t="n"/>
      <c r="F302" s="23" t="n"/>
      <c r="G302" s="23" t="n"/>
      <c r="H302" s="23" t="n"/>
      <c r="I302" s="20">
        <f>IF(COUNT(F302:H302)=0,"",SUM(F302:H302))</f>
        <v/>
      </c>
      <c r="J302" s="23" t="n"/>
      <c r="K302" s="23" t="n"/>
      <c r="L302" s="23" t="n"/>
      <c r="M302" s="23" t="n"/>
      <c r="N302" s="23" t="n"/>
      <c r="O302" s="20">
        <f>IF(OR(I302="",COUNT(J302:N302)=0),"",IF(SUM(J302:N302)=I302,"✓","⚠ "&amp;SUM(J302:N302)&amp;" statt "&amp;I302))</f>
        <v/>
      </c>
      <c r="P302" s="21" t="n"/>
      <c r="Q302" s="21" t="n"/>
      <c r="R302" s="21" t="n"/>
      <c r="S302" s="24" t="n"/>
      <c r="T302" s="24" t="n"/>
      <c r="V302">
        <f>IF(A302="","",MONTH(A302))</f>
        <v/>
      </c>
      <c r="W302">
        <f>N(W301)+IF(AND(C302&lt;&gt;"",T302&lt;&gt;""),IF(C302=WOCHE!$B$3,1,0),0)</f>
        <v/>
      </c>
      <c r="X302">
        <f>N(X301)+IF(AND(V302&lt;&gt;"",T302&lt;&gt;""),IF(V302=MONAT!$AZ$3,1,0),0)</f>
        <v/>
      </c>
    </row>
    <row r="303">
      <c r="A303" s="19" t="n"/>
      <c r="B303" s="20">
        <f>IF(A303="","",CHOOSE(WEEKDAY(A303,2),"Mo","Di","Mi","Do","Fr","Sa","So"))</f>
        <v/>
      </c>
      <c r="C303" s="20">
        <f>IF(A303="","",INT((A303-DATE(YEAR(A303-WEEKDAY(A303-1)+4),1,3)+WEEKDAY(DATE(YEAR(A303-WEEKDAY(A303-1)+4),1,3))+5)/7))</f>
        <v/>
      </c>
      <c r="D303" s="21" t="n"/>
      <c r="E303" s="22" t="n"/>
      <c r="F303" s="23" t="n"/>
      <c r="G303" s="23" t="n"/>
      <c r="H303" s="23" t="n"/>
      <c r="I303" s="20">
        <f>IF(COUNT(F303:H303)=0,"",SUM(F303:H303))</f>
        <v/>
      </c>
      <c r="J303" s="23" t="n"/>
      <c r="K303" s="23" t="n"/>
      <c r="L303" s="23" t="n"/>
      <c r="M303" s="23" t="n"/>
      <c r="N303" s="23" t="n"/>
      <c r="O303" s="20">
        <f>IF(OR(I303="",COUNT(J303:N303)=0),"",IF(SUM(J303:N303)=I303,"✓","⚠ "&amp;SUM(J303:N303)&amp;" statt "&amp;I303))</f>
        <v/>
      </c>
      <c r="P303" s="21" t="n"/>
      <c r="Q303" s="21" t="n"/>
      <c r="R303" s="21" t="n"/>
      <c r="S303" s="24" t="n"/>
      <c r="T303" s="24" t="n"/>
      <c r="V303">
        <f>IF(A303="","",MONTH(A303))</f>
        <v/>
      </c>
      <c r="W303">
        <f>N(W302)+IF(AND(C303&lt;&gt;"",T303&lt;&gt;""),IF(C303=WOCHE!$B$3,1,0),0)</f>
        <v/>
      </c>
      <c r="X303">
        <f>N(X302)+IF(AND(V303&lt;&gt;"",T303&lt;&gt;""),IF(V303=MONAT!$AZ$3,1,0),0)</f>
        <v/>
      </c>
    </row>
    <row r="304">
      <c r="A304" s="19" t="n"/>
      <c r="B304" s="20">
        <f>IF(A304="","",CHOOSE(WEEKDAY(A304,2),"Mo","Di","Mi","Do","Fr","Sa","So"))</f>
        <v/>
      </c>
      <c r="C304" s="20">
        <f>IF(A304="","",INT((A304-DATE(YEAR(A304-WEEKDAY(A304-1)+4),1,3)+WEEKDAY(DATE(YEAR(A304-WEEKDAY(A304-1)+4),1,3))+5)/7))</f>
        <v/>
      </c>
      <c r="D304" s="21" t="n"/>
      <c r="E304" s="22" t="n"/>
      <c r="F304" s="23" t="n"/>
      <c r="G304" s="23" t="n"/>
      <c r="H304" s="23" t="n"/>
      <c r="I304" s="20">
        <f>IF(COUNT(F304:H304)=0,"",SUM(F304:H304))</f>
        <v/>
      </c>
      <c r="J304" s="23" t="n"/>
      <c r="K304" s="23" t="n"/>
      <c r="L304" s="23" t="n"/>
      <c r="M304" s="23" t="n"/>
      <c r="N304" s="23" t="n"/>
      <c r="O304" s="20">
        <f>IF(OR(I304="",COUNT(J304:N304)=0),"",IF(SUM(J304:N304)=I304,"✓","⚠ "&amp;SUM(J304:N304)&amp;" statt "&amp;I304))</f>
        <v/>
      </c>
      <c r="P304" s="21" t="n"/>
      <c r="Q304" s="21" t="n"/>
      <c r="R304" s="21" t="n"/>
      <c r="S304" s="24" t="n"/>
      <c r="T304" s="24" t="n"/>
      <c r="V304">
        <f>IF(A304="","",MONTH(A304))</f>
        <v/>
      </c>
      <c r="W304">
        <f>N(W303)+IF(AND(C304&lt;&gt;"",T304&lt;&gt;""),IF(C304=WOCHE!$B$3,1,0),0)</f>
        <v/>
      </c>
      <c r="X304">
        <f>N(X303)+IF(AND(V304&lt;&gt;"",T304&lt;&gt;""),IF(V304=MONAT!$AZ$3,1,0),0)</f>
        <v/>
      </c>
    </row>
    <row r="305">
      <c r="A305" s="19" t="n"/>
      <c r="B305" s="20">
        <f>IF(A305="","",CHOOSE(WEEKDAY(A305,2),"Mo","Di","Mi","Do","Fr","Sa","So"))</f>
        <v/>
      </c>
      <c r="C305" s="20">
        <f>IF(A305="","",INT((A305-DATE(YEAR(A305-WEEKDAY(A305-1)+4),1,3)+WEEKDAY(DATE(YEAR(A305-WEEKDAY(A305-1)+4),1,3))+5)/7))</f>
        <v/>
      </c>
      <c r="D305" s="21" t="n"/>
      <c r="E305" s="22" t="n"/>
      <c r="F305" s="23" t="n"/>
      <c r="G305" s="23" t="n"/>
      <c r="H305" s="23" t="n"/>
      <c r="I305" s="20">
        <f>IF(COUNT(F305:H305)=0,"",SUM(F305:H305))</f>
        <v/>
      </c>
      <c r="J305" s="23" t="n"/>
      <c r="K305" s="23" t="n"/>
      <c r="L305" s="23" t="n"/>
      <c r="M305" s="23" t="n"/>
      <c r="N305" s="23" t="n"/>
      <c r="O305" s="20">
        <f>IF(OR(I305="",COUNT(J305:N305)=0),"",IF(SUM(J305:N305)=I305,"✓","⚠ "&amp;SUM(J305:N305)&amp;" statt "&amp;I305))</f>
        <v/>
      </c>
      <c r="P305" s="21" t="n"/>
      <c r="Q305" s="21" t="n"/>
      <c r="R305" s="21" t="n"/>
      <c r="S305" s="24" t="n"/>
      <c r="T305" s="24" t="n"/>
      <c r="V305">
        <f>IF(A305="","",MONTH(A305))</f>
        <v/>
      </c>
      <c r="W305">
        <f>N(W304)+IF(AND(C305&lt;&gt;"",T305&lt;&gt;""),IF(C305=WOCHE!$B$3,1,0),0)</f>
        <v/>
      </c>
      <c r="X305">
        <f>N(X304)+IF(AND(V305&lt;&gt;"",T305&lt;&gt;""),IF(V305=MONAT!$AZ$3,1,0),0)</f>
        <v/>
      </c>
    </row>
    <row r="306">
      <c r="A306" s="19" t="n"/>
      <c r="B306" s="20">
        <f>IF(A306="","",CHOOSE(WEEKDAY(A306,2),"Mo","Di","Mi","Do","Fr","Sa","So"))</f>
        <v/>
      </c>
      <c r="C306" s="20">
        <f>IF(A306="","",INT((A306-DATE(YEAR(A306-WEEKDAY(A306-1)+4),1,3)+WEEKDAY(DATE(YEAR(A306-WEEKDAY(A306-1)+4),1,3))+5)/7))</f>
        <v/>
      </c>
      <c r="D306" s="21" t="n"/>
      <c r="E306" s="22" t="n"/>
      <c r="F306" s="23" t="n"/>
      <c r="G306" s="23" t="n"/>
      <c r="H306" s="23" t="n"/>
      <c r="I306" s="20">
        <f>IF(COUNT(F306:H306)=0,"",SUM(F306:H306))</f>
        <v/>
      </c>
      <c r="J306" s="23" t="n"/>
      <c r="K306" s="23" t="n"/>
      <c r="L306" s="23" t="n"/>
      <c r="M306" s="23" t="n"/>
      <c r="N306" s="23" t="n"/>
      <c r="O306" s="20">
        <f>IF(OR(I306="",COUNT(J306:N306)=0),"",IF(SUM(J306:N306)=I306,"✓","⚠ "&amp;SUM(J306:N306)&amp;" statt "&amp;I306))</f>
        <v/>
      </c>
      <c r="P306" s="21" t="n"/>
      <c r="Q306" s="21" t="n"/>
      <c r="R306" s="21" t="n"/>
      <c r="S306" s="24" t="n"/>
      <c r="T306" s="24" t="n"/>
      <c r="V306">
        <f>IF(A306="","",MONTH(A306))</f>
        <v/>
      </c>
      <c r="W306">
        <f>N(W305)+IF(AND(C306&lt;&gt;"",T306&lt;&gt;""),IF(C306=WOCHE!$B$3,1,0),0)</f>
        <v/>
      </c>
      <c r="X306">
        <f>N(X305)+IF(AND(V306&lt;&gt;"",T306&lt;&gt;""),IF(V306=MONAT!$AZ$3,1,0),0)</f>
        <v/>
      </c>
    </row>
    <row r="307">
      <c r="A307" s="19" t="n"/>
      <c r="B307" s="20">
        <f>IF(A307="","",CHOOSE(WEEKDAY(A307,2),"Mo","Di","Mi","Do","Fr","Sa","So"))</f>
        <v/>
      </c>
      <c r="C307" s="20">
        <f>IF(A307="","",INT((A307-DATE(YEAR(A307-WEEKDAY(A307-1)+4),1,3)+WEEKDAY(DATE(YEAR(A307-WEEKDAY(A307-1)+4),1,3))+5)/7))</f>
        <v/>
      </c>
      <c r="D307" s="21" t="n"/>
      <c r="E307" s="22" t="n"/>
      <c r="F307" s="23" t="n"/>
      <c r="G307" s="23" t="n"/>
      <c r="H307" s="23" t="n"/>
      <c r="I307" s="20">
        <f>IF(COUNT(F307:H307)=0,"",SUM(F307:H307))</f>
        <v/>
      </c>
      <c r="J307" s="23" t="n"/>
      <c r="K307" s="23" t="n"/>
      <c r="L307" s="23" t="n"/>
      <c r="M307" s="23" t="n"/>
      <c r="N307" s="23" t="n"/>
      <c r="O307" s="20">
        <f>IF(OR(I307="",COUNT(J307:N307)=0),"",IF(SUM(J307:N307)=I307,"✓","⚠ "&amp;SUM(J307:N307)&amp;" statt "&amp;I307))</f>
        <v/>
      </c>
      <c r="P307" s="21" t="n"/>
      <c r="Q307" s="21" t="n"/>
      <c r="R307" s="21" t="n"/>
      <c r="S307" s="24" t="n"/>
      <c r="T307" s="24" t="n"/>
      <c r="V307">
        <f>IF(A307="","",MONTH(A307))</f>
        <v/>
      </c>
      <c r="W307">
        <f>N(W306)+IF(AND(C307&lt;&gt;"",T307&lt;&gt;""),IF(C307=WOCHE!$B$3,1,0),0)</f>
        <v/>
      </c>
      <c r="X307">
        <f>N(X306)+IF(AND(V307&lt;&gt;"",T307&lt;&gt;""),IF(V307=MONAT!$AZ$3,1,0),0)</f>
        <v/>
      </c>
    </row>
    <row r="308">
      <c r="A308" s="19" t="n"/>
      <c r="B308" s="20">
        <f>IF(A308="","",CHOOSE(WEEKDAY(A308,2),"Mo","Di","Mi","Do","Fr","Sa","So"))</f>
        <v/>
      </c>
      <c r="C308" s="20">
        <f>IF(A308="","",INT((A308-DATE(YEAR(A308-WEEKDAY(A308-1)+4),1,3)+WEEKDAY(DATE(YEAR(A308-WEEKDAY(A308-1)+4),1,3))+5)/7))</f>
        <v/>
      </c>
      <c r="D308" s="21" t="n"/>
      <c r="E308" s="22" t="n"/>
      <c r="F308" s="23" t="n"/>
      <c r="G308" s="23" t="n"/>
      <c r="H308" s="23" t="n"/>
      <c r="I308" s="20">
        <f>IF(COUNT(F308:H308)=0,"",SUM(F308:H308))</f>
        <v/>
      </c>
      <c r="J308" s="23" t="n"/>
      <c r="K308" s="23" t="n"/>
      <c r="L308" s="23" t="n"/>
      <c r="M308" s="23" t="n"/>
      <c r="N308" s="23" t="n"/>
      <c r="O308" s="20">
        <f>IF(OR(I308="",COUNT(J308:N308)=0),"",IF(SUM(J308:N308)=I308,"✓","⚠ "&amp;SUM(J308:N308)&amp;" statt "&amp;I308))</f>
        <v/>
      </c>
      <c r="P308" s="21" t="n"/>
      <c r="Q308" s="21" t="n"/>
      <c r="R308" s="21" t="n"/>
      <c r="S308" s="24" t="n"/>
      <c r="T308" s="24" t="n"/>
      <c r="V308">
        <f>IF(A308="","",MONTH(A308))</f>
        <v/>
      </c>
      <c r="W308">
        <f>N(W307)+IF(AND(C308&lt;&gt;"",T308&lt;&gt;""),IF(C308=WOCHE!$B$3,1,0),0)</f>
        <v/>
      </c>
      <c r="X308">
        <f>N(X307)+IF(AND(V308&lt;&gt;"",T308&lt;&gt;""),IF(V308=MONAT!$AZ$3,1,0),0)</f>
        <v/>
      </c>
    </row>
    <row r="309">
      <c r="A309" s="19" t="n"/>
      <c r="B309" s="20">
        <f>IF(A309="","",CHOOSE(WEEKDAY(A309,2),"Mo","Di","Mi","Do","Fr","Sa","So"))</f>
        <v/>
      </c>
      <c r="C309" s="20">
        <f>IF(A309="","",INT((A309-DATE(YEAR(A309-WEEKDAY(A309-1)+4),1,3)+WEEKDAY(DATE(YEAR(A309-WEEKDAY(A309-1)+4),1,3))+5)/7))</f>
        <v/>
      </c>
      <c r="D309" s="21" t="n"/>
      <c r="E309" s="22" t="n"/>
      <c r="F309" s="23" t="n"/>
      <c r="G309" s="23" t="n"/>
      <c r="H309" s="23" t="n"/>
      <c r="I309" s="20">
        <f>IF(COUNT(F309:H309)=0,"",SUM(F309:H309))</f>
        <v/>
      </c>
      <c r="J309" s="23" t="n"/>
      <c r="K309" s="23" t="n"/>
      <c r="L309" s="23" t="n"/>
      <c r="M309" s="23" t="n"/>
      <c r="N309" s="23" t="n"/>
      <c r="O309" s="20">
        <f>IF(OR(I309="",COUNT(J309:N309)=0),"",IF(SUM(J309:N309)=I309,"✓","⚠ "&amp;SUM(J309:N309)&amp;" statt "&amp;I309))</f>
        <v/>
      </c>
      <c r="P309" s="21" t="n"/>
      <c r="Q309" s="21" t="n"/>
      <c r="R309" s="21" t="n"/>
      <c r="S309" s="24" t="n"/>
      <c r="T309" s="24" t="n"/>
      <c r="V309">
        <f>IF(A309="","",MONTH(A309))</f>
        <v/>
      </c>
      <c r="W309">
        <f>N(W308)+IF(AND(C309&lt;&gt;"",T309&lt;&gt;""),IF(C309=WOCHE!$B$3,1,0),0)</f>
        <v/>
      </c>
      <c r="X309">
        <f>N(X308)+IF(AND(V309&lt;&gt;"",T309&lt;&gt;""),IF(V309=MONAT!$AZ$3,1,0),0)</f>
        <v/>
      </c>
    </row>
    <row r="310">
      <c r="A310" s="19" t="n"/>
      <c r="B310" s="20">
        <f>IF(A310="","",CHOOSE(WEEKDAY(A310,2),"Mo","Di","Mi","Do","Fr","Sa","So"))</f>
        <v/>
      </c>
      <c r="C310" s="20">
        <f>IF(A310="","",INT((A310-DATE(YEAR(A310-WEEKDAY(A310-1)+4),1,3)+WEEKDAY(DATE(YEAR(A310-WEEKDAY(A310-1)+4),1,3))+5)/7))</f>
        <v/>
      </c>
      <c r="D310" s="21" t="n"/>
      <c r="E310" s="22" t="n"/>
      <c r="F310" s="23" t="n"/>
      <c r="G310" s="23" t="n"/>
      <c r="H310" s="23" t="n"/>
      <c r="I310" s="20">
        <f>IF(COUNT(F310:H310)=0,"",SUM(F310:H310))</f>
        <v/>
      </c>
      <c r="J310" s="23" t="n"/>
      <c r="K310" s="23" t="n"/>
      <c r="L310" s="23" t="n"/>
      <c r="M310" s="23" t="n"/>
      <c r="N310" s="23" t="n"/>
      <c r="O310" s="20">
        <f>IF(OR(I310="",COUNT(J310:N310)=0),"",IF(SUM(J310:N310)=I310,"✓","⚠ "&amp;SUM(J310:N310)&amp;" statt "&amp;I310))</f>
        <v/>
      </c>
      <c r="P310" s="21" t="n"/>
      <c r="Q310" s="21" t="n"/>
      <c r="R310" s="21" t="n"/>
      <c r="S310" s="24" t="n"/>
      <c r="T310" s="24" t="n"/>
      <c r="V310">
        <f>IF(A310="","",MONTH(A310))</f>
        <v/>
      </c>
      <c r="W310">
        <f>N(W309)+IF(AND(C310&lt;&gt;"",T310&lt;&gt;""),IF(C310=WOCHE!$B$3,1,0),0)</f>
        <v/>
      </c>
      <c r="X310">
        <f>N(X309)+IF(AND(V310&lt;&gt;"",T310&lt;&gt;""),IF(V310=MONAT!$AZ$3,1,0),0)</f>
        <v/>
      </c>
    </row>
    <row r="311">
      <c r="A311" s="19" t="n"/>
      <c r="B311" s="20">
        <f>IF(A311="","",CHOOSE(WEEKDAY(A311,2),"Mo","Di","Mi","Do","Fr","Sa","So"))</f>
        <v/>
      </c>
      <c r="C311" s="20">
        <f>IF(A311="","",INT((A311-DATE(YEAR(A311-WEEKDAY(A311-1)+4),1,3)+WEEKDAY(DATE(YEAR(A311-WEEKDAY(A311-1)+4),1,3))+5)/7))</f>
        <v/>
      </c>
      <c r="D311" s="21" t="n"/>
      <c r="E311" s="22" t="n"/>
      <c r="F311" s="23" t="n"/>
      <c r="G311" s="23" t="n"/>
      <c r="H311" s="23" t="n"/>
      <c r="I311" s="20">
        <f>IF(COUNT(F311:H311)=0,"",SUM(F311:H311))</f>
        <v/>
      </c>
      <c r="J311" s="23" t="n"/>
      <c r="K311" s="23" t="n"/>
      <c r="L311" s="23" t="n"/>
      <c r="M311" s="23" t="n"/>
      <c r="N311" s="23" t="n"/>
      <c r="O311" s="20">
        <f>IF(OR(I311="",COUNT(J311:N311)=0),"",IF(SUM(J311:N311)=I311,"✓","⚠ "&amp;SUM(J311:N311)&amp;" statt "&amp;I311))</f>
        <v/>
      </c>
      <c r="P311" s="21" t="n"/>
      <c r="Q311" s="21" t="n"/>
      <c r="R311" s="21" t="n"/>
      <c r="S311" s="24" t="n"/>
      <c r="T311" s="24" t="n"/>
      <c r="V311">
        <f>IF(A311="","",MONTH(A311))</f>
        <v/>
      </c>
      <c r="W311">
        <f>N(W310)+IF(AND(C311&lt;&gt;"",T311&lt;&gt;""),IF(C311=WOCHE!$B$3,1,0),0)</f>
        <v/>
      </c>
      <c r="X311">
        <f>N(X310)+IF(AND(V311&lt;&gt;"",T311&lt;&gt;""),IF(V311=MONAT!$AZ$3,1,0),0)</f>
        <v/>
      </c>
    </row>
    <row r="312">
      <c r="A312" s="19" t="n"/>
      <c r="B312" s="20">
        <f>IF(A312="","",CHOOSE(WEEKDAY(A312,2),"Mo","Di","Mi","Do","Fr","Sa","So"))</f>
        <v/>
      </c>
      <c r="C312" s="20">
        <f>IF(A312="","",INT((A312-DATE(YEAR(A312-WEEKDAY(A312-1)+4),1,3)+WEEKDAY(DATE(YEAR(A312-WEEKDAY(A312-1)+4),1,3))+5)/7))</f>
        <v/>
      </c>
      <c r="D312" s="21" t="n"/>
      <c r="E312" s="22" t="n"/>
      <c r="F312" s="23" t="n"/>
      <c r="G312" s="23" t="n"/>
      <c r="H312" s="23" t="n"/>
      <c r="I312" s="20">
        <f>IF(COUNT(F312:H312)=0,"",SUM(F312:H312))</f>
        <v/>
      </c>
      <c r="J312" s="23" t="n"/>
      <c r="K312" s="23" t="n"/>
      <c r="L312" s="23" t="n"/>
      <c r="M312" s="23" t="n"/>
      <c r="N312" s="23" t="n"/>
      <c r="O312" s="20">
        <f>IF(OR(I312="",COUNT(J312:N312)=0),"",IF(SUM(J312:N312)=I312,"✓","⚠ "&amp;SUM(J312:N312)&amp;" statt "&amp;I312))</f>
        <v/>
      </c>
      <c r="P312" s="21" t="n"/>
      <c r="Q312" s="21" t="n"/>
      <c r="R312" s="21" t="n"/>
      <c r="S312" s="24" t="n"/>
      <c r="T312" s="24" t="n"/>
      <c r="V312">
        <f>IF(A312="","",MONTH(A312))</f>
        <v/>
      </c>
      <c r="W312">
        <f>N(W311)+IF(AND(C312&lt;&gt;"",T312&lt;&gt;""),IF(C312=WOCHE!$B$3,1,0),0)</f>
        <v/>
      </c>
      <c r="X312">
        <f>N(X311)+IF(AND(V312&lt;&gt;"",T312&lt;&gt;""),IF(V312=MONAT!$AZ$3,1,0),0)</f>
        <v/>
      </c>
    </row>
    <row r="313">
      <c r="A313" s="19" t="n"/>
      <c r="B313" s="20">
        <f>IF(A313="","",CHOOSE(WEEKDAY(A313,2),"Mo","Di","Mi","Do","Fr","Sa","So"))</f>
        <v/>
      </c>
      <c r="C313" s="20">
        <f>IF(A313="","",INT((A313-DATE(YEAR(A313-WEEKDAY(A313-1)+4),1,3)+WEEKDAY(DATE(YEAR(A313-WEEKDAY(A313-1)+4),1,3))+5)/7))</f>
        <v/>
      </c>
      <c r="D313" s="21" t="n"/>
      <c r="E313" s="22" t="n"/>
      <c r="F313" s="23" t="n"/>
      <c r="G313" s="23" t="n"/>
      <c r="H313" s="23" t="n"/>
      <c r="I313" s="20">
        <f>IF(COUNT(F313:H313)=0,"",SUM(F313:H313))</f>
        <v/>
      </c>
      <c r="J313" s="23" t="n"/>
      <c r="K313" s="23" t="n"/>
      <c r="L313" s="23" t="n"/>
      <c r="M313" s="23" t="n"/>
      <c r="N313" s="23" t="n"/>
      <c r="O313" s="20">
        <f>IF(OR(I313="",COUNT(J313:N313)=0),"",IF(SUM(J313:N313)=I313,"✓","⚠ "&amp;SUM(J313:N313)&amp;" statt "&amp;I313))</f>
        <v/>
      </c>
      <c r="P313" s="21" t="n"/>
      <c r="Q313" s="21" t="n"/>
      <c r="R313" s="21" t="n"/>
      <c r="S313" s="24" t="n"/>
      <c r="T313" s="24" t="n"/>
      <c r="V313">
        <f>IF(A313="","",MONTH(A313))</f>
        <v/>
      </c>
      <c r="W313">
        <f>N(W312)+IF(AND(C313&lt;&gt;"",T313&lt;&gt;""),IF(C313=WOCHE!$B$3,1,0),0)</f>
        <v/>
      </c>
      <c r="X313">
        <f>N(X312)+IF(AND(V313&lt;&gt;"",T313&lt;&gt;""),IF(V313=MONAT!$AZ$3,1,0),0)</f>
        <v/>
      </c>
    </row>
    <row r="314">
      <c r="A314" s="19" t="n"/>
      <c r="B314" s="20">
        <f>IF(A314="","",CHOOSE(WEEKDAY(A314,2),"Mo","Di","Mi","Do","Fr","Sa","So"))</f>
        <v/>
      </c>
      <c r="C314" s="20">
        <f>IF(A314="","",INT((A314-DATE(YEAR(A314-WEEKDAY(A314-1)+4),1,3)+WEEKDAY(DATE(YEAR(A314-WEEKDAY(A314-1)+4),1,3))+5)/7))</f>
        <v/>
      </c>
      <c r="D314" s="21" t="n"/>
      <c r="E314" s="22" t="n"/>
      <c r="F314" s="23" t="n"/>
      <c r="G314" s="23" t="n"/>
      <c r="H314" s="23" t="n"/>
      <c r="I314" s="20">
        <f>IF(COUNT(F314:H314)=0,"",SUM(F314:H314))</f>
        <v/>
      </c>
      <c r="J314" s="23" t="n"/>
      <c r="K314" s="23" t="n"/>
      <c r="L314" s="23" t="n"/>
      <c r="M314" s="23" t="n"/>
      <c r="N314" s="23" t="n"/>
      <c r="O314" s="20">
        <f>IF(OR(I314="",COUNT(J314:N314)=0),"",IF(SUM(J314:N314)=I314,"✓","⚠ "&amp;SUM(J314:N314)&amp;" statt "&amp;I314))</f>
        <v/>
      </c>
      <c r="P314" s="21" t="n"/>
      <c r="Q314" s="21" t="n"/>
      <c r="R314" s="21" t="n"/>
      <c r="S314" s="24" t="n"/>
      <c r="T314" s="24" t="n"/>
      <c r="V314">
        <f>IF(A314="","",MONTH(A314))</f>
        <v/>
      </c>
      <c r="W314">
        <f>N(W313)+IF(AND(C314&lt;&gt;"",T314&lt;&gt;""),IF(C314=WOCHE!$B$3,1,0),0)</f>
        <v/>
      </c>
      <c r="X314">
        <f>N(X313)+IF(AND(V314&lt;&gt;"",T314&lt;&gt;""),IF(V314=MONAT!$AZ$3,1,0),0)</f>
        <v/>
      </c>
    </row>
    <row r="315">
      <c r="A315" s="19" t="n"/>
      <c r="B315" s="20">
        <f>IF(A315="","",CHOOSE(WEEKDAY(A315,2),"Mo","Di","Mi","Do","Fr","Sa","So"))</f>
        <v/>
      </c>
      <c r="C315" s="20">
        <f>IF(A315="","",INT((A315-DATE(YEAR(A315-WEEKDAY(A315-1)+4),1,3)+WEEKDAY(DATE(YEAR(A315-WEEKDAY(A315-1)+4),1,3))+5)/7))</f>
        <v/>
      </c>
      <c r="D315" s="21" t="n"/>
      <c r="E315" s="22" t="n"/>
      <c r="F315" s="23" t="n"/>
      <c r="G315" s="23" t="n"/>
      <c r="H315" s="23" t="n"/>
      <c r="I315" s="20">
        <f>IF(COUNT(F315:H315)=0,"",SUM(F315:H315))</f>
        <v/>
      </c>
      <c r="J315" s="23" t="n"/>
      <c r="K315" s="23" t="n"/>
      <c r="L315" s="23" t="n"/>
      <c r="M315" s="23" t="n"/>
      <c r="N315" s="23" t="n"/>
      <c r="O315" s="20">
        <f>IF(OR(I315="",COUNT(J315:N315)=0),"",IF(SUM(J315:N315)=I315,"✓","⚠ "&amp;SUM(J315:N315)&amp;" statt "&amp;I315))</f>
        <v/>
      </c>
      <c r="P315" s="21" t="n"/>
      <c r="Q315" s="21" t="n"/>
      <c r="R315" s="21" t="n"/>
      <c r="S315" s="24" t="n"/>
      <c r="T315" s="24" t="n"/>
      <c r="V315">
        <f>IF(A315="","",MONTH(A315))</f>
        <v/>
      </c>
      <c r="W315">
        <f>N(W314)+IF(AND(C315&lt;&gt;"",T315&lt;&gt;""),IF(C315=WOCHE!$B$3,1,0),0)</f>
        <v/>
      </c>
      <c r="X315">
        <f>N(X314)+IF(AND(V315&lt;&gt;"",T315&lt;&gt;""),IF(V315=MONAT!$AZ$3,1,0),0)</f>
        <v/>
      </c>
    </row>
    <row r="316">
      <c r="A316" s="19" t="n"/>
      <c r="B316" s="20">
        <f>IF(A316="","",CHOOSE(WEEKDAY(A316,2),"Mo","Di","Mi","Do","Fr","Sa","So"))</f>
        <v/>
      </c>
      <c r="C316" s="20">
        <f>IF(A316="","",INT((A316-DATE(YEAR(A316-WEEKDAY(A316-1)+4),1,3)+WEEKDAY(DATE(YEAR(A316-WEEKDAY(A316-1)+4),1,3))+5)/7))</f>
        <v/>
      </c>
      <c r="D316" s="21" t="n"/>
      <c r="E316" s="22" t="n"/>
      <c r="F316" s="23" t="n"/>
      <c r="G316" s="23" t="n"/>
      <c r="H316" s="23" t="n"/>
      <c r="I316" s="20">
        <f>IF(COUNT(F316:H316)=0,"",SUM(F316:H316))</f>
        <v/>
      </c>
      <c r="J316" s="23" t="n"/>
      <c r="K316" s="23" t="n"/>
      <c r="L316" s="23" t="n"/>
      <c r="M316" s="23" t="n"/>
      <c r="N316" s="23" t="n"/>
      <c r="O316" s="20">
        <f>IF(OR(I316="",COUNT(J316:N316)=0),"",IF(SUM(J316:N316)=I316,"✓","⚠ "&amp;SUM(J316:N316)&amp;" statt "&amp;I316))</f>
        <v/>
      </c>
      <c r="P316" s="21" t="n"/>
      <c r="Q316" s="21" t="n"/>
      <c r="R316" s="21" t="n"/>
      <c r="S316" s="24" t="n"/>
      <c r="T316" s="24" t="n"/>
      <c r="V316">
        <f>IF(A316="","",MONTH(A316))</f>
        <v/>
      </c>
      <c r="W316">
        <f>N(W315)+IF(AND(C316&lt;&gt;"",T316&lt;&gt;""),IF(C316=WOCHE!$B$3,1,0),0)</f>
        <v/>
      </c>
      <c r="X316">
        <f>N(X315)+IF(AND(V316&lt;&gt;"",T316&lt;&gt;""),IF(V316=MONAT!$AZ$3,1,0),0)</f>
        <v/>
      </c>
    </row>
    <row r="317">
      <c r="A317" s="19" t="n"/>
      <c r="B317" s="20">
        <f>IF(A317="","",CHOOSE(WEEKDAY(A317,2),"Mo","Di","Mi","Do","Fr","Sa","So"))</f>
        <v/>
      </c>
      <c r="C317" s="20">
        <f>IF(A317="","",INT((A317-DATE(YEAR(A317-WEEKDAY(A317-1)+4),1,3)+WEEKDAY(DATE(YEAR(A317-WEEKDAY(A317-1)+4),1,3))+5)/7))</f>
        <v/>
      </c>
      <c r="D317" s="21" t="n"/>
      <c r="E317" s="22" t="n"/>
      <c r="F317" s="23" t="n"/>
      <c r="G317" s="23" t="n"/>
      <c r="H317" s="23" t="n"/>
      <c r="I317" s="20">
        <f>IF(COUNT(F317:H317)=0,"",SUM(F317:H317))</f>
        <v/>
      </c>
      <c r="J317" s="23" t="n"/>
      <c r="K317" s="23" t="n"/>
      <c r="L317" s="23" t="n"/>
      <c r="M317" s="23" t="n"/>
      <c r="N317" s="23" t="n"/>
      <c r="O317" s="20">
        <f>IF(OR(I317="",COUNT(J317:N317)=0),"",IF(SUM(J317:N317)=I317,"✓","⚠ "&amp;SUM(J317:N317)&amp;" statt "&amp;I317))</f>
        <v/>
      </c>
      <c r="P317" s="21" t="n"/>
      <c r="Q317" s="21" t="n"/>
      <c r="R317" s="21" t="n"/>
      <c r="S317" s="24" t="n"/>
      <c r="T317" s="24" t="n"/>
      <c r="V317">
        <f>IF(A317="","",MONTH(A317))</f>
        <v/>
      </c>
      <c r="W317">
        <f>N(W316)+IF(AND(C317&lt;&gt;"",T317&lt;&gt;""),IF(C317=WOCHE!$B$3,1,0),0)</f>
        <v/>
      </c>
      <c r="X317">
        <f>N(X316)+IF(AND(V317&lt;&gt;"",T317&lt;&gt;""),IF(V317=MONAT!$AZ$3,1,0),0)</f>
        <v/>
      </c>
    </row>
    <row r="318">
      <c r="A318" s="19" t="n"/>
      <c r="B318" s="20">
        <f>IF(A318="","",CHOOSE(WEEKDAY(A318,2),"Mo","Di","Mi","Do","Fr","Sa","So"))</f>
        <v/>
      </c>
      <c r="C318" s="20">
        <f>IF(A318="","",INT((A318-DATE(YEAR(A318-WEEKDAY(A318-1)+4),1,3)+WEEKDAY(DATE(YEAR(A318-WEEKDAY(A318-1)+4),1,3))+5)/7))</f>
        <v/>
      </c>
      <c r="D318" s="21" t="n"/>
      <c r="E318" s="22" t="n"/>
      <c r="F318" s="23" t="n"/>
      <c r="G318" s="23" t="n"/>
      <c r="H318" s="23" t="n"/>
      <c r="I318" s="20">
        <f>IF(COUNT(F318:H318)=0,"",SUM(F318:H318))</f>
        <v/>
      </c>
      <c r="J318" s="23" t="n"/>
      <c r="K318" s="23" t="n"/>
      <c r="L318" s="23" t="n"/>
      <c r="M318" s="23" t="n"/>
      <c r="N318" s="23" t="n"/>
      <c r="O318" s="20">
        <f>IF(OR(I318="",COUNT(J318:N318)=0),"",IF(SUM(J318:N318)=I318,"✓","⚠ "&amp;SUM(J318:N318)&amp;" statt "&amp;I318))</f>
        <v/>
      </c>
      <c r="P318" s="21" t="n"/>
      <c r="Q318" s="21" t="n"/>
      <c r="R318" s="21" t="n"/>
      <c r="S318" s="24" t="n"/>
      <c r="T318" s="24" t="n"/>
      <c r="V318">
        <f>IF(A318="","",MONTH(A318))</f>
        <v/>
      </c>
      <c r="W318">
        <f>N(W317)+IF(AND(C318&lt;&gt;"",T318&lt;&gt;""),IF(C318=WOCHE!$B$3,1,0),0)</f>
        <v/>
      </c>
      <c r="X318">
        <f>N(X317)+IF(AND(V318&lt;&gt;"",T318&lt;&gt;""),IF(V318=MONAT!$AZ$3,1,0),0)</f>
        <v/>
      </c>
    </row>
    <row r="319">
      <c r="A319" s="19" t="n"/>
      <c r="B319" s="20">
        <f>IF(A319="","",CHOOSE(WEEKDAY(A319,2),"Mo","Di","Mi","Do","Fr","Sa","So"))</f>
        <v/>
      </c>
      <c r="C319" s="20">
        <f>IF(A319="","",INT((A319-DATE(YEAR(A319-WEEKDAY(A319-1)+4),1,3)+WEEKDAY(DATE(YEAR(A319-WEEKDAY(A319-1)+4),1,3))+5)/7))</f>
        <v/>
      </c>
      <c r="D319" s="21" t="n"/>
      <c r="E319" s="22" t="n"/>
      <c r="F319" s="23" t="n"/>
      <c r="G319" s="23" t="n"/>
      <c r="H319" s="23" t="n"/>
      <c r="I319" s="20">
        <f>IF(COUNT(F319:H319)=0,"",SUM(F319:H319))</f>
        <v/>
      </c>
      <c r="J319" s="23" t="n"/>
      <c r="K319" s="23" t="n"/>
      <c r="L319" s="23" t="n"/>
      <c r="M319" s="23" t="n"/>
      <c r="N319" s="23" t="n"/>
      <c r="O319" s="20">
        <f>IF(OR(I319="",COUNT(J319:N319)=0),"",IF(SUM(J319:N319)=I319,"✓","⚠ "&amp;SUM(J319:N319)&amp;" statt "&amp;I319))</f>
        <v/>
      </c>
      <c r="P319" s="21" t="n"/>
      <c r="Q319" s="21" t="n"/>
      <c r="R319" s="21" t="n"/>
      <c r="S319" s="24" t="n"/>
      <c r="T319" s="24" t="n"/>
      <c r="V319">
        <f>IF(A319="","",MONTH(A319))</f>
        <v/>
      </c>
      <c r="W319">
        <f>N(W318)+IF(AND(C319&lt;&gt;"",T319&lt;&gt;""),IF(C319=WOCHE!$B$3,1,0),0)</f>
        <v/>
      </c>
      <c r="X319">
        <f>N(X318)+IF(AND(V319&lt;&gt;"",T319&lt;&gt;""),IF(V319=MONAT!$AZ$3,1,0),0)</f>
        <v/>
      </c>
    </row>
    <row r="320">
      <c r="A320" s="19" t="n"/>
      <c r="B320" s="20">
        <f>IF(A320="","",CHOOSE(WEEKDAY(A320,2),"Mo","Di","Mi","Do","Fr","Sa","So"))</f>
        <v/>
      </c>
      <c r="C320" s="20">
        <f>IF(A320="","",INT((A320-DATE(YEAR(A320-WEEKDAY(A320-1)+4),1,3)+WEEKDAY(DATE(YEAR(A320-WEEKDAY(A320-1)+4),1,3))+5)/7))</f>
        <v/>
      </c>
      <c r="D320" s="21" t="n"/>
      <c r="E320" s="22" t="n"/>
      <c r="F320" s="23" t="n"/>
      <c r="G320" s="23" t="n"/>
      <c r="H320" s="23" t="n"/>
      <c r="I320" s="20">
        <f>IF(COUNT(F320:H320)=0,"",SUM(F320:H320))</f>
        <v/>
      </c>
      <c r="J320" s="23" t="n"/>
      <c r="K320" s="23" t="n"/>
      <c r="L320" s="23" t="n"/>
      <c r="M320" s="23" t="n"/>
      <c r="N320" s="23" t="n"/>
      <c r="O320" s="20">
        <f>IF(OR(I320="",COUNT(J320:N320)=0),"",IF(SUM(J320:N320)=I320,"✓","⚠ "&amp;SUM(J320:N320)&amp;" statt "&amp;I320))</f>
        <v/>
      </c>
      <c r="P320" s="21" t="n"/>
      <c r="Q320" s="21" t="n"/>
      <c r="R320" s="21" t="n"/>
      <c r="S320" s="24" t="n"/>
      <c r="T320" s="24" t="n"/>
      <c r="V320">
        <f>IF(A320="","",MONTH(A320))</f>
        <v/>
      </c>
      <c r="W320">
        <f>N(W319)+IF(AND(C320&lt;&gt;"",T320&lt;&gt;""),IF(C320=WOCHE!$B$3,1,0),0)</f>
        <v/>
      </c>
      <c r="X320">
        <f>N(X319)+IF(AND(V320&lt;&gt;"",T320&lt;&gt;""),IF(V320=MONAT!$AZ$3,1,0),0)</f>
        <v/>
      </c>
    </row>
    <row r="321">
      <c r="A321" s="19" t="n"/>
      <c r="B321" s="20">
        <f>IF(A321="","",CHOOSE(WEEKDAY(A321,2),"Mo","Di","Mi","Do","Fr","Sa","So"))</f>
        <v/>
      </c>
      <c r="C321" s="20">
        <f>IF(A321="","",INT((A321-DATE(YEAR(A321-WEEKDAY(A321-1)+4),1,3)+WEEKDAY(DATE(YEAR(A321-WEEKDAY(A321-1)+4),1,3))+5)/7))</f>
        <v/>
      </c>
      <c r="D321" s="21" t="n"/>
      <c r="E321" s="22" t="n"/>
      <c r="F321" s="23" t="n"/>
      <c r="G321" s="23" t="n"/>
      <c r="H321" s="23" t="n"/>
      <c r="I321" s="20">
        <f>IF(COUNT(F321:H321)=0,"",SUM(F321:H321))</f>
        <v/>
      </c>
      <c r="J321" s="23" t="n"/>
      <c r="K321" s="23" t="n"/>
      <c r="L321" s="23" t="n"/>
      <c r="M321" s="23" t="n"/>
      <c r="N321" s="23" t="n"/>
      <c r="O321" s="20">
        <f>IF(OR(I321="",COUNT(J321:N321)=0),"",IF(SUM(J321:N321)=I321,"✓","⚠ "&amp;SUM(J321:N321)&amp;" statt "&amp;I321))</f>
        <v/>
      </c>
      <c r="P321" s="21" t="n"/>
      <c r="Q321" s="21" t="n"/>
      <c r="R321" s="21" t="n"/>
      <c r="S321" s="24" t="n"/>
      <c r="T321" s="24" t="n"/>
      <c r="V321">
        <f>IF(A321="","",MONTH(A321))</f>
        <v/>
      </c>
      <c r="W321">
        <f>N(W320)+IF(AND(C321&lt;&gt;"",T321&lt;&gt;""),IF(C321=WOCHE!$B$3,1,0),0)</f>
        <v/>
      </c>
      <c r="X321">
        <f>N(X320)+IF(AND(V321&lt;&gt;"",T321&lt;&gt;""),IF(V321=MONAT!$AZ$3,1,0),0)</f>
        <v/>
      </c>
    </row>
    <row r="322">
      <c r="A322" s="19" t="n"/>
      <c r="B322" s="20">
        <f>IF(A322="","",CHOOSE(WEEKDAY(A322,2),"Mo","Di","Mi","Do","Fr","Sa","So"))</f>
        <v/>
      </c>
      <c r="C322" s="20">
        <f>IF(A322="","",INT((A322-DATE(YEAR(A322-WEEKDAY(A322-1)+4),1,3)+WEEKDAY(DATE(YEAR(A322-WEEKDAY(A322-1)+4),1,3))+5)/7))</f>
        <v/>
      </c>
      <c r="D322" s="21" t="n"/>
      <c r="E322" s="22" t="n"/>
      <c r="F322" s="23" t="n"/>
      <c r="G322" s="23" t="n"/>
      <c r="H322" s="23" t="n"/>
      <c r="I322" s="20">
        <f>IF(COUNT(F322:H322)=0,"",SUM(F322:H322))</f>
        <v/>
      </c>
      <c r="J322" s="23" t="n"/>
      <c r="K322" s="23" t="n"/>
      <c r="L322" s="23" t="n"/>
      <c r="M322" s="23" t="n"/>
      <c r="N322" s="23" t="n"/>
      <c r="O322" s="20">
        <f>IF(OR(I322="",COUNT(J322:N322)=0),"",IF(SUM(J322:N322)=I322,"✓","⚠ "&amp;SUM(J322:N322)&amp;" statt "&amp;I322))</f>
        <v/>
      </c>
      <c r="P322" s="21" t="n"/>
      <c r="Q322" s="21" t="n"/>
      <c r="R322" s="21" t="n"/>
      <c r="S322" s="24" t="n"/>
      <c r="T322" s="24" t="n"/>
      <c r="V322">
        <f>IF(A322="","",MONTH(A322))</f>
        <v/>
      </c>
      <c r="W322">
        <f>N(W321)+IF(AND(C322&lt;&gt;"",T322&lt;&gt;""),IF(C322=WOCHE!$B$3,1,0),0)</f>
        <v/>
      </c>
      <c r="X322">
        <f>N(X321)+IF(AND(V322&lt;&gt;"",T322&lt;&gt;""),IF(V322=MONAT!$AZ$3,1,0),0)</f>
        <v/>
      </c>
    </row>
    <row r="323">
      <c r="A323" s="19" t="n"/>
      <c r="B323" s="20">
        <f>IF(A323="","",CHOOSE(WEEKDAY(A323,2),"Mo","Di","Mi","Do","Fr","Sa","So"))</f>
        <v/>
      </c>
      <c r="C323" s="20">
        <f>IF(A323="","",INT((A323-DATE(YEAR(A323-WEEKDAY(A323-1)+4),1,3)+WEEKDAY(DATE(YEAR(A323-WEEKDAY(A323-1)+4),1,3))+5)/7))</f>
        <v/>
      </c>
      <c r="D323" s="21" t="n"/>
      <c r="E323" s="22" t="n"/>
      <c r="F323" s="23" t="n"/>
      <c r="G323" s="23" t="n"/>
      <c r="H323" s="23" t="n"/>
      <c r="I323" s="20">
        <f>IF(COUNT(F323:H323)=0,"",SUM(F323:H323))</f>
        <v/>
      </c>
      <c r="J323" s="23" t="n"/>
      <c r="K323" s="23" t="n"/>
      <c r="L323" s="23" t="n"/>
      <c r="M323" s="23" t="n"/>
      <c r="N323" s="23" t="n"/>
      <c r="O323" s="20">
        <f>IF(OR(I323="",COUNT(J323:N323)=0),"",IF(SUM(J323:N323)=I323,"✓","⚠ "&amp;SUM(J323:N323)&amp;" statt "&amp;I323))</f>
        <v/>
      </c>
      <c r="P323" s="21" t="n"/>
      <c r="Q323" s="21" t="n"/>
      <c r="R323" s="21" t="n"/>
      <c r="S323" s="24" t="n"/>
      <c r="T323" s="24" t="n"/>
      <c r="V323">
        <f>IF(A323="","",MONTH(A323))</f>
        <v/>
      </c>
      <c r="W323">
        <f>N(W322)+IF(AND(C323&lt;&gt;"",T323&lt;&gt;""),IF(C323=WOCHE!$B$3,1,0),0)</f>
        <v/>
      </c>
      <c r="X323">
        <f>N(X322)+IF(AND(V323&lt;&gt;"",T323&lt;&gt;""),IF(V323=MONAT!$AZ$3,1,0),0)</f>
        <v/>
      </c>
    </row>
    <row r="324">
      <c r="A324" s="19" t="n"/>
      <c r="B324" s="20">
        <f>IF(A324="","",CHOOSE(WEEKDAY(A324,2),"Mo","Di","Mi","Do","Fr","Sa","So"))</f>
        <v/>
      </c>
      <c r="C324" s="20">
        <f>IF(A324="","",INT((A324-DATE(YEAR(A324-WEEKDAY(A324-1)+4),1,3)+WEEKDAY(DATE(YEAR(A324-WEEKDAY(A324-1)+4),1,3))+5)/7))</f>
        <v/>
      </c>
      <c r="D324" s="21" t="n"/>
      <c r="E324" s="22" t="n"/>
      <c r="F324" s="23" t="n"/>
      <c r="G324" s="23" t="n"/>
      <c r="H324" s="23" t="n"/>
      <c r="I324" s="20">
        <f>IF(COUNT(F324:H324)=0,"",SUM(F324:H324))</f>
        <v/>
      </c>
      <c r="J324" s="23" t="n"/>
      <c r="K324" s="23" t="n"/>
      <c r="L324" s="23" t="n"/>
      <c r="M324" s="23" t="n"/>
      <c r="N324" s="23" t="n"/>
      <c r="O324" s="20">
        <f>IF(OR(I324="",COUNT(J324:N324)=0),"",IF(SUM(J324:N324)=I324,"✓","⚠ "&amp;SUM(J324:N324)&amp;" statt "&amp;I324))</f>
        <v/>
      </c>
      <c r="P324" s="21" t="n"/>
      <c r="Q324" s="21" t="n"/>
      <c r="R324" s="21" t="n"/>
      <c r="S324" s="24" t="n"/>
      <c r="T324" s="24" t="n"/>
      <c r="V324">
        <f>IF(A324="","",MONTH(A324))</f>
        <v/>
      </c>
      <c r="W324">
        <f>N(W323)+IF(AND(C324&lt;&gt;"",T324&lt;&gt;""),IF(C324=WOCHE!$B$3,1,0),0)</f>
        <v/>
      </c>
      <c r="X324">
        <f>N(X323)+IF(AND(V324&lt;&gt;"",T324&lt;&gt;""),IF(V324=MONAT!$AZ$3,1,0),0)</f>
        <v/>
      </c>
    </row>
    <row r="325">
      <c r="A325" s="19" t="n"/>
      <c r="B325" s="20">
        <f>IF(A325="","",CHOOSE(WEEKDAY(A325,2),"Mo","Di","Mi","Do","Fr","Sa","So"))</f>
        <v/>
      </c>
      <c r="C325" s="20">
        <f>IF(A325="","",INT((A325-DATE(YEAR(A325-WEEKDAY(A325-1)+4),1,3)+WEEKDAY(DATE(YEAR(A325-WEEKDAY(A325-1)+4),1,3))+5)/7))</f>
        <v/>
      </c>
      <c r="D325" s="21" t="n"/>
      <c r="E325" s="22" t="n"/>
      <c r="F325" s="23" t="n"/>
      <c r="G325" s="23" t="n"/>
      <c r="H325" s="23" t="n"/>
      <c r="I325" s="20">
        <f>IF(COUNT(F325:H325)=0,"",SUM(F325:H325))</f>
        <v/>
      </c>
      <c r="J325" s="23" t="n"/>
      <c r="K325" s="23" t="n"/>
      <c r="L325" s="23" t="n"/>
      <c r="M325" s="23" t="n"/>
      <c r="N325" s="23" t="n"/>
      <c r="O325" s="20">
        <f>IF(OR(I325="",COUNT(J325:N325)=0),"",IF(SUM(J325:N325)=I325,"✓","⚠ "&amp;SUM(J325:N325)&amp;" statt "&amp;I325))</f>
        <v/>
      </c>
      <c r="P325" s="21" t="n"/>
      <c r="Q325" s="21" t="n"/>
      <c r="R325" s="21" t="n"/>
      <c r="S325" s="24" t="n"/>
      <c r="T325" s="24" t="n"/>
      <c r="V325">
        <f>IF(A325="","",MONTH(A325))</f>
        <v/>
      </c>
      <c r="W325">
        <f>N(W324)+IF(AND(C325&lt;&gt;"",T325&lt;&gt;""),IF(C325=WOCHE!$B$3,1,0),0)</f>
        <v/>
      </c>
      <c r="X325">
        <f>N(X324)+IF(AND(V325&lt;&gt;"",T325&lt;&gt;""),IF(V325=MONAT!$AZ$3,1,0),0)</f>
        <v/>
      </c>
    </row>
    <row r="326">
      <c r="A326" s="19" t="n"/>
      <c r="B326" s="20">
        <f>IF(A326="","",CHOOSE(WEEKDAY(A326,2),"Mo","Di","Mi","Do","Fr","Sa","So"))</f>
        <v/>
      </c>
      <c r="C326" s="20">
        <f>IF(A326="","",INT((A326-DATE(YEAR(A326-WEEKDAY(A326-1)+4),1,3)+WEEKDAY(DATE(YEAR(A326-WEEKDAY(A326-1)+4),1,3))+5)/7))</f>
        <v/>
      </c>
      <c r="D326" s="21" t="n"/>
      <c r="E326" s="22" t="n"/>
      <c r="F326" s="23" t="n"/>
      <c r="G326" s="23" t="n"/>
      <c r="H326" s="23" t="n"/>
      <c r="I326" s="20">
        <f>IF(COUNT(F326:H326)=0,"",SUM(F326:H326))</f>
        <v/>
      </c>
      <c r="J326" s="23" t="n"/>
      <c r="K326" s="23" t="n"/>
      <c r="L326" s="23" t="n"/>
      <c r="M326" s="23" t="n"/>
      <c r="N326" s="23" t="n"/>
      <c r="O326" s="20">
        <f>IF(OR(I326="",COUNT(J326:N326)=0),"",IF(SUM(J326:N326)=I326,"✓","⚠ "&amp;SUM(J326:N326)&amp;" statt "&amp;I326))</f>
        <v/>
      </c>
      <c r="P326" s="21" t="n"/>
      <c r="Q326" s="21" t="n"/>
      <c r="R326" s="21" t="n"/>
      <c r="S326" s="24" t="n"/>
      <c r="T326" s="24" t="n"/>
      <c r="V326">
        <f>IF(A326="","",MONTH(A326))</f>
        <v/>
      </c>
      <c r="W326">
        <f>N(W325)+IF(AND(C326&lt;&gt;"",T326&lt;&gt;""),IF(C326=WOCHE!$B$3,1,0),0)</f>
        <v/>
      </c>
      <c r="X326">
        <f>N(X325)+IF(AND(V326&lt;&gt;"",T326&lt;&gt;""),IF(V326=MONAT!$AZ$3,1,0),0)</f>
        <v/>
      </c>
    </row>
    <row r="327">
      <c r="A327" s="19" t="n"/>
      <c r="B327" s="20">
        <f>IF(A327="","",CHOOSE(WEEKDAY(A327,2),"Mo","Di","Mi","Do","Fr","Sa","So"))</f>
        <v/>
      </c>
      <c r="C327" s="20">
        <f>IF(A327="","",INT((A327-DATE(YEAR(A327-WEEKDAY(A327-1)+4),1,3)+WEEKDAY(DATE(YEAR(A327-WEEKDAY(A327-1)+4),1,3))+5)/7))</f>
        <v/>
      </c>
      <c r="D327" s="21" t="n"/>
      <c r="E327" s="22" t="n"/>
      <c r="F327" s="23" t="n"/>
      <c r="G327" s="23" t="n"/>
      <c r="H327" s="23" t="n"/>
      <c r="I327" s="20">
        <f>IF(COUNT(F327:H327)=0,"",SUM(F327:H327))</f>
        <v/>
      </c>
      <c r="J327" s="23" t="n"/>
      <c r="K327" s="23" t="n"/>
      <c r="L327" s="23" t="n"/>
      <c r="M327" s="23" t="n"/>
      <c r="N327" s="23" t="n"/>
      <c r="O327" s="20">
        <f>IF(OR(I327="",COUNT(J327:N327)=0),"",IF(SUM(J327:N327)=I327,"✓","⚠ "&amp;SUM(J327:N327)&amp;" statt "&amp;I327))</f>
        <v/>
      </c>
      <c r="P327" s="21" t="n"/>
      <c r="Q327" s="21" t="n"/>
      <c r="R327" s="21" t="n"/>
      <c r="S327" s="24" t="n"/>
      <c r="T327" s="24" t="n"/>
      <c r="V327">
        <f>IF(A327="","",MONTH(A327))</f>
        <v/>
      </c>
      <c r="W327">
        <f>N(W326)+IF(AND(C327&lt;&gt;"",T327&lt;&gt;""),IF(C327=WOCHE!$B$3,1,0),0)</f>
        <v/>
      </c>
      <c r="X327">
        <f>N(X326)+IF(AND(V327&lt;&gt;"",T327&lt;&gt;""),IF(V327=MONAT!$AZ$3,1,0),0)</f>
        <v/>
      </c>
    </row>
    <row r="328">
      <c r="A328" s="19" t="n"/>
      <c r="B328" s="20">
        <f>IF(A328="","",CHOOSE(WEEKDAY(A328,2),"Mo","Di","Mi","Do","Fr","Sa","So"))</f>
        <v/>
      </c>
      <c r="C328" s="20">
        <f>IF(A328="","",INT((A328-DATE(YEAR(A328-WEEKDAY(A328-1)+4),1,3)+WEEKDAY(DATE(YEAR(A328-WEEKDAY(A328-1)+4),1,3))+5)/7))</f>
        <v/>
      </c>
      <c r="D328" s="21" t="n"/>
      <c r="E328" s="22" t="n"/>
      <c r="F328" s="23" t="n"/>
      <c r="G328" s="23" t="n"/>
      <c r="H328" s="23" t="n"/>
      <c r="I328" s="20">
        <f>IF(COUNT(F328:H328)=0,"",SUM(F328:H328))</f>
        <v/>
      </c>
      <c r="J328" s="23" t="n"/>
      <c r="K328" s="23" t="n"/>
      <c r="L328" s="23" t="n"/>
      <c r="M328" s="23" t="n"/>
      <c r="N328" s="23" t="n"/>
      <c r="O328" s="20">
        <f>IF(OR(I328="",COUNT(J328:N328)=0),"",IF(SUM(J328:N328)=I328,"✓","⚠ "&amp;SUM(J328:N328)&amp;" statt "&amp;I328))</f>
        <v/>
      </c>
      <c r="P328" s="21" t="n"/>
      <c r="Q328" s="21" t="n"/>
      <c r="R328" s="21" t="n"/>
      <c r="S328" s="24" t="n"/>
      <c r="T328" s="24" t="n"/>
      <c r="V328">
        <f>IF(A328="","",MONTH(A328))</f>
        <v/>
      </c>
      <c r="W328">
        <f>N(W327)+IF(AND(C328&lt;&gt;"",T328&lt;&gt;""),IF(C328=WOCHE!$B$3,1,0),0)</f>
        <v/>
      </c>
      <c r="X328">
        <f>N(X327)+IF(AND(V328&lt;&gt;"",T328&lt;&gt;""),IF(V328=MONAT!$AZ$3,1,0),0)</f>
        <v/>
      </c>
    </row>
    <row r="329">
      <c r="A329" s="19" t="n"/>
      <c r="B329" s="20">
        <f>IF(A329="","",CHOOSE(WEEKDAY(A329,2),"Mo","Di","Mi","Do","Fr","Sa","So"))</f>
        <v/>
      </c>
      <c r="C329" s="20">
        <f>IF(A329="","",INT((A329-DATE(YEAR(A329-WEEKDAY(A329-1)+4),1,3)+WEEKDAY(DATE(YEAR(A329-WEEKDAY(A329-1)+4),1,3))+5)/7))</f>
        <v/>
      </c>
      <c r="D329" s="21" t="n"/>
      <c r="E329" s="22" t="n"/>
      <c r="F329" s="23" t="n"/>
      <c r="G329" s="23" t="n"/>
      <c r="H329" s="23" t="n"/>
      <c r="I329" s="20">
        <f>IF(COUNT(F329:H329)=0,"",SUM(F329:H329))</f>
        <v/>
      </c>
      <c r="J329" s="23" t="n"/>
      <c r="K329" s="23" t="n"/>
      <c r="L329" s="23" t="n"/>
      <c r="M329" s="23" t="n"/>
      <c r="N329" s="23" t="n"/>
      <c r="O329" s="20">
        <f>IF(OR(I329="",COUNT(J329:N329)=0),"",IF(SUM(J329:N329)=I329,"✓","⚠ "&amp;SUM(J329:N329)&amp;" statt "&amp;I329))</f>
        <v/>
      </c>
      <c r="P329" s="21" t="n"/>
      <c r="Q329" s="21" t="n"/>
      <c r="R329" s="21" t="n"/>
      <c r="S329" s="24" t="n"/>
      <c r="T329" s="24" t="n"/>
      <c r="V329">
        <f>IF(A329="","",MONTH(A329))</f>
        <v/>
      </c>
      <c r="W329">
        <f>N(W328)+IF(AND(C329&lt;&gt;"",T329&lt;&gt;""),IF(C329=WOCHE!$B$3,1,0),0)</f>
        <v/>
      </c>
      <c r="X329">
        <f>N(X328)+IF(AND(V329&lt;&gt;"",T329&lt;&gt;""),IF(V329=MONAT!$AZ$3,1,0),0)</f>
        <v/>
      </c>
    </row>
    <row r="330">
      <c r="A330" s="19" t="n"/>
      <c r="B330" s="20">
        <f>IF(A330="","",CHOOSE(WEEKDAY(A330,2),"Mo","Di","Mi","Do","Fr","Sa","So"))</f>
        <v/>
      </c>
      <c r="C330" s="20">
        <f>IF(A330="","",INT((A330-DATE(YEAR(A330-WEEKDAY(A330-1)+4),1,3)+WEEKDAY(DATE(YEAR(A330-WEEKDAY(A330-1)+4),1,3))+5)/7))</f>
        <v/>
      </c>
      <c r="D330" s="21" t="n"/>
      <c r="E330" s="22" t="n"/>
      <c r="F330" s="23" t="n"/>
      <c r="G330" s="23" t="n"/>
      <c r="H330" s="23" t="n"/>
      <c r="I330" s="20">
        <f>IF(COUNT(F330:H330)=0,"",SUM(F330:H330))</f>
        <v/>
      </c>
      <c r="J330" s="23" t="n"/>
      <c r="K330" s="23" t="n"/>
      <c r="L330" s="23" t="n"/>
      <c r="M330" s="23" t="n"/>
      <c r="N330" s="23" t="n"/>
      <c r="O330" s="20">
        <f>IF(OR(I330="",COUNT(J330:N330)=0),"",IF(SUM(J330:N330)=I330,"✓","⚠ "&amp;SUM(J330:N330)&amp;" statt "&amp;I330))</f>
        <v/>
      </c>
      <c r="P330" s="21" t="n"/>
      <c r="Q330" s="21" t="n"/>
      <c r="R330" s="21" t="n"/>
      <c r="S330" s="24" t="n"/>
      <c r="T330" s="24" t="n"/>
      <c r="V330">
        <f>IF(A330="","",MONTH(A330))</f>
        <v/>
      </c>
      <c r="W330">
        <f>N(W329)+IF(AND(C330&lt;&gt;"",T330&lt;&gt;""),IF(C330=WOCHE!$B$3,1,0),0)</f>
        <v/>
      </c>
      <c r="X330">
        <f>N(X329)+IF(AND(V330&lt;&gt;"",T330&lt;&gt;""),IF(V330=MONAT!$AZ$3,1,0),0)</f>
        <v/>
      </c>
    </row>
    <row r="331">
      <c r="A331" s="19" t="n"/>
      <c r="B331" s="20">
        <f>IF(A331="","",CHOOSE(WEEKDAY(A331,2),"Mo","Di","Mi","Do","Fr","Sa","So"))</f>
        <v/>
      </c>
      <c r="C331" s="20">
        <f>IF(A331="","",INT((A331-DATE(YEAR(A331-WEEKDAY(A331-1)+4),1,3)+WEEKDAY(DATE(YEAR(A331-WEEKDAY(A331-1)+4),1,3))+5)/7))</f>
        <v/>
      </c>
      <c r="D331" s="21" t="n"/>
      <c r="E331" s="22" t="n"/>
      <c r="F331" s="23" t="n"/>
      <c r="G331" s="23" t="n"/>
      <c r="H331" s="23" t="n"/>
      <c r="I331" s="20">
        <f>IF(COUNT(F331:H331)=0,"",SUM(F331:H331))</f>
        <v/>
      </c>
      <c r="J331" s="23" t="n"/>
      <c r="K331" s="23" t="n"/>
      <c r="L331" s="23" t="n"/>
      <c r="M331" s="23" t="n"/>
      <c r="N331" s="23" t="n"/>
      <c r="O331" s="20">
        <f>IF(OR(I331="",COUNT(J331:N331)=0),"",IF(SUM(J331:N331)=I331,"✓","⚠ "&amp;SUM(J331:N331)&amp;" statt "&amp;I331))</f>
        <v/>
      </c>
      <c r="P331" s="21" t="n"/>
      <c r="Q331" s="21" t="n"/>
      <c r="R331" s="21" t="n"/>
      <c r="S331" s="24" t="n"/>
      <c r="T331" s="24" t="n"/>
      <c r="V331">
        <f>IF(A331="","",MONTH(A331))</f>
        <v/>
      </c>
      <c r="W331">
        <f>N(W330)+IF(AND(C331&lt;&gt;"",T331&lt;&gt;""),IF(C331=WOCHE!$B$3,1,0),0)</f>
        <v/>
      </c>
      <c r="X331">
        <f>N(X330)+IF(AND(V331&lt;&gt;"",T331&lt;&gt;""),IF(V331=MONAT!$AZ$3,1,0),0)</f>
        <v/>
      </c>
    </row>
    <row r="332">
      <c r="A332" s="19" t="n"/>
      <c r="B332" s="20">
        <f>IF(A332="","",CHOOSE(WEEKDAY(A332,2),"Mo","Di","Mi","Do","Fr","Sa","So"))</f>
        <v/>
      </c>
      <c r="C332" s="20">
        <f>IF(A332="","",INT((A332-DATE(YEAR(A332-WEEKDAY(A332-1)+4),1,3)+WEEKDAY(DATE(YEAR(A332-WEEKDAY(A332-1)+4),1,3))+5)/7))</f>
        <v/>
      </c>
      <c r="D332" s="21" t="n"/>
      <c r="E332" s="22" t="n"/>
      <c r="F332" s="23" t="n"/>
      <c r="G332" s="23" t="n"/>
      <c r="H332" s="23" t="n"/>
      <c r="I332" s="20">
        <f>IF(COUNT(F332:H332)=0,"",SUM(F332:H332))</f>
        <v/>
      </c>
      <c r="J332" s="23" t="n"/>
      <c r="K332" s="23" t="n"/>
      <c r="L332" s="23" t="n"/>
      <c r="M332" s="23" t="n"/>
      <c r="N332" s="23" t="n"/>
      <c r="O332" s="20">
        <f>IF(OR(I332="",COUNT(J332:N332)=0),"",IF(SUM(J332:N332)=I332,"✓","⚠ "&amp;SUM(J332:N332)&amp;" statt "&amp;I332))</f>
        <v/>
      </c>
      <c r="P332" s="21" t="n"/>
      <c r="Q332" s="21" t="n"/>
      <c r="R332" s="21" t="n"/>
      <c r="S332" s="24" t="n"/>
      <c r="T332" s="24" t="n"/>
      <c r="V332">
        <f>IF(A332="","",MONTH(A332))</f>
        <v/>
      </c>
      <c r="W332">
        <f>N(W331)+IF(AND(C332&lt;&gt;"",T332&lt;&gt;""),IF(C332=WOCHE!$B$3,1,0),0)</f>
        <v/>
      </c>
      <c r="X332">
        <f>N(X331)+IF(AND(V332&lt;&gt;"",T332&lt;&gt;""),IF(V332=MONAT!$AZ$3,1,0),0)</f>
        <v/>
      </c>
    </row>
    <row r="333">
      <c r="A333" s="19" t="n"/>
      <c r="B333" s="20">
        <f>IF(A333="","",CHOOSE(WEEKDAY(A333,2),"Mo","Di","Mi","Do","Fr","Sa","So"))</f>
        <v/>
      </c>
      <c r="C333" s="20">
        <f>IF(A333="","",INT((A333-DATE(YEAR(A333-WEEKDAY(A333-1)+4),1,3)+WEEKDAY(DATE(YEAR(A333-WEEKDAY(A333-1)+4),1,3))+5)/7))</f>
        <v/>
      </c>
      <c r="D333" s="21" t="n"/>
      <c r="E333" s="22" t="n"/>
      <c r="F333" s="23" t="n"/>
      <c r="G333" s="23" t="n"/>
      <c r="H333" s="23" t="n"/>
      <c r="I333" s="20">
        <f>IF(COUNT(F333:H333)=0,"",SUM(F333:H333))</f>
        <v/>
      </c>
      <c r="J333" s="23" t="n"/>
      <c r="K333" s="23" t="n"/>
      <c r="L333" s="23" t="n"/>
      <c r="M333" s="23" t="n"/>
      <c r="N333" s="23" t="n"/>
      <c r="O333" s="20">
        <f>IF(OR(I333="",COUNT(J333:N333)=0),"",IF(SUM(J333:N333)=I333,"✓","⚠ "&amp;SUM(J333:N333)&amp;" statt "&amp;I333))</f>
        <v/>
      </c>
      <c r="P333" s="21" t="n"/>
      <c r="Q333" s="21" t="n"/>
      <c r="R333" s="21" t="n"/>
      <c r="S333" s="24" t="n"/>
      <c r="T333" s="24" t="n"/>
      <c r="V333">
        <f>IF(A333="","",MONTH(A333))</f>
        <v/>
      </c>
      <c r="W333">
        <f>N(W332)+IF(AND(C333&lt;&gt;"",T333&lt;&gt;""),IF(C333=WOCHE!$B$3,1,0),0)</f>
        <v/>
      </c>
      <c r="X333">
        <f>N(X332)+IF(AND(V333&lt;&gt;"",T333&lt;&gt;""),IF(V333=MONAT!$AZ$3,1,0),0)</f>
        <v/>
      </c>
    </row>
    <row r="334">
      <c r="A334" s="19" t="n"/>
      <c r="B334" s="20">
        <f>IF(A334="","",CHOOSE(WEEKDAY(A334,2),"Mo","Di","Mi","Do","Fr","Sa","So"))</f>
        <v/>
      </c>
      <c r="C334" s="20">
        <f>IF(A334="","",INT((A334-DATE(YEAR(A334-WEEKDAY(A334-1)+4),1,3)+WEEKDAY(DATE(YEAR(A334-WEEKDAY(A334-1)+4),1,3))+5)/7))</f>
        <v/>
      </c>
      <c r="D334" s="21" t="n"/>
      <c r="E334" s="22" t="n"/>
      <c r="F334" s="23" t="n"/>
      <c r="G334" s="23" t="n"/>
      <c r="H334" s="23" t="n"/>
      <c r="I334" s="20">
        <f>IF(COUNT(F334:H334)=0,"",SUM(F334:H334))</f>
        <v/>
      </c>
      <c r="J334" s="23" t="n"/>
      <c r="K334" s="23" t="n"/>
      <c r="L334" s="23" t="n"/>
      <c r="M334" s="23" t="n"/>
      <c r="N334" s="23" t="n"/>
      <c r="O334" s="20">
        <f>IF(OR(I334="",COUNT(J334:N334)=0),"",IF(SUM(J334:N334)=I334,"✓","⚠ "&amp;SUM(J334:N334)&amp;" statt "&amp;I334))</f>
        <v/>
      </c>
      <c r="P334" s="21" t="n"/>
      <c r="Q334" s="21" t="n"/>
      <c r="R334" s="21" t="n"/>
      <c r="S334" s="24" t="n"/>
      <c r="T334" s="24" t="n"/>
      <c r="V334">
        <f>IF(A334="","",MONTH(A334))</f>
        <v/>
      </c>
      <c r="W334">
        <f>N(W333)+IF(AND(C334&lt;&gt;"",T334&lt;&gt;""),IF(C334=WOCHE!$B$3,1,0),0)</f>
        <v/>
      </c>
      <c r="X334">
        <f>N(X333)+IF(AND(V334&lt;&gt;"",T334&lt;&gt;""),IF(V334=MONAT!$AZ$3,1,0),0)</f>
        <v/>
      </c>
    </row>
    <row r="335">
      <c r="A335" s="19" t="n"/>
      <c r="B335" s="20">
        <f>IF(A335="","",CHOOSE(WEEKDAY(A335,2),"Mo","Di","Mi","Do","Fr","Sa","So"))</f>
        <v/>
      </c>
      <c r="C335" s="20">
        <f>IF(A335="","",INT((A335-DATE(YEAR(A335-WEEKDAY(A335-1)+4),1,3)+WEEKDAY(DATE(YEAR(A335-WEEKDAY(A335-1)+4),1,3))+5)/7))</f>
        <v/>
      </c>
      <c r="D335" s="21" t="n"/>
      <c r="E335" s="22" t="n"/>
      <c r="F335" s="23" t="n"/>
      <c r="G335" s="23" t="n"/>
      <c r="H335" s="23" t="n"/>
      <c r="I335" s="20">
        <f>IF(COUNT(F335:H335)=0,"",SUM(F335:H335))</f>
        <v/>
      </c>
      <c r="J335" s="23" t="n"/>
      <c r="K335" s="23" t="n"/>
      <c r="L335" s="23" t="n"/>
      <c r="M335" s="23" t="n"/>
      <c r="N335" s="23" t="n"/>
      <c r="O335" s="20">
        <f>IF(OR(I335="",COUNT(J335:N335)=0),"",IF(SUM(J335:N335)=I335,"✓","⚠ "&amp;SUM(J335:N335)&amp;" statt "&amp;I335))</f>
        <v/>
      </c>
      <c r="P335" s="21" t="n"/>
      <c r="Q335" s="21" t="n"/>
      <c r="R335" s="21" t="n"/>
      <c r="S335" s="24" t="n"/>
      <c r="T335" s="24" t="n"/>
      <c r="V335">
        <f>IF(A335="","",MONTH(A335))</f>
        <v/>
      </c>
      <c r="W335">
        <f>N(W334)+IF(AND(C335&lt;&gt;"",T335&lt;&gt;""),IF(C335=WOCHE!$B$3,1,0),0)</f>
        <v/>
      </c>
      <c r="X335">
        <f>N(X334)+IF(AND(V335&lt;&gt;"",T335&lt;&gt;""),IF(V335=MONAT!$AZ$3,1,0),0)</f>
        <v/>
      </c>
    </row>
    <row r="336">
      <c r="A336" s="19" t="n"/>
      <c r="B336" s="20">
        <f>IF(A336="","",CHOOSE(WEEKDAY(A336,2),"Mo","Di","Mi","Do","Fr","Sa","So"))</f>
        <v/>
      </c>
      <c r="C336" s="20">
        <f>IF(A336="","",INT((A336-DATE(YEAR(A336-WEEKDAY(A336-1)+4),1,3)+WEEKDAY(DATE(YEAR(A336-WEEKDAY(A336-1)+4),1,3))+5)/7))</f>
        <v/>
      </c>
      <c r="D336" s="21" t="n"/>
      <c r="E336" s="22" t="n"/>
      <c r="F336" s="23" t="n"/>
      <c r="G336" s="23" t="n"/>
      <c r="H336" s="23" t="n"/>
      <c r="I336" s="20">
        <f>IF(COUNT(F336:H336)=0,"",SUM(F336:H336))</f>
        <v/>
      </c>
      <c r="J336" s="23" t="n"/>
      <c r="K336" s="23" t="n"/>
      <c r="L336" s="23" t="n"/>
      <c r="M336" s="23" t="n"/>
      <c r="N336" s="23" t="n"/>
      <c r="O336" s="20">
        <f>IF(OR(I336="",COUNT(J336:N336)=0),"",IF(SUM(J336:N336)=I336,"✓","⚠ "&amp;SUM(J336:N336)&amp;" statt "&amp;I336))</f>
        <v/>
      </c>
      <c r="P336" s="21" t="n"/>
      <c r="Q336" s="21" t="n"/>
      <c r="R336" s="21" t="n"/>
      <c r="S336" s="24" t="n"/>
      <c r="T336" s="24" t="n"/>
      <c r="V336">
        <f>IF(A336="","",MONTH(A336))</f>
        <v/>
      </c>
      <c r="W336">
        <f>N(W335)+IF(AND(C336&lt;&gt;"",T336&lt;&gt;""),IF(C336=WOCHE!$B$3,1,0),0)</f>
        <v/>
      </c>
      <c r="X336">
        <f>N(X335)+IF(AND(V336&lt;&gt;"",T336&lt;&gt;""),IF(V336=MONAT!$AZ$3,1,0),0)</f>
        <v/>
      </c>
    </row>
    <row r="337">
      <c r="A337" s="19" t="n"/>
      <c r="B337" s="20">
        <f>IF(A337="","",CHOOSE(WEEKDAY(A337,2),"Mo","Di","Mi","Do","Fr","Sa","So"))</f>
        <v/>
      </c>
      <c r="C337" s="20">
        <f>IF(A337="","",INT((A337-DATE(YEAR(A337-WEEKDAY(A337-1)+4),1,3)+WEEKDAY(DATE(YEAR(A337-WEEKDAY(A337-1)+4),1,3))+5)/7))</f>
        <v/>
      </c>
      <c r="D337" s="21" t="n"/>
      <c r="E337" s="22" t="n"/>
      <c r="F337" s="23" t="n"/>
      <c r="G337" s="23" t="n"/>
      <c r="H337" s="23" t="n"/>
      <c r="I337" s="20">
        <f>IF(COUNT(F337:H337)=0,"",SUM(F337:H337))</f>
        <v/>
      </c>
      <c r="J337" s="23" t="n"/>
      <c r="K337" s="23" t="n"/>
      <c r="L337" s="23" t="n"/>
      <c r="M337" s="23" t="n"/>
      <c r="N337" s="23" t="n"/>
      <c r="O337" s="20">
        <f>IF(OR(I337="",COUNT(J337:N337)=0),"",IF(SUM(J337:N337)=I337,"✓","⚠ "&amp;SUM(J337:N337)&amp;" statt "&amp;I337))</f>
        <v/>
      </c>
      <c r="P337" s="21" t="n"/>
      <c r="Q337" s="21" t="n"/>
      <c r="R337" s="21" t="n"/>
      <c r="S337" s="24" t="n"/>
      <c r="T337" s="24" t="n"/>
      <c r="V337">
        <f>IF(A337="","",MONTH(A337))</f>
        <v/>
      </c>
      <c r="W337">
        <f>N(W336)+IF(AND(C337&lt;&gt;"",T337&lt;&gt;""),IF(C337=WOCHE!$B$3,1,0),0)</f>
        <v/>
      </c>
      <c r="X337">
        <f>N(X336)+IF(AND(V337&lt;&gt;"",T337&lt;&gt;""),IF(V337=MONAT!$AZ$3,1,0),0)</f>
        <v/>
      </c>
    </row>
    <row r="338">
      <c r="A338" s="19" t="n"/>
      <c r="B338" s="20">
        <f>IF(A338="","",CHOOSE(WEEKDAY(A338,2),"Mo","Di","Mi","Do","Fr","Sa","So"))</f>
        <v/>
      </c>
      <c r="C338" s="20">
        <f>IF(A338="","",INT((A338-DATE(YEAR(A338-WEEKDAY(A338-1)+4),1,3)+WEEKDAY(DATE(YEAR(A338-WEEKDAY(A338-1)+4),1,3))+5)/7))</f>
        <v/>
      </c>
      <c r="D338" s="21" t="n"/>
      <c r="E338" s="22" t="n"/>
      <c r="F338" s="23" t="n"/>
      <c r="G338" s="23" t="n"/>
      <c r="H338" s="23" t="n"/>
      <c r="I338" s="20">
        <f>IF(COUNT(F338:H338)=0,"",SUM(F338:H338))</f>
        <v/>
      </c>
      <c r="J338" s="23" t="n"/>
      <c r="K338" s="23" t="n"/>
      <c r="L338" s="23" t="n"/>
      <c r="M338" s="23" t="n"/>
      <c r="N338" s="23" t="n"/>
      <c r="O338" s="20">
        <f>IF(OR(I338="",COUNT(J338:N338)=0),"",IF(SUM(J338:N338)=I338,"✓","⚠ "&amp;SUM(J338:N338)&amp;" statt "&amp;I338))</f>
        <v/>
      </c>
      <c r="P338" s="21" t="n"/>
      <c r="Q338" s="21" t="n"/>
      <c r="R338" s="21" t="n"/>
      <c r="S338" s="24" t="n"/>
      <c r="T338" s="24" t="n"/>
      <c r="V338">
        <f>IF(A338="","",MONTH(A338))</f>
        <v/>
      </c>
      <c r="W338">
        <f>N(W337)+IF(AND(C338&lt;&gt;"",T338&lt;&gt;""),IF(C338=WOCHE!$B$3,1,0),0)</f>
        <v/>
      </c>
      <c r="X338">
        <f>N(X337)+IF(AND(V338&lt;&gt;"",T338&lt;&gt;""),IF(V338=MONAT!$AZ$3,1,0),0)</f>
        <v/>
      </c>
    </row>
    <row r="339">
      <c r="A339" s="19" t="n"/>
      <c r="B339" s="20">
        <f>IF(A339="","",CHOOSE(WEEKDAY(A339,2),"Mo","Di","Mi","Do","Fr","Sa","So"))</f>
        <v/>
      </c>
      <c r="C339" s="20">
        <f>IF(A339="","",INT((A339-DATE(YEAR(A339-WEEKDAY(A339-1)+4),1,3)+WEEKDAY(DATE(YEAR(A339-WEEKDAY(A339-1)+4),1,3))+5)/7))</f>
        <v/>
      </c>
      <c r="D339" s="21" t="n"/>
      <c r="E339" s="22" t="n"/>
      <c r="F339" s="23" t="n"/>
      <c r="G339" s="23" t="n"/>
      <c r="H339" s="23" t="n"/>
      <c r="I339" s="20">
        <f>IF(COUNT(F339:H339)=0,"",SUM(F339:H339))</f>
        <v/>
      </c>
      <c r="J339" s="23" t="n"/>
      <c r="K339" s="23" t="n"/>
      <c r="L339" s="23" t="n"/>
      <c r="M339" s="23" t="n"/>
      <c r="N339" s="23" t="n"/>
      <c r="O339" s="20">
        <f>IF(OR(I339="",COUNT(J339:N339)=0),"",IF(SUM(J339:N339)=I339,"✓","⚠ "&amp;SUM(J339:N339)&amp;" statt "&amp;I339))</f>
        <v/>
      </c>
      <c r="P339" s="21" t="n"/>
      <c r="Q339" s="21" t="n"/>
      <c r="R339" s="21" t="n"/>
      <c r="S339" s="24" t="n"/>
      <c r="T339" s="24" t="n"/>
      <c r="V339">
        <f>IF(A339="","",MONTH(A339))</f>
        <v/>
      </c>
      <c r="W339">
        <f>N(W338)+IF(AND(C339&lt;&gt;"",T339&lt;&gt;""),IF(C339=WOCHE!$B$3,1,0),0)</f>
        <v/>
      </c>
      <c r="X339">
        <f>N(X338)+IF(AND(V339&lt;&gt;"",T339&lt;&gt;""),IF(V339=MONAT!$AZ$3,1,0),0)</f>
        <v/>
      </c>
    </row>
    <row r="340">
      <c r="A340" s="19" t="n"/>
      <c r="B340" s="20">
        <f>IF(A340="","",CHOOSE(WEEKDAY(A340,2),"Mo","Di","Mi","Do","Fr","Sa","So"))</f>
        <v/>
      </c>
      <c r="C340" s="20">
        <f>IF(A340="","",INT((A340-DATE(YEAR(A340-WEEKDAY(A340-1)+4),1,3)+WEEKDAY(DATE(YEAR(A340-WEEKDAY(A340-1)+4),1,3))+5)/7))</f>
        <v/>
      </c>
      <c r="D340" s="21" t="n"/>
      <c r="E340" s="22" t="n"/>
      <c r="F340" s="23" t="n"/>
      <c r="G340" s="23" t="n"/>
      <c r="H340" s="23" t="n"/>
      <c r="I340" s="20">
        <f>IF(COUNT(F340:H340)=0,"",SUM(F340:H340))</f>
        <v/>
      </c>
      <c r="J340" s="23" t="n"/>
      <c r="K340" s="23" t="n"/>
      <c r="L340" s="23" t="n"/>
      <c r="M340" s="23" t="n"/>
      <c r="N340" s="23" t="n"/>
      <c r="O340" s="20">
        <f>IF(OR(I340="",COUNT(J340:N340)=0),"",IF(SUM(J340:N340)=I340,"✓","⚠ "&amp;SUM(J340:N340)&amp;" statt "&amp;I340))</f>
        <v/>
      </c>
      <c r="P340" s="21" t="n"/>
      <c r="Q340" s="21" t="n"/>
      <c r="R340" s="21" t="n"/>
      <c r="S340" s="24" t="n"/>
      <c r="T340" s="24" t="n"/>
      <c r="V340">
        <f>IF(A340="","",MONTH(A340))</f>
        <v/>
      </c>
      <c r="W340">
        <f>N(W339)+IF(AND(C340&lt;&gt;"",T340&lt;&gt;""),IF(C340=WOCHE!$B$3,1,0),0)</f>
        <v/>
      </c>
      <c r="X340">
        <f>N(X339)+IF(AND(V340&lt;&gt;"",T340&lt;&gt;""),IF(V340=MONAT!$AZ$3,1,0),0)</f>
        <v/>
      </c>
    </row>
    <row r="341">
      <c r="A341" s="19" t="n"/>
      <c r="B341" s="20">
        <f>IF(A341="","",CHOOSE(WEEKDAY(A341,2),"Mo","Di","Mi","Do","Fr","Sa","So"))</f>
        <v/>
      </c>
      <c r="C341" s="20">
        <f>IF(A341="","",INT((A341-DATE(YEAR(A341-WEEKDAY(A341-1)+4),1,3)+WEEKDAY(DATE(YEAR(A341-WEEKDAY(A341-1)+4),1,3))+5)/7))</f>
        <v/>
      </c>
      <c r="D341" s="21" t="n"/>
      <c r="E341" s="22" t="n"/>
      <c r="F341" s="23" t="n"/>
      <c r="G341" s="23" t="n"/>
      <c r="H341" s="23" t="n"/>
      <c r="I341" s="20">
        <f>IF(COUNT(F341:H341)=0,"",SUM(F341:H341))</f>
        <v/>
      </c>
      <c r="J341" s="23" t="n"/>
      <c r="K341" s="23" t="n"/>
      <c r="L341" s="23" t="n"/>
      <c r="M341" s="23" t="n"/>
      <c r="N341" s="23" t="n"/>
      <c r="O341" s="20">
        <f>IF(OR(I341="",COUNT(J341:N341)=0),"",IF(SUM(J341:N341)=I341,"✓","⚠ "&amp;SUM(J341:N341)&amp;" statt "&amp;I341))</f>
        <v/>
      </c>
      <c r="P341" s="21" t="n"/>
      <c r="Q341" s="21" t="n"/>
      <c r="R341" s="21" t="n"/>
      <c r="S341" s="24" t="n"/>
      <c r="T341" s="24" t="n"/>
      <c r="V341">
        <f>IF(A341="","",MONTH(A341))</f>
        <v/>
      </c>
      <c r="W341">
        <f>N(W340)+IF(AND(C341&lt;&gt;"",T341&lt;&gt;""),IF(C341=WOCHE!$B$3,1,0),0)</f>
        <v/>
      </c>
      <c r="X341">
        <f>N(X340)+IF(AND(V341&lt;&gt;"",T341&lt;&gt;""),IF(V341=MONAT!$AZ$3,1,0),0)</f>
        <v/>
      </c>
    </row>
    <row r="342">
      <c r="A342" s="19" t="n"/>
      <c r="B342" s="20">
        <f>IF(A342="","",CHOOSE(WEEKDAY(A342,2),"Mo","Di","Mi","Do","Fr","Sa","So"))</f>
        <v/>
      </c>
      <c r="C342" s="20">
        <f>IF(A342="","",INT((A342-DATE(YEAR(A342-WEEKDAY(A342-1)+4),1,3)+WEEKDAY(DATE(YEAR(A342-WEEKDAY(A342-1)+4),1,3))+5)/7))</f>
        <v/>
      </c>
      <c r="D342" s="21" t="n"/>
      <c r="E342" s="22" t="n"/>
      <c r="F342" s="23" t="n"/>
      <c r="G342" s="23" t="n"/>
      <c r="H342" s="23" t="n"/>
      <c r="I342" s="20">
        <f>IF(COUNT(F342:H342)=0,"",SUM(F342:H342))</f>
        <v/>
      </c>
      <c r="J342" s="23" t="n"/>
      <c r="K342" s="23" t="n"/>
      <c r="L342" s="23" t="n"/>
      <c r="M342" s="23" t="n"/>
      <c r="N342" s="23" t="n"/>
      <c r="O342" s="20">
        <f>IF(OR(I342="",COUNT(J342:N342)=0),"",IF(SUM(J342:N342)=I342,"✓","⚠ "&amp;SUM(J342:N342)&amp;" statt "&amp;I342))</f>
        <v/>
      </c>
      <c r="P342" s="21" t="n"/>
      <c r="Q342" s="21" t="n"/>
      <c r="R342" s="21" t="n"/>
      <c r="S342" s="24" t="n"/>
      <c r="T342" s="24" t="n"/>
      <c r="V342">
        <f>IF(A342="","",MONTH(A342))</f>
        <v/>
      </c>
      <c r="W342">
        <f>N(W341)+IF(AND(C342&lt;&gt;"",T342&lt;&gt;""),IF(C342=WOCHE!$B$3,1,0),0)</f>
        <v/>
      </c>
      <c r="X342">
        <f>N(X341)+IF(AND(V342&lt;&gt;"",T342&lt;&gt;""),IF(V342=MONAT!$AZ$3,1,0),0)</f>
        <v/>
      </c>
    </row>
    <row r="343">
      <c r="A343" s="19" t="n"/>
      <c r="B343" s="20">
        <f>IF(A343="","",CHOOSE(WEEKDAY(A343,2),"Mo","Di","Mi","Do","Fr","Sa","So"))</f>
        <v/>
      </c>
      <c r="C343" s="20">
        <f>IF(A343="","",INT((A343-DATE(YEAR(A343-WEEKDAY(A343-1)+4),1,3)+WEEKDAY(DATE(YEAR(A343-WEEKDAY(A343-1)+4),1,3))+5)/7))</f>
        <v/>
      </c>
      <c r="D343" s="21" t="n"/>
      <c r="E343" s="22" t="n"/>
      <c r="F343" s="23" t="n"/>
      <c r="G343" s="23" t="n"/>
      <c r="H343" s="23" t="n"/>
      <c r="I343" s="20">
        <f>IF(COUNT(F343:H343)=0,"",SUM(F343:H343))</f>
        <v/>
      </c>
      <c r="J343" s="23" t="n"/>
      <c r="K343" s="23" t="n"/>
      <c r="L343" s="23" t="n"/>
      <c r="M343" s="23" t="n"/>
      <c r="N343" s="23" t="n"/>
      <c r="O343" s="20">
        <f>IF(OR(I343="",COUNT(J343:N343)=0),"",IF(SUM(J343:N343)=I343,"✓","⚠ "&amp;SUM(J343:N343)&amp;" statt "&amp;I343))</f>
        <v/>
      </c>
      <c r="P343" s="21" t="n"/>
      <c r="Q343" s="21" t="n"/>
      <c r="R343" s="21" t="n"/>
      <c r="S343" s="24" t="n"/>
      <c r="T343" s="24" t="n"/>
      <c r="V343">
        <f>IF(A343="","",MONTH(A343))</f>
        <v/>
      </c>
      <c r="W343">
        <f>N(W342)+IF(AND(C343&lt;&gt;"",T343&lt;&gt;""),IF(C343=WOCHE!$B$3,1,0),0)</f>
        <v/>
      </c>
      <c r="X343">
        <f>N(X342)+IF(AND(V343&lt;&gt;"",T343&lt;&gt;""),IF(V343=MONAT!$AZ$3,1,0),0)</f>
        <v/>
      </c>
    </row>
    <row r="344">
      <c r="A344" s="19" t="n"/>
      <c r="B344" s="20">
        <f>IF(A344="","",CHOOSE(WEEKDAY(A344,2),"Mo","Di","Mi","Do","Fr","Sa","So"))</f>
        <v/>
      </c>
      <c r="C344" s="20">
        <f>IF(A344="","",INT((A344-DATE(YEAR(A344-WEEKDAY(A344-1)+4),1,3)+WEEKDAY(DATE(YEAR(A344-WEEKDAY(A344-1)+4),1,3))+5)/7))</f>
        <v/>
      </c>
      <c r="D344" s="21" t="n"/>
      <c r="E344" s="22" t="n"/>
      <c r="F344" s="23" t="n"/>
      <c r="G344" s="23" t="n"/>
      <c r="H344" s="23" t="n"/>
      <c r="I344" s="20">
        <f>IF(COUNT(F344:H344)=0,"",SUM(F344:H344))</f>
        <v/>
      </c>
      <c r="J344" s="23" t="n"/>
      <c r="K344" s="23" t="n"/>
      <c r="L344" s="23" t="n"/>
      <c r="M344" s="23" t="n"/>
      <c r="N344" s="23" t="n"/>
      <c r="O344" s="20">
        <f>IF(OR(I344="",COUNT(J344:N344)=0),"",IF(SUM(J344:N344)=I344,"✓","⚠ "&amp;SUM(J344:N344)&amp;" statt "&amp;I344))</f>
        <v/>
      </c>
      <c r="P344" s="21" t="n"/>
      <c r="Q344" s="21" t="n"/>
      <c r="R344" s="21" t="n"/>
      <c r="S344" s="24" t="n"/>
      <c r="T344" s="24" t="n"/>
      <c r="V344">
        <f>IF(A344="","",MONTH(A344))</f>
        <v/>
      </c>
      <c r="W344">
        <f>N(W343)+IF(AND(C344&lt;&gt;"",T344&lt;&gt;""),IF(C344=WOCHE!$B$3,1,0),0)</f>
        <v/>
      </c>
      <c r="X344">
        <f>N(X343)+IF(AND(V344&lt;&gt;"",T344&lt;&gt;""),IF(V344=MONAT!$AZ$3,1,0),0)</f>
        <v/>
      </c>
    </row>
    <row r="345">
      <c r="A345" s="19" t="n"/>
      <c r="B345" s="20">
        <f>IF(A345="","",CHOOSE(WEEKDAY(A345,2),"Mo","Di","Mi","Do","Fr","Sa","So"))</f>
        <v/>
      </c>
      <c r="C345" s="20">
        <f>IF(A345="","",INT((A345-DATE(YEAR(A345-WEEKDAY(A345-1)+4),1,3)+WEEKDAY(DATE(YEAR(A345-WEEKDAY(A345-1)+4),1,3))+5)/7))</f>
        <v/>
      </c>
      <c r="D345" s="21" t="n"/>
      <c r="E345" s="22" t="n"/>
      <c r="F345" s="23" t="n"/>
      <c r="G345" s="23" t="n"/>
      <c r="H345" s="23" t="n"/>
      <c r="I345" s="20">
        <f>IF(COUNT(F345:H345)=0,"",SUM(F345:H345))</f>
        <v/>
      </c>
      <c r="J345" s="23" t="n"/>
      <c r="K345" s="23" t="n"/>
      <c r="L345" s="23" t="n"/>
      <c r="M345" s="23" t="n"/>
      <c r="N345" s="23" t="n"/>
      <c r="O345" s="20">
        <f>IF(OR(I345="",COUNT(J345:N345)=0),"",IF(SUM(J345:N345)=I345,"✓","⚠ "&amp;SUM(J345:N345)&amp;" statt "&amp;I345))</f>
        <v/>
      </c>
      <c r="P345" s="21" t="n"/>
      <c r="Q345" s="21" t="n"/>
      <c r="R345" s="21" t="n"/>
      <c r="S345" s="24" t="n"/>
      <c r="T345" s="24" t="n"/>
      <c r="V345">
        <f>IF(A345="","",MONTH(A345))</f>
        <v/>
      </c>
      <c r="W345">
        <f>N(W344)+IF(AND(C345&lt;&gt;"",T345&lt;&gt;""),IF(C345=WOCHE!$B$3,1,0),0)</f>
        <v/>
      </c>
      <c r="X345">
        <f>N(X344)+IF(AND(V345&lt;&gt;"",T345&lt;&gt;""),IF(V345=MONAT!$AZ$3,1,0),0)</f>
        <v/>
      </c>
    </row>
    <row r="346">
      <c r="A346" s="19" t="n"/>
      <c r="B346" s="20">
        <f>IF(A346="","",CHOOSE(WEEKDAY(A346,2),"Mo","Di","Mi","Do","Fr","Sa","So"))</f>
        <v/>
      </c>
      <c r="C346" s="20">
        <f>IF(A346="","",INT((A346-DATE(YEAR(A346-WEEKDAY(A346-1)+4),1,3)+WEEKDAY(DATE(YEAR(A346-WEEKDAY(A346-1)+4),1,3))+5)/7))</f>
        <v/>
      </c>
      <c r="D346" s="21" t="n"/>
      <c r="E346" s="22" t="n"/>
      <c r="F346" s="23" t="n"/>
      <c r="G346" s="23" t="n"/>
      <c r="H346" s="23" t="n"/>
      <c r="I346" s="20">
        <f>IF(COUNT(F346:H346)=0,"",SUM(F346:H346))</f>
        <v/>
      </c>
      <c r="J346" s="23" t="n"/>
      <c r="K346" s="23" t="n"/>
      <c r="L346" s="23" t="n"/>
      <c r="M346" s="23" t="n"/>
      <c r="N346" s="23" t="n"/>
      <c r="O346" s="20">
        <f>IF(OR(I346="",COUNT(J346:N346)=0),"",IF(SUM(J346:N346)=I346,"✓","⚠ "&amp;SUM(J346:N346)&amp;" statt "&amp;I346))</f>
        <v/>
      </c>
      <c r="P346" s="21" t="n"/>
      <c r="Q346" s="21" t="n"/>
      <c r="R346" s="21" t="n"/>
      <c r="S346" s="24" t="n"/>
      <c r="T346" s="24" t="n"/>
      <c r="V346">
        <f>IF(A346="","",MONTH(A346))</f>
        <v/>
      </c>
      <c r="W346">
        <f>N(W345)+IF(AND(C346&lt;&gt;"",T346&lt;&gt;""),IF(C346=WOCHE!$B$3,1,0),0)</f>
        <v/>
      </c>
      <c r="X346">
        <f>N(X345)+IF(AND(V346&lt;&gt;"",T346&lt;&gt;""),IF(V346=MONAT!$AZ$3,1,0),0)</f>
        <v/>
      </c>
    </row>
    <row r="347">
      <c r="A347" s="19" t="n"/>
      <c r="B347" s="20">
        <f>IF(A347="","",CHOOSE(WEEKDAY(A347,2),"Mo","Di","Mi","Do","Fr","Sa","So"))</f>
        <v/>
      </c>
      <c r="C347" s="20">
        <f>IF(A347="","",INT((A347-DATE(YEAR(A347-WEEKDAY(A347-1)+4),1,3)+WEEKDAY(DATE(YEAR(A347-WEEKDAY(A347-1)+4),1,3))+5)/7))</f>
        <v/>
      </c>
      <c r="D347" s="21" t="n"/>
      <c r="E347" s="22" t="n"/>
      <c r="F347" s="23" t="n"/>
      <c r="G347" s="23" t="n"/>
      <c r="H347" s="23" t="n"/>
      <c r="I347" s="20">
        <f>IF(COUNT(F347:H347)=0,"",SUM(F347:H347))</f>
        <v/>
      </c>
      <c r="J347" s="23" t="n"/>
      <c r="K347" s="23" t="n"/>
      <c r="L347" s="23" t="n"/>
      <c r="M347" s="23" t="n"/>
      <c r="N347" s="23" t="n"/>
      <c r="O347" s="20">
        <f>IF(OR(I347="",COUNT(J347:N347)=0),"",IF(SUM(J347:N347)=I347,"✓","⚠ "&amp;SUM(J347:N347)&amp;" statt "&amp;I347))</f>
        <v/>
      </c>
      <c r="P347" s="21" t="n"/>
      <c r="Q347" s="21" t="n"/>
      <c r="R347" s="21" t="n"/>
      <c r="S347" s="24" t="n"/>
      <c r="T347" s="24" t="n"/>
      <c r="V347">
        <f>IF(A347="","",MONTH(A347))</f>
        <v/>
      </c>
      <c r="W347">
        <f>N(W346)+IF(AND(C347&lt;&gt;"",T347&lt;&gt;""),IF(C347=WOCHE!$B$3,1,0),0)</f>
        <v/>
      </c>
      <c r="X347">
        <f>N(X346)+IF(AND(V347&lt;&gt;"",T347&lt;&gt;""),IF(V347=MONAT!$AZ$3,1,0),0)</f>
        <v/>
      </c>
    </row>
    <row r="348">
      <c r="A348" s="19" t="n"/>
      <c r="B348" s="20">
        <f>IF(A348="","",CHOOSE(WEEKDAY(A348,2),"Mo","Di","Mi","Do","Fr","Sa","So"))</f>
        <v/>
      </c>
      <c r="C348" s="20">
        <f>IF(A348="","",INT((A348-DATE(YEAR(A348-WEEKDAY(A348-1)+4),1,3)+WEEKDAY(DATE(YEAR(A348-WEEKDAY(A348-1)+4),1,3))+5)/7))</f>
        <v/>
      </c>
      <c r="D348" s="21" t="n"/>
      <c r="E348" s="22" t="n"/>
      <c r="F348" s="23" t="n"/>
      <c r="G348" s="23" t="n"/>
      <c r="H348" s="23" t="n"/>
      <c r="I348" s="20">
        <f>IF(COUNT(F348:H348)=0,"",SUM(F348:H348))</f>
        <v/>
      </c>
      <c r="J348" s="23" t="n"/>
      <c r="K348" s="23" t="n"/>
      <c r="L348" s="23" t="n"/>
      <c r="M348" s="23" t="n"/>
      <c r="N348" s="23" t="n"/>
      <c r="O348" s="20">
        <f>IF(OR(I348="",COUNT(J348:N348)=0),"",IF(SUM(J348:N348)=I348,"✓","⚠ "&amp;SUM(J348:N348)&amp;" statt "&amp;I348))</f>
        <v/>
      </c>
      <c r="P348" s="21" t="n"/>
      <c r="Q348" s="21" t="n"/>
      <c r="R348" s="21" t="n"/>
      <c r="S348" s="24" t="n"/>
      <c r="T348" s="24" t="n"/>
      <c r="V348">
        <f>IF(A348="","",MONTH(A348))</f>
        <v/>
      </c>
      <c r="W348">
        <f>N(W347)+IF(AND(C348&lt;&gt;"",T348&lt;&gt;""),IF(C348=WOCHE!$B$3,1,0),0)</f>
        <v/>
      </c>
      <c r="X348">
        <f>N(X347)+IF(AND(V348&lt;&gt;"",T348&lt;&gt;""),IF(V348=MONAT!$AZ$3,1,0),0)</f>
        <v/>
      </c>
    </row>
    <row r="349">
      <c r="A349" s="19" t="n"/>
      <c r="B349" s="20">
        <f>IF(A349="","",CHOOSE(WEEKDAY(A349,2),"Mo","Di","Mi","Do","Fr","Sa","So"))</f>
        <v/>
      </c>
      <c r="C349" s="20">
        <f>IF(A349="","",INT((A349-DATE(YEAR(A349-WEEKDAY(A349-1)+4),1,3)+WEEKDAY(DATE(YEAR(A349-WEEKDAY(A349-1)+4),1,3))+5)/7))</f>
        <v/>
      </c>
      <c r="D349" s="21" t="n"/>
      <c r="E349" s="22" t="n"/>
      <c r="F349" s="23" t="n"/>
      <c r="G349" s="23" t="n"/>
      <c r="H349" s="23" t="n"/>
      <c r="I349" s="20">
        <f>IF(COUNT(F349:H349)=0,"",SUM(F349:H349))</f>
        <v/>
      </c>
      <c r="J349" s="23" t="n"/>
      <c r="K349" s="23" t="n"/>
      <c r="L349" s="23" t="n"/>
      <c r="M349" s="23" t="n"/>
      <c r="N349" s="23" t="n"/>
      <c r="O349" s="20">
        <f>IF(OR(I349="",COUNT(J349:N349)=0),"",IF(SUM(J349:N349)=I349,"✓","⚠ "&amp;SUM(J349:N349)&amp;" statt "&amp;I349))</f>
        <v/>
      </c>
      <c r="P349" s="21" t="n"/>
      <c r="Q349" s="21" t="n"/>
      <c r="R349" s="21" t="n"/>
      <c r="S349" s="24" t="n"/>
      <c r="T349" s="24" t="n"/>
      <c r="V349">
        <f>IF(A349="","",MONTH(A349))</f>
        <v/>
      </c>
      <c r="W349">
        <f>N(W348)+IF(AND(C349&lt;&gt;"",T349&lt;&gt;""),IF(C349=WOCHE!$B$3,1,0),0)</f>
        <v/>
      </c>
      <c r="X349">
        <f>N(X348)+IF(AND(V349&lt;&gt;"",T349&lt;&gt;""),IF(V349=MONAT!$AZ$3,1,0),0)</f>
        <v/>
      </c>
    </row>
    <row r="350">
      <c r="A350" s="19" t="n"/>
      <c r="B350" s="20">
        <f>IF(A350="","",CHOOSE(WEEKDAY(A350,2),"Mo","Di","Mi","Do","Fr","Sa","So"))</f>
        <v/>
      </c>
      <c r="C350" s="20">
        <f>IF(A350="","",INT((A350-DATE(YEAR(A350-WEEKDAY(A350-1)+4),1,3)+WEEKDAY(DATE(YEAR(A350-WEEKDAY(A350-1)+4),1,3))+5)/7))</f>
        <v/>
      </c>
      <c r="D350" s="21" t="n"/>
      <c r="E350" s="22" t="n"/>
      <c r="F350" s="23" t="n"/>
      <c r="G350" s="23" t="n"/>
      <c r="H350" s="23" t="n"/>
      <c r="I350" s="20">
        <f>IF(COUNT(F350:H350)=0,"",SUM(F350:H350))</f>
        <v/>
      </c>
      <c r="J350" s="23" t="n"/>
      <c r="K350" s="23" t="n"/>
      <c r="L350" s="23" t="n"/>
      <c r="M350" s="23" t="n"/>
      <c r="N350" s="23" t="n"/>
      <c r="O350" s="20">
        <f>IF(OR(I350="",COUNT(J350:N350)=0),"",IF(SUM(J350:N350)=I350,"✓","⚠ "&amp;SUM(J350:N350)&amp;" statt "&amp;I350))</f>
        <v/>
      </c>
      <c r="P350" s="21" t="n"/>
      <c r="Q350" s="21" t="n"/>
      <c r="R350" s="21" t="n"/>
      <c r="S350" s="24" t="n"/>
      <c r="T350" s="24" t="n"/>
      <c r="V350">
        <f>IF(A350="","",MONTH(A350))</f>
        <v/>
      </c>
      <c r="W350">
        <f>N(W349)+IF(AND(C350&lt;&gt;"",T350&lt;&gt;""),IF(C350=WOCHE!$B$3,1,0),0)</f>
        <v/>
      </c>
      <c r="X350">
        <f>N(X349)+IF(AND(V350&lt;&gt;"",T350&lt;&gt;""),IF(V350=MONAT!$AZ$3,1,0),0)</f>
        <v/>
      </c>
    </row>
    <row r="351">
      <c r="A351" s="19" t="n"/>
      <c r="B351" s="20">
        <f>IF(A351="","",CHOOSE(WEEKDAY(A351,2),"Mo","Di","Mi","Do","Fr","Sa","So"))</f>
        <v/>
      </c>
      <c r="C351" s="20">
        <f>IF(A351="","",INT((A351-DATE(YEAR(A351-WEEKDAY(A351-1)+4),1,3)+WEEKDAY(DATE(YEAR(A351-WEEKDAY(A351-1)+4),1,3))+5)/7))</f>
        <v/>
      </c>
      <c r="D351" s="21" t="n"/>
      <c r="E351" s="22" t="n"/>
      <c r="F351" s="23" t="n"/>
      <c r="G351" s="23" t="n"/>
      <c r="H351" s="23" t="n"/>
      <c r="I351" s="20">
        <f>IF(COUNT(F351:H351)=0,"",SUM(F351:H351))</f>
        <v/>
      </c>
      <c r="J351" s="23" t="n"/>
      <c r="K351" s="23" t="n"/>
      <c r="L351" s="23" t="n"/>
      <c r="M351" s="23" t="n"/>
      <c r="N351" s="23" t="n"/>
      <c r="O351" s="20">
        <f>IF(OR(I351="",COUNT(J351:N351)=0),"",IF(SUM(J351:N351)=I351,"✓","⚠ "&amp;SUM(J351:N351)&amp;" statt "&amp;I351))</f>
        <v/>
      </c>
      <c r="P351" s="21" t="n"/>
      <c r="Q351" s="21" t="n"/>
      <c r="R351" s="21" t="n"/>
      <c r="S351" s="24" t="n"/>
      <c r="T351" s="24" t="n"/>
      <c r="V351">
        <f>IF(A351="","",MONTH(A351))</f>
        <v/>
      </c>
      <c r="W351">
        <f>N(W350)+IF(AND(C351&lt;&gt;"",T351&lt;&gt;""),IF(C351=WOCHE!$B$3,1,0),0)</f>
        <v/>
      </c>
      <c r="X351">
        <f>N(X350)+IF(AND(V351&lt;&gt;"",T351&lt;&gt;""),IF(V351=MONAT!$AZ$3,1,0),0)</f>
        <v/>
      </c>
    </row>
    <row r="352">
      <c r="A352" s="19" t="n"/>
      <c r="B352" s="20">
        <f>IF(A352="","",CHOOSE(WEEKDAY(A352,2),"Mo","Di","Mi","Do","Fr","Sa","So"))</f>
        <v/>
      </c>
      <c r="C352" s="20">
        <f>IF(A352="","",INT((A352-DATE(YEAR(A352-WEEKDAY(A352-1)+4),1,3)+WEEKDAY(DATE(YEAR(A352-WEEKDAY(A352-1)+4),1,3))+5)/7))</f>
        <v/>
      </c>
      <c r="D352" s="21" t="n"/>
      <c r="E352" s="22" t="n"/>
      <c r="F352" s="23" t="n"/>
      <c r="G352" s="23" t="n"/>
      <c r="H352" s="23" t="n"/>
      <c r="I352" s="20">
        <f>IF(COUNT(F352:H352)=0,"",SUM(F352:H352))</f>
        <v/>
      </c>
      <c r="J352" s="23" t="n"/>
      <c r="K352" s="23" t="n"/>
      <c r="L352" s="23" t="n"/>
      <c r="M352" s="23" t="n"/>
      <c r="N352" s="23" t="n"/>
      <c r="O352" s="20">
        <f>IF(OR(I352="",COUNT(J352:N352)=0),"",IF(SUM(J352:N352)=I352,"✓","⚠ "&amp;SUM(J352:N352)&amp;" statt "&amp;I352))</f>
        <v/>
      </c>
      <c r="P352" s="21" t="n"/>
      <c r="Q352" s="21" t="n"/>
      <c r="R352" s="21" t="n"/>
      <c r="S352" s="24" t="n"/>
      <c r="T352" s="24" t="n"/>
      <c r="V352">
        <f>IF(A352="","",MONTH(A352))</f>
        <v/>
      </c>
      <c r="W352">
        <f>N(W351)+IF(AND(C352&lt;&gt;"",T352&lt;&gt;""),IF(C352=WOCHE!$B$3,1,0),0)</f>
        <v/>
      </c>
      <c r="X352">
        <f>N(X351)+IF(AND(V352&lt;&gt;"",T352&lt;&gt;""),IF(V352=MONAT!$AZ$3,1,0),0)</f>
        <v/>
      </c>
    </row>
    <row r="353">
      <c r="A353" s="19" t="n"/>
      <c r="B353" s="20">
        <f>IF(A353="","",CHOOSE(WEEKDAY(A353,2),"Mo","Di","Mi","Do","Fr","Sa","So"))</f>
        <v/>
      </c>
      <c r="C353" s="20">
        <f>IF(A353="","",INT((A353-DATE(YEAR(A353-WEEKDAY(A353-1)+4),1,3)+WEEKDAY(DATE(YEAR(A353-WEEKDAY(A353-1)+4),1,3))+5)/7))</f>
        <v/>
      </c>
      <c r="D353" s="21" t="n"/>
      <c r="E353" s="22" t="n"/>
      <c r="F353" s="23" t="n"/>
      <c r="G353" s="23" t="n"/>
      <c r="H353" s="23" t="n"/>
      <c r="I353" s="20">
        <f>IF(COUNT(F353:H353)=0,"",SUM(F353:H353))</f>
        <v/>
      </c>
      <c r="J353" s="23" t="n"/>
      <c r="K353" s="23" t="n"/>
      <c r="L353" s="23" t="n"/>
      <c r="M353" s="23" t="n"/>
      <c r="N353" s="23" t="n"/>
      <c r="O353" s="20">
        <f>IF(OR(I353="",COUNT(J353:N353)=0),"",IF(SUM(J353:N353)=I353,"✓","⚠ "&amp;SUM(J353:N353)&amp;" statt "&amp;I353))</f>
        <v/>
      </c>
      <c r="P353" s="21" t="n"/>
      <c r="Q353" s="21" t="n"/>
      <c r="R353" s="21" t="n"/>
      <c r="S353" s="24" t="n"/>
      <c r="T353" s="24" t="n"/>
      <c r="V353">
        <f>IF(A353="","",MONTH(A353))</f>
        <v/>
      </c>
      <c r="W353">
        <f>N(W352)+IF(AND(C353&lt;&gt;"",T353&lt;&gt;""),IF(C353=WOCHE!$B$3,1,0),0)</f>
        <v/>
      </c>
      <c r="X353">
        <f>N(X352)+IF(AND(V353&lt;&gt;"",T353&lt;&gt;""),IF(V353=MONAT!$AZ$3,1,0),0)</f>
        <v/>
      </c>
    </row>
    <row r="354">
      <c r="A354" s="19" t="n"/>
      <c r="B354" s="20">
        <f>IF(A354="","",CHOOSE(WEEKDAY(A354,2),"Mo","Di","Mi","Do","Fr","Sa","So"))</f>
        <v/>
      </c>
      <c r="C354" s="20">
        <f>IF(A354="","",INT((A354-DATE(YEAR(A354-WEEKDAY(A354-1)+4),1,3)+WEEKDAY(DATE(YEAR(A354-WEEKDAY(A354-1)+4),1,3))+5)/7))</f>
        <v/>
      </c>
      <c r="D354" s="21" t="n"/>
      <c r="E354" s="22" t="n"/>
      <c r="F354" s="23" t="n"/>
      <c r="G354" s="23" t="n"/>
      <c r="H354" s="23" t="n"/>
      <c r="I354" s="20">
        <f>IF(COUNT(F354:H354)=0,"",SUM(F354:H354))</f>
        <v/>
      </c>
      <c r="J354" s="23" t="n"/>
      <c r="K354" s="23" t="n"/>
      <c r="L354" s="23" t="n"/>
      <c r="M354" s="23" t="n"/>
      <c r="N354" s="23" t="n"/>
      <c r="O354" s="20">
        <f>IF(OR(I354="",COUNT(J354:N354)=0),"",IF(SUM(J354:N354)=I354,"✓","⚠ "&amp;SUM(J354:N354)&amp;" statt "&amp;I354))</f>
        <v/>
      </c>
      <c r="P354" s="21" t="n"/>
      <c r="Q354" s="21" t="n"/>
      <c r="R354" s="21" t="n"/>
      <c r="S354" s="24" t="n"/>
      <c r="T354" s="24" t="n"/>
      <c r="V354">
        <f>IF(A354="","",MONTH(A354))</f>
        <v/>
      </c>
      <c r="W354">
        <f>N(W353)+IF(AND(C354&lt;&gt;"",T354&lt;&gt;""),IF(C354=WOCHE!$B$3,1,0),0)</f>
        <v/>
      </c>
      <c r="X354">
        <f>N(X353)+IF(AND(V354&lt;&gt;"",T354&lt;&gt;""),IF(V354=MONAT!$AZ$3,1,0),0)</f>
        <v/>
      </c>
    </row>
    <row r="355">
      <c r="A355" s="19" t="n"/>
      <c r="B355" s="20">
        <f>IF(A355="","",CHOOSE(WEEKDAY(A355,2),"Mo","Di","Mi","Do","Fr","Sa","So"))</f>
        <v/>
      </c>
      <c r="C355" s="20">
        <f>IF(A355="","",INT((A355-DATE(YEAR(A355-WEEKDAY(A355-1)+4),1,3)+WEEKDAY(DATE(YEAR(A355-WEEKDAY(A355-1)+4),1,3))+5)/7))</f>
        <v/>
      </c>
      <c r="D355" s="21" t="n"/>
      <c r="E355" s="22" t="n"/>
      <c r="F355" s="23" t="n"/>
      <c r="G355" s="23" t="n"/>
      <c r="H355" s="23" t="n"/>
      <c r="I355" s="20">
        <f>IF(COUNT(F355:H355)=0,"",SUM(F355:H355))</f>
        <v/>
      </c>
      <c r="J355" s="23" t="n"/>
      <c r="K355" s="23" t="n"/>
      <c r="L355" s="23" t="n"/>
      <c r="M355" s="23" t="n"/>
      <c r="N355" s="23" t="n"/>
      <c r="O355" s="20">
        <f>IF(OR(I355="",COUNT(J355:N355)=0),"",IF(SUM(J355:N355)=I355,"✓","⚠ "&amp;SUM(J355:N355)&amp;" statt "&amp;I355))</f>
        <v/>
      </c>
      <c r="P355" s="21" t="n"/>
      <c r="Q355" s="21" t="n"/>
      <c r="R355" s="21" t="n"/>
      <c r="S355" s="24" t="n"/>
      <c r="T355" s="24" t="n"/>
      <c r="V355">
        <f>IF(A355="","",MONTH(A355))</f>
        <v/>
      </c>
      <c r="W355">
        <f>N(W354)+IF(AND(C355&lt;&gt;"",T355&lt;&gt;""),IF(C355=WOCHE!$B$3,1,0),0)</f>
        <v/>
      </c>
      <c r="X355">
        <f>N(X354)+IF(AND(V355&lt;&gt;"",T355&lt;&gt;""),IF(V355=MONAT!$AZ$3,1,0),0)</f>
        <v/>
      </c>
    </row>
    <row r="356">
      <c r="A356" s="19" t="n"/>
      <c r="B356" s="20">
        <f>IF(A356="","",CHOOSE(WEEKDAY(A356,2),"Mo","Di","Mi","Do","Fr","Sa","So"))</f>
        <v/>
      </c>
      <c r="C356" s="20">
        <f>IF(A356="","",INT((A356-DATE(YEAR(A356-WEEKDAY(A356-1)+4),1,3)+WEEKDAY(DATE(YEAR(A356-WEEKDAY(A356-1)+4),1,3))+5)/7))</f>
        <v/>
      </c>
      <c r="D356" s="21" t="n"/>
      <c r="E356" s="22" t="n"/>
      <c r="F356" s="23" t="n"/>
      <c r="G356" s="23" t="n"/>
      <c r="H356" s="23" t="n"/>
      <c r="I356" s="20">
        <f>IF(COUNT(F356:H356)=0,"",SUM(F356:H356))</f>
        <v/>
      </c>
      <c r="J356" s="23" t="n"/>
      <c r="K356" s="23" t="n"/>
      <c r="L356" s="23" t="n"/>
      <c r="M356" s="23" t="n"/>
      <c r="N356" s="23" t="n"/>
      <c r="O356" s="20">
        <f>IF(OR(I356="",COUNT(J356:N356)=0),"",IF(SUM(J356:N356)=I356,"✓","⚠ "&amp;SUM(J356:N356)&amp;" statt "&amp;I356))</f>
        <v/>
      </c>
      <c r="P356" s="21" t="n"/>
      <c r="Q356" s="21" t="n"/>
      <c r="R356" s="21" t="n"/>
      <c r="S356" s="24" t="n"/>
      <c r="T356" s="24" t="n"/>
      <c r="V356">
        <f>IF(A356="","",MONTH(A356))</f>
        <v/>
      </c>
      <c r="W356">
        <f>N(W355)+IF(AND(C356&lt;&gt;"",T356&lt;&gt;""),IF(C356=WOCHE!$B$3,1,0),0)</f>
        <v/>
      </c>
      <c r="X356">
        <f>N(X355)+IF(AND(V356&lt;&gt;"",T356&lt;&gt;""),IF(V356=MONAT!$AZ$3,1,0),0)</f>
        <v/>
      </c>
    </row>
    <row r="357">
      <c r="A357" s="19" t="n"/>
      <c r="B357" s="20">
        <f>IF(A357="","",CHOOSE(WEEKDAY(A357,2),"Mo","Di","Mi","Do","Fr","Sa","So"))</f>
        <v/>
      </c>
      <c r="C357" s="20">
        <f>IF(A357="","",INT((A357-DATE(YEAR(A357-WEEKDAY(A357-1)+4),1,3)+WEEKDAY(DATE(YEAR(A357-WEEKDAY(A357-1)+4),1,3))+5)/7))</f>
        <v/>
      </c>
      <c r="D357" s="21" t="n"/>
      <c r="E357" s="22" t="n"/>
      <c r="F357" s="23" t="n"/>
      <c r="G357" s="23" t="n"/>
      <c r="H357" s="23" t="n"/>
      <c r="I357" s="20">
        <f>IF(COUNT(F357:H357)=0,"",SUM(F357:H357))</f>
        <v/>
      </c>
      <c r="J357" s="23" t="n"/>
      <c r="K357" s="23" t="n"/>
      <c r="L357" s="23" t="n"/>
      <c r="M357" s="23" t="n"/>
      <c r="N357" s="23" t="n"/>
      <c r="O357" s="20">
        <f>IF(OR(I357="",COUNT(J357:N357)=0),"",IF(SUM(J357:N357)=I357,"✓","⚠ "&amp;SUM(J357:N357)&amp;" statt "&amp;I357))</f>
        <v/>
      </c>
      <c r="P357" s="21" t="n"/>
      <c r="Q357" s="21" t="n"/>
      <c r="R357" s="21" t="n"/>
      <c r="S357" s="24" t="n"/>
      <c r="T357" s="24" t="n"/>
      <c r="V357">
        <f>IF(A357="","",MONTH(A357))</f>
        <v/>
      </c>
      <c r="W357">
        <f>N(W356)+IF(AND(C357&lt;&gt;"",T357&lt;&gt;""),IF(C357=WOCHE!$B$3,1,0),0)</f>
        <v/>
      </c>
      <c r="X357">
        <f>N(X356)+IF(AND(V357&lt;&gt;"",T357&lt;&gt;""),IF(V357=MONAT!$AZ$3,1,0),0)</f>
        <v/>
      </c>
    </row>
    <row r="358">
      <c r="A358" s="19" t="n"/>
      <c r="B358" s="20">
        <f>IF(A358="","",CHOOSE(WEEKDAY(A358,2),"Mo","Di","Mi","Do","Fr","Sa","So"))</f>
        <v/>
      </c>
      <c r="C358" s="20">
        <f>IF(A358="","",INT((A358-DATE(YEAR(A358-WEEKDAY(A358-1)+4),1,3)+WEEKDAY(DATE(YEAR(A358-WEEKDAY(A358-1)+4),1,3))+5)/7))</f>
        <v/>
      </c>
      <c r="D358" s="21" t="n"/>
      <c r="E358" s="22" t="n"/>
      <c r="F358" s="23" t="n"/>
      <c r="G358" s="23" t="n"/>
      <c r="H358" s="23" t="n"/>
      <c r="I358" s="20">
        <f>IF(COUNT(F358:H358)=0,"",SUM(F358:H358))</f>
        <v/>
      </c>
      <c r="J358" s="23" t="n"/>
      <c r="K358" s="23" t="n"/>
      <c r="L358" s="23" t="n"/>
      <c r="M358" s="23" t="n"/>
      <c r="N358" s="23" t="n"/>
      <c r="O358" s="20">
        <f>IF(OR(I358="",COUNT(J358:N358)=0),"",IF(SUM(J358:N358)=I358,"✓","⚠ "&amp;SUM(J358:N358)&amp;" statt "&amp;I358))</f>
        <v/>
      </c>
      <c r="P358" s="21" t="n"/>
      <c r="Q358" s="21" t="n"/>
      <c r="R358" s="21" t="n"/>
      <c r="S358" s="24" t="n"/>
      <c r="T358" s="24" t="n"/>
      <c r="V358">
        <f>IF(A358="","",MONTH(A358))</f>
        <v/>
      </c>
      <c r="W358">
        <f>N(W357)+IF(AND(C358&lt;&gt;"",T358&lt;&gt;""),IF(C358=WOCHE!$B$3,1,0),0)</f>
        <v/>
      </c>
      <c r="X358">
        <f>N(X357)+IF(AND(V358&lt;&gt;"",T358&lt;&gt;""),IF(V358=MONAT!$AZ$3,1,0),0)</f>
        <v/>
      </c>
    </row>
    <row r="359">
      <c r="A359" s="19" t="n"/>
      <c r="B359" s="20">
        <f>IF(A359="","",CHOOSE(WEEKDAY(A359,2),"Mo","Di","Mi","Do","Fr","Sa","So"))</f>
        <v/>
      </c>
      <c r="C359" s="20">
        <f>IF(A359="","",INT((A359-DATE(YEAR(A359-WEEKDAY(A359-1)+4),1,3)+WEEKDAY(DATE(YEAR(A359-WEEKDAY(A359-1)+4),1,3))+5)/7))</f>
        <v/>
      </c>
      <c r="D359" s="21" t="n"/>
      <c r="E359" s="22" t="n"/>
      <c r="F359" s="23" t="n"/>
      <c r="G359" s="23" t="n"/>
      <c r="H359" s="23" t="n"/>
      <c r="I359" s="20">
        <f>IF(COUNT(F359:H359)=0,"",SUM(F359:H359))</f>
        <v/>
      </c>
      <c r="J359" s="23" t="n"/>
      <c r="K359" s="23" t="n"/>
      <c r="L359" s="23" t="n"/>
      <c r="M359" s="23" t="n"/>
      <c r="N359" s="23" t="n"/>
      <c r="O359" s="20">
        <f>IF(OR(I359="",COUNT(J359:N359)=0),"",IF(SUM(J359:N359)=I359,"✓","⚠ "&amp;SUM(J359:N359)&amp;" statt "&amp;I359))</f>
        <v/>
      </c>
      <c r="P359" s="21" t="n"/>
      <c r="Q359" s="21" t="n"/>
      <c r="R359" s="21" t="n"/>
      <c r="S359" s="24" t="n"/>
      <c r="T359" s="24" t="n"/>
      <c r="V359">
        <f>IF(A359="","",MONTH(A359))</f>
        <v/>
      </c>
      <c r="W359">
        <f>N(W358)+IF(AND(C359&lt;&gt;"",T359&lt;&gt;""),IF(C359=WOCHE!$B$3,1,0),0)</f>
        <v/>
      </c>
      <c r="X359">
        <f>N(X358)+IF(AND(V359&lt;&gt;"",T359&lt;&gt;""),IF(V359=MONAT!$AZ$3,1,0),0)</f>
        <v/>
      </c>
    </row>
    <row r="360">
      <c r="A360" s="19" t="n"/>
      <c r="B360" s="20">
        <f>IF(A360="","",CHOOSE(WEEKDAY(A360,2),"Mo","Di","Mi","Do","Fr","Sa","So"))</f>
        <v/>
      </c>
      <c r="C360" s="20">
        <f>IF(A360="","",INT((A360-DATE(YEAR(A360-WEEKDAY(A360-1)+4),1,3)+WEEKDAY(DATE(YEAR(A360-WEEKDAY(A360-1)+4),1,3))+5)/7))</f>
        <v/>
      </c>
      <c r="D360" s="21" t="n"/>
      <c r="E360" s="22" t="n"/>
      <c r="F360" s="23" t="n"/>
      <c r="G360" s="23" t="n"/>
      <c r="H360" s="23" t="n"/>
      <c r="I360" s="20">
        <f>IF(COUNT(F360:H360)=0,"",SUM(F360:H360))</f>
        <v/>
      </c>
      <c r="J360" s="23" t="n"/>
      <c r="K360" s="23" t="n"/>
      <c r="L360" s="23" t="n"/>
      <c r="M360" s="23" t="n"/>
      <c r="N360" s="23" t="n"/>
      <c r="O360" s="20">
        <f>IF(OR(I360="",COUNT(J360:N360)=0),"",IF(SUM(J360:N360)=I360,"✓","⚠ "&amp;SUM(J360:N360)&amp;" statt "&amp;I360))</f>
        <v/>
      </c>
      <c r="P360" s="21" t="n"/>
      <c r="Q360" s="21" t="n"/>
      <c r="R360" s="21" t="n"/>
      <c r="S360" s="24" t="n"/>
      <c r="T360" s="24" t="n"/>
      <c r="V360">
        <f>IF(A360="","",MONTH(A360))</f>
        <v/>
      </c>
      <c r="W360">
        <f>N(W359)+IF(AND(C360&lt;&gt;"",T360&lt;&gt;""),IF(C360=WOCHE!$B$3,1,0),0)</f>
        <v/>
      </c>
      <c r="X360">
        <f>N(X359)+IF(AND(V360&lt;&gt;"",T360&lt;&gt;""),IF(V360=MONAT!$AZ$3,1,0),0)</f>
        <v/>
      </c>
    </row>
    <row r="361">
      <c r="A361" s="19" t="n"/>
      <c r="B361" s="20">
        <f>IF(A361="","",CHOOSE(WEEKDAY(A361,2),"Mo","Di","Mi","Do","Fr","Sa","So"))</f>
        <v/>
      </c>
      <c r="C361" s="20">
        <f>IF(A361="","",INT((A361-DATE(YEAR(A361-WEEKDAY(A361-1)+4),1,3)+WEEKDAY(DATE(YEAR(A361-WEEKDAY(A361-1)+4),1,3))+5)/7))</f>
        <v/>
      </c>
      <c r="D361" s="21" t="n"/>
      <c r="E361" s="22" t="n"/>
      <c r="F361" s="23" t="n"/>
      <c r="G361" s="23" t="n"/>
      <c r="H361" s="23" t="n"/>
      <c r="I361" s="20">
        <f>IF(COUNT(F361:H361)=0,"",SUM(F361:H361))</f>
        <v/>
      </c>
      <c r="J361" s="23" t="n"/>
      <c r="K361" s="23" t="n"/>
      <c r="L361" s="23" t="n"/>
      <c r="M361" s="23" t="n"/>
      <c r="N361" s="23" t="n"/>
      <c r="O361" s="20">
        <f>IF(OR(I361="",COUNT(J361:N361)=0),"",IF(SUM(J361:N361)=I361,"✓","⚠ "&amp;SUM(J361:N361)&amp;" statt "&amp;I361))</f>
        <v/>
      </c>
      <c r="P361" s="21" t="n"/>
      <c r="Q361" s="21" t="n"/>
      <c r="R361" s="21" t="n"/>
      <c r="S361" s="24" t="n"/>
      <c r="T361" s="24" t="n"/>
      <c r="V361">
        <f>IF(A361="","",MONTH(A361))</f>
        <v/>
      </c>
      <c r="W361">
        <f>N(W360)+IF(AND(C361&lt;&gt;"",T361&lt;&gt;""),IF(C361=WOCHE!$B$3,1,0),0)</f>
        <v/>
      </c>
      <c r="X361">
        <f>N(X360)+IF(AND(V361&lt;&gt;"",T361&lt;&gt;""),IF(V361=MONAT!$AZ$3,1,0),0)</f>
        <v/>
      </c>
    </row>
    <row r="362">
      <c r="A362" s="19" t="n"/>
      <c r="B362" s="20">
        <f>IF(A362="","",CHOOSE(WEEKDAY(A362,2),"Mo","Di","Mi","Do","Fr","Sa","So"))</f>
        <v/>
      </c>
      <c r="C362" s="20">
        <f>IF(A362="","",INT((A362-DATE(YEAR(A362-WEEKDAY(A362-1)+4),1,3)+WEEKDAY(DATE(YEAR(A362-WEEKDAY(A362-1)+4),1,3))+5)/7))</f>
        <v/>
      </c>
      <c r="D362" s="21" t="n"/>
      <c r="E362" s="22" t="n"/>
      <c r="F362" s="23" t="n"/>
      <c r="G362" s="23" t="n"/>
      <c r="H362" s="23" t="n"/>
      <c r="I362" s="20">
        <f>IF(COUNT(F362:H362)=0,"",SUM(F362:H362))</f>
        <v/>
      </c>
      <c r="J362" s="23" t="n"/>
      <c r="K362" s="23" t="n"/>
      <c r="L362" s="23" t="n"/>
      <c r="M362" s="23" t="n"/>
      <c r="N362" s="23" t="n"/>
      <c r="O362" s="20">
        <f>IF(OR(I362="",COUNT(J362:N362)=0),"",IF(SUM(J362:N362)=I362,"✓","⚠ "&amp;SUM(J362:N362)&amp;" statt "&amp;I362))</f>
        <v/>
      </c>
      <c r="P362" s="21" t="n"/>
      <c r="Q362" s="21" t="n"/>
      <c r="R362" s="21" t="n"/>
      <c r="S362" s="24" t="n"/>
      <c r="T362" s="24" t="n"/>
      <c r="V362">
        <f>IF(A362="","",MONTH(A362))</f>
        <v/>
      </c>
      <c r="W362">
        <f>N(W361)+IF(AND(C362&lt;&gt;"",T362&lt;&gt;""),IF(C362=WOCHE!$B$3,1,0),0)</f>
        <v/>
      </c>
      <c r="X362">
        <f>N(X361)+IF(AND(V362&lt;&gt;"",T362&lt;&gt;""),IF(V362=MONAT!$AZ$3,1,0),0)</f>
        <v/>
      </c>
    </row>
    <row r="363">
      <c r="A363" s="19" t="n"/>
      <c r="B363" s="20">
        <f>IF(A363="","",CHOOSE(WEEKDAY(A363,2),"Mo","Di","Mi","Do","Fr","Sa","So"))</f>
        <v/>
      </c>
      <c r="C363" s="20">
        <f>IF(A363="","",INT((A363-DATE(YEAR(A363-WEEKDAY(A363-1)+4),1,3)+WEEKDAY(DATE(YEAR(A363-WEEKDAY(A363-1)+4),1,3))+5)/7))</f>
        <v/>
      </c>
      <c r="D363" s="21" t="n"/>
      <c r="E363" s="22" t="n"/>
      <c r="F363" s="23" t="n"/>
      <c r="G363" s="23" t="n"/>
      <c r="H363" s="23" t="n"/>
      <c r="I363" s="20">
        <f>IF(COUNT(F363:H363)=0,"",SUM(F363:H363))</f>
        <v/>
      </c>
      <c r="J363" s="23" t="n"/>
      <c r="K363" s="23" t="n"/>
      <c r="L363" s="23" t="n"/>
      <c r="M363" s="23" t="n"/>
      <c r="N363" s="23" t="n"/>
      <c r="O363" s="20">
        <f>IF(OR(I363="",COUNT(J363:N363)=0),"",IF(SUM(J363:N363)=I363,"✓","⚠ "&amp;SUM(J363:N363)&amp;" statt "&amp;I363))</f>
        <v/>
      </c>
      <c r="P363" s="21" t="n"/>
      <c r="Q363" s="21" t="n"/>
      <c r="R363" s="21" t="n"/>
      <c r="S363" s="24" t="n"/>
      <c r="T363" s="24" t="n"/>
      <c r="V363">
        <f>IF(A363="","",MONTH(A363))</f>
        <v/>
      </c>
      <c r="W363">
        <f>N(W362)+IF(AND(C363&lt;&gt;"",T363&lt;&gt;""),IF(C363=WOCHE!$B$3,1,0),0)</f>
        <v/>
      </c>
      <c r="X363">
        <f>N(X362)+IF(AND(V363&lt;&gt;"",T363&lt;&gt;""),IF(V363=MONAT!$AZ$3,1,0),0)</f>
        <v/>
      </c>
    </row>
    <row r="364">
      <c r="A364" s="19" t="n"/>
      <c r="B364" s="20">
        <f>IF(A364="","",CHOOSE(WEEKDAY(A364,2),"Mo","Di","Mi","Do","Fr","Sa","So"))</f>
        <v/>
      </c>
      <c r="C364" s="20">
        <f>IF(A364="","",INT((A364-DATE(YEAR(A364-WEEKDAY(A364-1)+4),1,3)+WEEKDAY(DATE(YEAR(A364-WEEKDAY(A364-1)+4),1,3))+5)/7))</f>
        <v/>
      </c>
      <c r="D364" s="21" t="n"/>
      <c r="E364" s="22" t="n"/>
      <c r="F364" s="23" t="n"/>
      <c r="G364" s="23" t="n"/>
      <c r="H364" s="23" t="n"/>
      <c r="I364" s="20">
        <f>IF(COUNT(F364:H364)=0,"",SUM(F364:H364))</f>
        <v/>
      </c>
      <c r="J364" s="23" t="n"/>
      <c r="K364" s="23" t="n"/>
      <c r="L364" s="23" t="n"/>
      <c r="M364" s="23" t="n"/>
      <c r="N364" s="23" t="n"/>
      <c r="O364" s="20">
        <f>IF(OR(I364="",COUNT(J364:N364)=0),"",IF(SUM(J364:N364)=I364,"✓","⚠ "&amp;SUM(J364:N364)&amp;" statt "&amp;I364))</f>
        <v/>
      </c>
      <c r="P364" s="21" t="n"/>
      <c r="Q364" s="21" t="n"/>
      <c r="R364" s="21" t="n"/>
      <c r="S364" s="24" t="n"/>
      <c r="T364" s="24" t="n"/>
      <c r="V364">
        <f>IF(A364="","",MONTH(A364))</f>
        <v/>
      </c>
      <c r="W364">
        <f>N(W363)+IF(AND(C364&lt;&gt;"",T364&lt;&gt;""),IF(C364=WOCHE!$B$3,1,0),0)</f>
        <v/>
      </c>
      <c r="X364">
        <f>N(X363)+IF(AND(V364&lt;&gt;"",T364&lt;&gt;""),IF(V364=MONAT!$AZ$3,1,0),0)</f>
        <v/>
      </c>
    </row>
    <row r="365">
      <c r="A365" s="19" t="n"/>
      <c r="B365" s="20">
        <f>IF(A365="","",CHOOSE(WEEKDAY(A365,2),"Mo","Di","Mi","Do","Fr","Sa","So"))</f>
        <v/>
      </c>
      <c r="C365" s="20">
        <f>IF(A365="","",INT((A365-DATE(YEAR(A365-WEEKDAY(A365-1)+4),1,3)+WEEKDAY(DATE(YEAR(A365-WEEKDAY(A365-1)+4),1,3))+5)/7))</f>
        <v/>
      </c>
      <c r="D365" s="21" t="n"/>
      <c r="E365" s="22" t="n"/>
      <c r="F365" s="23" t="n"/>
      <c r="G365" s="23" t="n"/>
      <c r="H365" s="23" t="n"/>
      <c r="I365" s="20">
        <f>IF(COUNT(F365:H365)=0,"",SUM(F365:H365))</f>
        <v/>
      </c>
      <c r="J365" s="23" t="n"/>
      <c r="K365" s="23" t="n"/>
      <c r="L365" s="23" t="n"/>
      <c r="M365" s="23" t="n"/>
      <c r="N365" s="23" t="n"/>
      <c r="O365" s="20">
        <f>IF(OR(I365="",COUNT(J365:N365)=0),"",IF(SUM(J365:N365)=I365,"✓","⚠ "&amp;SUM(J365:N365)&amp;" statt "&amp;I365))</f>
        <v/>
      </c>
      <c r="P365" s="21" t="n"/>
      <c r="Q365" s="21" t="n"/>
      <c r="R365" s="21" t="n"/>
      <c r="S365" s="24" t="n"/>
      <c r="T365" s="24" t="n"/>
      <c r="V365">
        <f>IF(A365="","",MONTH(A365))</f>
        <v/>
      </c>
      <c r="W365">
        <f>N(W364)+IF(AND(C365&lt;&gt;"",T365&lt;&gt;""),IF(C365=WOCHE!$B$3,1,0),0)</f>
        <v/>
      </c>
      <c r="X365">
        <f>N(X364)+IF(AND(V365&lt;&gt;"",T365&lt;&gt;""),IF(V365=MONAT!$AZ$3,1,0),0)</f>
        <v/>
      </c>
    </row>
    <row r="366">
      <c r="A366" s="19" t="n"/>
      <c r="B366" s="20">
        <f>IF(A366="","",CHOOSE(WEEKDAY(A366,2),"Mo","Di","Mi","Do","Fr","Sa","So"))</f>
        <v/>
      </c>
      <c r="C366" s="20">
        <f>IF(A366="","",INT((A366-DATE(YEAR(A366-WEEKDAY(A366-1)+4),1,3)+WEEKDAY(DATE(YEAR(A366-WEEKDAY(A366-1)+4),1,3))+5)/7))</f>
        <v/>
      </c>
      <c r="D366" s="21" t="n"/>
      <c r="E366" s="22" t="n"/>
      <c r="F366" s="23" t="n"/>
      <c r="G366" s="23" t="n"/>
      <c r="H366" s="23" t="n"/>
      <c r="I366" s="20">
        <f>IF(COUNT(F366:H366)=0,"",SUM(F366:H366))</f>
        <v/>
      </c>
      <c r="J366" s="23" t="n"/>
      <c r="K366" s="23" t="n"/>
      <c r="L366" s="23" t="n"/>
      <c r="M366" s="23" t="n"/>
      <c r="N366" s="23" t="n"/>
      <c r="O366" s="20">
        <f>IF(OR(I366="",COUNT(J366:N366)=0),"",IF(SUM(J366:N366)=I366,"✓","⚠ "&amp;SUM(J366:N366)&amp;" statt "&amp;I366))</f>
        <v/>
      </c>
      <c r="P366" s="21" t="n"/>
      <c r="Q366" s="21" t="n"/>
      <c r="R366" s="21" t="n"/>
      <c r="S366" s="24" t="n"/>
      <c r="T366" s="24" t="n"/>
      <c r="V366">
        <f>IF(A366="","",MONTH(A366))</f>
        <v/>
      </c>
      <c r="W366">
        <f>N(W365)+IF(AND(C366&lt;&gt;"",T366&lt;&gt;""),IF(C366=WOCHE!$B$3,1,0),0)</f>
        <v/>
      </c>
      <c r="X366">
        <f>N(X365)+IF(AND(V366&lt;&gt;"",T366&lt;&gt;""),IF(V366=MONAT!$AZ$3,1,0),0)</f>
        <v/>
      </c>
    </row>
    <row r="367">
      <c r="A367" s="19" t="n"/>
      <c r="B367" s="20">
        <f>IF(A367="","",CHOOSE(WEEKDAY(A367,2),"Mo","Di","Mi","Do","Fr","Sa","So"))</f>
        <v/>
      </c>
      <c r="C367" s="20">
        <f>IF(A367="","",INT((A367-DATE(YEAR(A367-WEEKDAY(A367-1)+4),1,3)+WEEKDAY(DATE(YEAR(A367-WEEKDAY(A367-1)+4),1,3))+5)/7))</f>
        <v/>
      </c>
      <c r="D367" s="21" t="n"/>
      <c r="E367" s="22" t="n"/>
      <c r="F367" s="23" t="n"/>
      <c r="G367" s="23" t="n"/>
      <c r="H367" s="23" t="n"/>
      <c r="I367" s="20">
        <f>IF(COUNT(F367:H367)=0,"",SUM(F367:H367))</f>
        <v/>
      </c>
      <c r="J367" s="23" t="n"/>
      <c r="K367" s="23" t="n"/>
      <c r="L367" s="23" t="n"/>
      <c r="M367" s="23" t="n"/>
      <c r="N367" s="23" t="n"/>
      <c r="O367" s="20">
        <f>IF(OR(I367="",COUNT(J367:N367)=0),"",IF(SUM(J367:N367)=I367,"✓","⚠ "&amp;SUM(J367:N367)&amp;" statt "&amp;I367))</f>
        <v/>
      </c>
      <c r="P367" s="21" t="n"/>
      <c r="Q367" s="21" t="n"/>
      <c r="R367" s="21" t="n"/>
      <c r="S367" s="24" t="n"/>
      <c r="T367" s="24" t="n"/>
      <c r="V367">
        <f>IF(A367="","",MONTH(A367))</f>
        <v/>
      </c>
      <c r="W367">
        <f>N(W366)+IF(AND(C367&lt;&gt;"",T367&lt;&gt;""),IF(C367=WOCHE!$B$3,1,0),0)</f>
        <v/>
      </c>
      <c r="X367">
        <f>N(X366)+IF(AND(V367&lt;&gt;"",T367&lt;&gt;""),IF(V367=MONAT!$AZ$3,1,0),0)</f>
        <v/>
      </c>
    </row>
    <row r="368">
      <c r="A368" s="19" t="n"/>
      <c r="B368" s="20">
        <f>IF(A368="","",CHOOSE(WEEKDAY(A368,2),"Mo","Di","Mi","Do","Fr","Sa","So"))</f>
        <v/>
      </c>
      <c r="C368" s="20">
        <f>IF(A368="","",INT((A368-DATE(YEAR(A368-WEEKDAY(A368-1)+4),1,3)+WEEKDAY(DATE(YEAR(A368-WEEKDAY(A368-1)+4),1,3))+5)/7))</f>
        <v/>
      </c>
      <c r="D368" s="21" t="n"/>
      <c r="E368" s="22" t="n"/>
      <c r="F368" s="23" t="n"/>
      <c r="G368" s="23" t="n"/>
      <c r="H368" s="23" t="n"/>
      <c r="I368" s="20">
        <f>IF(COUNT(F368:H368)=0,"",SUM(F368:H368))</f>
        <v/>
      </c>
      <c r="J368" s="23" t="n"/>
      <c r="K368" s="23" t="n"/>
      <c r="L368" s="23" t="n"/>
      <c r="M368" s="23" t="n"/>
      <c r="N368" s="23" t="n"/>
      <c r="O368" s="20">
        <f>IF(OR(I368="",COUNT(J368:N368)=0),"",IF(SUM(J368:N368)=I368,"✓","⚠ "&amp;SUM(J368:N368)&amp;" statt "&amp;I368))</f>
        <v/>
      </c>
      <c r="P368" s="21" t="n"/>
      <c r="Q368" s="21" t="n"/>
      <c r="R368" s="21" t="n"/>
      <c r="S368" s="24" t="n"/>
      <c r="T368" s="24" t="n"/>
      <c r="V368">
        <f>IF(A368="","",MONTH(A368))</f>
        <v/>
      </c>
      <c r="W368">
        <f>N(W367)+IF(AND(C368&lt;&gt;"",T368&lt;&gt;""),IF(C368=WOCHE!$B$3,1,0),0)</f>
        <v/>
      </c>
      <c r="X368">
        <f>N(X367)+IF(AND(V368&lt;&gt;"",T368&lt;&gt;""),IF(V368=MONAT!$AZ$3,1,0),0)</f>
        <v/>
      </c>
    </row>
    <row r="369">
      <c r="A369" s="19" t="n"/>
      <c r="B369" s="20">
        <f>IF(A369="","",CHOOSE(WEEKDAY(A369,2),"Mo","Di","Mi","Do","Fr","Sa","So"))</f>
        <v/>
      </c>
      <c r="C369" s="20">
        <f>IF(A369="","",INT((A369-DATE(YEAR(A369-WEEKDAY(A369-1)+4),1,3)+WEEKDAY(DATE(YEAR(A369-WEEKDAY(A369-1)+4),1,3))+5)/7))</f>
        <v/>
      </c>
      <c r="D369" s="21" t="n"/>
      <c r="E369" s="22" t="n"/>
      <c r="F369" s="23" t="n"/>
      <c r="G369" s="23" t="n"/>
      <c r="H369" s="23" t="n"/>
      <c r="I369" s="20">
        <f>IF(COUNT(F369:H369)=0,"",SUM(F369:H369))</f>
        <v/>
      </c>
      <c r="J369" s="23" t="n"/>
      <c r="K369" s="23" t="n"/>
      <c r="L369" s="23" t="n"/>
      <c r="M369" s="23" t="n"/>
      <c r="N369" s="23" t="n"/>
      <c r="O369" s="20">
        <f>IF(OR(I369="",COUNT(J369:N369)=0),"",IF(SUM(J369:N369)=I369,"✓","⚠ "&amp;SUM(J369:N369)&amp;" statt "&amp;I369))</f>
        <v/>
      </c>
      <c r="P369" s="21" t="n"/>
      <c r="Q369" s="21" t="n"/>
      <c r="R369" s="21" t="n"/>
      <c r="S369" s="24" t="n"/>
      <c r="T369" s="24" t="n"/>
      <c r="V369">
        <f>IF(A369="","",MONTH(A369))</f>
        <v/>
      </c>
      <c r="W369">
        <f>N(W368)+IF(AND(C369&lt;&gt;"",T369&lt;&gt;""),IF(C369=WOCHE!$B$3,1,0),0)</f>
        <v/>
      </c>
      <c r="X369">
        <f>N(X368)+IF(AND(V369&lt;&gt;"",T369&lt;&gt;""),IF(V369=MONAT!$AZ$3,1,0),0)</f>
        <v/>
      </c>
    </row>
    <row r="370">
      <c r="A370" s="19" t="n"/>
      <c r="B370" s="20">
        <f>IF(A370="","",CHOOSE(WEEKDAY(A370,2),"Mo","Di","Mi","Do","Fr","Sa","So"))</f>
        <v/>
      </c>
      <c r="C370" s="20">
        <f>IF(A370="","",INT((A370-DATE(YEAR(A370-WEEKDAY(A370-1)+4),1,3)+WEEKDAY(DATE(YEAR(A370-WEEKDAY(A370-1)+4),1,3))+5)/7))</f>
        <v/>
      </c>
      <c r="D370" s="21" t="n"/>
      <c r="E370" s="22" t="n"/>
      <c r="F370" s="23" t="n"/>
      <c r="G370" s="23" t="n"/>
      <c r="H370" s="23" t="n"/>
      <c r="I370" s="20">
        <f>IF(COUNT(F370:H370)=0,"",SUM(F370:H370))</f>
        <v/>
      </c>
      <c r="J370" s="23" t="n"/>
      <c r="K370" s="23" t="n"/>
      <c r="L370" s="23" t="n"/>
      <c r="M370" s="23" t="n"/>
      <c r="N370" s="23" t="n"/>
      <c r="O370" s="20">
        <f>IF(OR(I370="",COUNT(J370:N370)=0),"",IF(SUM(J370:N370)=I370,"✓","⚠ "&amp;SUM(J370:N370)&amp;" statt "&amp;I370))</f>
        <v/>
      </c>
      <c r="P370" s="21" t="n"/>
      <c r="Q370" s="21" t="n"/>
      <c r="R370" s="21" t="n"/>
      <c r="S370" s="24" t="n"/>
      <c r="T370" s="24" t="n"/>
      <c r="V370">
        <f>IF(A370="","",MONTH(A370))</f>
        <v/>
      </c>
      <c r="W370">
        <f>N(W369)+IF(AND(C370&lt;&gt;"",T370&lt;&gt;""),IF(C370=WOCHE!$B$3,1,0),0)</f>
        <v/>
      </c>
      <c r="X370">
        <f>N(X369)+IF(AND(V370&lt;&gt;"",T370&lt;&gt;""),IF(V370=MONAT!$AZ$3,1,0),0)</f>
        <v/>
      </c>
    </row>
    <row r="371">
      <c r="A371" s="19" t="n"/>
      <c r="B371" s="20">
        <f>IF(A371="","",CHOOSE(WEEKDAY(A371,2),"Mo","Di","Mi","Do","Fr","Sa","So"))</f>
        <v/>
      </c>
      <c r="C371" s="20">
        <f>IF(A371="","",INT((A371-DATE(YEAR(A371-WEEKDAY(A371-1)+4),1,3)+WEEKDAY(DATE(YEAR(A371-WEEKDAY(A371-1)+4),1,3))+5)/7))</f>
        <v/>
      </c>
      <c r="D371" s="21" t="n"/>
      <c r="E371" s="22" t="n"/>
      <c r="F371" s="23" t="n"/>
      <c r="G371" s="23" t="n"/>
      <c r="H371" s="23" t="n"/>
      <c r="I371" s="20">
        <f>IF(COUNT(F371:H371)=0,"",SUM(F371:H371))</f>
        <v/>
      </c>
      <c r="J371" s="23" t="n"/>
      <c r="K371" s="23" t="n"/>
      <c r="L371" s="23" t="n"/>
      <c r="M371" s="23" t="n"/>
      <c r="N371" s="23" t="n"/>
      <c r="O371" s="20">
        <f>IF(OR(I371="",COUNT(J371:N371)=0),"",IF(SUM(J371:N371)=I371,"✓","⚠ "&amp;SUM(J371:N371)&amp;" statt "&amp;I371))</f>
        <v/>
      </c>
      <c r="P371" s="21" t="n"/>
      <c r="Q371" s="21" t="n"/>
      <c r="R371" s="21" t="n"/>
      <c r="S371" s="24" t="n"/>
      <c r="T371" s="24" t="n"/>
      <c r="V371">
        <f>IF(A371="","",MONTH(A371))</f>
        <v/>
      </c>
      <c r="W371">
        <f>N(W370)+IF(AND(C371&lt;&gt;"",T371&lt;&gt;""),IF(C371=WOCHE!$B$3,1,0),0)</f>
        <v/>
      </c>
      <c r="X371">
        <f>N(X370)+IF(AND(V371&lt;&gt;"",T371&lt;&gt;""),IF(V371=MONAT!$AZ$3,1,0),0)</f>
        <v/>
      </c>
    </row>
    <row r="372">
      <c r="A372" s="19" t="n"/>
      <c r="B372" s="20">
        <f>IF(A372="","",CHOOSE(WEEKDAY(A372,2),"Mo","Di","Mi","Do","Fr","Sa","So"))</f>
        <v/>
      </c>
      <c r="C372" s="20">
        <f>IF(A372="","",INT((A372-DATE(YEAR(A372-WEEKDAY(A372-1)+4),1,3)+WEEKDAY(DATE(YEAR(A372-WEEKDAY(A372-1)+4),1,3))+5)/7))</f>
        <v/>
      </c>
      <c r="D372" s="21" t="n"/>
      <c r="E372" s="22" t="n"/>
      <c r="F372" s="23" t="n"/>
      <c r="G372" s="23" t="n"/>
      <c r="H372" s="23" t="n"/>
      <c r="I372" s="20">
        <f>IF(COUNT(F372:H372)=0,"",SUM(F372:H372))</f>
        <v/>
      </c>
      <c r="J372" s="23" t="n"/>
      <c r="K372" s="23" t="n"/>
      <c r="L372" s="23" t="n"/>
      <c r="M372" s="23" t="n"/>
      <c r="N372" s="23" t="n"/>
      <c r="O372" s="20">
        <f>IF(OR(I372="",COUNT(J372:N372)=0),"",IF(SUM(J372:N372)=I372,"✓","⚠ "&amp;SUM(J372:N372)&amp;" statt "&amp;I372))</f>
        <v/>
      </c>
      <c r="P372" s="21" t="n"/>
      <c r="Q372" s="21" t="n"/>
      <c r="R372" s="21" t="n"/>
      <c r="S372" s="24" t="n"/>
      <c r="T372" s="24" t="n"/>
      <c r="V372">
        <f>IF(A372="","",MONTH(A372))</f>
        <v/>
      </c>
      <c r="W372">
        <f>N(W371)+IF(AND(C372&lt;&gt;"",T372&lt;&gt;""),IF(C372=WOCHE!$B$3,1,0),0)</f>
        <v/>
      </c>
      <c r="X372">
        <f>N(X371)+IF(AND(V372&lt;&gt;"",T372&lt;&gt;""),IF(V372=MONAT!$AZ$3,1,0),0)</f>
        <v/>
      </c>
    </row>
    <row r="373">
      <c r="A373" s="19" t="n"/>
      <c r="B373" s="20">
        <f>IF(A373="","",CHOOSE(WEEKDAY(A373,2),"Mo","Di","Mi","Do","Fr","Sa","So"))</f>
        <v/>
      </c>
      <c r="C373" s="20">
        <f>IF(A373="","",INT((A373-DATE(YEAR(A373-WEEKDAY(A373-1)+4),1,3)+WEEKDAY(DATE(YEAR(A373-WEEKDAY(A373-1)+4),1,3))+5)/7))</f>
        <v/>
      </c>
      <c r="D373" s="21" t="n"/>
      <c r="E373" s="22" t="n"/>
      <c r="F373" s="23" t="n"/>
      <c r="G373" s="23" t="n"/>
      <c r="H373" s="23" t="n"/>
      <c r="I373" s="20">
        <f>IF(COUNT(F373:H373)=0,"",SUM(F373:H373))</f>
        <v/>
      </c>
      <c r="J373" s="23" t="n"/>
      <c r="K373" s="23" t="n"/>
      <c r="L373" s="23" t="n"/>
      <c r="M373" s="23" t="n"/>
      <c r="N373" s="23" t="n"/>
      <c r="O373" s="20">
        <f>IF(OR(I373="",COUNT(J373:N373)=0),"",IF(SUM(J373:N373)=I373,"✓","⚠ "&amp;SUM(J373:N373)&amp;" statt "&amp;I373))</f>
        <v/>
      </c>
      <c r="P373" s="21" t="n"/>
      <c r="Q373" s="21" t="n"/>
      <c r="R373" s="21" t="n"/>
      <c r="S373" s="24" t="n"/>
      <c r="T373" s="24" t="n"/>
      <c r="V373">
        <f>IF(A373="","",MONTH(A373))</f>
        <v/>
      </c>
      <c r="W373">
        <f>N(W372)+IF(AND(C373&lt;&gt;"",T373&lt;&gt;""),IF(C373=WOCHE!$B$3,1,0),0)</f>
        <v/>
      </c>
      <c r="X373">
        <f>N(X372)+IF(AND(V373&lt;&gt;"",T373&lt;&gt;""),IF(V373=MONAT!$AZ$3,1,0),0)</f>
        <v/>
      </c>
    </row>
    <row r="374">
      <c r="A374" s="19" t="n"/>
      <c r="B374" s="20">
        <f>IF(A374="","",CHOOSE(WEEKDAY(A374,2),"Mo","Di","Mi","Do","Fr","Sa","So"))</f>
        <v/>
      </c>
      <c r="C374" s="20">
        <f>IF(A374="","",INT((A374-DATE(YEAR(A374-WEEKDAY(A374-1)+4),1,3)+WEEKDAY(DATE(YEAR(A374-WEEKDAY(A374-1)+4),1,3))+5)/7))</f>
        <v/>
      </c>
      <c r="D374" s="21" t="n"/>
      <c r="E374" s="22" t="n"/>
      <c r="F374" s="23" t="n"/>
      <c r="G374" s="23" t="n"/>
      <c r="H374" s="23" t="n"/>
      <c r="I374" s="20">
        <f>IF(COUNT(F374:H374)=0,"",SUM(F374:H374))</f>
        <v/>
      </c>
      <c r="J374" s="23" t="n"/>
      <c r="K374" s="23" t="n"/>
      <c r="L374" s="23" t="n"/>
      <c r="M374" s="23" t="n"/>
      <c r="N374" s="23" t="n"/>
      <c r="O374" s="20">
        <f>IF(OR(I374="",COUNT(J374:N374)=0),"",IF(SUM(J374:N374)=I374,"✓","⚠ "&amp;SUM(J374:N374)&amp;" statt "&amp;I374))</f>
        <v/>
      </c>
      <c r="P374" s="21" t="n"/>
      <c r="Q374" s="21" t="n"/>
      <c r="R374" s="21" t="n"/>
      <c r="S374" s="24" t="n"/>
      <c r="T374" s="24" t="n"/>
      <c r="V374">
        <f>IF(A374="","",MONTH(A374))</f>
        <v/>
      </c>
      <c r="W374">
        <f>N(W373)+IF(AND(C374&lt;&gt;"",T374&lt;&gt;""),IF(C374=WOCHE!$B$3,1,0),0)</f>
        <v/>
      </c>
      <c r="X374">
        <f>N(X373)+IF(AND(V374&lt;&gt;"",T374&lt;&gt;""),IF(V374=MONAT!$AZ$3,1,0),0)</f>
        <v/>
      </c>
    </row>
    <row r="375">
      <c r="A375" s="19" t="n"/>
      <c r="B375" s="20">
        <f>IF(A375="","",CHOOSE(WEEKDAY(A375,2),"Mo","Di","Mi","Do","Fr","Sa","So"))</f>
        <v/>
      </c>
      <c r="C375" s="20">
        <f>IF(A375="","",INT((A375-DATE(YEAR(A375-WEEKDAY(A375-1)+4),1,3)+WEEKDAY(DATE(YEAR(A375-WEEKDAY(A375-1)+4),1,3))+5)/7))</f>
        <v/>
      </c>
      <c r="D375" s="21" t="n"/>
      <c r="E375" s="22" t="n"/>
      <c r="F375" s="23" t="n"/>
      <c r="G375" s="23" t="n"/>
      <c r="H375" s="23" t="n"/>
      <c r="I375" s="20">
        <f>IF(COUNT(F375:H375)=0,"",SUM(F375:H375))</f>
        <v/>
      </c>
      <c r="J375" s="23" t="n"/>
      <c r="K375" s="23" t="n"/>
      <c r="L375" s="23" t="n"/>
      <c r="M375" s="23" t="n"/>
      <c r="N375" s="23" t="n"/>
      <c r="O375" s="20">
        <f>IF(OR(I375="",COUNT(J375:N375)=0),"",IF(SUM(J375:N375)=I375,"✓","⚠ "&amp;SUM(J375:N375)&amp;" statt "&amp;I375))</f>
        <v/>
      </c>
      <c r="P375" s="21" t="n"/>
      <c r="Q375" s="21" t="n"/>
      <c r="R375" s="21" t="n"/>
      <c r="S375" s="24" t="n"/>
      <c r="T375" s="24" t="n"/>
      <c r="V375">
        <f>IF(A375="","",MONTH(A375))</f>
        <v/>
      </c>
      <c r="W375">
        <f>N(W374)+IF(AND(C375&lt;&gt;"",T375&lt;&gt;""),IF(C375=WOCHE!$B$3,1,0),0)</f>
        <v/>
      </c>
      <c r="X375">
        <f>N(X374)+IF(AND(V375&lt;&gt;"",T375&lt;&gt;""),IF(V375=MONAT!$AZ$3,1,0),0)</f>
        <v/>
      </c>
    </row>
    <row r="376">
      <c r="A376" s="19" t="n"/>
      <c r="B376" s="20">
        <f>IF(A376="","",CHOOSE(WEEKDAY(A376,2),"Mo","Di","Mi","Do","Fr","Sa","So"))</f>
        <v/>
      </c>
      <c r="C376" s="20">
        <f>IF(A376="","",INT((A376-DATE(YEAR(A376-WEEKDAY(A376-1)+4),1,3)+WEEKDAY(DATE(YEAR(A376-WEEKDAY(A376-1)+4),1,3))+5)/7))</f>
        <v/>
      </c>
      <c r="D376" s="21" t="n"/>
      <c r="E376" s="22" t="n"/>
      <c r="F376" s="23" t="n"/>
      <c r="G376" s="23" t="n"/>
      <c r="H376" s="23" t="n"/>
      <c r="I376" s="20">
        <f>IF(COUNT(F376:H376)=0,"",SUM(F376:H376))</f>
        <v/>
      </c>
      <c r="J376" s="23" t="n"/>
      <c r="K376" s="23" t="n"/>
      <c r="L376" s="23" t="n"/>
      <c r="M376" s="23" t="n"/>
      <c r="N376" s="23" t="n"/>
      <c r="O376" s="20">
        <f>IF(OR(I376="",COUNT(J376:N376)=0),"",IF(SUM(J376:N376)=I376,"✓","⚠ "&amp;SUM(J376:N376)&amp;" statt "&amp;I376))</f>
        <v/>
      </c>
      <c r="P376" s="21" t="n"/>
      <c r="Q376" s="21" t="n"/>
      <c r="R376" s="21" t="n"/>
      <c r="S376" s="24" t="n"/>
      <c r="T376" s="24" t="n"/>
      <c r="V376">
        <f>IF(A376="","",MONTH(A376))</f>
        <v/>
      </c>
      <c r="W376">
        <f>N(W375)+IF(AND(C376&lt;&gt;"",T376&lt;&gt;""),IF(C376=WOCHE!$B$3,1,0),0)</f>
        <v/>
      </c>
      <c r="X376">
        <f>N(X375)+IF(AND(V376&lt;&gt;"",T376&lt;&gt;""),IF(V376=MONAT!$AZ$3,1,0),0)</f>
        <v/>
      </c>
    </row>
    <row r="377">
      <c r="A377" s="19" t="n"/>
      <c r="B377" s="20">
        <f>IF(A377="","",CHOOSE(WEEKDAY(A377,2),"Mo","Di","Mi","Do","Fr","Sa","So"))</f>
        <v/>
      </c>
      <c r="C377" s="20">
        <f>IF(A377="","",INT((A377-DATE(YEAR(A377-WEEKDAY(A377-1)+4),1,3)+WEEKDAY(DATE(YEAR(A377-WEEKDAY(A377-1)+4),1,3))+5)/7))</f>
        <v/>
      </c>
      <c r="D377" s="21" t="n"/>
      <c r="E377" s="22" t="n"/>
      <c r="F377" s="23" t="n"/>
      <c r="G377" s="23" t="n"/>
      <c r="H377" s="23" t="n"/>
      <c r="I377" s="20">
        <f>IF(COUNT(F377:H377)=0,"",SUM(F377:H377))</f>
        <v/>
      </c>
      <c r="J377" s="23" t="n"/>
      <c r="K377" s="23" t="n"/>
      <c r="L377" s="23" t="n"/>
      <c r="M377" s="23" t="n"/>
      <c r="N377" s="23" t="n"/>
      <c r="O377" s="20">
        <f>IF(OR(I377="",COUNT(J377:N377)=0),"",IF(SUM(J377:N377)=I377,"✓","⚠ "&amp;SUM(J377:N377)&amp;" statt "&amp;I377))</f>
        <v/>
      </c>
      <c r="P377" s="21" t="n"/>
      <c r="Q377" s="21" t="n"/>
      <c r="R377" s="21" t="n"/>
      <c r="S377" s="24" t="n"/>
      <c r="T377" s="24" t="n"/>
      <c r="V377">
        <f>IF(A377="","",MONTH(A377))</f>
        <v/>
      </c>
      <c r="W377">
        <f>N(W376)+IF(AND(C377&lt;&gt;"",T377&lt;&gt;""),IF(C377=WOCHE!$B$3,1,0),0)</f>
        <v/>
      </c>
      <c r="X377">
        <f>N(X376)+IF(AND(V377&lt;&gt;"",T377&lt;&gt;""),IF(V377=MONAT!$AZ$3,1,0),0)</f>
        <v/>
      </c>
    </row>
    <row r="378">
      <c r="A378" s="19" t="n"/>
      <c r="B378" s="20">
        <f>IF(A378="","",CHOOSE(WEEKDAY(A378,2),"Mo","Di","Mi","Do","Fr","Sa","So"))</f>
        <v/>
      </c>
      <c r="C378" s="20">
        <f>IF(A378="","",INT((A378-DATE(YEAR(A378-WEEKDAY(A378-1)+4),1,3)+WEEKDAY(DATE(YEAR(A378-WEEKDAY(A378-1)+4),1,3))+5)/7))</f>
        <v/>
      </c>
      <c r="D378" s="21" t="n"/>
      <c r="E378" s="22" t="n"/>
      <c r="F378" s="23" t="n"/>
      <c r="G378" s="23" t="n"/>
      <c r="H378" s="23" t="n"/>
      <c r="I378" s="20">
        <f>IF(COUNT(F378:H378)=0,"",SUM(F378:H378))</f>
        <v/>
      </c>
      <c r="J378" s="23" t="n"/>
      <c r="K378" s="23" t="n"/>
      <c r="L378" s="23" t="n"/>
      <c r="M378" s="23" t="n"/>
      <c r="N378" s="23" t="n"/>
      <c r="O378" s="20">
        <f>IF(OR(I378="",COUNT(J378:N378)=0),"",IF(SUM(J378:N378)=I378,"✓","⚠ "&amp;SUM(J378:N378)&amp;" statt "&amp;I378))</f>
        <v/>
      </c>
      <c r="P378" s="21" t="n"/>
      <c r="Q378" s="21" t="n"/>
      <c r="R378" s="21" t="n"/>
      <c r="S378" s="24" t="n"/>
      <c r="T378" s="24" t="n"/>
      <c r="V378">
        <f>IF(A378="","",MONTH(A378))</f>
        <v/>
      </c>
      <c r="W378">
        <f>N(W377)+IF(AND(C378&lt;&gt;"",T378&lt;&gt;""),IF(C378=WOCHE!$B$3,1,0),0)</f>
        <v/>
      </c>
      <c r="X378">
        <f>N(X377)+IF(AND(V378&lt;&gt;"",T378&lt;&gt;""),IF(V378=MONAT!$AZ$3,1,0),0)</f>
        <v/>
      </c>
    </row>
    <row r="379">
      <c r="A379" s="19" t="n"/>
      <c r="B379" s="20">
        <f>IF(A379="","",CHOOSE(WEEKDAY(A379,2),"Mo","Di","Mi","Do","Fr","Sa","So"))</f>
        <v/>
      </c>
      <c r="C379" s="20">
        <f>IF(A379="","",INT((A379-DATE(YEAR(A379-WEEKDAY(A379-1)+4),1,3)+WEEKDAY(DATE(YEAR(A379-WEEKDAY(A379-1)+4),1,3))+5)/7))</f>
        <v/>
      </c>
      <c r="D379" s="21" t="n"/>
      <c r="E379" s="22" t="n"/>
      <c r="F379" s="23" t="n"/>
      <c r="G379" s="23" t="n"/>
      <c r="H379" s="23" t="n"/>
      <c r="I379" s="20">
        <f>IF(COUNT(F379:H379)=0,"",SUM(F379:H379))</f>
        <v/>
      </c>
      <c r="J379" s="23" t="n"/>
      <c r="K379" s="23" t="n"/>
      <c r="L379" s="23" t="n"/>
      <c r="M379" s="23" t="n"/>
      <c r="N379" s="23" t="n"/>
      <c r="O379" s="20">
        <f>IF(OR(I379="",COUNT(J379:N379)=0),"",IF(SUM(J379:N379)=I379,"✓","⚠ "&amp;SUM(J379:N379)&amp;" statt "&amp;I379))</f>
        <v/>
      </c>
      <c r="P379" s="21" t="n"/>
      <c r="Q379" s="21" t="n"/>
      <c r="R379" s="21" t="n"/>
      <c r="S379" s="24" t="n"/>
      <c r="T379" s="24" t="n"/>
      <c r="V379">
        <f>IF(A379="","",MONTH(A379))</f>
        <v/>
      </c>
      <c r="W379">
        <f>N(W378)+IF(AND(C379&lt;&gt;"",T379&lt;&gt;""),IF(C379=WOCHE!$B$3,1,0),0)</f>
        <v/>
      </c>
      <c r="X379">
        <f>N(X378)+IF(AND(V379&lt;&gt;"",T379&lt;&gt;""),IF(V379=MONAT!$AZ$3,1,0),0)</f>
        <v/>
      </c>
    </row>
    <row r="380">
      <c r="A380" s="19" t="n"/>
      <c r="B380" s="20">
        <f>IF(A380="","",CHOOSE(WEEKDAY(A380,2),"Mo","Di","Mi","Do","Fr","Sa","So"))</f>
        <v/>
      </c>
      <c r="C380" s="20">
        <f>IF(A380="","",INT((A380-DATE(YEAR(A380-WEEKDAY(A380-1)+4),1,3)+WEEKDAY(DATE(YEAR(A380-WEEKDAY(A380-1)+4),1,3))+5)/7))</f>
        <v/>
      </c>
      <c r="D380" s="21" t="n"/>
      <c r="E380" s="22" t="n"/>
      <c r="F380" s="23" t="n"/>
      <c r="G380" s="23" t="n"/>
      <c r="H380" s="23" t="n"/>
      <c r="I380" s="20">
        <f>IF(COUNT(F380:H380)=0,"",SUM(F380:H380))</f>
        <v/>
      </c>
      <c r="J380" s="23" t="n"/>
      <c r="K380" s="23" t="n"/>
      <c r="L380" s="23" t="n"/>
      <c r="M380" s="23" t="n"/>
      <c r="N380" s="23" t="n"/>
      <c r="O380" s="20">
        <f>IF(OR(I380="",COUNT(J380:N380)=0),"",IF(SUM(J380:N380)=I380,"✓","⚠ "&amp;SUM(J380:N380)&amp;" statt "&amp;I380))</f>
        <v/>
      </c>
      <c r="P380" s="21" t="n"/>
      <c r="Q380" s="21" t="n"/>
      <c r="R380" s="21" t="n"/>
      <c r="S380" s="24" t="n"/>
      <c r="T380" s="24" t="n"/>
      <c r="V380">
        <f>IF(A380="","",MONTH(A380))</f>
        <v/>
      </c>
      <c r="W380">
        <f>N(W379)+IF(AND(C380&lt;&gt;"",T380&lt;&gt;""),IF(C380=WOCHE!$B$3,1,0),0)</f>
        <v/>
      </c>
      <c r="X380">
        <f>N(X379)+IF(AND(V380&lt;&gt;"",T380&lt;&gt;""),IF(V380=MONAT!$AZ$3,1,0),0)</f>
        <v/>
      </c>
    </row>
    <row r="381">
      <c r="A381" s="19" t="n"/>
      <c r="B381" s="20">
        <f>IF(A381="","",CHOOSE(WEEKDAY(A381,2),"Mo","Di","Mi","Do","Fr","Sa","So"))</f>
        <v/>
      </c>
      <c r="C381" s="20">
        <f>IF(A381="","",INT((A381-DATE(YEAR(A381-WEEKDAY(A381-1)+4),1,3)+WEEKDAY(DATE(YEAR(A381-WEEKDAY(A381-1)+4),1,3))+5)/7))</f>
        <v/>
      </c>
      <c r="D381" s="21" t="n"/>
      <c r="E381" s="22" t="n"/>
      <c r="F381" s="23" t="n"/>
      <c r="G381" s="23" t="n"/>
      <c r="H381" s="23" t="n"/>
      <c r="I381" s="20">
        <f>IF(COUNT(F381:H381)=0,"",SUM(F381:H381))</f>
        <v/>
      </c>
      <c r="J381" s="23" t="n"/>
      <c r="K381" s="23" t="n"/>
      <c r="L381" s="23" t="n"/>
      <c r="M381" s="23" t="n"/>
      <c r="N381" s="23" t="n"/>
      <c r="O381" s="20">
        <f>IF(OR(I381="",COUNT(J381:N381)=0),"",IF(SUM(J381:N381)=I381,"✓","⚠ "&amp;SUM(J381:N381)&amp;" statt "&amp;I381))</f>
        <v/>
      </c>
      <c r="P381" s="21" t="n"/>
      <c r="Q381" s="21" t="n"/>
      <c r="R381" s="21" t="n"/>
      <c r="S381" s="24" t="n"/>
      <c r="T381" s="24" t="n"/>
      <c r="V381">
        <f>IF(A381="","",MONTH(A381))</f>
        <v/>
      </c>
      <c r="W381">
        <f>N(W380)+IF(AND(C381&lt;&gt;"",T381&lt;&gt;""),IF(C381=WOCHE!$B$3,1,0),0)</f>
        <v/>
      </c>
      <c r="X381">
        <f>N(X380)+IF(AND(V381&lt;&gt;"",T381&lt;&gt;""),IF(V381=MONAT!$AZ$3,1,0),0)</f>
        <v/>
      </c>
    </row>
    <row r="382">
      <c r="A382" s="19" t="n"/>
      <c r="B382" s="20">
        <f>IF(A382="","",CHOOSE(WEEKDAY(A382,2),"Mo","Di","Mi","Do","Fr","Sa","So"))</f>
        <v/>
      </c>
      <c r="C382" s="20">
        <f>IF(A382="","",INT((A382-DATE(YEAR(A382-WEEKDAY(A382-1)+4),1,3)+WEEKDAY(DATE(YEAR(A382-WEEKDAY(A382-1)+4),1,3))+5)/7))</f>
        <v/>
      </c>
      <c r="D382" s="21" t="n"/>
      <c r="E382" s="22" t="n"/>
      <c r="F382" s="23" t="n"/>
      <c r="G382" s="23" t="n"/>
      <c r="H382" s="23" t="n"/>
      <c r="I382" s="20">
        <f>IF(COUNT(F382:H382)=0,"",SUM(F382:H382))</f>
        <v/>
      </c>
      <c r="J382" s="23" t="n"/>
      <c r="K382" s="23" t="n"/>
      <c r="L382" s="23" t="n"/>
      <c r="M382" s="23" t="n"/>
      <c r="N382" s="23" t="n"/>
      <c r="O382" s="20">
        <f>IF(OR(I382="",COUNT(J382:N382)=0),"",IF(SUM(J382:N382)=I382,"✓","⚠ "&amp;SUM(J382:N382)&amp;" statt "&amp;I382))</f>
        <v/>
      </c>
      <c r="P382" s="21" t="n"/>
      <c r="Q382" s="21" t="n"/>
      <c r="R382" s="21" t="n"/>
      <c r="S382" s="24" t="n"/>
      <c r="T382" s="24" t="n"/>
      <c r="V382">
        <f>IF(A382="","",MONTH(A382))</f>
        <v/>
      </c>
      <c r="W382">
        <f>N(W381)+IF(AND(C382&lt;&gt;"",T382&lt;&gt;""),IF(C382=WOCHE!$B$3,1,0),0)</f>
        <v/>
      </c>
      <c r="X382">
        <f>N(X381)+IF(AND(V382&lt;&gt;"",T382&lt;&gt;""),IF(V382=MONAT!$AZ$3,1,0),0)</f>
        <v/>
      </c>
    </row>
    <row r="383">
      <c r="A383" s="19" t="n"/>
      <c r="B383" s="20">
        <f>IF(A383="","",CHOOSE(WEEKDAY(A383,2),"Mo","Di","Mi","Do","Fr","Sa","So"))</f>
        <v/>
      </c>
      <c r="C383" s="20">
        <f>IF(A383="","",INT((A383-DATE(YEAR(A383-WEEKDAY(A383-1)+4),1,3)+WEEKDAY(DATE(YEAR(A383-WEEKDAY(A383-1)+4),1,3))+5)/7))</f>
        <v/>
      </c>
      <c r="D383" s="21" t="n"/>
      <c r="E383" s="22" t="n"/>
      <c r="F383" s="23" t="n"/>
      <c r="G383" s="23" t="n"/>
      <c r="H383" s="23" t="n"/>
      <c r="I383" s="20">
        <f>IF(COUNT(F383:H383)=0,"",SUM(F383:H383))</f>
        <v/>
      </c>
      <c r="J383" s="23" t="n"/>
      <c r="K383" s="23" t="n"/>
      <c r="L383" s="23" t="n"/>
      <c r="M383" s="23" t="n"/>
      <c r="N383" s="23" t="n"/>
      <c r="O383" s="20">
        <f>IF(OR(I383="",COUNT(J383:N383)=0),"",IF(SUM(J383:N383)=I383,"✓","⚠ "&amp;SUM(J383:N383)&amp;" statt "&amp;I383))</f>
        <v/>
      </c>
      <c r="P383" s="21" t="n"/>
      <c r="Q383" s="21" t="n"/>
      <c r="R383" s="21" t="n"/>
      <c r="S383" s="24" t="n"/>
      <c r="T383" s="24" t="n"/>
      <c r="V383">
        <f>IF(A383="","",MONTH(A383))</f>
        <v/>
      </c>
      <c r="W383">
        <f>N(W382)+IF(AND(C383&lt;&gt;"",T383&lt;&gt;""),IF(C383=WOCHE!$B$3,1,0),0)</f>
        <v/>
      </c>
      <c r="X383">
        <f>N(X382)+IF(AND(V383&lt;&gt;"",T383&lt;&gt;""),IF(V383=MONAT!$AZ$3,1,0),0)</f>
        <v/>
      </c>
    </row>
    <row r="384">
      <c r="A384" s="19" t="n"/>
      <c r="B384" s="20">
        <f>IF(A384="","",CHOOSE(WEEKDAY(A384,2),"Mo","Di","Mi","Do","Fr","Sa","So"))</f>
        <v/>
      </c>
      <c r="C384" s="20">
        <f>IF(A384="","",INT((A384-DATE(YEAR(A384-WEEKDAY(A384-1)+4),1,3)+WEEKDAY(DATE(YEAR(A384-WEEKDAY(A384-1)+4),1,3))+5)/7))</f>
        <v/>
      </c>
      <c r="D384" s="21" t="n"/>
      <c r="E384" s="22" t="n"/>
      <c r="F384" s="23" t="n"/>
      <c r="G384" s="23" t="n"/>
      <c r="H384" s="23" t="n"/>
      <c r="I384" s="20">
        <f>IF(COUNT(F384:H384)=0,"",SUM(F384:H384))</f>
        <v/>
      </c>
      <c r="J384" s="23" t="n"/>
      <c r="K384" s="23" t="n"/>
      <c r="L384" s="23" t="n"/>
      <c r="M384" s="23" t="n"/>
      <c r="N384" s="23" t="n"/>
      <c r="O384" s="20">
        <f>IF(OR(I384="",COUNT(J384:N384)=0),"",IF(SUM(J384:N384)=I384,"✓","⚠ "&amp;SUM(J384:N384)&amp;" statt "&amp;I384))</f>
        <v/>
      </c>
      <c r="P384" s="21" t="n"/>
      <c r="Q384" s="21" t="n"/>
      <c r="R384" s="21" t="n"/>
      <c r="S384" s="24" t="n"/>
      <c r="T384" s="24" t="n"/>
      <c r="V384">
        <f>IF(A384="","",MONTH(A384))</f>
        <v/>
      </c>
      <c r="W384">
        <f>N(W383)+IF(AND(C384&lt;&gt;"",T384&lt;&gt;""),IF(C384=WOCHE!$B$3,1,0),0)</f>
        <v/>
      </c>
      <c r="X384">
        <f>N(X383)+IF(AND(V384&lt;&gt;"",T384&lt;&gt;""),IF(V384=MONAT!$AZ$3,1,0),0)</f>
        <v/>
      </c>
    </row>
    <row r="385">
      <c r="A385" s="19" t="n"/>
      <c r="B385" s="20">
        <f>IF(A385="","",CHOOSE(WEEKDAY(A385,2),"Mo","Di","Mi","Do","Fr","Sa","So"))</f>
        <v/>
      </c>
      <c r="C385" s="20">
        <f>IF(A385="","",INT((A385-DATE(YEAR(A385-WEEKDAY(A385-1)+4),1,3)+WEEKDAY(DATE(YEAR(A385-WEEKDAY(A385-1)+4),1,3))+5)/7))</f>
        <v/>
      </c>
      <c r="D385" s="21" t="n"/>
      <c r="E385" s="22" t="n"/>
      <c r="F385" s="23" t="n"/>
      <c r="G385" s="23" t="n"/>
      <c r="H385" s="23" t="n"/>
      <c r="I385" s="20">
        <f>IF(COUNT(F385:H385)=0,"",SUM(F385:H385))</f>
        <v/>
      </c>
      <c r="J385" s="23" t="n"/>
      <c r="K385" s="23" t="n"/>
      <c r="L385" s="23" t="n"/>
      <c r="M385" s="23" t="n"/>
      <c r="N385" s="23" t="n"/>
      <c r="O385" s="20">
        <f>IF(OR(I385="",COUNT(J385:N385)=0),"",IF(SUM(J385:N385)=I385,"✓","⚠ "&amp;SUM(J385:N385)&amp;" statt "&amp;I385))</f>
        <v/>
      </c>
      <c r="P385" s="21" t="n"/>
      <c r="Q385" s="21" t="n"/>
      <c r="R385" s="21" t="n"/>
      <c r="S385" s="24" t="n"/>
      <c r="T385" s="24" t="n"/>
      <c r="V385">
        <f>IF(A385="","",MONTH(A385))</f>
        <v/>
      </c>
      <c r="W385">
        <f>N(W384)+IF(AND(C385&lt;&gt;"",T385&lt;&gt;""),IF(C385=WOCHE!$B$3,1,0),0)</f>
        <v/>
      </c>
      <c r="X385">
        <f>N(X384)+IF(AND(V385&lt;&gt;"",T385&lt;&gt;""),IF(V385=MONAT!$AZ$3,1,0),0)</f>
        <v/>
      </c>
    </row>
    <row r="386">
      <c r="A386" s="19" t="n"/>
      <c r="B386" s="20">
        <f>IF(A386="","",CHOOSE(WEEKDAY(A386,2),"Mo","Di","Mi","Do","Fr","Sa","So"))</f>
        <v/>
      </c>
      <c r="C386" s="20">
        <f>IF(A386="","",INT((A386-DATE(YEAR(A386-WEEKDAY(A386-1)+4),1,3)+WEEKDAY(DATE(YEAR(A386-WEEKDAY(A386-1)+4),1,3))+5)/7))</f>
        <v/>
      </c>
      <c r="D386" s="21" t="n"/>
      <c r="E386" s="22" t="n"/>
      <c r="F386" s="23" t="n"/>
      <c r="G386" s="23" t="n"/>
      <c r="H386" s="23" t="n"/>
      <c r="I386" s="20">
        <f>IF(COUNT(F386:H386)=0,"",SUM(F386:H386))</f>
        <v/>
      </c>
      <c r="J386" s="23" t="n"/>
      <c r="K386" s="23" t="n"/>
      <c r="L386" s="23" t="n"/>
      <c r="M386" s="23" t="n"/>
      <c r="N386" s="23" t="n"/>
      <c r="O386" s="20">
        <f>IF(OR(I386="",COUNT(J386:N386)=0),"",IF(SUM(J386:N386)=I386,"✓","⚠ "&amp;SUM(J386:N386)&amp;" statt "&amp;I386))</f>
        <v/>
      </c>
      <c r="P386" s="21" t="n"/>
      <c r="Q386" s="21" t="n"/>
      <c r="R386" s="21" t="n"/>
      <c r="S386" s="24" t="n"/>
      <c r="T386" s="24" t="n"/>
      <c r="V386">
        <f>IF(A386="","",MONTH(A386))</f>
        <v/>
      </c>
      <c r="W386">
        <f>N(W385)+IF(AND(C386&lt;&gt;"",T386&lt;&gt;""),IF(C386=WOCHE!$B$3,1,0),0)</f>
        <v/>
      </c>
      <c r="X386">
        <f>N(X385)+IF(AND(V386&lt;&gt;"",T386&lt;&gt;""),IF(V386=MONAT!$AZ$3,1,0),0)</f>
        <v/>
      </c>
    </row>
    <row r="387">
      <c r="A387" s="19" t="n"/>
      <c r="B387" s="20">
        <f>IF(A387="","",CHOOSE(WEEKDAY(A387,2),"Mo","Di","Mi","Do","Fr","Sa","So"))</f>
        <v/>
      </c>
      <c r="C387" s="20">
        <f>IF(A387="","",INT((A387-DATE(YEAR(A387-WEEKDAY(A387-1)+4),1,3)+WEEKDAY(DATE(YEAR(A387-WEEKDAY(A387-1)+4),1,3))+5)/7))</f>
        <v/>
      </c>
      <c r="D387" s="21" t="n"/>
      <c r="E387" s="22" t="n"/>
      <c r="F387" s="23" t="n"/>
      <c r="G387" s="23" t="n"/>
      <c r="H387" s="23" t="n"/>
      <c r="I387" s="20">
        <f>IF(COUNT(F387:H387)=0,"",SUM(F387:H387))</f>
        <v/>
      </c>
      <c r="J387" s="23" t="n"/>
      <c r="K387" s="23" t="n"/>
      <c r="L387" s="23" t="n"/>
      <c r="M387" s="23" t="n"/>
      <c r="N387" s="23" t="n"/>
      <c r="O387" s="20">
        <f>IF(OR(I387="",COUNT(J387:N387)=0),"",IF(SUM(J387:N387)=I387,"✓","⚠ "&amp;SUM(J387:N387)&amp;" statt "&amp;I387))</f>
        <v/>
      </c>
      <c r="P387" s="21" t="n"/>
      <c r="Q387" s="21" t="n"/>
      <c r="R387" s="21" t="n"/>
      <c r="S387" s="24" t="n"/>
      <c r="T387" s="24" t="n"/>
      <c r="V387">
        <f>IF(A387="","",MONTH(A387))</f>
        <v/>
      </c>
      <c r="W387">
        <f>N(W386)+IF(AND(C387&lt;&gt;"",T387&lt;&gt;""),IF(C387=WOCHE!$B$3,1,0),0)</f>
        <v/>
      </c>
      <c r="X387">
        <f>N(X386)+IF(AND(V387&lt;&gt;"",T387&lt;&gt;""),IF(V387=MONAT!$AZ$3,1,0),0)</f>
        <v/>
      </c>
    </row>
    <row r="388">
      <c r="A388" s="19" t="n"/>
      <c r="B388" s="20">
        <f>IF(A388="","",CHOOSE(WEEKDAY(A388,2),"Mo","Di","Mi","Do","Fr","Sa","So"))</f>
        <v/>
      </c>
      <c r="C388" s="20">
        <f>IF(A388="","",INT((A388-DATE(YEAR(A388-WEEKDAY(A388-1)+4),1,3)+WEEKDAY(DATE(YEAR(A388-WEEKDAY(A388-1)+4),1,3))+5)/7))</f>
        <v/>
      </c>
      <c r="D388" s="21" t="n"/>
      <c r="E388" s="22" t="n"/>
      <c r="F388" s="23" t="n"/>
      <c r="G388" s="23" t="n"/>
      <c r="H388" s="23" t="n"/>
      <c r="I388" s="20">
        <f>IF(COUNT(F388:H388)=0,"",SUM(F388:H388))</f>
        <v/>
      </c>
      <c r="J388" s="23" t="n"/>
      <c r="K388" s="23" t="n"/>
      <c r="L388" s="23" t="n"/>
      <c r="M388" s="23" t="n"/>
      <c r="N388" s="23" t="n"/>
      <c r="O388" s="20">
        <f>IF(OR(I388="",COUNT(J388:N388)=0),"",IF(SUM(J388:N388)=I388,"✓","⚠ "&amp;SUM(J388:N388)&amp;" statt "&amp;I388))</f>
        <v/>
      </c>
      <c r="P388" s="21" t="n"/>
      <c r="Q388" s="21" t="n"/>
      <c r="R388" s="21" t="n"/>
      <c r="S388" s="24" t="n"/>
      <c r="T388" s="24" t="n"/>
      <c r="V388">
        <f>IF(A388="","",MONTH(A388))</f>
        <v/>
      </c>
      <c r="W388">
        <f>N(W387)+IF(AND(C388&lt;&gt;"",T388&lt;&gt;""),IF(C388=WOCHE!$B$3,1,0),0)</f>
        <v/>
      </c>
      <c r="X388">
        <f>N(X387)+IF(AND(V388&lt;&gt;"",T388&lt;&gt;""),IF(V388=MONAT!$AZ$3,1,0),0)</f>
        <v/>
      </c>
    </row>
    <row r="389">
      <c r="A389" s="19" t="n"/>
      <c r="B389" s="20">
        <f>IF(A389="","",CHOOSE(WEEKDAY(A389,2),"Mo","Di","Mi","Do","Fr","Sa","So"))</f>
        <v/>
      </c>
      <c r="C389" s="20">
        <f>IF(A389="","",INT((A389-DATE(YEAR(A389-WEEKDAY(A389-1)+4),1,3)+WEEKDAY(DATE(YEAR(A389-WEEKDAY(A389-1)+4),1,3))+5)/7))</f>
        <v/>
      </c>
      <c r="D389" s="21" t="n"/>
      <c r="E389" s="22" t="n"/>
      <c r="F389" s="23" t="n"/>
      <c r="G389" s="23" t="n"/>
      <c r="H389" s="23" t="n"/>
      <c r="I389" s="20">
        <f>IF(COUNT(F389:H389)=0,"",SUM(F389:H389))</f>
        <v/>
      </c>
      <c r="J389" s="23" t="n"/>
      <c r="K389" s="23" t="n"/>
      <c r="L389" s="23" t="n"/>
      <c r="M389" s="23" t="n"/>
      <c r="N389" s="23" t="n"/>
      <c r="O389" s="20">
        <f>IF(OR(I389="",COUNT(J389:N389)=0),"",IF(SUM(J389:N389)=I389,"✓","⚠ "&amp;SUM(J389:N389)&amp;" statt "&amp;I389))</f>
        <v/>
      </c>
      <c r="P389" s="21" t="n"/>
      <c r="Q389" s="21" t="n"/>
      <c r="R389" s="21" t="n"/>
      <c r="S389" s="24" t="n"/>
      <c r="T389" s="24" t="n"/>
      <c r="V389">
        <f>IF(A389="","",MONTH(A389))</f>
        <v/>
      </c>
      <c r="W389">
        <f>N(W388)+IF(AND(C389&lt;&gt;"",T389&lt;&gt;""),IF(C389=WOCHE!$B$3,1,0),0)</f>
        <v/>
      </c>
      <c r="X389">
        <f>N(X388)+IF(AND(V389&lt;&gt;"",T389&lt;&gt;""),IF(V389=MONAT!$AZ$3,1,0),0)</f>
        <v/>
      </c>
    </row>
    <row r="390">
      <c r="A390" s="19" t="n"/>
      <c r="B390" s="20">
        <f>IF(A390="","",CHOOSE(WEEKDAY(A390,2),"Mo","Di","Mi","Do","Fr","Sa","So"))</f>
        <v/>
      </c>
      <c r="C390" s="20">
        <f>IF(A390="","",INT((A390-DATE(YEAR(A390-WEEKDAY(A390-1)+4),1,3)+WEEKDAY(DATE(YEAR(A390-WEEKDAY(A390-1)+4),1,3))+5)/7))</f>
        <v/>
      </c>
      <c r="D390" s="21" t="n"/>
      <c r="E390" s="22" t="n"/>
      <c r="F390" s="23" t="n"/>
      <c r="G390" s="23" t="n"/>
      <c r="H390" s="23" t="n"/>
      <c r="I390" s="20">
        <f>IF(COUNT(F390:H390)=0,"",SUM(F390:H390))</f>
        <v/>
      </c>
      <c r="J390" s="23" t="n"/>
      <c r="K390" s="23" t="n"/>
      <c r="L390" s="23" t="n"/>
      <c r="M390" s="23" t="n"/>
      <c r="N390" s="23" t="n"/>
      <c r="O390" s="20">
        <f>IF(OR(I390="",COUNT(J390:N390)=0),"",IF(SUM(J390:N390)=I390,"✓","⚠ "&amp;SUM(J390:N390)&amp;" statt "&amp;I390))</f>
        <v/>
      </c>
      <c r="P390" s="21" t="n"/>
      <c r="Q390" s="21" t="n"/>
      <c r="R390" s="21" t="n"/>
      <c r="S390" s="24" t="n"/>
      <c r="T390" s="24" t="n"/>
      <c r="V390">
        <f>IF(A390="","",MONTH(A390))</f>
        <v/>
      </c>
      <c r="W390">
        <f>N(W389)+IF(AND(C390&lt;&gt;"",T390&lt;&gt;""),IF(C390=WOCHE!$B$3,1,0),0)</f>
        <v/>
      </c>
      <c r="X390">
        <f>N(X389)+IF(AND(V390&lt;&gt;"",T390&lt;&gt;""),IF(V390=MONAT!$AZ$3,1,0),0)</f>
        <v/>
      </c>
    </row>
    <row r="391">
      <c r="A391" s="19" t="n"/>
      <c r="B391" s="20">
        <f>IF(A391="","",CHOOSE(WEEKDAY(A391,2),"Mo","Di","Mi","Do","Fr","Sa","So"))</f>
        <v/>
      </c>
      <c r="C391" s="20">
        <f>IF(A391="","",INT((A391-DATE(YEAR(A391-WEEKDAY(A391-1)+4),1,3)+WEEKDAY(DATE(YEAR(A391-WEEKDAY(A391-1)+4),1,3))+5)/7))</f>
        <v/>
      </c>
      <c r="D391" s="21" t="n"/>
      <c r="E391" s="22" t="n"/>
      <c r="F391" s="23" t="n"/>
      <c r="G391" s="23" t="n"/>
      <c r="H391" s="23" t="n"/>
      <c r="I391" s="20">
        <f>IF(COUNT(F391:H391)=0,"",SUM(F391:H391))</f>
        <v/>
      </c>
      <c r="J391" s="23" t="n"/>
      <c r="K391" s="23" t="n"/>
      <c r="L391" s="23" t="n"/>
      <c r="M391" s="23" t="n"/>
      <c r="N391" s="23" t="n"/>
      <c r="O391" s="20">
        <f>IF(OR(I391="",COUNT(J391:N391)=0),"",IF(SUM(J391:N391)=I391,"✓","⚠ "&amp;SUM(J391:N391)&amp;" statt "&amp;I391))</f>
        <v/>
      </c>
      <c r="P391" s="21" t="n"/>
      <c r="Q391" s="21" t="n"/>
      <c r="R391" s="21" t="n"/>
      <c r="S391" s="24" t="n"/>
      <c r="T391" s="24" t="n"/>
      <c r="V391">
        <f>IF(A391="","",MONTH(A391))</f>
        <v/>
      </c>
      <c r="W391">
        <f>N(W390)+IF(AND(C391&lt;&gt;"",T391&lt;&gt;""),IF(C391=WOCHE!$B$3,1,0),0)</f>
        <v/>
      </c>
      <c r="X391">
        <f>N(X390)+IF(AND(V391&lt;&gt;"",T391&lt;&gt;""),IF(V391=MONAT!$AZ$3,1,0),0)</f>
        <v/>
      </c>
    </row>
    <row r="392">
      <c r="A392" s="19" t="n"/>
      <c r="B392" s="20">
        <f>IF(A392="","",CHOOSE(WEEKDAY(A392,2),"Mo","Di","Mi","Do","Fr","Sa","So"))</f>
        <v/>
      </c>
      <c r="C392" s="20">
        <f>IF(A392="","",INT((A392-DATE(YEAR(A392-WEEKDAY(A392-1)+4),1,3)+WEEKDAY(DATE(YEAR(A392-WEEKDAY(A392-1)+4),1,3))+5)/7))</f>
        <v/>
      </c>
      <c r="D392" s="21" t="n"/>
      <c r="E392" s="22" t="n"/>
      <c r="F392" s="23" t="n"/>
      <c r="G392" s="23" t="n"/>
      <c r="H392" s="23" t="n"/>
      <c r="I392" s="20">
        <f>IF(COUNT(F392:H392)=0,"",SUM(F392:H392))</f>
        <v/>
      </c>
      <c r="J392" s="23" t="n"/>
      <c r="K392" s="23" t="n"/>
      <c r="L392" s="23" t="n"/>
      <c r="M392" s="23" t="n"/>
      <c r="N392" s="23" t="n"/>
      <c r="O392" s="20">
        <f>IF(OR(I392="",COUNT(J392:N392)=0),"",IF(SUM(J392:N392)=I392,"✓","⚠ "&amp;SUM(J392:N392)&amp;" statt "&amp;I392))</f>
        <v/>
      </c>
      <c r="P392" s="21" t="n"/>
      <c r="Q392" s="21" t="n"/>
      <c r="R392" s="21" t="n"/>
      <c r="S392" s="24" t="n"/>
      <c r="T392" s="24" t="n"/>
      <c r="V392">
        <f>IF(A392="","",MONTH(A392))</f>
        <v/>
      </c>
      <c r="W392">
        <f>N(W391)+IF(AND(C392&lt;&gt;"",T392&lt;&gt;""),IF(C392=WOCHE!$B$3,1,0),0)</f>
        <v/>
      </c>
      <c r="X392">
        <f>N(X391)+IF(AND(V392&lt;&gt;"",T392&lt;&gt;""),IF(V392=MONAT!$AZ$3,1,0),0)</f>
        <v/>
      </c>
    </row>
    <row r="393">
      <c r="A393" s="19" t="n"/>
      <c r="B393" s="20">
        <f>IF(A393="","",CHOOSE(WEEKDAY(A393,2),"Mo","Di","Mi","Do","Fr","Sa","So"))</f>
        <v/>
      </c>
      <c r="C393" s="20">
        <f>IF(A393="","",INT((A393-DATE(YEAR(A393-WEEKDAY(A393-1)+4),1,3)+WEEKDAY(DATE(YEAR(A393-WEEKDAY(A393-1)+4),1,3))+5)/7))</f>
        <v/>
      </c>
      <c r="D393" s="21" t="n"/>
      <c r="E393" s="22" t="n"/>
      <c r="F393" s="23" t="n"/>
      <c r="G393" s="23" t="n"/>
      <c r="H393" s="23" t="n"/>
      <c r="I393" s="20">
        <f>IF(COUNT(F393:H393)=0,"",SUM(F393:H393))</f>
        <v/>
      </c>
      <c r="J393" s="23" t="n"/>
      <c r="K393" s="23" t="n"/>
      <c r="L393" s="23" t="n"/>
      <c r="M393" s="23" t="n"/>
      <c r="N393" s="23" t="n"/>
      <c r="O393" s="20">
        <f>IF(OR(I393="",COUNT(J393:N393)=0),"",IF(SUM(J393:N393)=I393,"✓","⚠ "&amp;SUM(J393:N393)&amp;" statt "&amp;I393))</f>
        <v/>
      </c>
      <c r="P393" s="21" t="n"/>
      <c r="Q393" s="21" t="n"/>
      <c r="R393" s="21" t="n"/>
      <c r="S393" s="24" t="n"/>
      <c r="T393" s="24" t="n"/>
      <c r="V393">
        <f>IF(A393="","",MONTH(A393))</f>
        <v/>
      </c>
      <c r="W393">
        <f>N(W392)+IF(AND(C393&lt;&gt;"",T393&lt;&gt;""),IF(C393=WOCHE!$B$3,1,0),0)</f>
        <v/>
      </c>
      <c r="X393">
        <f>N(X392)+IF(AND(V393&lt;&gt;"",T393&lt;&gt;""),IF(V393=MONAT!$AZ$3,1,0),0)</f>
        <v/>
      </c>
    </row>
    <row r="394">
      <c r="A394" s="19" t="n"/>
      <c r="B394" s="20">
        <f>IF(A394="","",CHOOSE(WEEKDAY(A394,2),"Mo","Di","Mi","Do","Fr","Sa","So"))</f>
        <v/>
      </c>
      <c r="C394" s="20">
        <f>IF(A394="","",INT((A394-DATE(YEAR(A394-WEEKDAY(A394-1)+4),1,3)+WEEKDAY(DATE(YEAR(A394-WEEKDAY(A394-1)+4),1,3))+5)/7))</f>
        <v/>
      </c>
      <c r="D394" s="21" t="n"/>
      <c r="E394" s="22" t="n"/>
      <c r="F394" s="23" t="n"/>
      <c r="G394" s="23" t="n"/>
      <c r="H394" s="23" t="n"/>
      <c r="I394" s="20">
        <f>IF(COUNT(F394:H394)=0,"",SUM(F394:H394))</f>
        <v/>
      </c>
      <c r="J394" s="23" t="n"/>
      <c r="K394" s="23" t="n"/>
      <c r="L394" s="23" t="n"/>
      <c r="M394" s="23" t="n"/>
      <c r="N394" s="23" t="n"/>
      <c r="O394" s="20">
        <f>IF(OR(I394="",COUNT(J394:N394)=0),"",IF(SUM(J394:N394)=I394,"✓","⚠ "&amp;SUM(J394:N394)&amp;" statt "&amp;I394))</f>
        <v/>
      </c>
      <c r="P394" s="21" t="n"/>
      <c r="Q394" s="21" t="n"/>
      <c r="R394" s="21" t="n"/>
      <c r="S394" s="24" t="n"/>
      <c r="T394" s="24" t="n"/>
      <c r="V394">
        <f>IF(A394="","",MONTH(A394))</f>
        <v/>
      </c>
      <c r="W394">
        <f>N(W393)+IF(AND(C394&lt;&gt;"",T394&lt;&gt;""),IF(C394=WOCHE!$B$3,1,0),0)</f>
        <v/>
      </c>
      <c r="X394">
        <f>N(X393)+IF(AND(V394&lt;&gt;"",T394&lt;&gt;""),IF(V394=MONAT!$AZ$3,1,0),0)</f>
        <v/>
      </c>
    </row>
    <row r="395">
      <c r="A395" s="19" t="n"/>
      <c r="B395" s="20">
        <f>IF(A395="","",CHOOSE(WEEKDAY(A395,2),"Mo","Di","Mi","Do","Fr","Sa","So"))</f>
        <v/>
      </c>
      <c r="C395" s="20">
        <f>IF(A395="","",INT((A395-DATE(YEAR(A395-WEEKDAY(A395-1)+4),1,3)+WEEKDAY(DATE(YEAR(A395-WEEKDAY(A395-1)+4),1,3))+5)/7))</f>
        <v/>
      </c>
      <c r="D395" s="21" t="n"/>
      <c r="E395" s="22" t="n"/>
      <c r="F395" s="23" t="n"/>
      <c r="G395" s="23" t="n"/>
      <c r="H395" s="23" t="n"/>
      <c r="I395" s="20">
        <f>IF(COUNT(F395:H395)=0,"",SUM(F395:H395))</f>
        <v/>
      </c>
      <c r="J395" s="23" t="n"/>
      <c r="K395" s="23" t="n"/>
      <c r="L395" s="23" t="n"/>
      <c r="M395" s="23" t="n"/>
      <c r="N395" s="23" t="n"/>
      <c r="O395" s="20">
        <f>IF(OR(I395="",COUNT(J395:N395)=0),"",IF(SUM(J395:N395)=I395,"✓","⚠ "&amp;SUM(J395:N395)&amp;" statt "&amp;I395))</f>
        <v/>
      </c>
      <c r="P395" s="21" t="n"/>
      <c r="Q395" s="21" t="n"/>
      <c r="R395" s="21" t="n"/>
      <c r="S395" s="24" t="n"/>
      <c r="T395" s="24" t="n"/>
      <c r="V395">
        <f>IF(A395="","",MONTH(A395))</f>
        <v/>
      </c>
      <c r="W395">
        <f>N(W394)+IF(AND(C395&lt;&gt;"",T395&lt;&gt;""),IF(C395=WOCHE!$B$3,1,0),0)</f>
        <v/>
      </c>
      <c r="X395">
        <f>N(X394)+IF(AND(V395&lt;&gt;"",T395&lt;&gt;""),IF(V395=MONAT!$AZ$3,1,0),0)</f>
        <v/>
      </c>
    </row>
    <row r="396">
      <c r="A396" s="19" t="n"/>
      <c r="B396" s="20">
        <f>IF(A396="","",CHOOSE(WEEKDAY(A396,2),"Mo","Di","Mi","Do","Fr","Sa","So"))</f>
        <v/>
      </c>
      <c r="C396" s="20">
        <f>IF(A396="","",INT((A396-DATE(YEAR(A396-WEEKDAY(A396-1)+4),1,3)+WEEKDAY(DATE(YEAR(A396-WEEKDAY(A396-1)+4),1,3))+5)/7))</f>
        <v/>
      </c>
      <c r="D396" s="21" t="n"/>
      <c r="E396" s="22" t="n"/>
      <c r="F396" s="23" t="n"/>
      <c r="G396" s="23" t="n"/>
      <c r="H396" s="23" t="n"/>
      <c r="I396" s="20">
        <f>IF(COUNT(F396:H396)=0,"",SUM(F396:H396))</f>
        <v/>
      </c>
      <c r="J396" s="23" t="n"/>
      <c r="K396" s="23" t="n"/>
      <c r="L396" s="23" t="n"/>
      <c r="M396" s="23" t="n"/>
      <c r="N396" s="23" t="n"/>
      <c r="O396" s="20">
        <f>IF(OR(I396="",COUNT(J396:N396)=0),"",IF(SUM(J396:N396)=I396,"✓","⚠ "&amp;SUM(J396:N396)&amp;" statt "&amp;I396))</f>
        <v/>
      </c>
      <c r="P396" s="21" t="n"/>
      <c r="Q396" s="21" t="n"/>
      <c r="R396" s="21" t="n"/>
      <c r="S396" s="24" t="n"/>
      <c r="T396" s="24" t="n"/>
      <c r="V396">
        <f>IF(A396="","",MONTH(A396))</f>
        <v/>
      </c>
      <c r="W396">
        <f>N(W395)+IF(AND(C396&lt;&gt;"",T396&lt;&gt;""),IF(C396=WOCHE!$B$3,1,0),0)</f>
        <v/>
      </c>
      <c r="X396">
        <f>N(X395)+IF(AND(V396&lt;&gt;"",T396&lt;&gt;""),IF(V396=MONAT!$AZ$3,1,0),0)</f>
        <v/>
      </c>
    </row>
    <row r="397">
      <c r="A397" s="19" t="n"/>
      <c r="B397" s="20">
        <f>IF(A397="","",CHOOSE(WEEKDAY(A397,2),"Mo","Di","Mi","Do","Fr","Sa","So"))</f>
        <v/>
      </c>
      <c r="C397" s="20">
        <f>IF(A397="","",INT((A397-DATE(YEAR(A397-WEEKDAY(A397-1)+4),1,3)+WEEKDAY(DATE(YEAR(A397-WEEKDAY(A397-1)+4),1,3))+5)/7))</f>
        <v/>
      </c>
      <c r="D397" s="21" t="n"/>
      <c r="E397" s="22" t="n"/>
      <c r="F397" s="23" t="n"/>
      <c r="G397" s="23" t="n"/>
      <c r="H397" s="23" t="n"/>
      <c r="I397" s="20">
        <f>IF(COUNT(F397:H397)=0,"",SUM(F397:H397))</f>
        <v/>
      </c>
      <c r="J397" s="23" t="n"/>
      <c r="K397" s="23" t="n"/>
      <c r="L397" s="23" t="n"/>
      <c r="M397" s="23" t="n"/>
      <c r="N397" s="23" t="n"/>
      <c r="O397" s="20">
        <f>IF(OR(I397="",COUNT(J397:N397)=0),"",IF(SUM(J397:N397)=I397,"✓","⚠ "&amp;SUM(J397:N397)&amp;" statt "&amp;I397))</f>
        <v/>
      </c>
      <c r="P397" s="21" t="n"/>
      <c r="Q397" s="21" t="n"/>
      <c r="R397" s="21" t="n"/>
      <c r="S397" s="24" t="n"/>
      <c r="T397" s="24" t="n"/>
      <c r="V397">
        <f>IF(A397="","",MONTH(A397))</f>
        <v/>
      </c>
      <c r="W397">
        <f>N(W396)+IF(AND(C397&lt;&gt;"",T397&lt;&gt;""),IF(C397=WOCHE!$B$3,1,0),0)</f>
        <v/>
      </c>
      <c r="X397">
        <f>N(X396)+IF(AND(V397&lt;&gt;"",T397&lt;&gt;""),IF(V397=MONAT!$AZ$3,1,0),0)</f>
        <v/>
      </c>
    </row>
    <row r="398">
      <c r="A398" s="19" t="n"/>
      <c r="B398" s="20">
        <f>IF(A398="","",CHOOSE(WEEKDAY(A398,2),"Mo","Di","Mi","Do","Fr","Sa","So"))</f>
        <v/>
      </c>
      <c r="C398" s="20">
        <f>IF(A398="","",INT((A398-DATE(YEAR(A398-WEEKDAY(A398-1)+4),1,3)+WEEKDAY(DATE(YEAR(A398-WEEKDAY(A398-1)+4),1,3))+5)/7))</f>
        <v/>
      </c>
      <c r="D398" s="21" t="n"/>
      <c r="E398" s="22" t="n"/>
      <c r="F398" s="23" t="n"/>
      <c r="G398" s="23" t="n"/>
      <c r="H398" s="23" t="n"/>
      <c r="I398" s="20">
        <f>IF(COUNT(F398:H398)=0,"",SUM(F398:H398))</f>
        <v/>
      </c>
      <c r="J398" s="23" t="n"/>
      <c r="K398" s="23" t="n"/>
      <c r="L398" s="23" t="n"/>
      <c r="M398" s="23" t="n"/>
      <c r="N398" s="23" t="n"/>
      <c r="O398" s="20">
        <f>IF(OR(I398="",COUNT(J398:N398)=0),"",IF(SUM(J398:N398)=I398,"✓","⚠ "&amp;SUM(J398:N398)&amp;" statt "&amp;I398))</f>
        <v/>
      </c>
      <c r="P398" s="21" t="n"/>
      <c r="Q398" s="21" t="n"/>
      <c r="R398" s="21" t="n"/>
      <c r="S398" s="24" t="n"/>
      <c r="T398" s="24" t="n"/>
      <c r="V398">
        <f>IF(A398="","",MONTH(A398))</f>
        <v/>
      </c>
      <c r="W398">
        <f>N(W397)+IF(AND(C398&lt;&gt;"",T398&lt;&gt;""),IF(C398=WOCHE!$B$3,1,0),0)</f>
        <v/>
      </c>
      <c r="X398">
        <f>N(X397)+IF(AND(V398&lt;&gt;"",T398&lt;&gt;""),IF(V398=MONAT!$AZ$3,1,0),0)</f>
        <v/>
      </c>
    </row>
    <row r="399">
      <c r="A399" s="19" t="n"/>
      <c r="B399" s="20">
        <f>IF(A399="","",CHOOSE(WEEKDAY(A399,2),"Mo","Di","Mi","Do","Fr","Sa","So"))</f>
        <v/>
      </c>
      <c r="C399" s="20">
        <f>IF(A399="","",INT((A399-DATE(YEAR(A399-WEEKDAY(A399-1)+4),1,3)+WEEKDAY(DATE(YEAR(A399-WEEKDAY(A399-1)+4),1,3))+5)/7))</f>
        <v/>
      </c>
      <c r="D399" s="21" t="n"/>
      <c r="E399" s="22" t="n"/>
      <c r="F399" s="23" t="n"/>
      <c r="G399" s="23" t="n"/>
      <c r="H399" s="23" t="n"/>
      <c r="I399" s="20">
        <f>IF(COUNT(F399:H399)=0,"",SUM(F399:H399))</f>
        <v/>
      </c>
      <c r="J399" s="23" t="n"/>
      <c r="K399" s="23" t="n"/>
      <c r="L399" s="23" t="n"/>
      <c r="M399" s="23" t="n"/>
      <c r="N399" s="23" t="n"/>
      <c r="O399" s="20">
        <f>IF(OR(I399="",COUNT(J399:N399)=0),"",IF(SUM(J399:N399)=I399,"✓","⚠ "&amp;SUM(J399:N399)&amp;" statt "&amp;I399))</f>
        <v/>
      </c>
      <c r="P399" s="21" t="n"/>
      <c r="Q399" s="21" t="n"/>
      <c r="R399" s="21" t="n"/>
      <c r="S399" s="24" t="n"/>
      <c r="T399" s="24" t="n"/>
      <c r="V399">
        <f>IF(A399="","",MONTH(A399))</f>
        <v/>
      </c>
      <c r="W399">
        <f>N(W398)+IF(AND(C399&lt;&gt;"",T399&lt;&gt;""),IF(C399=WOCHE!$B$3,1,0),0)</f>
        <v/>
      </c>
      <c r="X399">
        <f>N(X398)+IF(AND(V399&lt;&gt;"",T399&lt;&gt;""),IF(V399=MONAT!$AZ$3,1,0),0)</f>
        <v/>
      </c>
    </row>
    <row r="400">
      <c r="A400" s="19" t="n"/>
      <c r="B400" s="20">
        <f>IF(A400="","",CHOOSE(WEEKDAY(A400,2),"Mo","Di","Mi","Do","Fr","Sa","So"))</f>
        <v/>
      </c>
      <c r="C400" s="20">
        <f>IF(A400="","",INT((A400-DATE(YEAR(A400-WEEKDAY(A400-1)+4),1,3)+WEEKDAY(DATE(YEAR(A400-WEEKDAY(A400-1)+4),1,3))+5)/7))</f>
        <v/>
      </c>
      <c r="D400" s="21" t="n"/>
      <c r="E400" s="22" t="n"/>
      <c r="F400" s="23" t="n"/>
      <c r="G400" s="23" t="n"/>
      <c r="H400" s="23" t="n"/>
      <c r="I400" s="20">
        <f>IF(COUNT(F400:H400)=0,"",SUM(F400:H400))</f>
        <v/>
      </c>
      <c r="J400" s="23" t="n"/>
      <c r="K400" s="23" t="n"/>
      <c r="L400" s="23" t="n"/>
      <c r="M400" s="23" t="n"/>
      <c r="N400" s="23" t="n"/>
      <c r="O400" s="20">
        <f>IF(OR(I400="",COUNT(J400:N400)=0),"",IF(SUM(J400:N400)=I400,"✓","⚠ "&amp;SUM(J400:N400)&amp;" statt "&amp;I400))</f>
        <v/>
      </c>
      <c r="P400" s="21" t="n"/>
      <c r="Q400" s="21" t="n"/>
      <c r="R400" s="21" t="n"/>
      <c r="S400" s="24" t="n"/>
      <c r="T400" s="24" t="n"/>
      <c r="V400">
        <f>IF(A400="","",MONTH(A400))</f>
        <v/>
      </c>
      <c r="W400">
        <f>N(W399)+IF(AND(C400&lt;&gt;"",T400&lt;&gt;""),IF(C400=WOCHE!$B$3,1,0),0)</f>
        <v/>
      </c>
      <c r="X400">
        <f>N(X399)+IF(AND(V400&lt;&gt;"",T400&lt;&gt;""),IF(V400=MONAT!$AZ$3,1,0),0)</f>
        <v/>
      </c>
    </row>
    <row r="401">
      <c r="A401" s="19" t="n"/>
      <c r="B401" s="20">
        <f>IF(A401="","",CHOOSE(WEEKDAY(A401,2),"Mo","Di","Mi","Do","Fr","Sa","So"))</f>
        <v/>
      </c>
      <c r="C401" s="20">
        <f>IF(A401="","",INT((A401-DATE(YEAR(A401-WEEKDAY(A401-1)+4),1,3)+WEEKDAY(DATE(YEAR(A401-WEEKDAY(A401-1)+4),1,3))+5)/7))</f>
        <v/>
      </c>
      <c r="D401" s="21" t="n"/>
      <c r="E401" s="22" t="n"/>
      <c r="F401" s="23" t="n"/>
      <c r="G401" s="23" t="n"/>
      <c r="H401" s="23" t="n"/>
      <c r="I401" s="20">
        <f>IF(COUNT(F401:H401)=0,"",SUM(F401:H401))</f>
        <v/>
      </c>
      <c r="J401" s="23" t="n"/>
      <c r="K401" s="23" t="n"/>
      <c r="L401" s="23" t="n"/>
      <c r="M401" s="23" t="n"/>
      <c r="N401" s="23" t="n"/>
      <c r="O401" s="20">
        <f>IF(OR(I401="",COUNT(J401:N401)=0),"",IF(SUM(J401:N401)=I401,"✓","⚠ "&amp;SUM(J401:N401)&amp;" statt "&amp;I401))</f>
        <v/>
      </c>
      <c r="P401" s="21" t="n"/>
      <c r="Q401" s="21" t="n"/>
      <c r="R401" s="21" t="n"/>
      <c r="S401" s="24" t="n"/>
      <c r="T401" s="24" t="n"/>
      <c r="V401">
        <f>IF(A401="","",MONTH(A401))</f>
        <v/>
      </c>
      <c r="W401">
        <f>N(W400)+IF(AND(C401&lt;&gt;"",T401&lt;&gt;""),IF(C401=WOCHE!$B$3,1,0),0)</f>
        <v/>
      </c>
      <c r="X401">
        <f>N(X400)+IF(AND(V401&lt;&gt;"",T401&lt;&gt;""),IF(V401=MONAT!$AZ$3,1,0),0)</f>
        <v/>
      </c>
    </row>
    <row r="402">
      <c r="A402" s="19" t="n"/>
      <c r="B402" s="20">
        <f>IF(A402="","",CHOOSE(WEEKDAY(A402,2),"Mo","Di","Mi","Do","Fr","Sa","So"))</f>
        <v/>
      </c>
      <c r="C402" s="20">
        <f>IF(A402="","",INT((A402-DATE(YEAR(A402-WEEKDAY(A402-1)+4),1,3)+WEEKDAY(DATE(YEAR(A402-WEEKDAY(A402-1)+4),1,3))+5)/7))</f>
        <v/>
      </c>
      <c r="D402" s="21" t="n"/>
      <c r="E402" s="22" t="n"/>
      <c r="F402" s="23" t="n"/>
      <c r="G402" s="23" t="n"/>
      <c r="H402" s="23" t="n"/>
      <c r="I402" s="20">
        <f>IF(COUNT(F402:H402)=0,"",SUM(F402:H402))</f>
        <v/>
      </c>
      <c r="J402" s="23" t="n"/>
      <c r="K402" s="23" t="n"/>
      <c r="L402" s="23" t="n"/>
      <c r="M402" s="23" t="n"/>
      <c r="N402" s="23" t="n"/>
      <c r="O402" s="20">
        <f>IF(OR(I402="",COUNT(J402:N402)=0),"",IF(SUM(J402:N402)=I402,"✓","⚠ "&amp;SUM(J402:N402)&amp;" statt "&amp;I402))</f>
        <v/>
      </c>
      <c r="P402" s="21" t="n"/>
      <c r="Q402" s="21" t="n"/>
      <c r="R402" s="21" t="n"/>
      <c r="S402" s="24" t="n"/>
      <c r="T402" s="24" t="n"/>
      <c r="V402">
        <f>IF(A402="","",MONTH(A402))</f>
        <v/>
      </c>
      <c r="W402">
        <f>N(W401)+IF(AND(C402&lt;&gt;"",T402&lt;&gt;""),IF(C402=WOCHE!$B$3,1,0),0)</f>
        <v/>
      </c>
      <c r="X402">
        <f>N(X401)+IF(AND(V402&lt;&gt;"",T402&lt;&gt;""),IF(V402=MONAT!$AZ$3,1,0),0)</f>
        <v/>
      </c>
    </row>
    <row r="403">
      <c r="A403" s="19" t="n"/>
      <c r="B403" s="20">
        <f>IF(A403="","",CHOOSE(WEEKDAY(A403,2),"Mo","Di","Mi","Do","Fr","Sa","So"))</f>
        <v/>
      </c>
      <c r="C403" s="20">
        <f>IF(A403="","",INT((A403-DATE(YEAR(A403-WEEKDAY(A403-1)+4),1,3)+WEEKDAY(DATE(YEAR(A403-WEEKDAY(A403-1)+4),1,3))+5)/7))</f>
        <v/>
      </c>
      <c r="D403" s="21" t="n"/>
      <c r="E403" s="22" t="n"/>
      <c r="F403" s="23" t="n"/>
      <c r="G403" s="23" t="n"/>
      <c r="H403" s="23" t="n"/>
      <c r="I403" s="20">
        <f>IF(COUNT(F403:H403)=0,"",SUM(F403:H403))</f>
        <v/>
      </c>
      <c r="J403" s="23" t="n"/>
      <c r="K403" s="23" t="n"/>
      <c r="L403" s="23" t="n"/>
      <c r="M403" s="23" t="n"/>
      <c r="N403" s="23" t="n"/>
      <c r="O403" s="20">
        <f>IF(OR(I403="",COUNT(J403:N403)=0),"",IF(SUM(J403:N403)=I403,"✓","⚠ "&amp;SUM(J403:N403)&amp;" statt "&amp;I403))</f>
        <v/>
      </c>
      <c r="P403" s="21" t="n"/>
      <c r="Q403" s="21" t="n"/>
      <c r="R403" s="21" t="n"/>
      <c r="S403" s="24" t="n"/>
      <c r="T403" s="24" t="n"/>
      <c r="V403">
        <f>IF(A403="","",MONTH(A403))</f>
        <v/>
      </c>
      <c r="W403">
        <f>N(W402)+IF(AND(C403&lt;&gt;"",T403&lt;&gt;""),IF(C403=WOCHE!$B$3,1,0),0)</f>
        <v/>
      </c>
      <c r="X403">
        <f>N(X402)+IF(AND(V403&lt;&gt;"",T403&lt;&gt;""),IF(V403=MONAT!$AZ$3,1,0),0)</f>
        <v/>
      </c>
    </row>
    <row r="404">
      <c r="A404" s="19" t="n"/>
      <c r="B404" s="20">
        <f>IF(A404="","",CHOOSE(WEEKDAY(A404,2),"Mo","Di","Mi","Do","Fr","Sa","So"))</f>
        <v/>
      </c>
      <c r="C404" s="20">
        <f>IF(A404="","",INT((A404-DATE(YEAR(A404-WEEKDAY(A404-1)+4),1,3)+WEEKDAY(DATE(YEAR(A404-WEEKDAY(A404-1)+4),1,3))+5)/7))</f>
        <v/>
      </c>
      <c r="D404" s="21" t="n"/>
      <c r="E404" s="22" t="n"/>
      <c r="F404" s="23" t="n"/>
      <c r="G404" s="23" t="n"/>
      <c r="H404" s="23" t="n"/>
      <c r="I404" s="20">
        <f>IF(COUNT(F404:H404)=0,"",SUM(F404:H404))</f>
        <v/>
      </c>
      <c r="J404" s="23" t="n"/>
      <c r="K404" s="23" t="n"/>
      <c r="L404" s="23" t="n"/>
      <c r="M404" s="23" t="n"/>
      <c r="N404" s="23" t="n"/>
      <c r="O404" s="20">
        <f>IF(OR(I404="",COUNT(J404:N404)=0),"",IF(SUM(J404:N404)=I404,"✓","⚠ "&amp;SUM(J404:N404)&amp;" statt "&amp;I404))</f>
        <v/>
      </c>
      <c r="P404" s="21" t="n"/>
      <c r="Q404" s="21" t="n"/>
      <c r="R404" s="21" t="n"/>
      <c r="S404" s="24" t="n"/>
      <c r="T404" s="24" t="n"/>
      <c r="V404">
        <f>IF(A404="","",MONTH(A404))</f>
        <v/>
      </c>
      <c r="W404">
        <f>N(W403)+IF(AND(C404&lt;&gt;"",T404&lt;&gt;""),IF(C404=WOCHE!$B$3,1,0),0)</f>
        <v/>
      </c>
      <c r="X404">
        <f>N(X403)+IF(AND(V404&lt;&gt;"",T404&lt;&gt;""),IF(V404=MONAT!$AZ$3,1,0),0)</f>
        <v/>
      </c>
    </row>
    <row r="405">
      <c r="A405" s="19" t="n"/>
      <c r="B405" s="20">
        <f>IF(A405="","",CHOOSE(WEEKDAY(A405,2),"Mo","Di","Mi","Do","Fr","Sa","So"))</f>
        <v/>
      </c>
      <c r="C405" s="20">
        <f>IF(A405="","",INT((A405-DATE(YEAR(A405-WEEKDAY(A405-1)+4),1,3)+WEEKDAY(DATE(YEAR(A405-WEEKDAY(A405-1)+4),1,3))+5)/7))</f>
        <v/>
      </c>
      <c r="D405" s="21" t="n"/>
      <c r="E405" s="22" t="n"/>
      <c r="F405" s="23" t="n"/>
      <c r="G405" s="23" t="n"/>
      <c r="H405" s="23" t="n"/>
      <c r="I405" s="20">
        <f>IF(COUNT(F405:H405)=0,"",SUM(F405:H405))</f>
        <v/>
      </c>
      <c r="J405" s="23" t="n"/>
      <c r="K405" s="23" t="n"/>
      <c r="L405" s="23" t="n"/>
      <c r="M405" s="23" t="n"/>
      <c r="N405" s="23" t="n"/>
      <c r="O405" s="20">
        <f>IF(OR(I405="",COUNT(J405:N405)=0),"",IF(SUM(J405:N405)=I405,"✓","⚠ "&amp;SUM(J405:N405)&amp;" statt "&amp;I405))</f>
        <v/>
      </c>
      <c r="P405" s="21" t="n"/>
      <c r="Q405" s="21" t="n"/>
      <c r="R405" s="21" t="n"/>
      <c r="S405" s="24" t="n"/>
      <c r="T405" s="24" t="n"/>
      <c r="V405">
        <f>IF(A405="","",MONTH(A405))</f>
        <v/>
      </c>
      <c r="W405">
        <f>N(W404)+IF(AND(C405&lt;&gt;"",T405&lt;&gt;""),IF(C405=WOCHE!$B$3,1,0),0)</f>
        <v/>
      </c>
      <c r="X405">
        <f>N(X404)+IF(AND(V405&lt;&gt;"",T405&lt;&gt;""),IF(V405=MONAT!$AZ$3,1,0),0)</f>
        <v/>
      </c>
    </row>
    <row r="406">
      <c r="A406" s="19" t="n"/>
      <c r="B406" s="20">
        <f>IF(A406="","",CHOOSE(WEEKDAY(A406,2),"Mo","Di","Mi","Do","Fr","Sa","So"))</f>
        <v/>
      </c>
      <c r="C406" s="20">
        <f>IF(A406="","",INT((A406-DATE(YEAR(A406-WEEKDAY(A406-1)+4),1,3)+WEEKDAY(DATE(YEAR(A406-WEEKDAY(A406-1)+4),1,3))+5)/7))</f>
        <v/>
      </c>
      <c r="D406" s="21" t="n"/>
      <c r="E406" s="22" t="n"/>
      <c r="F406" s="23" t="n"/>
      <c r="G406" s="23" t="n"/>
      <c r="H406" s="23" t="n"/>
      <c r="I406" s="20">
        <f>IF(COUNT(F406:H406)=0,"",SUM(F406:H406))</f>
        <v/>
      </c>
      <c r="J406" s="23" t="n"/>
      <c r="K406" s="23" t="n"/>
      <c r="L406" s="23" t="n"/>
      <c r="M406" s="23" t="n"/>
      <c r="N406" s="23" t="n"/>
      <c r="O406" s="20">
        <f>IF(OR(I406="",COUNT(J406:N406)=0),"",IF(SUM(J406:N406)=I406,"✓","⚠ "&amp;SUM(J406:N406)&amp;" statt "&amp;I406))</f>
        <v/>
      </c>
      <c r="P406" s="21" t="n"/>
      <c r="Q406" s="21" t="n"/>
      <c r="R406" s="21" t="n"/>
      <c r="S406" s="24" t="n"/>
      <c r="T406" s="24" t="n"/>
      <c r="V406">
        <f>IF(A406="","",MONTH(A406))</f>
        <v/>
      </c>
      <c r="W406">
        <f>N(W405)+IF(AND(C406&lt;&gt;"",T406&lt;&gt;""),IF(C406=WOCHE!$B$3,1,0),0)</f>
        <v/>
      </c>
      <c r="X406">
        <f>N(X405)+IF(AND(V406&lt;&gt;"",T406&lt;&gt;""),IF(V406=MONAT!$AZ$3,1,0),0)</f>
        <v/>
      </c>
    </row>
    <row r="407">
      <c r="A407" s="19" t="n"/>
      <c r="B407" s="20">
        <f>IF(A407="","",CHOOSE(WEEKDAY(A407,2),"Mo","Di","Mi","Do","Fr","Sa","So"))</f>
        <v/>
      </c>
      <c r="C407" s="20">
        <f>IF(A407="","",INT((A407-DATE(YEAR(A407-WEEKDAY(A407-1)+4),1,3)+WEEKDAY(DATE(YEAR(A407-WEEKDAY(A407-1)+4),1,3))+5)/7))</f>
        <v/>
      </c>
      <c r="D407" s="21" t="n"/>
      <c r="E407" s="22" t="n"/>
      <c r="F407" s="23" t="n"/>
      <c r="G407" s="23" t="n"/>
      <c r="H407" s="23" t="n"/>
      <c r="I407" s="20">
        <f>IF(COUNT(F407:H407)=0,"",SUM(F407:H407))</f>
        <v/>
      </c>
      <c r="J407" s="23" t="n"/>
      <c r="K407" s="23" t="n"/>
      <c r="L407" s="23" t="n"/>
      <c r="M407" s="23" t="n"/>
      <c r="N407" s="23" t="n"/>
      <c r="O407" s="20">
        <f>IF(OR(I407="",COUNT(J407:N407)=0),"",IF(SUM(J407:N407)=I407,"✓","⚠ "&amp;SUM(J407:N407)&amp;" statt "&amp;I407))</f>
        <v/>
      </c>
      <c r="P407" s="21" t="n"/>
      <c r="Q407" s="21" t="n"/>
      <c r="R407" s="21" t="n"/>
      <c r="S407" s="24" t="n"/>
      <c r="T407" s="24" t="n"/>
      <c r="V407">
        <f>IF(A407="","",MONTH(A407))</f>
        <v/>
      </c>
      <c r="W407">
        <f>N(W406)+IF(AND(C407&lt;&gt;"",T407&lt;&gt;""),IF(C407=WOCHE!$B$3,1,0),0)</f>
        <v/>
      </c>
      <c r="X407">
        <f>N(X406)+IF(AND(V407&lt;&gt;"",T407&lt;&gt;""),IF(V407=MONAT!$AZ$3,1,0),0)</f>
        <v/>
      </c>
    </row>
    <row r="408">
      <c r="A408" s="19" t="n"/>
      <c r="B408" s="20">
        <f>IF(A408="","",CHOOSE(WEEKDAY(A408,2),"Mo","Di","Mi","Do","Fr","Sa","So"))</f>
        <v/>
      </c>
      <c r="C408" s="20">
        <f>IF(A408="","",INT((A408-DATE(YEAR(A408-WEEKDAY(A408-1)+4),1,3)+WEEKDAY(DATE(YEAR(A408-WEEKDAY(A408-1)+4),1,3))+5)/7))</f>
        <v/>
      </c>
      <c r="D408" s="21" t="n"/>
      <c r="E408" s="22" t="n"/>
      <c r="F408" s="23" t="n"/>
      <c r="G408" s="23" t="n"/>
      <c r="H408" s="23" t="n"/>
      <c r="I408" s="20">
        <f>IF(COUNT(F408:H408)=0,"",SUM(F408:H408))</f>
        <v/>
      </c>
      <c r="J408" s="23" t="n"/>
      <c r="K408" s="23" t="n"/>
      <c r="L408" s="23" t="n"/>
      <c r="M408" s="23" t="n"/>
      <c r="N408" s="23" t="n"/>
      <c r="O408" s="20">
        <f>IF(OR(I408="",COUNT(J408:N408)=0),"",IF(SUM(J408:N408)=I408,"✓","⚠ "&amp;SUM(J408:N408)&amp;" statt "&amp;I408))</f>
        <v/>
      </c>
      <c r="P408" s="21" t="n"/>
      <c r="Q408" s="21" t="n"/>
      <c r="R408" s="21" t="n"/>
      <c r="S408" s="24" t="n"/>
      <c r="T408" s="24" t="n"/>
      <c r="V408">
        <f>IF(A408="","",MONTH(A408))</f>
        <v/>
      </c>
      <c r="W408">
        <f>N(W407)+IF(AND(C408&lt;&gt;"",T408&lt;&gt;""),IF(C408=WOCHE!$B$3,1,0),0)</f>
        <v/>
      </c>
      <c r="X408">
        <f>N(X407)+IF(AND(V408&lt;&gt;"",T408&lt;&gt;""),IF(V408=MONAT!$AZ$3,1,0),0)</f>
        <v/>
      </c>
    </row>
    <row r="409">
      <c r="A409" s="19" t="n"/>
      <c r="B409" s="20">
        <f>IF(A409="","",CHOOSE(WEEKDAY(A409,2),"Mo","Di","Mi","Do","Fr","Sa","So"))</f>
        <v/>
      </c>
      <c r="C409" s="20">
        <f>IF(A409="","",INT((A409-DATE(YEAR(A409-WEEKDAY(A409-1)+4),1,3)+WEEKDAY(DATE(YEAR(A409-WEEKDAY(A409-1)+4),1,3))+5)/7))</f>
        <v/>
      </c>
      <c r="D409" s="21" t="n"/>
      <c r="E409" s="22" t="n"/>
      <c r="F409" s="23" t="n"/>
      <c r="G409" s="23" t="n"/>
      <c r="H409" s="23" t="n"/>
      <c r="I409" s="20">
        <f>IF(COUNT(F409:H409)=0,"",SUM(F409:H409))</f>
        <v/>
      </c>
      <c r="J409" s="23" t="n"/>
      <c r="K409" s="23" t="n"/>
      <c r="L409" s="23" t="n"/>
      <c r="M409" s="23" t="n"/>
      <c r="N409" s="23" t="n"/>
      <c r="O409" s="20">
        <f>IF(OR(I409="",COUNT(J409:N409)=0),"",IF(SUM(J409:N409)=I409,"✓","⚠ "&amp;SUM(J409:N409)&amp;" statt "&amp;I409))</f>
        <v/>
      </c>
      <c r="P409" s="21" t="n"/>
      <c r="Q409" s="21" t="n"/>
      <c r="R409" s="21" t="n"/>
      <c r="S409" s="24" t="n"/>
      <c r="T409" s="24" t="n"/>
      <c r="V409">
        <f>IF(A409="","",MONTH(A409))</f>
        <v/>
      </c>
      <c r="W409">
        <f>N(W408)+IF(AND(C409&lt;&gt;"",T409&lt;&gt;""),IF(C409=WOCHE!$B$3,1,0),0)</f>
        <v/>
      </c>
      <c r="X409">
        <f>N(X408)+IF(AND(V409&lt;&gt;"",T409&lt;&gt;""),IF(V409=MONAT!$AZ$3,1,0),0)</f>
        <v/>
      </c>
    </row>
    <row r="410">
      <c r="A410" s="19" t="n"/>
      <c r="B410" s="20">
        <f>IF(A410="","",CHOOSE(WEEKDAY(A410,2),"Mo","Di","Mi","Do","Fr","Sa","So"))</f>
        <v/>
      </c>
      <c r="C410" s="20">
        <f>IF(A410="","",INT((A410-DATE(YEAR(A410-WEEKDAY(A410-1)+4),1,3)+WEEKDAY(DATE(YEAR(A410-WEEKDAY(A410-1)+4),1,3))+5)/7))</f>
        <v/>
      </c>
      <c r="D410" s="21" t="n"/>
      <c r="E410" s="22" t="n"/>
      <c r="F410" s="23" t="n"/>
      <c r="G410" s="23" t="n"/>
      <c r="H410" s="23" t="n"/>
      <c r="I410" s="20">
        <f>IF(COUNT(F410:H410)=0,"",SUM(F410:H410))</f>
        <v/>
      </c>
      <c r="J410" s="23" t="n"/>
      <c r="K410" s="23" t="n"/>
      <c r="L410" s="23" t="n"/>
      <c r="M410" s="23" t="n"/>
      <c r="N410" s="23" t="n"/>
      <c r="O410" s="20">
        <f>IF(OR(I410="",COUNT(J410:N410)=0),"",IF(SUM(J410:N410)=I410,"✓","⚠ "&amp;SUM(J410:N410)&amp;" statt "&amp;I410))</f>
        <v/>
      </c>
      <c r="P410" s="21" t="n"/>
      <c r="Q410" s="21" t="n"/>
      <c r="R410" s="21" t="n"/>
      <c r="S410" s="24" t="n"/>
      <c r="T410" s="24" t="n"/>
      <c r="V410">
        <f>IF(A410="","",MONTH(A410))</f>
        <v/>
      </c>
      <c r="W410">
        <f>N(W409)+IF(AND(C410&lt;&gt;"",T410&lt;&gt;""),IF(C410=WOCHE!$B$3,1,0),0)</f>
        <v/>
      </c>
      <c r="X410">
        <f>N(X409)+IF(AND(V410&lt;&gt;"",T410&lt;&gt;""),IF(V410=MONAT!$AZ$3,1,0),0)</f>
        <v/>
      </c>
    </row>
    <row r="411">
      <c r="A411" s="19" t="n"/>
      <c r="B411" s="20">
        <f>IF(A411="","",CHOOSE(WEEKDAY(A411,2),"Mo","Di","Mi","Do","Fr","Sa","So"))</f>
        <v/>
      </c>
      <c r="C411" s="20">
        <f>IF(A411="","",INT((A411-DATE(YEAR(A411-WEEKDAY(A411-1)+4),1,3)+WEEKDAY(DATE(YEAR(A411-WEEKDAY(A411-1)+4),1,3))+5)/7))</f>
        <v/>
      </c>
      <c r="D411" s="21" t="n"/>
      <c r="E411" s="22" t="n"/>
      <c r="F411" s="23" t="n"/>
      <c r="G411" s="23" t="n"/>
      <c r="H411" s="23" t="n"/>
      <c r="I411" s="20">
        <f>IF(COUNT(F411:H411)=0,"",SUM(F411:H411))</f>
        <v/>
      </c>
      <c r="J411" s="23" t="n"/>
      <c r="K411" s="23" t="n"/>
      <c r="L411" s="23" t="n"/>
      <c r="M411" s="23" t="n"/>
      <c r="N411" s="23" t="n"/>
      <c r="O411" s="20">
        <f>IF(OR(I411="",COUNT(J411:N411)=0),"",IF(SUM(J411:N411)=I411,"✓","⚠ "&amp;SUM(J411:N411)&amp;" statt "&amp;I411))</f>
        <v/>
      </c>
      <c r="P411" s="21" t="n"/>
      <c r="Q411" s="21" t="n"/>
      <c r="R411" s="21" t="n"/>
      <c r="S411" s="24" t="n"/>
      <c r="T411" s="24" t="n"/>
      <c r="V411">
        <f>IF(A411="","",MONTH(A411))</f>
        <v/>
      </c>
      <c r="W411">
        <f>N(W410)+IF(AND(C411&lt;&gt;"",T411&lt;&gt;""),IF(C411=WOCHE!$B$3,1,0),0)</f>
        <v/>
      </c>
      <c r="X411">
        <f>N(X410)+IF(AND(V411&lt;&gt;"",T411&lt;&gt;""),IF(V411=MONAT!$AZ$3,1,0),0)</f>
        <v/>
      </c>
    </row>
    <row r="412">
      <c r="A412" s="19" t="n"/>
      <c r="B412" s="20">
        <f>IF(A412="","",CHOOSE(WEEKDAY(A412,2),"Mo","Di","Mi","Do","Fr","Sa","So"))</f>
        <v/>
      </c>
      <c r="C412" s="20">
        <f>IF(A412="","",INT((A412-DATE(YEAR(A412-WEEKDAY(A412-1)+4),1,3)+WEEKDAY(DATE(YEAR(A412-WEEKDAY(A412-1)+4),1,3))+5)/7))</f>
        <v/>
      </c>
      <c r="D412" s="21" t="n"/>
      <c r="E412" s="22" t="n"/>
      <c r="F412" s="23" t="n"/>
      <c r="G412" s="23" t="n"/>
      <c r="H412" s="23" t="n"/>
      <c r="I412" s="20">
        <f>IF(COUNT(F412:H412)=0,"",SUM(F412:H412))</f>
        <v/>
      </c>
      <c r="J412" s="23" t="n"/>
      <c r="K412" s="23" t="n"/>
      <c r="L412" s="23" t="n"/>
      <c r="M412" s="23" t="n"/>
      <c r="N412" s="23" t="n"/>
      <c r="O412" s="20">
        <f>IF(OR(I412="",COUNT(J412:N412)=0),"",IF(SUM(J412:N412)=I412,"✓","⚠ "&amp;SUM(J412:N412)&amp;" statt "&amp;I412))</f>
        <v/>
      </c>
      <c r="P412" s="21" t="n"/>
      <c r="Q412" s="21" t="n"/>
      <c r="R412" s="21" t="n"/>
      <c r="S412" s="24" t="n"/>
      <c r="T412" s="24" t="n"/>
      <c r="V412">
        <f>IF(A412="","",MONTH(A412))</f>
        <v/>
      </c>
      <c r="W412">
        <f>N(W411)+IF(AND(C412&lt;&gt;"",T412&lt;&gt;""),IF(C412=WOCHE!$B$3,1,0),0)</f>
        <v/>
      </c>
      <c r="X412">
        <f>N(X411)+IF(AND(V412&lt;&gt;"",T412&lt;&gt;""),IF(V412=MONAT!$AZ$3,1,0),0)</f>
        <v/>
      </c>
    </row>
    <row r="413">
      <c r="A413" s="19" t="n"/>
      <c r="B413" s="20">
        <f>IF(A413="","",CHOOSE(WEEKDAY(A413,2),"Mo","Di","Mi","Do","Fr","Sa","So"))</f>
        <v/>
      </c>
      <c r="C413" s="20">
        <f>IF(A413="","",INT((A413-DATE(YEAR(A413-WEEKDAY(A413-1)+4),1,3)+WEEKDAY(DATE(YEAR(A413-WEEKDAY(A413-1)+4),1,3))+5)/7))</f>
        <v/>
      </c>
      <c r="D413" s="21" t="n"/>
      <c r="E413" s="22" t="n"/>
      <c r="F413" s="23" t="n"/>
      <c r="G413" s="23" t="n"/>
      <c r="H413" s="23" t="n"/>
      <c r="I413" s="20">
        <f>IF(COUNT(F413:H413)=0,"",SUM(F413:H413))</f>
        <v/>
      </c>
      <c r="J413" s="23" t="n"/>
      <c r="K413" s="23" t="n"/>
      <c r="L413" s="23" t="n"/>
      <c r="M413" s="23" t="n"/>
      <c r="N413" s="23" t="n"/>
      <c r="O413" s="20">
        <f>IF(OR(I413="",COUNT(J413:N413)=0),"",IF(SUM(J413:N413)=I413,"✓","⚠ "&amp;SUM(J413:N413)&amp;" statt "&amp;I413))</f>
        <v/>
      </c>
      <c r="P413" s="21" t="n"/>
      <c r="Q413" s="21" t="n"/>
      <c r="R413" s="21" t="n"/>
      <c r="S413" s="24" t="n"/>
      <c r="T413" s="24" t="n"/>
      <c r="V413">
        <f>IF(A413="","",MONTH(A413))</f>
        <v/>
      </c>
      <c r="W413">
        <f>N(W412)+IF(AND(C413&lt;&gt;"",T413&lt;&gt;""),IF(C413=WOCHE!$B$3,1,0),0)</f>
        <v/>
      </c>
      <c r="X413">
        <f>N(X412)+IF(AND(V413&lt;&gt;"",T413&lt;&gt;""),IF(V413=MONAT!$AZ$3,1,0),0)</f>
        <v/>
      </c>
    </row>
    <row r="414">
      <c r="A414" s="19" t="n"/>
      <c r="B414" s="20">
        <f>IF(A414="","",CHOOSE(WEEKDAY(A414,2),"Mo","Di","Mi","Do","Fr","Sa","So"))</f>
        <v/>
      </c>
      <c r="C414" s="20">
        <f>IF(A414="","",INT((A414-DATE(YEAR(A414-WEEKDAY(A414-1)+4),1,3)+WEEKDAY(DATE(YEAR(A414-WEEKDAY(A414-1)+4),1,3))+5)/7))</f>
        <v/>
      </c>
      <c r="D414" s="21" t="n"/>
      <c r="E414" s="22" t="n"/>
      <c r="F414" s="23" t="n"/>
      <c r="G414" s="23" t="n"/>
      <c r="H414" s="23" t="n"/>
      <c r="I414" s="20">
        <f>IF(COUNT(F414:H414)=0,"",SUM(F414:H414))</f>
        <v/>
      </c>
      <c r="J414" s="23" t="n"/>
      <c r="K414" s="23" t="n"/>
      <c r="L414" s="23" t="n"/>
      <c r="M414" s="23" t="n"/>
      <c r="N414" s="23" t="n"/>
      <c r="O414" s="20">
        <f>IF(OR(I414="",COUNT(J414:N414)=0),"",IF(SUM(J414:N414)=I414,"✓","⚠ "&amp;SUM(J414:N414)&amp;" statt "&amp;I414))</f>
        <v/>
      </c>
      <c r="P414" s="21" t="n"/>
      <c r="Q414" s="21" t="n"/>
      <c r="R414" s="21" t="n"/>
      <c r="S414" s="24" t="n"/>
      <c r="T414" s="24" t="n"/>
      <c r="V414">
        <f>IF(A414="","",MONTH(A414))</f>
        <v/>
      </c>
      <c r="W414">
        <f>N(W413)+IF(AND(C414&lt;&gt;"",T414&lt;&gt;""),IF(C414=WOCHE!$B$3,1,0),0)</f>
        <v/>
      </c>
      <c r="X414">
        <f>N(X413)+IF(AND(V414&lt;&gt;"",T414&lt;&gt;""),IF(V414=MONAT!$AZ$3,1,0),0)</f>
        <v/>
      </c>
    </row>
    <row r="415">
      <c r="A415" s="19" t="n"/>
      <c r="B415" s="20">
        <f>IF(A415="","",CHOOSE(WEEKDAY(A415,2),"Mo","Di","Mi","Do","Fr","Sa","So"))</f>
        <v/>
      </c>
      <c r="C415" s="20">
        <f>IF(A415="","",INT((A415-DATE(YEAR(A415-WEEKDAY(A415-1)+4),1,3)+WEEKDAY(DATE(YEAR(A415-WEEKDAY(A415-1)+4),1,3))+5)/7))</f>
        <v/>
      </c>
      <c r="D415" s="21" t="n"/>
      <c r="E415" s="22" t="n"/>
      <c r="F415" s="23" t="n"/>
      <c r="G415" s="23" t="n"/>
      <c r="H415" s="23" t="n"/>
      <c r="I415" s="20">
        <f>IF(COUNT(F415:H415)=0,"",SUM(F415:H415))</f>
        <v/>
      </c>
      <c r="J415" s="23" t="n"/>
      <c r="K415" s="23" t="n"/>
      <c r="L415" s="23" t="n"/>
      <c r="M415" s="23" t="n"/>
      <c r="N415" s="23" t="n"/>
      <c r="O415" s="20">
        <f>IF(OR(I415="",COUNT(J415:N415)=0),"",IF(SUM(J415:N415)=I415,"✓","⚠ "&amp;SUM(J415:N415)&amp;" statt "&amp;I415))</f>
        <v/>
      </c>
      <c r="P415" s="21" t="n"/>
      <c r="Q415" s="21" t="n"/>
      <c r="R415" s="21" t="n"/>
      <c r="S415" s="24" t="n"/>
      <c r="T415" s="24" t="n"/>
      <c r="V415">
        <f>IF(A415="","",MONTH(A415))</f>
        <v/>
      </c>
      <c r="W415">
        <f>N(W414)+IF(AND(C415&lt;&gt;"",T415&lt;&gt;""),IF(C415=WOCHE!$B$3,1,0),0)</f>
        <v/>
      </c>
      <c r="X415">
        <f>N(X414)+IF(AND(V415&lt;&gt;"",T415&lt;&gt;""),IF(V415=MONAT!$AZ$3,1,0),0)</f>
        <v/>
      </c>
    </row>
    <row r="416">
      <c r="A416" s="19" t="n"/>
      <c r="B416" s="20">
        <f>IF(A416="","",CHOOSE(WEEKDAY(A416,2),"Mo","Di","Mi","Do","Fr","Sa","So"))</f>
        <v/>
      </c>
      <c r="C416" s="20">
        <f>IF(A416="","",INT((A416-DATE(YEAR(A416-WEEKDAY(A416-1)+4),1,3)+WEEKDAY(DATE(YEAR(A416-WEEKDAY(A416-1)+4),1,3))+5)/7))</f>
        <v/>
      </c>
      <c r="D416" s="21" t="n"/>
      <c r="E416" s="22" t="n"/>
      <c r="F416" s="23" t="n"/>
      <c r="G416" s="23" t="n"/>
      <c r="H416" s="23" t="n"/>
      <c r="I416" s="20">
        <f>IF(COUNT(F416:H416)=0,"",SUM(F416:H416))</f>
        <v/>
      </c>
      <c r="J416" s="23" t="n"/>
      <c r="K416" s="23" t="n"/>
      <c r="L416" s="23" t="n"/>
      <c r="M416" s="23" t="n"/>
      <c r="N416" s="23" t="n"/>
      <c r="O416" s="20">
        <f>IF(OR(I416="",COUNT(J416:N416)=0),"",IF(SUM(J416:N416)=I416,"✓","⚠ "&amp;SUM(J416:N416)&amp;" statt "&amp;I416))</f>
        <v/>
      </c>
      <c r="P416" s="21" t="n"/>
      <c r="Q416" s="21" t="n"/>
      <c r="R416" s="21" t="n"/>
      <c r="S416" s="24" t="n"/>
      <c r="T416" s="24" t="n"/>
      <c r="V416">
        <f>IF(A416="","",MONTH(A416))</f>
        <v/>
      </c>
      <c r="W416">
        <f>N(W415)+IF(AND(C416&lt;&gt;"",T416&lt;&gt;""),IF(C416=WOCHE!$B$3,1,0),0)</f>
        <v/>
      </c>
      <c r="X416">
        <f>N(X415)+IF(AND(V416&lt;&gt;"",T416&lt;&gt;""),IF(V416=MONAT!$AZ$3,1,0),0)</f>
        <v/>
      </c>
    </row>
    <row r="417">
      <c r="A417" s="19" t="n"/>
      <c r="B417" s="20">
        <f>IF(A417="","",CHOOSE(WEEKDAY(A417,2),"Mo","Di","Mi","Do","Fr","Sa","So"))</f>
        <v/>
      </c>
      <c r="C417" s="20">
        <f>IF(A417="","",INT((A417-DATE(YEAR(A417-WEEKDAY(A417-1)+4),1,3)+WEEKDAY(DATE(YEAR(A417-WEEKDAY(A417-1)+4),1,3))+5)/7))</f>
        <v/>
      </c>
      <c r="D417" s="21" t="n"/>
      <c r="E417" s="22" t="n"/>
      <c r="F417" s="23" t="n"/>
      <c r="G417" s="23" t="n"/>
      <c r="H417" s="23" t="n"/>
      <c r="I417" s="20">
        <f>IF(COUNT(F417:H417)=0,"",SUM(F417:H417))</f>
        <v/>
      </c>
      <c r="J417" s="23" t="n"/>
      <c r="K417" s="23" t="n"/>
      <c r="L417" s="23" t="n"/>
      <c r="M417" s="23" t="n"/>
      <c r="N417" s="23" t="n"/>
      <c r="O417" s="20">
        <f>IF(OR(I417="",COUNT(J417:N417)=0),"",IF(SUM(J417:N417)=I417,"✓","⚠ "&amp;SUM(J417:N417)&amp;" statt "&amp;I417))</f>
        <v/>
      </c>
      <c r="P417" s="21" t="n"/>
      <c r="Q417" s="21" t="n"/>
      <c r="R417" s="21" t="n"/>
      <c r="S417" s="24" t="n"/>
      <c r="T417" s="24" t="n"/>
      <c r="V417">
        <f>IF(A417="","",MONTH(A417))</f>
        <v/>
      </c>
      <c r="W417">
        <f>N(W416)+IF(AND(C417&lt;&gt;"",T417&lt;&gt;""),IF(C417=WOCHE!$B$3,1,0),0)</f>
        <v/>
      </c>
      <c r="X417">
        <f>N(X416)+IF(AND(V417&lt;&gt;"",T417&lt;&gt;""),IF(V417=MONAT!$AZ$3,1,0),0)</f>
        <v/>
      </c>
    </row>
    <row r="418">
      <c r="A418" s="19" t="n"/>
      <c r="B418" s="20">
        <f>IF(A418="","",CHOOSE(WEEKDAY(A418,2),"Mo","Di","Mi","Do","Fr","Sa","So"))</f>
        <v/>
      </c>
      <c r="C418" s="20">
        <f>IF(A418="","",INT((A418-DATE(YEAR(A418-WEEKDAY(A418-1)+4),1,3)+WEEKDAY(DATE(YEAR(A418-WEEKDAY(A418-1)+4),1,3))+5)/7))</f>
        <v/>
      </c>
      <c r="D418" s="21" t="n"/>
      <c r="E418" s="22" t="n"/>
      <c r="F418" s="23" t="n"/>
      <c r="G418" s="23" t="n"/>
      <c r="H418" s="23" t="n"/>
      <c r="I418" s="20">
        <f>IF(COUNT(F418:H418)=0,"",SUM(F418:H418))</f>
        <v/>
      </c>
      <c r="J418" s="23" t="n"/>
      <c r="K418" s="23" t="n"/>
      <c r="L418" s="23" t="n"/>
      <c r="M418" s="23" t="n"/>
      <c r="N418" s="23" t="n"/>
      <c r="O418" s="20">
        <f>IF(OR(I418="",COUNT(J418:N418)=0),"",IF(SUM(J418:N418)=I418,"✓","⚠ "&amp;SUM(J418:N418)&amp;" statt "&amp;I418))</f>
        <v/>
      </c>
      <c r="P418" s="21" t="n"/>
      <c r="Q418" s="21" t="n"/>
      <c r="R418" s="21" t="n"/>
      <c r="S418" s="24" t="n"/>
      <c r="T418" s="24" t="n"/>
      <c r="V418">
        <f>IF(A418="","",MONTH(A418))</f>
        <v/>
      </c>
      <c r="W418">
        <f>N(W417)+IF(AND(C418&lt;&gt;"",T418&lt;&gt;""),IF(C418=WOCHE!$B$3,1,0),0)</f>
        <v/>
      </c>
      <c r="X418">
        <f>N(X417)+IF(AND(V418&lt;&gt;"",T418&lt;&gt;""),IF(V418=MONAT!$AZ$3,1,0),0)</f>
        <v/>
      </c>
    </row>
    <row r="419">
      <c r="A419" s="19" t="n"/>
      <c r="B419" s="20">
        <f>IF(A419="","",CHOOSE(WEEKDAY(A419,2),"Mo","Di","Mi","Do","Fr","Sa","So"))</f>
        <v/>
      </c>
      <c r="C419" s="20">
        <f>IF(A419="","",INT((A419-DATE(YEAR(A419-WEEKDAY(A419-1)+4),1,3)+WEEKDAY(DATE(YEAR(A419-WEEKDAY(A419-1)+4),1,3))+5)/7))</f>
        <v/>
      </c>
      <c r="D419" s="21" t="n"/>
      <c r="E419" s="22" t="n"/>
      <c r="F419" s="23" t="n"/>
      <c r="G419" s="23" t="n"/>
      <c r="H419" s="23" t="n"/>
      <c r="I419" s="20">
        <f>IF(COUNT(F419:H419)=0,"",SUM(F419:H419))</f>
        <v/>
      </c>
      <c r="J419" s="23" t="n"/>
      <c r="K419" s="23" t="n"/>
      <c r="L419" s="23" t="n"/>
      <c r="M419" s="23" t="n"/>
      <c r="N419" s="23" t="n"/>
      <c r="O419" s="20">
        <f>IF(OR(I419="",COUNT(J419:N419)=0),"",IF(SUM(J419:N419)=I419,"✓","⚠ "&amp;SUM(J419:N419)&amp;" statt "&amp;I419))</f>
        <v/>
      </c>
      <c r="P419" s="21" t="n"/>
      <c r="Q419" s="21" t="n"/>
      <c r="R419" s="21" t="n"/>
      <c r="S419" s="24" t="n"/>
      <c r="T419" s="24" t="n"/>
      <c r="V419">
        <f>IF(A419="","",MONTH(A419))</f>
        <v/>
      </c>
      <c r="W419">
        <f>N(W418)+IF(AND(C419&lt;&gt;"",T419&lt;&gt;""),IF(C419=WOCHE!$B$3,1,0),0)</f>
        <v/>
      </c>
      <c r="X419">
        <f>N(X418)+IF(AND(V419&lt;&gt;"",T419&lt;&gt;""),IF(V419=MONAT!$AZ$3,1,0),0)</f>
        <v/>
      </c>
    </row>
    <row r="420">
      <c r="A420" s="19" t="n"/>
      <c r="B420" s="20">
        <f>IF(A420="","",CHOOSE(WEEKDAY(A420,2),"Mo","Di","Mi","Do","Fr","Sa","So"))</f>
        <v/>
      </c>
      <c r="C420" s="20">
        <f>IF(A420="","",INT((A420-DATE(YEAR(A420-WEEKDAY(A420-1)+4),1,3)+WEEKDAY(DATE(YEAR(A420-WEEKDAY(A420-1)+4),1,3))+5)/7))</f>
        <v/>
      </c>
      <c r="D420" s="21" t="n"/>
      <c r="E420" s="22" t="n"/>
      <c r="F420" s="23" t="n"/>
      <c r="G420" s="23" t="n"/>
      <c r="H420" s="23" t="n"/>
      <c r="I420" s="20">
        <f>IF(COUNT(F420:H420)=0,"",SUM(F420:H420))</f>
        <v/>
      </c>
      <c r="J420" s="23" t="n"/>
      <c r="K420" s="23" t="n"/>
      <c r="L420" s="23" t="n"/>
      <c r="M420" s="23" t="n"/>
      <c r="N420" s="23" t="n"/>
      <c r="O420" s="20">
        <f>IF(OR(I420="",COUNT(J420:N420)=0),"",IF(SUM(J420:N420)=I420,"✓","⚠ "&amp;SUM(J420:N420)&amp;" statt "&amp;I420))</f>
        <v/>
      </c>
      <c r="P420" s="21" t="n"/>
      <c r="Q420" s="21" t="n"/>
      <c r="R420" s="21" t="n"/>
      <c r="S420" s="24" t="n"/>
      <c r="T420" s="24" t="n"/>
      <c r="V420">
        <f>IF(A420="","",MONTH(A420))</f>
        <v/>
      </c>
      <c r="W420">
        <f>N(W419)+IF(AND(C420&lt;&gt;"",T420&lt;&gt;""),IF(C420=WOCHE!$B$3,1,0),0)</f>
        <v/>
      </c>
      <c r="X420">
        <f>N(X419)+IF(AND(V420&lt;&gt;"",T420&lt;&gt;""),IF(V420=MONAT!$AZ$3,1,0),0)</f>
        <v/>
      </c>
    </row>
    <row r="421">
      <c r="A421" s="19" t="n"/>
      <c r="B421" s="20">
        <f>IF(A421="","",CHOOSE(WEEKDAY(A421,2),"Mo","Di","Mi","Do","Fr","Sa","So"))</f>
        <v/>
      </c>
      <c r="C421" s="20">
        <f>IF(A421="","",INT((A421-DATE(YEAR(A421-WEEKDAY(A421-1)+4),1,3)+WEEKDAY(DATE(YEAR(A421-WEEKDAY(A421-1)+4),1,3))+5)/7))</f>
        <v/>
      </c>
      <c r="D421" s="21" t="n"/>
      <c r="E421" s="22" t="n"/>
      <c r="F421" s="23" t="n"/>
      <c r="G421" s="23" t="n"/>
      <c r="H421" s="23" t="n"/>
      <c r="I421" s="20">
        <f>IF(COUNT(F421:H421)=0,"",SUM(F421:H421))</f>
        <v/>
      </c>
      <c r="J421" s="23" t="n"/>
      <c r="K421" s="23" t="n"/>
      <c r="L421" s="23" t="n"/>
      <c r="M421" s="23" t="n"/>
      <c r="N421" s="23" t="n"/>
      <c r="O421" s="20">
        <f>IF(OR(I421="",COUNT(J421:N421)=0),"",IF(SUM(J421:N421)=I421,"✓","⚠ "&amp;SUM(J421:N421)&amp;" statt "&amp;I421))</f>
        <v/>
      </c>
      <c r="P421" s="21" t="n"/>
      <c r="Q421" s="21" t="n"/>
      <c r="R421" s="21" t="n"/>
      <c r="S421" s="24" t="n"/>
      <c r="T421" s="24" t="n"/>
      <c r="V421">
        <f>IF(A421="","",MONTH(A421))</f>
        <v/>
      </c>
      <c r="W421">
        <f>N(W420)+IF(AND(C421&lt;&gt;"",T421&lt;&gt;""),IF(C421=WOCHE!$B$3,1,0),0)</f>
        <v/>
      </c>
      <c r="X421">
        <f>N(X420)+IF(AND(V421&lt;&gt;"",T421&lt;&gt;""),IF(V421=MONAT!$AZ$3,1,0),0)</f>
        <v/>
      </c>
    </row>
    <row r="422">
      <c r="A422" s="19" t="n"/>
      <c r="B422" s="20">
        <f>IF(A422="","",CHOOSE(WEEKDAY(A422,2),"Mo","Di","Mi","Do","Fr","Sa","So"))</f>
        <v/>
      </c>
      <c r="C422" s="20">
        <f>IF(A422="","",INT((A422-DATE(YEAR(A422-WEEKDAY(A422-1)+4),1,3)+WEEKDAY(DATE(YEAR(A422-WEEKDAY(A422-1)+4),1,3))+5)/7))</f>
        <v/>
      </c>
      <c r="D422" s="21" t="n"/>
      <c r="E422" s="22" t="n"/>
      <c r="F422" s="23" t="n"/>
      <c r="G422" s="23" t="n"/>
      <c r="H422" s="23" t="n"/>
      <c r="I422" s="20">
        <f>IF(COUNT(F422:H422)=0,"",SUM(F422:H422))</f>
        <v/>
      </c>
      <c r="J422" s="23" t="n"/>
      <c r="K422" s="23" t="n"/>
      <c r="L422" s="23" t="n"/>
      <c r="M422" s="23" t="n"/>
      <c r="N422" s="23" t="n"/>
      <c r="O422" s="20">
        <f>IF(OR(I422="",COUNT(J422:N422)=0),"",IF(SUM(J422:N422)=I422,"✓","⚠ "&amp;SUM(J422:N422)&amp;" statt "&amp;I422))</f>
        <v/>
      </c>
      <c r="P422" s="21" t="n"/>
      <c r="Q422" s="21" t="n"/>
      <c r="R422" s="21" t="n"/>
      <c r="S422" s="24" t="n"/>
      <c r="T422" s="24" t="n"/>
      <c r="V422">
        <f>IF(A422="","",MONTH(A422))</f>
        <v/>
      </c>
      <c r="W422">
        <f>N(W421)+IF(AND(C422&lt;&gt;"",T422&lt;&gt;""),IF(C422=WOCHE!$B$3,1,0),0)</f>
        <v/>
      </c>
      <c r="X422">
        <f>N(X421)+IF(AND(V422&lt;&gt;"",T422&lt;&gt;""),IF(V422=MONAT!$AZ$3,1,0),0)</f>
        <v/>
      </c>
    </row>
    <row r="423">
      <c r="A423" s="19" t="n"/>
      <c r="B423" s="20">
        <f>IF(A423="","",CHOOSE(WEEKDAY(A423,2),"Mo","Di","Mi","Do","Fr","Sa","So"))</f>
        <v/>
      </c>
      <c r="C423" s="20">
        <f>IF(A423="","",INT((A423-DATE(YEAR(A423-WEEKDAY(A423-1)+4),1,3)+WEEKDAY(DATE(YEAR(A423-WEEKDAY(A423-1)+4),1,3))+5)/7))</f>
        <v/>
      </c>
      <c r="D423" s="21" t="n"/>
      <c r="E423" s="22" t="n"/>
      <c r="F423" s="23" t="n"/>
      <c r="G423" s="23" t="n"/>
      <c r="H423" s="23" t="n"/>
      <c r="I423" s="20">
        <f>IF(COUNT(F423:H423)=0,"",SUM(F423:H423))</f>
        <v/>
      </c>
      <c r="J423" s="23" t="n"/>
      <c r="K423" s="23" t="n"/>
      <c r="L423" s="23" t="n"/>
      <c r="M423" s="23" t="n"/>
      <c r="N423" s="23" t="n"/>
      <c r="O423" s="20">
        <f>IF(OR(I423="",COUNT(J423:N423)=0),"",IF(SUM(J423:N423)=I423,"✓","⚠ "&amp;SUM(J423:N423)&amp;" statt "&amp;I423))</f>
        <v/>
      </c>
      <c r="P423" s="21" t="n"/>
      <c r="Q423" s="21" t="n"/>
      <c r="R423" s="21" t="n"/>
      <c r="S423" s="24" t="n"/>
      <c r="T423" s="24" t="n"/>
      <c r="V423">
        <f>IF(A423="","",MONTH(A423))</f>
        <v/>
      </c>
      <c r="W423">
        <f>N(W422)+IF(AND(C423&lt;&gt;"",T423&lt;&gt;""),IF(C423=WOCHE!$B$3,1,0),0)</f>
        <v/>
      </c>
      <c r="X423">
        <f>N(X422)+IF(AND(V423&lt;&gt;"",T423&lt;&gt;""),IF(V423=MONAT!$AZ$3,1,0),0)</f>
        <v/>
      </c>
    </row>
    <row r="424">
      <c r="A424" s="19" t="n"/>
      <c r="B424" s="20">
        <f>IF(A424="","",CHOOSE(WEEKDAY(A424,2),"Mo","Di","Mi","Do","Fr","Sa","So"))</f>
        <v/>
      </c>
      <c r="C424" s="20">
        <f>IF(A424="","",INT((A424-DATE(YEAR(A424-WEEKDAY(A424-1)+4),1,3)+WEEKDAY(DATE(YEAR(A424-WEEKDAY(A424-1)+4),1,3))+5)/7))</f>
        <v/>
      </c>
      <c r="D424" s="21" t="n"/>
      <c r="E424" s="22" t="n"/>
      <c r="F424" s="23" t="n"/>
      <c r="G424" s="23" t="n"/>
      <c r="H424" s="23" t="n"/>
      <c r="I424" s="20">
        <f>IF(COUNT(F424:H424)=0,"",SUM(F424:H424))</f>
        <v/>
      </c>
      <c r="J424" s="23" t="n"/>
      <c r="K424" s="23" t="n"/>
      <c r="L424" s="23" t="n"/>
      <c r="M424" s="23" t="n"/>
      <c r="N424" s="23" t="n"/>
      <c r="O424" s="20">
        <f>IF(OR(I424="",COUNT(J424:N424)=0),"",IF(SUM(J424:N424)=I424,"✓","⚠ "&amp;SUM(J424:N424)&amp;" statt "&amp;I424))</f>
        <v/>
      </c>
      <c r="P424" s="21" t="n"/>
      <c r="Q424" s="21" t="n"/>
      <c r="R424" s="21" t="n"/>
      <c r="S424" s="24" t="n"/>
      <c r="T424" s="24" t="n"/>
      <c r="V424">
        <f>IF(A424="","",MONTH(A424))</f>
        <v/>
      </c>
      <c r="W424">
        <f>N(W423)+IF(AND(C424&lt;&gt;"",T424&lt;&gt;""),IF(C424=WOCHE!$B$3,1,0),0)</f>
        <v/>
      </c>
      <c r="X424">
        <f>N(X423)+IF(AND(V424&lt;&gt;"",T424&lt;&gt;""),IF(V424=MONAT!$AZ$3,1,0),0)</f>
        <v/>
      </c>
    </row>
    <row r="425">
      <c r="A425" s="19" t="n"/>
      <c r="B425" s="20">
        <f>IF(A425="","",CHOOSE(WEEKDAY(A425,2),"Mo","Di","Mi","Do","Fr","Sa","So"))</f>
        <v/>
      </c>
      <c r="C425" s="20">
        <f>IF(A425="","",INT((A425-DATE(YEAR(A425-WEEKDAY(A425-1)+4),1,3)+WEEKDAY(DATE(YEAR(A425-WEEKDAY(A425-1)+4),1,3))+5)/7))</f>
        <v/>
      </c>
      <c r="D425" s="21" t="n"/>
      <c r="E425" s="22" t="n"/>
      <c r="F425" s="23" t="n"/>
      <c r="G425" s="23" t="n"/>
      <c r="H425" s="23" t="n"/>
      <c r="I425" s="20">
        <f>IF(COUNT(F425:H425)=0,"",SUM(F425:H425))</f>
        <v/>
      </c>
      <c r="J425" s="23" t="n"/>
      <c r="K425" s="23" t="n"/>
      <c r="L425" s="23" t="n"/>
      <c r="M425" s="23" t="n"/>
      <c r="N425" s="23" t="n"/>
      <c r="O425" s="20">
        <f>IF(OR(I425="",COUNT(J425:N425)=0),"",IF(SUM(J425:N425)=I425,"✓","⚠ "&amp;SUM(J425:N425)&amp;" statt "&amp;I425))</f>
        <v/>
      </c>
      <c r="P425" s="21" t="n"/>
      <c r="Q425" s="21" t="n"/>
      <c r="R425" s="21" t="n"/>
      <c r="S425" s="24" t="n"/>
      <c r="T425" s="24" t="n"/>
      <c r="V425">
        <f>IF(A425="","",MONTH(A425))</f>
        <v/>
      </c>
      <c r="W425">
        <f>N(W424)+IF(AND(C425&lt;&gt;"",T425&lt;&gt;""),IF(C425=WOCHE!$B$3,1,0),0)</f>
        <v/>
      </c>
      <c r="X425">
        <f>N(X424)+IF(AND(V425&lt;&gt;"",T425&lt;&gt;""),IF(V425=MONAT!$AZ$3,1,0),0)</f>
        <v/>
      </c>
    </row>
    <row r="426">
      <c r="A426" s="19" t="n"/>
      <c r="B426" s="20">
        <f>IF(A426="","",CHOOSE(WEEKDAY(A426,2),"Mo","Di","Mi","Do","Fr","Sa","So"))</f>
        <v/>
      </c>
      <c r="C426" s="20">
        <f>IF(A426="","",INT((A426-DATE(YEAR(A426-WEEKDAY(A426-1)+4),1,3)+WEEKDAY(DATE(YEAR(A426-WEEKDAY(A426-1)+4),1,3))+5)/7))</f>
        <v/>
      </c>
      <c r="D426" s="21" t="n"/>
      <c r="E426" s="22" t="n"/>
      <c r="F426" s="23" t="n"/>
      <c r="G426" s="23" t="n"/>
      <c r="H426" s="23" t="n"/>
      <c r="I426" s="20">
        <f>IF(COUNT(F426:H426)=0,"",SUM(F426:H426))</f>
        <v/>
      </c>
      <c r="J426" s="23" t="n"/>
      <c r="K426" s="23" t="n"/>
      <c r="L426" s="23" t="n"/>
      <c r="M426" s="23" t="n"/>
      <c r="N426" s="23" t="n"/>
      <c r="O426" s="20">
        <f>IF(OR(I426="",COUNT(J426:N426)=0),"",IF(SUM(J426:N426)=I426,"✓","⚠ "&amp;SUM(J426:N426)&amp;" statt "&amp;I426))</f>
        <v/>
      </c>
      <c r="P426" s="21" t="n"/>
      <c r="Q426" s="21" t="n"/>
      <c r="R426" s="21" t="n"/>
      <c r="S426" s="24" t="n"/>
      <c r="T426" s="24" t="n"/>
      <c r="V426">
        <f>IF(A426="","",MONTH(A426))</f>
        <v/>
      </c>
      <c r="W426">
        <f>N(W425)+IF(AND(C426&lt;&gt;"",T426&lt;&gt;""),IF(C426=WOCHE!$B$3,1,0),0)</f>
        <v/>
      </c>
      <c r="X426">
        <f>N(X425)+IF(AND(V426&lt;&gt;"",T426&lt;&gt;""),IF(V426=MONAT!$AZ$3,1,0),0)</f>
        <v/>
      </c>
    </row>
    <row r="427">
      <c r="A427" s="19" t="n"/>
      <c r="B427" s="20">
        <f>IF(A427="","",CHOOSE(WEEKDAY(A427,2),"Mo","Di","Mi","Do","Fr","Sa","So"))</f>
        <v/>
      </c>
      <c r="C427" s="20">
        <f>IF(A427="","",INT((A427-DATE(YEAR(A427-WEEKDAY(A427-1)+4),1,3)+WEEKDAY(DATE(YEAR(A427-WEEKDAY(A427-1)+4),1,3))+5)/7))</f>
        <v/>
      </c>
      <c r="D427" s="21" t="n"/>
      <c r="E427" s="22" t="n"/>
      <c r="F427" s="23" t="n"/>
      <c r="G427" s="23" t="n"/>
      <c r="H427" s="23" t="n"/>
      <c r="I427" s="20">
        <f>IF(COUNT(F427:H427)=0,"",SUM(F427:H427))</f>
        <v/>
      </c>
      <c r="J427" s="23" t="n"/>
      <c r="K427" s="23" t="n"/>
      <c r="L427" s="23" t="n"/>
      <c r="M427" s="23" t="n"/>
      <c r="N427" s="23" t="n"/>
      <c r="O427" s="20">
        <f>IF(OR(I427="",COUNT(J427:N427)=0),"",IF(SUM(J427:N427)=I427,"✓","⚠ "&amp;SUM(J427:N427)&amp;" statt "&amp;I427))</f>
        <v/>
      </c>
      <c r="P427" s="21" t="n"/>
      <c r="Q427" s="21" t="n"/>
      <c r="R427" s="21" t="n"/>
      <c r="S427" s="24" t="n"/>
      <c r="T427" s="24" t="n"/>
      <c r="V427">
        <f>IF(A427="","",MONTH(A427))</f>
        <v/>
      </c>
      <c r="W427">
        <f>N(W426)+IF(AND(C427&lt;&gt;"",T427&lt;&gt;""),IF(C427=WOCHE!$B$3,1,0),0)</f>
        <v/>
      </c>
      <c r="X427">
        <f>N(X426)+IF(AND(V427&lt;&gt;"",T427&lt;&gt;""),IF(V427=MONAT!$AZ$3,1,0),0)</f>
        <v/>
      </c>
    </row>
    <row r="428">
      <c r="A428" s="19" t="n"/>
      <c r="B428" s="20">
        <f>IF(A428="","",CHOOSE(WEEKDAY(A428,2),"Mo","Di","Mi","Do","Fr","Sa","So"))</f>
        <v/>
      </c>
      <c r="C428" s="20">
        <f>IF(A428="","",INT((A428-DATE(YEAR(A428-WEEKDAY(A428-1)+4),1,3)+WEEKDAY(DATE(YEAR(A428-WEEKDAY(A428-1)+4),1,3))+5)/7))</f>
        <v/>
      </c>
      <c r="D428" s="21" t="n"/>
      <c r="E428" s="22" t="n"/>
      <c r="F428" s="23" t="n"/>
      <c r="G428" s="23" t="n"/>
      <c r="H428" s="23" t="n"/>
      <c r="I428" s="20">
        <f>IF(COUNT(F428:H428)=0,"",SUM(F428:H428))</f>
        <v/>
      </c>
      <c r="J428" s="23" t="n"/>
      <c r="K428" s="23" t="n"/>
      <c r="L428" s="23" t="n"/>
      <c r="M428" s="23" t="n"/>
      <c r="N428" s="23" t="n"/>
      <c r="O428" s="20">
        <f>IF(OR(I428="",COUNT(J428:N428)=0),"",IF(SUM(J428:N428)=I428,"✓","⚠ "&amp;SUM(J428:N428)&amp;" statt "&amp;I428))</f>
        <v/>
      </c>
      <c r="P428" s="21" t="n"/>
      <c r="Q428" s="21" t="n"/>
      <c r="R428" s="21" t="n"/>
      <c r="S428" s="24" t="n"/>
      <c r="T428" s="24" t="n"/>
      <c r="V428">
        <f>IF(A428="","",MONTH(A428))</f>
        <v/>
      </c>
      <c r="W428">
        <f>N(W427)+IF(AND(C428&lt;&gt;"",T428&lt;&gt;""),IF(C428=WOCHE!$B$3,1,0),0)</f>
        <v/>
      </c>
      <c r="X428">
        <f>N(X427)+IF(AND(V428&lt;&gt;"",T428&lt;&gt;""),IF(V428=MONAT!$AZ$3,1,0),0)</f>
        <v/>
      </c>
    </row>
    <row r="429">
      <c r="A429" s="19" t="n"/>
      <c r="B429" s="20">
        <f>IF(A429="","",CHOOSE(WEEKDAY(A429,2),"Mo","Di","Mi","Do","Fr","Sa","So"))</f>
        <v/>
      </c>
      <c r="C429" s="20">
        <f>IF(A429="","",INT((A429-DATE(YEAR(A429-WEEKDAY(A429-1)+4),1,3)+WEEKDAY(DATE(YEAR(A429-WEEKDAY(A429-1)+4),1,3))+5)/7))</f>
        <v/>
      </c>
      <c r="D429" s="21" t="n"/>
      <c r="E429" s="22" t="n"/>
      <c r="F429" s="23" t="n"/>
      <c r="G429" s="23" t="n"/>
      <c r="H429" s="23" t="n"/>
      <c r="I429" s="20">
        <f>IF(COUNT(F429:H429)=0,"",SUM(F429:H429))</f>
        <v/>
      </c>
      <c r="J429" s="23" t="n"/>
      <c r="K429" s="23" t="n"/>
      <c r="L429" s="23" t="n"/>
      <c r="M429" s="23" t="n"/>
      <c r="N429" s="23" t="n"/>
      <c r="O429" s="20">
        <f>IF(OR(I429="",COUNT(J429:N429)=0),"",IF(SUM(J429:N429)=I429,"✓","⚠ "&amp;SUM(J429:N429)&amp;" statt "&amp;I429))</f>
        <v/>
      </c>
      <c r="P429" s="21" t="n"/>
      <c r="Q429" s="21" t="n"/>
      <c r="R429" s="21" t="n"/>
      <c r="S429" s="24" t="n"/>
      <c r="T429" s="24" t="n"/>
      <c r="V429">
        <f>IF(A429="","",MONTH(A429))</f>
        <v/>
      </c>
      <c r="W429">
        <f>N(W428)+IF(AND(C429&lt;&gt;"",T429&lt;&gt;""),IF(C429=WOCHE!$B$3,1,0),0)</f>
        <v/>
      </c>
      <c r="X429">
        <f>N(X428)+IF(AND(V429&lt;&gt;"",T429&lt;&gt;""),IF(V429=MONAT!$AZ$3,1,0),0)</f>
        <v/>
      </c>
    </row>
    <row r="430">
      <c r="A430" s="19" t="n"/>
      <c r="B430" s="20">
        <f>IF(A430="","",CHOOSE(WEEKDAY(A430,2),"Mo","Di","Mi","Do","Fr","Sa","So"))</f>
        <v/>
      </c>
      <c r="C430" s="20">
        <f>IF(A430="","",INT((A430-DATE(YEAR(A430-WEEKDAY(A430-1)+4),1,3)+WEEKDAY(DATE(YEAR(A430-WEEKDAY(A430-1)+4),1,3))+5)/7))</f>
        <v/>
      </c>
      <c r="D430" s="21" t="n"/>
      <c r="E430" s="22" t="n"/>
      <c r="F430" s="23" t="n"/>
      <c r="G430" s="23" t="n"/>
      <c r="H430" s="23" t="n"/>
      <c r="I430" s="20">
        <f>IF(COUNT(F430:H430)=0,"",SUM(F430:H430))</f>
        <v/>
      </c>
      <c r="J430" s="23" t="n"/>
      <c r="K430" s="23" t="n"/>
      <c r="L430" s="23" t="n"/>
      <c r="M430" s="23" t="n"/>
      <c r="N430" s="23" t="n"/>
      <c r="O430" s="20">
        <f>IF(OR(I430="",COUNT(J430:N430)=0),"",IF(SUM(J430:N430)=I430,"✓","⚠ "&amp;SUM(J430:N430)&amp;" statt "&amp;I430))</f>
        <v/>
      </c>
      <c r="P430" s="21" t="n"/>
      <c r="Q430" s="21" t="n"/>
      <c r="R430" s="21" t="n"/>
      <c r="S430" s="24" t="n"/>
      <c r="T430" s="24" t="n"/>
      <c r="V430">
        <f>IF(A430="","",MONTH(A430))</f>
        <v/>
      </c>
      <c r="W430">
        <f>N(W429)+IF(AND(C430&lt;&gt;"",T430&lt;&gt;""),IF(C430=WOCHE!$B$3,1,0),0)</f>
        <v/>
      </c>
      <c r="X430">
        <f>N(X429)+IF(AND(V430&lt;&gt;"",T430&lt;&gt;""),IF(V430=MONAT!$AZ$3,1,0),0)</f>
        <v/>
      </c>
    </row>
    <row r="431">
      <c r="A431" s="19" t="n"/>
      <c r="B431" s="20">
        <f>IF(A431="","",CHOOSE(WEEKDAY(A431,2),"Mo","Di","Mi","Do","Fr","Sa","So"))</f>
        <v/>
      </c>
      <c r="C431" s="20">
        <f>IF(A431="","",INT((A431-DATE(YEAR(A431-WEEKDAY(A431-1)+4),1,3)+WEEKDAY(DATE(YEAR(A431-WEEKDAY(A431-1)+4),1,3))+5)/7))</f>
        <v/>
      </c>
      <c r="D431" s="21" t="n"/>
      <c r="E431" s="22" t="n"/>
      <c r="F431" s="23" t="n"/>
      <c r="G431" s="23" t="n"/>
      <c r="H431" s="23" t="n"/>
      <c r="I431" s="20">
        <f>IF(COUNT(F431:H431)=0,"",SUM(F431:H431))</f>
        <v/>
      </c>
      <c r="J431" s="23" t="n"/>
      <c r="K431" s="23" t="n"/>
      <c r="L431" s="23" t="n"/>
      <c r="M431" s="23" t="n"/>
      <c r="N431" s="23" t="n"/>
      <c r="O431" s="20">
        <f>IF(OR(I431="",COUNT(J431:N431)=0),"",IF(SUM(J431:N431)=I431,"✓","⚠ "&amp;SUM(J431:N431)&amp;" statt "&amp;I431))</f>
        <v/>
      </c>
      <c r="P431" s="21" t="n"/>
      <c r="Q431" s="21" t="n"/>
      <c r="R431" s="21" t="n"/>
      <c r="S431" s="24" t="n"/>
      <c r="T431" s="24" t="n"/>
      <c r="V431">
        <f>IF(A431="","",MONTH(A431))</f>
        <v/>
      </c>
      <c r="W431">
        <f>N(W430)+IF(AND(C431&lt;&gt;"",T431&lt;&gt;""),IF(C431=WOCHE!$B$3,1,0),0)</f>
        <v/>
      </c>
      <c r="X431">
        <f>N(X430)+IF(AND(V431&lt;&gt;"",T431&lt;&gt;""),IF(V431=MONAT!$AZ$3,1,0),0)</f>
        <v/>
      </c>
    </row>
    <row r="432">
      <c r="A432" s="19" t="n"/>
      <c r="B432" s="20">
        <f>IF(A432="","",CHOOSE(WEEKDAY(A432,2),"Mo","Di","Mi","Do","Fr","Sa","So"))</f>
        <v/>
      </c>
      <c r="C432" s="20">
        <f>IF(A432="","",INT((A432-DATE(YEAR(A432-WEEKDAY(A432-1)+4),1,3)+WEEKDAY(DATE(YEAR(A432-WEEKDAY(A432-1)+4),1,3))+5)/7))</f>
        <v/>
      </c>
      <c r="D432" s="21" t="n"/>
      <c r="E432" s="22" t="n"/>
      <c r="F432" s="23" t="n"/>
      <c r="G432" s="23" t="n"/>
      <c r="H432" s="23" t="n"/>
      <c r="I432" s="20">
        <f>IF(COUNT(F432:H432)=0,"",SUM(F432:H432))</f>
        <v/>
      </c>
      <c r="J432" s="23" t="n"/>
      <c r="K432" s="23" t="n"/>
      <c r="L432" s="23" t="n"/>
      <c r="M432" s="23" t="n"/>
      <c r="N432" s="23" t="n"/>
      <c r="O432" s="20">
        <f>IF(OR(I432="",COUNT(J432:N432)=0),"",IF(SUM(J432:N432)=I432,"✓","⚠ "&amp;SUM(J432:N432)&amp;" statt "&amp;I432))</f>
        <v/>
      </c>
      <c r="P432" s="21" t="n"/>
      <c r="Q432" s="21" t="n"/>
      <c r="R432" s="21" t="n"/>
      <c r="S432" s="24" t="n"/>
      <c r="T432" s="24" t="n"/>
      <c r="V432">
        <f>IF(A432="","",MONTH(A432))</f>
        <v/>
      </c>
      <c r="W432">
        <f>N(W431)+IF(AND(C432&lt;&gt;"",T432&lt;&gt;""),IF(C432=WOCHE!$B$3,1,0),0)</f>
        <v/>
      </c>
      <c r="X432">
        <f>N(X431)+IF(AND(V432&lt;&gt;"",T432&lt;&gt;""),IF(V432=MONAT!$AZ$3,1,0),0)</f>
        <v/>
      </c>
    </row>
    <row r="433">
      <c r="A433" s="19" t="n"/>
      <c r="B433" s="20">
        <f>IF(A433="","",CHOOSE(WEEKDAY(A433,2),"Mo","Di","Mi","Do","Fr","Sa","So"))</f>
        <v/>
      </c>
      <c r="C433" s="20">
        <f>IF(A433="","",INT((A433-DATE(YEAR(A433-WEEKDAY(A433-1)+4),1,3)+WEEKDAY(DATE(YEAR(A433-WEEKDAY(A433-1)+4),1,3))+5)/7))</f>
        <v/>
      </c>
      <c r="D433" s="21" t="n"/>
      <c r="E433" s="22" t="n"/>
      <c r="F433" s="23" t="n"/>
      <c r="G433" s="23" t="n"/>
      <c r="H433" s="23" t="n"/>
      <c r="I433" s="20">
        <f>IF(COUNT(F433:H433)=0,"",SUM(F433:H433))</f>
        <v/>
      </c>
      <c r="J433" s="23" t="n"/>
      <c r="K433" s="23" t="n"/>
      <c r="L433" s="23" t="n"/>
      <c r="M433" s="23" t="n"/>
      <c r="N433" s="23" t="n"/>
      <c r="O433" s="20">
        <f>IF(OR(I433="",COUNT(J433:N433)=0),"",IF(SUM(J433:N433)=I433,"✓","⚠ "&amp;SUM(J433:N433)&amp;" statt "&amp;I433))</f>
        <v/>
      </c>
      <c r="P433" s="21" t="n"/>
      <c r="Q433" s="21" t="n"/>
      <c r="R433" s="21" t="n"/>
      <c r="S433" s="24" t="n"/>
      <c r="T433" s="24" t="n"/>
      <c r="V433">
        <f>IF(A433="","",MONTH(A433))</f>
        <v/>
      </c>
      <c r="W433">
        <f>N(W432)+IF(AND(C433&lt;&gt;"",T433&lt;&gt;""),IF(C433=WOCHE!$B$3,1,0),0)</f>
        <v/>
      </c>
      <c r="X433">
        <f>N(X432)+IF(AND(V433&lt;&gt;"",T433&lt;&gt;""),IF(V433=MONAT!$AZ$3,1,0),0)</f>
        <v/>
      </c>
    </row>
    <row r="434">
      <c r="A434" s="19" t="n"/>
      <c r="B434" s="20">
        <f>IF(A434="","",CHOOSE(WEEKDAY(A434,2),"Mo","Di","Mi","Do","Fr","Sa","So"))</f>
        <v/>
      </c>
      <c r="C434" s="20">
        <f>IF(A434="","",INT((A434-DATE(YEAR(A434-WEEKDAY(A434-1)+4),1,3)+WEEKDAY(DATE(YEAR(A434-WEEKDAY(A434-1)+4),1,3))+5)/7))</f>
        <v/>
      </c>
      <c r="D434" s="21" t="n"/>
      <c r="E434" s="22" t="n"/>
      <c r="F434" s="23" t="n"/>
      <c r="G434" s="23" t="n"/>
      <c r="H434" s="23" t="n"/>
      <c r="I434" s="20">
        <f>IF(COUNT(F434:H434)=0,"",SUM(F434:H434))</f>
        <v/>
      </c>
      <c r="J434" s="23" t="n"/>
      <c r="K434" s="23" t="n"/>
      <c r="L434" s="23" t="n"/>
      <c r="M434" s="23" t="n"/>
      <c r="N434" s="23" t="n"/>
      <c r="O434" s="20">
        <f>IF(OR(I434="",COUNT(J434:N434)=0),"",IF(SUM(J434:N434)=I434,"✓","⚠ "&amp;SUM(J434:N434)&amp;" statt "&amp;I434))</f>
        <v/>
      </c>
      <c r="P434" s="21" t="n"/>
      <c r="Q434" s="21" t="n"/>
      <c r="R434" s="21" t="n"/>
      <c r="S434" s="24" t="n"/>
      <c r="T434" s="24" t="n"/>
      <c r="V434">
        <f>IF(A434="","",MONTH(A434))</f>
        <v/>
      </c>
      <c r="W434">
        <f>N(W433)+IF(AND(C434&lt;&gt;"",T434&lt;&gt;""),IF(C434=WOCHE!$B$3,1,0),0)</f>
        <v/>
      </c>
      <c r="X434">
        <f>N(X433)+IF(AND(V434&lt;&gt;"",T434&lt;&gt;""),IF(V434=MONAT!$AZ$3,1,0),0)</f>
        <v/>
      </c>
    </row>
    <row r="435">
      <c r="A435" s="19" t="n"/>
      <c r="B435" s="20">
        <f>IF(A435="","",CHOOSE(WEEKDAY(A435,2),"Mo","Di","Mi","Do","Fr","Sa","So"))</f>
        <v/>
      </c>
      <c r="C435" s="20">
        <f>IF(A435="","",INT((A435-DATE(YEAR(A435-WEEKDAY(A435-1)+4),1,3)+WEEKDAY(DATE(YEAR(A435-WEEKDAY(A435-1)+4),1,3))+5)/7))</f>
        <v/>
      </c>
      <c r="D435" s="21" t="n"/>
      <c r="E435" s="22" t="n"/>
      <c r="F435" s="23" t="n"/>
      <c r="G435" s="23" t="n"/>
      <c r="H435" s="23" t="n"/>
      <c r="I435" s="20">
        <f>IF(COUNT(F435:H435)=0,"",SUM(F435:H435))</f>
        <v/>
      </c>
      <c r="J435" s="23" t="n"/>
      <c r="K435" s="23" t="n"/>
      <c r="L435" s="23" t="n"/>
      <c r="M435" s="23" t="n"/>
      <c r="N435" s="23" t="n"/>
      <c r="O435" s="20">
        <f>IF(OR(I435="",COUNT(J435:N435)=0),"",IF(SUM(J435:N435)=I435,"✓","⚠ "&amp;SUM(J435:N435)&amp;" statt "&amp;I435))</f>
        <v/>
      </c>
      <c r="P435" s="21" t="n"/>
      <c r="Q435" s="21" t="n"/>
      <c r="R435" s="21" t="n"/>
      <c r="S435" s="24" t="n"/>
      <c r="T435" s="24" t="n"/>
      <c r="V435">
        <f>IF(A435="","",MONTH(A435))</f>
        <v/>
      </c>
      <c r="W435">
        <f>N(W434)+IF(AND(C435&lt;&gt;"",T435&lt;&gt;""),IF(C435=WOCHE!$B$3,1,0),0)</f>
        <v/>
      </c>
      <c r="X435">
        <f>N(X434)+IF(AND(V435&lt;&gt;"",T435&lt;&gt;""),IF(V435=MONAT!$AZ$3,1,0),0)</f>
        <v/>
      </c>
    </row>
    <row r="436">
      <c r="A436" s="19" t="n"/>
      <c r="B436" s="20">
        <f>IF(A436="","",CHOOSE(WEEKDAY(A436,2),"Mo","Di","Mi","Do","Fr","Sa","So"))</f>
        <v/>
      </c>
      <c r="C436" s="20">
        <f>IF(A436="","",INT((A436-DATE(YEAR(A436-WEEKDAY(A436-1)+4),1,3)+WEEKDAY(DATE(YEAR(A436-WEEKDAY(A436-1)+4),1,3))+5)/7))</f>
        <v/>
      </c>
      <c r="D436" s="21" t="n"/>
      <c r="E436" s="22" t="n"/>
      <c r="F436" s="23" t="n"/>
      <c r="G436" s="23" t="n"/>
      <c r="H436" s="23" t="n"/>
      <c r="I436" s="20">
        <f>IF(COUNT(F436:H436)=0,"",SUM(F436:H436))</f>
        <v/>
      </c>
      <c r="J436" s="23" t="n"/>
      <c r="K436" s="23" t="n"/>
      <c r="L436" s="23" t="n"/>
      <c r="M436" s="23" t="n"/>
      <c r="N436" s="23" t="n"/>
      <c r="O436" s="20">
        <f>IF(OR(I436="",COUNT(J436:N436)=0),"",IF(SUM(J436:N436)=I436,"✓","⚠ "&amp;SUM(J436:N436)&amp;" statt "&amp;I436))</f>
        <v/>
      </c>
      <c r="P436" s="21" t="n"/>
      <c r="Q436" s="21" t="n"/>
      <c r="R436" s="21" t="n"/>
      <c r="S436" s="24" t="n"/>
      <c r="T436" s="24" t="n"/>
      <c r="V436">
        <f>IF(A436="","",MONTH(A436))</f>
        <v/>
      </c>
      <c r="W436">
        <f>N(W435)+IF(AND(C436&lt;&gt;"",T436&lt;&gt;""),IF(C436=WOCHE!$B$3,1,0),0)</f>
        <v/>
      </c>
      <c r="X436">
        <f>N(X435)+IF(AND(V436&lt;&gt;"",T436&lt;&gt;""),IF(V436=MONAT!$AZ$3,1,0),0)</f>
        <v/>
      </c>
    </row>
    <row r="437">
      <c r="A437" s="19" t="n"/>
      <c r="B437" s="20">
        <f>IF(A437="","",CHOOSE(WEEKDAY(A437,2),"Mo","Di","Mi","Do","Fr","Sa","So"))</f>
        <v/>
      </c>
      <c r="C437" s="20">
        <f>IF(A437="","",INT((A437-DATE(YEAR(A437-WEEKDAY(A437-1)+4),1,3)+WEEKDAY(DATE(YEAR(A437-WEEKDAY(A437-1)+4),1,3))+5)/7))</f>
        <v/>
      </c>
      <c r="D437" s="21" t="n"/>
      <c r="E437" s="22" t="n"/>
      <c r="F437" s="23" t="n"/>
      <c r="G437" s="23" t="n"/>
      <c r="H437" s="23" t="n"/>
      <c r="I437" s="20">
        <f>IF(COUNT(F437:H437)=0,"",SUM(F437:H437))</f>
        <v/>
      </c>
      <c r="J437" s="23" t="n"/>
      <c r="K437" s="23" t="n"/>
      <c r="L437" s="23" t="n"/>
      <c r="M437" s="23" t="n"/>
      <c r="N437" s="23" t="n"/>
      <c r="O437" s="20">
        <f>IF(OR(I437="",COUNT(J437:N437)=0),"",IF(SUM(J437:N437)=I437,"✓","⚠ "&amp;SUM(J437:N437)&amp;" statt "&amp;I437))</f>
        <v/>
      </c>
      <c r="P437" s="21" t="n"/>
      <c r="Q437" s="21" t="n"/>
      <c r="R437" s="21" t="n"/>
      <c r="S437" s="24" t="n"/>
      <c r="T437" s="24" t="n"/>
      <c r="V437">
        <f>IF(A437="","",MONTH(A437))</f>
        <v/>
      </c>
      <c r="W437">
        <f>N(W436)+IF(AND(C437&lt;&gt;"",T437&lt;&gt;""),IF(C437=WOCHE!$B$3,1,0),0)</f>
        <v/>
      </c>
      <c r="X437">
        <f>N(X436)+IF(AND(V437&lt;&gt;"",T437&lt;&gt;""),IF(V437=MONAT!$AZ$3,1,0),0)</f>
        <v/>
      </c>
    </row>
    <row r="438">
      <c r="A438" s="19" t="n"/>
      <c r="B438" s="20">
        <f>IF(A438="","",CHOOSE(WEEKDAY(A438,2),"Mo","Di","Mi","Do","Fr","Sa","So"))</f>
        <v/>
      </c>
      <c r="C438" s="20">
        <f>IF(A438="","",INT((A438-DATE(YEAR(A438-WEEKDAY(A438-1)+4),1,3)+WEEKDAY(DATE(YEAR(A438-WEEKDAY(A438-1)+4),1,3))+5)/7))</f>
        <v/>
      </c>
      <c r="D438" s="21" t="n"/>
      <c r="E438" s="22" t="n"/>
      <c r="F438" s="23" t="n"/>
      <c r="G438" s="23" t="n"/>
      <c r="H438" s="23" t="n"/>
      <c r="I438" s="20">
        <f>IF(COUNT(F438:H438)=0,"",SUM(F438:H438))</f>
        <v/>
      </c>
      <c r="J438" s="23" t="n"/>
      <c r="K438" s="23" t="n"/>
      <c r="L438" s="23" t="n"/>
      <c r="M438" s="23" t="n"/>
      <c r="N438" s="23" t="n"/>
      <c r="O438" s="20">
        <f>IF(OR(I438="",COUNT(J438:N438)=0),"",IF(SUM(J438:N438)=I438,"✓","⚠ "&amp;SUM(J438:N438)&amp;" statt "&amp;I438))</f>
        <v/>
      </c>
      <c r="P438" s="21" t="n"/>
      <c r="Q438" s="21" t="n"/>
      <c r="R438" s="21" t="n"/>
      <c r="S438" s="24" t="n"/>
      <c r="T438" s="24" t="n"/>
      <c r="V438">
        <f>IF(A438="","",MONTH(A438))</f>
        <v/>
      </c>
      <c r="W438">
        <f>N(W437)+IF(AND(C438&lt;&gt;"",T438&lt;&gt;""),IF(C438=WOCHE!$B$3,1,0),0)</f>
        <v/>
      </c>
      <c r="X438">
        <f>N(X437)+IF(AND(V438&lt;&gt;"",T438&lt;&gt;""),IF(V438=MONAT!$AZ$3,1,0),0)</f>
        <v/>
      </c>
    </row>
    <row r="439">
      <c r="A439" s="19" t="n"/>
      <c r="B439" s="20">
        <f>IF(A439="","",CHOOSE(WEEKDAY(A439,2),"Mo","Di","Mi","Do","Fr","Sa","So"))</f>
        <v/>
      </c>
      <c r="C439" s="20">
        <f>IF(A439="","",INT((A439-DATE(YEAR(A439-WEEKDAY(A439-1)+4),1,3)+WEEKDAY(DATE(YEAR(A439-WEEKDAY(A439-1)+4),1,3))+5)/7))</f>
        <v/>
      </c>
      <c r="D439" s="21" t="n"/>
      <c r="E439" s="22" t="n"/>
      <c r="F439" s="23" t="n"/>
      <c r="G439" s="23" t="n"/>
      <c r="H439" s="23" t="n"/>
      <c r="I439" s="20">
        <f>IF(COUNT(F439:H439)=0,"",SUM(F439:H439))</f>
        <v/>
      </c>
      <c r="J439" s="23" t="n"/>
      <c r="K439" s="23" t="n"/>
      <c r="L439" s="23" t="n"/>
      <c r="M439" s="23" t="n"/>
      <c r="N439" s="23" t="n"/>
      <c r="O439" s="20">
        <f>IF(OR(I439="",COUNT(J439:N439)=0),"",IF(SUM(J439:N439)=I439,"✓","⚠ "&amp;SUM(J439:N439)&amp;" statt "&amp;I439))</f>
        <v/>
      </c>
      <c r="P439" s="21" t="n"/>
      <c r="Q439" s="21" t="n"/>
      <c r="R439" s="21" t="n"/>
      <c r="S439" s="24" t="n"/>
      <c r="T439" s="24" t="n"/>
      <c r="V439">
        <f>IF(A439="","",MONTH(A439))</f>
        <v/>
      </c>
      <c r="W439">
        <f>N(W438)+IF(AND(C439&lt;&gt;"",T439&lt;&gt;""),IF(C439=WOCHE!$B$3,1,0),0)</f>
        <v/>
      </c>
      <c r="X439">
        <f>N(X438)+IF(AND(V439&lt;&gt;"",T439&lt;&gt;""),IF(V439=MONAT!$AZ$3,1,0),0)</f>
        <v/>
      </c>
    </row>
    <row r="440">
      <c r="A440" s="19" t="n"/>
      <c r="B440" s="20">
        <f>IF(A440="","",CHOOSE(WEEKDAY(A440,2),"Mo","Di","Mi","Do","Fr","Sa","So"))</f>
        <v/>
      </c>
      <c r="C440" s="20">
        <f>IF(A440="","",INT((A440-DATE(YEAR(A440-WEEKDAY(A440-1)+4),1,3)+WEEKDAY(DATE(YEAR(A440-WEEKDAY(A440-1)+4),1,3))+5)/7))</f>
        <v/>
      </c>
      <c r="D440" s="21" t="n"/>
      <c r="E440" s="22" t="n"/>
      <c r="F440" s="23" t="n"/>
      <c r="G440" s="23" t="n"/>
      <c r="H440" s="23" t="n"/>
      <c r="I440" s="20">
        <f>IF(COUNT(F440:H440)=0,"",SUM(F440:H440))</f>
        <v/>
      </c>
      <c r="J440" s="23" t="n"/>
      <c r="K440" s="23" t="n"/>
      <c r="L440" s="23" t="n"/>
      <c r="M440" s="23" t="n"/>
      <c r="N440" s="23" t="n"/>
      <c r="O440" s="20">
        <f>IF(OR(I440="",COUNT(J440:N440)=0),"",IF(SUM(J440:N440)=I440,"✓","⚠ "&amp;SUM(J440:N440)&amp;" statt "&amp;I440))</f>
        <v/>
      </c>
      <c r="P440" s="21" t="n"/>
      <c r="Q440" s="21" t="n"/>
      <c r="R440" s="21" t="n"/>
      <c r="S440" s="24" t="n"/>
      <c r="T440" s="24" t="n"/>
      <c r="V440">
        <f>IF(A440="","",MONTH(A440))</f>
        <v/>
      </c>
      <c r="W440">
        <f>N(W439)+IF(AND(C440&lt;&gt;"",T440&lt;&gt;""),IF(C440=WOCHE!$B$3,1,0),0)</f>
        <v/>
      </c>
      <c r="X440">
        <f>N(X439)+IF(AND(V440&lt;&gt;"",T440&lt;&gt;""),IF(V440=MONAT!$AZ$3,1,0),0)</f>
        <v/>
      </c>
    </row>
    <row r="441">
      <c r="A441" s="19" t="n"/>
      <c r="B441" s="20">
        <f>IF(A441="","",CHOOSE(WEEKDAY(A441,2),"Mo","Di","Mi","Do","Fr","Sa","So"))</f>
        <v/>
      </c>
      <c r="C441" s="20">
        <f>IF(A441="","",INT((A441-DATE(YEAR(A441-WEEKDAY(A441-1)+4),1,3)+WEEKDAY(DATE(YEAR(A441-WEEKDAY(A441-1)+4),1,3))+5)/7))</f>
        <v/>
      </c>
      <c r="D441" s="21" t="n"/>
      <c r="E441" s="22" t="n"/>
      <c r="F441" s="23" t="n"/>
      <c r="G441" s="23" t="n"/>
      <c r="H441" s="23" t="n"/>
      <c r="I441" s="20">
        <f>IF(COUNT(F441:H441)=0,"",SUM(F441:H441))</f>
        <v/>
      </c>
      <c r="J441" s="23" t="n"/>
      <c r="K441" s="23" t="n"/>
      <c r="L441" s="23" t="n"/>
      <c r="M441" s="23" t="n"/>
      <c r="N441" s="23" t="n"/>
      <c r="O441" s="20">
        <f>IF(OR(I441="",COUNT(J441:N441)=0),"",IF(SUM(J441:N441)=I441,"✓","⚠ "&amp;SUM(J441:N441)&amp;" statt "&amp;I441))</f>
        <v/>
      </c>
      <c r="P441" s="21" t="n"/>
      <c r="Q441" s="21" t="n"/>
      <c r="R441" s="21" t="n"/>
      <c r="S441" s="24" t="n"/>
      <c r="T441" s="24" t="n"/>
      <c r="V441">
        <f>IF(A441="","",MONTH(A441))</f>
        <v/>
      </c>
      <c r="W441">
        <f>N(W440)+IF(AND(C441&lt;&gt;"",T441&lt;&gt;""),IF(C441=WOCHE!$B$3,1,0),0)</f>
        <v/>
      </c>
      <c r="X441">
        <f>N(X440)+IF(AND(V441&lt;&gt;"",T441&lt;&gt;""),IF(V441=MONAT!$AZ$3,1,0),0)</f>
        <v/>
      </c>
    </row>
    <row r="442">
      <c r="A442" s="19" t="n"/>
      <c r="B442" s="20">
        <f>IF(A442="","",CHOOSE(WEEKDAY(A442,2),"Mo","Di","Mi","Do","Fr","Sa","So"))</f>
        <v/>
      </c>
      <c r="C442" s="20">
        <f>IF(A442="","",INT((A442-DATE(YEAR(A442-WEEKDAY(A442-1)+4),1,3)+WEEKDAY(DATE(YEAR(A442-WEEKDAY(A442-1)+4),1,3))+5)/7))</f>
        <v/>
      </c>
      <c r="D442" s="21" t="n"/>
      <c r="E442" s="22" t="n"/>
      <c r="F442" s="23" t="n"/>
      <c r="G442" s="23" t="n"/>
      <c r="H442" s="23" t="n"/>
      <c r="I442" s="20">
        <f>IF(COUNT(F442:H442)=0,"",SUM(F442:H442))</f>
        <v/>
      </c>
      <c r="J442" s="23" t="n"/>
      <c r="K442" s="23" t="n"/>
      <c r="L442" s="23" t="n"/>
      <c r="M442" s="23" t="n"/>
      <c r="N442" s="23" t="n"/>
      <c r="O442" s="20">
        <f>IF(OR(I442="",COUNT(J442:N442)=0),"",IF(SUM(J442:N442)=I442,"✓","⚠ "&amp;SUM(J442:N442)&amp;" statt "&amp;I442))</f>
        <v/>
      </c>
      <c r="P442" s="21" t="n"/>
      <c r="Q442" s="21" t="n"/>
      <c r="R442" s="21" t="n"/>
      <c r="S442" s="24" t="n"/>
      <c r="T442" s="24" t="n"/>
      <c r="V442">
        <f>IF(A442="","",MONTH(A442))</f>
        <v/>
      </c>
      <c r="W442">
        <f>N(W441)+IF(AND(C442&lt;&gt;"",T442&lt;&gt;""),IF(C442=WOCHE!$B$3,1,0),0)</f>
        <v/>
      </c>
      <c r="X442">
        <f>N(X441)+IF(AND(V442&lt;&gt;"",T442&lt;&gt;""),IF(V442=MONAT!$AZ$3,1,0),0)</f>
        <v/>
      </c>
    </row>
    <row r="443">
      <c r="A443" s="19" t="n"/>
      <c r="B443" s="20">
        <f>IF(A443="","",CHOOSE(WEEKDAY(A443,2),"Mo","Di","Mi","Do","Fr","Sa","So"))</f>
        <v/>
      </c>
      <c r="C443" s="20">
        <f>IF(A443="","",INT((A443-DATE(YEAR(A443-WEEKDAY(A443-1)+4),1,3)+WEEKDAY(DATE(YEAR(A443-WEEKDAY(A443-1)+4),1,3))+5)/7))</f>
        <v/>
      </c>
      <c r="D443" s="21" t="n"/>
      <c r="E443" s="22" t="n"/>
      <c r="F443" s="23" t="n"/>
      <c r="G443" s="23" t="n"/>
      <c r="H443" s="23" t="n"/>
      <c r="I443" s="20">
        <f>IF(COUNT(F443:H443)=0,"",SUM(F443:H443))</f>
        <v/>
      </c>
      <c r="J443" s="23" t="n"/>
      <c r="K443" s="23" t="n"/>
      <c r="L443" s="23" t="n"/>
      <c r="M443" s="23" t="n"/>
      <c r="N443" s="23" t="n"/>
      <c r="O443" s="20">
        <f>IF(OR(I443="",COUNT(J443:N443)=0),"",IF(SUM(J443:N443)=I443,"✓","⚠ "&amp;SUM(J443:N443)&amp;" statt "&amp;I443))</f>
        <v/>
      </c>
      <c r="P443" s="21" t="n"/>
      <c r="Q443" s="21" t="n"/>
      <c r="R443" s="21" t="n"/>
      <c r="S443" s="24" t="n"/>
      <c r="T443" s="24" t="n"/>
      <c r="V443">
        <f>IF(A443="","",MONTH(A443))</f>
        <v/>
      </c>
      <c r="W443">
        <f>N(W442)+IF(AND(C443&lt;&gt;"",T443&lt;&gt;""),IF(C443=WOCHE!$B$3,1,0),0)</f>
        <v/>
      </c>
      <c r="X443">
        <f>N(X442)+IF(AND(V443&lt;&gt;"",T443&lt;&gt;""),IF(V443=MONAT!$AZ$3,1,0),0)</f>
        <v/>
      </c>
    </row>
    <row r="444">
      <c r="A444" s="19" t="n"/>
      <c r="B444" s="20">
        <f>IF(A444="","",CHOOSE(WEEKDAY(A444,2),"Mo","Di","Mi","Do","Fr","Sa","So"))</f>
        <v/>
      </c>
      <c r="C444" s="20">
        <f>IF(A444="","",INT((A444-DATE(YEAR(A444-WEEKDAY(A444-1)+4),1,3)+WEEKDAY(DATE(YEAR(A444-WEEKDAY(A444-1)+4),1,3))+5)/7))</f>
        <v/>
      </c>
      <c r="D444" s="21" t="n"/>
      <c r="E444" s="22" t="n"/>
      <c r="F444" s="23" t="n"/>
      <c r="G444" s="23" t="n"/>
      <c r="H444" s="23" t="n"/>
      <c r="I444" s="20">
        <f>IF(COUNT(F444:H444)=0,"",SUM(F444:H444))</f>
        <v/>
      </c>
      <c r="J444" s="23" t="n"/>
      <c r="K444" s="23" t="n"/>
      <c r="L444" s="23" t="n"/>
      <c r="M444" s="23" t="n"/>
      <c r="N444" s="23" t="n"/>
      <c r="O444" s="20">
        <f>IF(OR(I444="",COUNT(J444:N444)=0),"",IF(SUM(J444:N444)=I444,"✓","⚠ "&amp;SUM(J444:N444)&amp;" statt "&amp;I444))</f>
        <v/>
      </c>
      <c r="P444" s="21" t="n"/>
      <c r="Q444" s="21" t="n"/>
      <c r="R444" s="21" t="n"/>
      <c r="S444" s="24" t="n"/>
      <c r="T444" s="24" t="n"/>
      <c r="V444">
        <f>IF(A444="","",MONTH(A444))</f>
        <v/>
      </c>
      <c r="W444">
        <f>N(W443)+IF(AND(C444&lt;&gt;"",T444&lt;&gt;""),IF(C444=WOCHE!$B$3,1,0),0)</f>
        <v/>
      </c>
      <c r="X444">
        <f>N(X443)+IF(AND(V444&lt;&gt;"",T444&lt;&gt;""),IF(V444=MONAT!$AZ$3,1,0),0)</f>
        <v/>
      </c>
    </row>
    <row r="445">
      <c r="A445" s="19" t="n"/>
      <c r="B445" s="20">
        <f>IF(A445="","",CHOOSE(WEEKDAY(A445,2),"Mo","Di","Mi","Do","Fr","Sa","So"))</f>
        <v/>
      </c>
      <c r="C445" s="20">
        <f>IF(A445="","",INT((A445-DATE(YEAR(A445-WEEKDAY(A445-1)+4),1,3)+WEEKDAY(DATE(YEAR(A445-WEEKDAY(A445-1)+4),1,3))+5)/7))</f>
        <v/>
      </c>
      <c r="D445" s="21" t="n"/>
      <c r="E445" s="22" t="n"/>
      <c r="F445" s="23" t="n"/>
      <c r="G445" s="23" t="n"/>
      <c r="H445" s="23" t="n"/>
      <c r="I445" s="20">
        <f>IF(COUNT(F445:H445)=0,"",SUM(F445:H445))</f>
        <v/>
      </c>
      <c r="J445" s="23" t="n"/>
      <c r="K445" s="23" t="n"/>
      <c r="L445" s="23" t="n"/>
      <c r="M445" s="23" t="n"/>
      <c r="N445" s="23" t="n"/>
      <c r="O445" s="20">
        <f>IF(OR(I445="",COUNT(J445:N445)=0),"",IF(SUM(J445:N445)=I445,"✓","⚠ "&amp;SUM(J445:N445)&amp;" statt "&amp;I445))</f>
        <v/>
      </c>
      <c r="P445" s="21" t="n"/>
      <c r="Q445" s="21" t="n"/>
      <c r="R445" s="21" t="n"/>
      <c r="S445" s="24" t="n"/>
      <c r="T445" s="24" t="n"/>
      <c r="V445">
        <f>IF(A445="","",MONTH(A445))</f>
        <v/>
      </c>
      <c r="W445">
        <f>N(W444)+IF(AND(C445&lt;&gt;"",T445&lt;&gt;""),IF(C445=WOCHE!$B$3,1,0),0)</f>
        <v/>
      </c>
      <c r="X445">
        <f>N(X444)+IF(AND(V445&lt;&gt;"",T445&lt;&gt;""),IF(V445=MONAT!$AZ$3,1,0),0)</f>
        <v/>
      </c>
    </row>
    <row r="446">
      <c r="A446" s="19" t="n"/>
      <c r="B446" s="20">
        <f>IF(A446="","",CHOOSE(WEEKDAY(A446,2),"Mo","Di","Mi","Do","Fr","Sa","So"))</f>
        <v/>
      </c>
      <c r="C446" s="20">
        <f>IF(A446="","",INT((A446-DATE(YEAR(A446-WEEKDAY(A446-1)+4),1,3)+WEEKDAY(DATE(YEAR(A446-WEEKDAY(A446-1)+4),1,3))+5)/7))</f>
        <v/>
      </c>
      <c r="D446" s="21" t="n"/>
      <c r="E446" s="22" t="n"/>
      <c r="F446" s="23" t="n"/>
      <c r="G446" s="23" t="n"/>
      <c r="H446" s="23" t="n"/>
      <c r="I446" s="20">
        <f>IF(COUNT(F446:H446)=0,"",SUM(F446:H446))</f>
        <v/>
      </c>
      <c r="J446" s="23" t="n"/>
      <c r="K446" s="23" t="n"/>
      <c r="L446" s="23" t="n"/>
      <c r="M446" s="23" t="n"/>
      <c r="N446" s="23" t="n"/>
      <c r="O446" s="20">
        <f>IF(OR(I446="",COUNT(J446:N446)=0),"",IF(SUM(J446:N446)=I446,"✓","⚠ "&amp;SUM(J446:N446)&amp;" statt "&amp;I446))</f>
        <v/>
      </c>
      <c r="P446" s="21" t="n"/>
      <c r="Q446" s="21" t="n"/>
      <c r="R446" s="21" t="n"/>
      <c r="S446" s="24" t="n"/>
      <c r="T446" s="24" t="n"/>
      <c r="V446">
        <f>IF(A446="","",MONTH(A446))</f>
        <v/>
      </c>
      <c r="W446">
        <f>N(W445)+IF(AND(C446&lt;&gt;"",T446&lt;&gt;""),IF(C446=WOCHE!$B$3,1,0),0)</f>
        <v/>
      </c>
      <c r="X446">
        <f>N(X445)+IF(AND(V446&lt;&gt;"",T446&lt;&gt;""),IF(V446=MONAT!$AZ$3,1,0),0)</f>
        <v/>
      </c>
    </row>
    <row r="447">
      <c r="A447" s="19" t="n"/>
      <c r="B447" s="20">
        <f>IF(A447="","",CHOOSE(WEEKDAY(A447,2),"Mo","Di","Mi","Do","Fr","Sa","So"))</f>
        <v/>
      </c>
      <c r="C447" s="20">
        <f>IF(A447="","",INT((A447-DATE(YEAR(A447-WEEKDAY(A447-1)+4),1,3)+WEEKDAY(DATE(YEAR(A447-WEEKDAY(A447-1)+4),1,3))+5)/7))</f>
        <v/>
      </c>
      <c r="D447" s="21" t="n"/>
      <c r="E447" s="22" t="n"/>
      <c r="F447" s="23" t="n"/>
      <c r="G447" s="23" t="n"/>
      <c r="H447" s="23" t="n"/>
      <c r="I447" s="20">
        <f>IF(COUNT(F447:H447)=0,"",SUM(F447:H447))</f>
        <v/>
      </c>
      <c r="J447" s="23" t="n"/>
      <c r="K447" s="23" t="n"/>
      <c r="L447" s="23" t="n"/>
      <c r="M447" s="23" t="n"/>
      <c r="N447" s="23" t="n"/>
      <c r="O447" s="20">
        <f>IF(OR(I447="",COUNT(J447:N447)=0),"",IF(SUM(J447:N447)=I447,"✓","⚠ "&amp;SUM(J447:N447)&amp;" statt "&amp;I447))</f>
        <v/>
      </c>
      <c r="P447" s="21" t="n"/>
      <c r="Q447" s="21" t="n"/>
      <c r="R447" s="21" t="n"/>
      <c r="S447" s="24" t="n"/>
      <c r="T447" s="24" t="n"/>
      <c r="V447">
        <f>IF(A447="","",MONTH(A447))</f>
        <v/>
      </c>
      <c r="W447">
        <f>N(W446)+IF(AND(C447&lt;&gt;"",T447&lt;&gt;""),IF(C447=WOCHE!$B$3,1,0),0)</f>
        <v/>
      </c>
      <c r="X447">
        <f>N(X446)+IF(AND(V447&lt;&gt;"",T447&lt;&gt;""),IF(V447=MONAT!$AZ$3,1,0),0)</f>
        <v/>
      </c>
    </row>
    <row r="448">
      <c r="A448" s="19" t="n"/>
      <c r="B448" s="20">
        <f>IF(A448="","",CHOOSE(WEEKDAY(A448,2),"Mo","Di","Mi","Do","Fr","Sa","So"))</f>
        <v/>
      </c>
      <c r="C448" s="20">
        <f>IF(A448="","",INT((A448-DATE(YEAR(A448-WEEKDAY(A448-1)+4),1,3)+WEEKDAY(DATE(YEAR(A448-WEEKDAY(A448-1)+4),1,3))+5)/7))</f>
        <v/>
      </c>
      <c r="D448" s="21" t="n"/>
      <c r="E448" s="22" t="n"/>
      <c r="F448" s="23" t="n"/>
      <c r="G448" s="23" t="n"/>
      <c r="H448" s="23" t="n"/>
      <c r="I448" s="20">
        <f>IF(COUNT(F448:H448)=0,"",SUM(F448:H448))</f>
        <v/>
      </c>
      <c r="J448" s="23" t="n"/>
      <c r="K448" s="23" t="n"/>
      <c r="L448" s="23" t="n"/>
      <c r="M448" s="23" t="n"/>
      <c r="N448" s="23" t="n"/>
      <c r="O448" s="20">
        <f>IF(OR(I448="",COUNT(J448:N448)=0),"",IF(SUM(J448:N448)=I448,"✓","⚠ "&amp;SUM(J448:N448)&amp;" statt "&amp;I448))</f>
        <v/>
      </c>
      <c r="P448" s="21" t="n"/>
      <c r="Q448" s="21" t="n"/>
      <c r="R448" s="21" t="n"/>
      <c r="S448" s="24" t="n"/>
      <c r="T448" s="24" t="n"/>
      <c r="V448">
        <f>IF(A448="","",MONTH(A448))</f>
        <v/>
      </c>
      <c r="W448">
        <f>N(W447)+IF(AND(C448&lt;&gt;"",T448&lt;&gt;""),IF(C448=WOCHE!$B$3,1,0),0)</f>
        <v/>
      </c>
      <c r="X448">
        <f>N(X447)+IF(AND(V448&lt;&gt;"",T448&lt;&gt;""),IF(V448=MONAT!$AZ$3,1,0),0)</f>
        <v/>
      </c>
    </row>
    <row r="449">
      <c r="A449" s="19" t="n"/>
      <c r="B449" s="20">
        <f>IF(A449="","",CHOOSE(WEEKDAY(A449,2),"Mo","Di","Mi","Do","Fr","Sa","So"))</f>
        <v/>
      </c>
      <c r="C449" s="20">
        <f>IF(A449="","",INT((A449-DATE(YEAR(A449-WEEKDAY(A449-1)+4),1,3)+WEEKDAY(DATE(YEAR(A449-WEEKDAY(A449-1)+4),1,3))+5)/7))</f>
        <v/>
      </c>
      <c r="D449" s="21" t="n"/>
      <c r="E449" s="22" t="n"/>
      <c r="F449" s="23" t="n"/>
      <c r="G449" s="23" t="n"/>
      <c r="H449" s="23" t="n"/>
      <c r="I449" s="20">
        <f>IF(COUNT(F449:H449)=0,"",SUM(F449:H449))</f>
        <v/>
      </c>
      <c r="J449" s="23" t="n"/>
      <c r="K449" s="23" t="n"/>
      <c r="L449" s="23" t="n"/>
      <c r="M449" s="23" t="n"/>
      <c r="N449" s="23" t="n"/>
      <c r="O449" s="20">
        <f>IF(OR(I449="",COUNT(J449:N449)=0),"",IF(SUM(J449:N449)=I449,"✓","⚠ "&amp;SUM(J449:N449)&amp;" statt "&amp;I449))</f>
        <v/>
      </c>
      <c r="P449" s="21" t="n"/>
      <c r="Q449" s="21" t="n"/>
      <c r="R449" s="21" t="n"/>
      <c r="S449" s="24" t="n"/>
      <c r="T449" s="24" t="n"/>
      <c r="V449">
        <f>IF(A449="","",MONTH(A449))</f>
        <v/>
      </c>
      <c r="W449">
        <f>N(W448)+IF(AND(C449&lt;&gt;"",T449&lt;&gt;""),IF(C449=WOCHE!$B$3,1,0),0)</f>
        <v/>
      </c>
      <c r="X449">
        <f>N(X448)+IF(AND(V449&lt;&gt;"",T449&lt;&gt;""),IF(V449=MONAT!$AZ$3,1,0),0)</f>
        <v/>
      </c>
    </row>
    <row r="450">
      <c r="A450" s="19" t="n"/>
      <c r="B450" s="20">
        <f>IF(A450="","",CHOOSE(WEEKDAY(A450,2),"Mo","Di","Mi","Do","Fr","Sa","So"))</f>
        <v/>
      </c>
      <c r="C450" s="20">
        <f>IF(A450="","",INT((A450-DATE(YEAR(A450-WEEKDAY(A450-1)+4),1,3)+WEEKDAY(DATE(YEAR(A450-WEEKDAY(A450-1)+4),1,3))+5)/7))</f>
        <v/>
      </c>
      <c r="D450" s="21" t="n"/>
      <c r="E450" s="22" t="n"/>
      <c r="F450" s="23" t="n"/>
      <c r="G450" s="23" t="n"/>
      <c r="H450" s="23" t="n"/>
      <c r="I450" s="20">
        <f>IF(COUNT(F450:H450)=0,"",SUM(F450:H450))</f>
        <v/>
      </c>
      <c r="J450" s="23" t="n"/>
      <c r="K450" s="23" t="n"/>
      <c r="L450" s="23" t="n"/>
      <c r="M450" s="23" t="n"/>
      <c r="N450" s="23" t="n"/>
      <c r="O450" s="20">
        <f>IF(OR(I450="",COUNT(J450:N450)=0),"",IF(SUM(J450:N450)=I450,"✓","⚠ "&amp;SUM(J450:N450)&amp;" statt "&amp;I450))</f>
        <v/>
      </c>
      <c r="P450" s="21" t="n"/>
      <c r="Q450" s="21" t="n"/>
      <c r="R450" s="21" t="n"/>
      <c r="S450" s="24" t="n"/>
      <c r="T450" s="24" t="n"/>
      <c r="V450">
        <f>IF(A450="","",MONTH(A450))</f>
        <v/>
      </c>
      <c r="W450">
        <f>N(W449)+IF(AND(C450&lt;&gt;"",T450&lt;&gt;""),IF(C450=WOCHE!$B$3,1,0),0)</f>
        <v/>
      </c>
      <c r="X450">
        <f>N(X449)+IF(AND(V450&lt;&gt;"",T450&lt;&gt;""),IF(V450=MONAT!$AZ$3,1,0),0)</f>
        <v/>
      </c>
    </row>
    <row r="451">
      <c r="A451" s="19" t="n"/>
      <c r="B451" s="20">
        <f>IF(A451="","",CHOOSE(WEEKDAY(A451,2),"Mo","Di","Mi","Do","Fr","Sa","So"))</f>
        <v/>
      </c>
      <c r="C451" s="20">
        <f>IF(A451="","",INT((A451-DATE(YEAR(A451-WEEKDAY(A451-1)+4),1,3)+WEEKDAY(DATE(YEAR(A451-WEEKDAY(A451-1)+4),1,3))+5)/7))</f>
        <v/>
      </c>
      <c r="D451" s="21" t="n"/>
      <c r="E451" s="22" t="n"/>
      <c r="F451" s="23" t="n"/>
      <c r="G451" s="23" t="n"/>
      <c r="H451" s="23" t="n"/>
      <c r="I451" s="20">
        <f>IF(COUNT(F451:H451)=0,"",SUM(F451:H451))</f>
        <v/>
      </c>
      <c r="J451" s="23" t="n"/>
      <c r="K451" s="23" t="n"/>
      <c r="L451" s="23" t="n"/>
      <c r="M451" s="23" t="n"/>
      <c r="N451" s="23" t="n"/>
      <c r="O451" s="20">
        <f>IF(OR(I451="",COUNT(J451:N451)=0),"",IF(SUM(J451:N451)=I451,"✓","⚠ "&amp;SUM(J451:N451)&amp;" statt "&amp;I451))</f>
        <v/>
      </c>
      <c r="P451" s="21" t="n"/>
      <c r="Q451" s="21" t="n"/>
      <c r="R451" s="21" t="n"/>
      <c r="S451" s="24" t="n"/>
      <c r="T451" s="24" t="n"/>
      <c r="V451">
        <f>IF(A451="","",MONTH(A451))</f>
        <v/>
      </c>
      <c r="W451">
        <f>N(W450)+IF(AND(C451&lt;&gt;"",T451&lt;&gt;""),IF(C451=WOCHE!$B$3,1,0),0)</f>
        <v/>
      </c>
      <c r="X451">
        <f>N(X450)+IF(AND(V451&lt;&gt;"",T451&lt;&gt;""),IF(V451=MONAT!$AZ$3,1,0),0)</f>
        <v/>
      </c>
    </row>
    <row r="452">
      <c r="A452" s="19" t="n"/>
      <c r="B452" s="20">
        <f>IF(A452="","",CHOOSE(WEEKDAY(A452,2),"Mo","Di","Mi","Do","Fr","Sa","So"))</f>
        <v/>
      </c>
      <c r="C452" s="20">
        <f>IF(A452="","",INT((A452-DATE(YEAR(A452-WEEKDAY(A452-1)+4),1,3)+WEEKDAY(DATE(YEAR(A452-WEEKDAY(A452-1)+4),1,3))+5)/7))</f>
        <v/>
      </c>
      <c r="D452" s="21" t="n"/>
      <c r="E452" s="22" t="n"/>
      <c r="F452" s="23" t="n"/>
      <c r="G452" s="23" t="n"/>
      <c r="H452" s="23" t="n"/>
      <c r="I452" s="20">
        <f>IF(COUNT(F452:H452)=0,"",SUM(F452:H452))</f>
        <v/>
      </c>
      <c r="J452" s="23" t="n"/>
      <c r="K452" s="23" t="n"/>
      <c r="L452" s="23" t="n"/>
      <c r="M452" s="23" t="n"/>
      <c r="N452" s="23" t="n"/>
      <c r="O452" s="20">
        <f>IF(OR(I452="",COUNT(J452:N452)=0),"",IF(SUM(J452:N452)=I452,"✓","⚠ "&amp;SUM(J452:N452)&amp;" statt "&amp;I452))</f>
        <v/>
      </c>
      <c r="P452" s="21" t="n"/>
      <c r="Q452" s="21" t="n"/>
      <c r="R452" s="21" t="n"/>
      <c r="S452" s="24" t="n"/>
      <c r="T452" s="24" t="n"/>
      <c r="V452">
        <f>IF(A452="","",MONTH(A452))</f>
        <v/>
      </c>
      <c r="W452">
        <f>N(W451)+IF(AND(C452&lt;&gt;"",T452&lt;&gt;""),IF(C452=WOCHE!$B$3,1,0),0)</f>
        <v/>
      </c>
      <c r="X452">
        <f>N(X451)+IF(AND(V452&lt;&gt;"",T452&lt;&gt;""),IF(V452=MONAT!$AZ$3,1,0),0)</f>
        <v/>
      </c>
    </row>
    <row r="453">
      <c r="A453" s="19" t="n"/>
      <c r="B453" s="20">
        <f>IF(A453="","",CHOOSE(WEEKDAY(A453,2),"Mo","Di","Mi","Do","Fr","Sa","So"))</f>
        <v/>
      </c>
      <c r="C453" s="20">
        <f>IF(A453="","",INT((A453-DATE(YEAR(A453-WEEKDAY(A453-1)+4),1,3)+WEEKDAY(DATE(YEAR(A453-WEEKDAY(A453-1)+4),1,3))+5)/7))</f>
        <v/>
      </c>
      <c r="D453" s="21" t="n"/>
      <c r="E453" s="22" t="n"/>
      <c r="F453" s="23" t="n"/>
      <c r="G453" s="23" t="n"/>
      <c r="H453" s="23" t="n"/>
      <c r="I453" s="20">
        <f>IF(COUNT(F453:H453)=0,"",SUM(F453:H453))</f>
        <v/>
      </c>
      <c r="J453" s="23" t="n"/>
      <c r="K453" s="23" t="n"/>
      <c r="L453" s="23" t="n"/>
      <c r="M453" s="23" t="n"/>
      <c r="N453" s="23" t="n"/>
      <c r="O453" s="20">
        <f>IF(OR(I453="",COUNT(J453:N453)=0),"",IF(SUM(J453:N453)=I453,"✓","⚠ "&amp;SUM(J453:N453)&amp;" statt "&amp;I453))</f>
        <v/>
      </c>
      <c r="P453" s="21" t="n"/>
      <c r="Q453" s="21" t="n"/>
      <c r="R453" s="21" t="n"/>
      <c r="S453" s="24" t="n"/>
      <c r="T453" s="24" t="n"/>
      <c r="V453">
        <f>IF(A453="","",MONTH(A453))</f>
        <v/>
      </c>
      <c r="W453">
        <f>N(W452)+IF(AND(C453&lt;&gt;"",T453&lt;&gt;""),IF(C453=WOCHE!$B$3,1,0),0)</f>
        <v/>
      </c>
      <c r="X453">
        <f>N(X452)+IF(AND(V453&lt;&gt;"",T453&lt;&gt;""),IF(V453=MONAT!$AZ$3,1,0),0)</f>
        <v/>
      </c>
    </row>
    <row r="454">
      <c r="A454" s="19" t="n"/>
      <c r="B454" s="20">
        <f>IF(A454="","",CHOOSE(WEEKDAY(A454,2),"Mo","Di","Mi","Do","Fr","Sa","So"))</f>
        <v/>
      </c>
      <c r="C454" s="20">
        <f>IF(A454="","",INT((A454-DATE(YEAR(A454-WEEKDAY(A454-1)+4),1,3)+WEEKDAY(DATE(YEAR(A454-WEEKDAY(A454-1)+4),1,3))+5)/7))</f>
        <v/>
      </c>
      <c r="D454" s="21" t="n"/>
      <c r="E454" s="22" t="n"/>
      <c r="F454" s="23" t="n"/>
      <c r="G454" s="23" t="n"/>
      <c r="H454" s="23" t="n"/>
      <c r="I454" s="20">
        <f>IF(COUNT(F454:H454)=0,"",SUM(F454:H454))</f>
        <v/>
      </c>
      <c r="J454" s="23" t="n"/>
      <c r="K454" s="23" t="n"/>
      <c r="L454" s="23" t="n"/>
      <c r="M454" s="23" t="n"/>
      <c r="N454" s="23" t="n"/>
      <c r="O454" s="20">
        <f>IF(OR(I454="",COUNT(J454:N454)=0),"",IF(SUM(J454:N454)=I454,"✓","⚠ "&amp;SUM(J454:N454)&amp;" statt "&amp;I454))</f>
        <v/>
      </c>
      <c r="P454" s="21" t="n"/>
      <c r="Q454" s="21" t="n"/>
      <c r="R454" s="21" t="n"/>
      <c r="S454" s="24" t="n"/>
      <c r="T454" s="24" t="n"/>
      <c r="V454">
        <f>IF(A454="","",MONTH(A454))</f>
        <v/>
      </c>
      <c r="W454">
        <f>N(W453)+IF(AND(C454&lt;&gt;"",T454&lt;&gt;""),IF(C454=WOCHE!$B$3,1,0),0)</f>
        <v/>
      </c>
      <c r="X454">
        <f>N(X453)+IF(AND(V454&lt;&gt;"",T454&lt;&gt;""),IF(V454=MONAT!$AZ$3,1,0),0)</f>
        <v/>
      </c>
    </row>
    <row r="455">
      <c r="A455" s="19" t="n"/>
      <c r="B455" s="20">
        <f>IF(A455="","",CHOOSE(WEEKDAY(A455,2),"Mo","Di","Mi","Do","Fr","Sa","So"))</f>
        <v/>
      </c>
      <c r="C455" s="20">
        <f>IF(A455="","",INT((A455-DATE(YEAR(A455-WEEKDAY(A455-1)+4),1,3)+WEEKDAY(DATE(YEAR(A455-WEEKDAY(A455-1)+4),1,3))+5)/7))</f>
        <v/>
      </c>
      <c r="D455" s="21" t="n"/>
      <c r="E455" s="22" t="n"/>
      <c r="F455" s="23" t="n"/>
      <c r="G455" s="23" t="n"/>
      <c r="H455" s="23" t="n"/>
      <c r="I455" s="20">
        <f>IF(COUNT(F455:H455)=0,"",SUM(F455:H455))</f>
        <v/>
      </c>
      <c r="J455" s="23" t="n"/>
      <c r="K455" s="23" t="n"/>
      <c r="L455" s="23" t="n"/>
      <c r="M455" s="23" t="n"/>
      <c r="N455" s="23" t="n"/>
      <c r="O455" s="20">
        <f>IF(OR(I455="",COUNT(J455:N455)=0),"",IF(SUM(J455:N455)=I455,"✓","⚠ "&amp;SUM(J455:N455)&amp;" statt "&amp;I455))</f>
        <v/>
      </c>
      <c r="P455" s="21" t="n"/>
      <c r="Q455" s="21" t="n"/>
      <c r="R455" s="21" t="n"/>
      <c r="S455" s="24" t="n"/>
      <c r="T455" s="24" t="n"/>
      <c r="V455">
        <f>IF(A455="","",MONTH(A455))</f>
        <v/>
      </c>
      <c r="W455">
        <f>N(W454)+IF(AND(C455&lt;&gt;"",T455&lt;&gt;""),IF(C455=WOCHE!$B$3,1,0),0)</f>
        <v/>
      </c>
      <c r="X455">
        <f>N(X454)+IF(AND(V455&lt;&gt;"",T455&lt;&gt;""),IF(V455=MONAT!$AZ$3,1,0),0)</f>
        <v/>
      </c>
    </row>
    <row r="456">
      <c r="A456" s="19" t="n"/>
      <c r="B456" s="20">
        <f>IF(A456="","",CHOOSE(WEEKDAY(A456,2),"Mo","Di","Mi","Do","Fr","Sa","So"))</f>
        <v/>
      </c>
      <c r="C456" s="20">
        <f>IF(A456="","",INT((A456-DATE(YEAR(A456-WEEKDAY(A456-1)+4),1,3)+WEEKDAY(DATE(YEAR(A456-WEEKDAY(A456-1)+4),1,3))+5)/7))</f>
        <v/>
      </c>
      <c r="D456" s="21" t="n"/>
      <c r="E456" s="22" t="n"/>
      <c r="F456" s="23" t="n"/>
      <c r="G456" s="23" t="n"/>
      <c r="H456" s="23" t="n"/>
      <c r="I456" s="20">
        <f>IF(COUNT(F456:H456)=0,"",SUM(F456:H456))</f>
        <v/>
      </c>
      <c r="J456" s="23" t="n"/>
      <c r="K456" s="23" t="n"/>
      <c r="L456" s="23" t="n"/>
      <c r="M456" s="23" t="n"/>
      <c r="N456" s="23" t="n"/>
      <c r="O456" s="20">
        <f>IF(OR(I456="",COUNT(J456:N456)=0),"",IF(SUM(J456:N456)=I456,"✓","⚠ "&amp;SUM(J456:N456)&amp;" statt "&amp;I456))</f>
        <v/>
      </c>
      <c r="P456" s="21" t="n"/>
      <c r="Q456" s="21" t="n"/>
      <c r="R456" s="21" t="n"/>
      <c r="S456" s="24" t="n"/>
      <c r="T456" s="24" t="n"/>
      <c r="V456">
        <f>IF(A456="","",MONTH(A456))</f>
        <v/>
      </c>
      <c r="W456">
        <f>N(W455)+IF(AND(C456&lt;&gt;"",T456&lt;&gt;""),IF(C456=WOCHE!$B$3,1,0),0)</f>
        <v/>
      </c>
      <c r="X456">
        <f>N(X455)+IF(AND(V456&lt;&gt;"",T456&lt;&gt;""),IF(V456=MONAT!$AZ$3,1,0),0)</f>
        <v/>
      </c>
    </row>
    <row r="457">
      <c r="A457" s="19" t="n"/>
      <c r="B457" s="20">
        <f>IF(A457="","",CHOOSE(WEEKDAY(A457,2),"Mo","Di","Mi","Do","Fr","Sa","So"))</f>
        <v/>
      </c>
      <c r="C457" s="20">
        <f>IF(A457="","",INT((A457-DATE(YEAR(A457-WEEKDAY(A457-1)+4),1,3)+WEEKDAY(DATE(YEAR(A457-WEEKDAY(A457-1)+4),1,3))+5)/7))</f>
        <v/>
      </c>
      <c r="D457" s="21" t="n"/>
      <c r="E457" s="22" t="n"/>
      <c r="F457" s="23" t="n"/>
      <c r="G457" s="23" t="n"/>
      <c r="H457" s="23" t="n"/>
      <c r="I457" s="20">
        <f>IF(COUNT(F457:H457)=0,"",SUM(F457:H457))</f>
        <v/>
      </c>
      <c r="J457" s="23" t="n"/>
      <c r="K457" s="23" t="n"/>
      <c r="L457" s="23" t="n"/>
      <c r="M457" s="23" t="n"/>
      <c r="N457" s="23" t="n"/>
      <c r="O457" s="20">
        <f>IF(OR(I457="",COUNT(J457:N457)=0),"",IF(SUM(J457:N457)=I457,"✓","⚠ "&amp;SUM(J457:N457)&amp;" statt "&amp;I457))</f>
        <v/>
      </c>
      <c r="P457" s="21" t="n"/>
      <c r="Q457" s="21" t="n"/>
      <c r="R457" s="21" t="n"/>
      <c r="S457" s="24" t="n"/>
      <c r="T457" s="24" t="n"/>
      <c r="V457">
        <f>IF(A457="","",MONTH(A457))</f>
        <v/>
      </c>
      <c r="W457">
        <f>N(W456)+IF(AND(C457&lt;&gt;"",T457&lt;&gt;""),IF(C457=WOCHE!$B$3,1,0),0)</f>
        <v/>
      </c>
      <c r="X457">
        <f>N(X456)+IF(AND(V457&lt;&gt;"",T457&lt;&gt;""),IF(V457=MONAT!$AZ$3,1,0),0)</f>
        <v/>
      </c>
    </row>
    <row r="458">
      <c r="A458" s="19" t="n"/>
      <c r="B458" s="20">
        <f>IF(A458="","",CHOOSE(WEEKDAY(A458,2),"Mo","Di","Mi","Do","Fr","Sa","So"))</f>
        <v/>
      </c>
      <c r="C458" s="20">
        <f>IF(A458="","",INT((A458-DATE(YEAR(A458-WEEKDAY(A458-1)+4),1,3)+WEEKDAY(DATE(YEAR(A458-WEEKDAY(A458-1)+4),1,3))+5)/7))</f>
        <v/>
      </c>
      <c r="D458" s="21" t="n"/>
      <c r="E458" s="22" t="n"/>
      <c r="F458" s="23" t="n"/>
      <c r="G458" s="23" t="n"/>
      <c r="H458" s="23" t="n"/>
      <c r="I458" s="20">
        <f>IF(COUNT(F458:H458)=0,"",SUM(F458:H458))</f>
        <v/>
      </c>
      <c r="J458" s="23" t="n"/>
      <c r="K458" s="23" t="n"/>
      <c r="L458" s="23" t="n"/>
      <c r="M458" s="23" t="n"/>
      <c r="N458" s="23" t="n"/>
      <c r="O458" s="20">
        <f>IF(OR(I458="",COUNT(J458:N458)=0),"",IF(SUM(J458:N458)=I458,"✓","⚠ "&amp;SUM(J458:N458)&amp;" statt "&amp;I458))</f>
        <v/>
      </c>
      <c r="P458" s="21" t="n"/>
      <c r="Q458" s="21" t="n"/>
      <c r="R458" s="21" t="n"/>
      <c r="S458" s="24" t="n"/>
      <c r="T458" s="24" t="n"/>
      <c r="V458">
        <f>IF(A458="","",MONTH(A458))</f>
        <v/>
      </c>
      <c r="W458">
        <f>N(W457)+IF(AND(C458&lt;&gt;"",T458&lt;&gt;""),IF(C458=WOCHE!$B$3,1,0),0)</f>
        <v/>
      </c>
      <c r="X458">
        <f>N(X457)+IF(AND(V458&lt;&gt;"",T458&lt;&gt;""),IF(V458=MONAT!$AZ$3,1,0),0)</f>
        <v/>
      </c>
    </row>
    <row r="459">
      <c r="A459" s="19" t="n"/>
      <c r="B459" s="20">
        <f>IF(A459="","",CHOOSE(WEEKDAY(A459,2),"Mo","Di","Mi","Do","Fr","Sa","So"))</f>
        <v/>
      </c>
      <c r="C459" s="20">
        <f>IF(A459="","",INT((A459-DATE(YEAR(A459-WEEKDAY(A459-1)+4),1,3)+WEEKDAY(DATE(YEAR(A459-WEEKDAY(A459-1)+4),1,3))+5)/7))</f>
        <v/>
      </c>
      <c r="D459" s="21" t="n"/>
      <c r="E459" s="22" t="n"/>
      <c r="F459" s="23" t="n"/>
      <c r="G459" s="23" t="n"/>
      <c r="H459" s="23" t="n"/>
      <c r="I459" s="20">
        <f>IF(COUNT(F459:H459)=0,"",SUM(F459:H459))</f>
        <v/>
      </c>
      <c r="J459" s="23" t="n"/>
      <c r="K459" s="23" t="n"/>
      <c r="L459" s="23" t="n"/>
      <c r="M459" s="23" t="n"/>
      <c r="N459" s="23" t="n"/>
      <c r="O459" s="20">
        <f>IF(OR(I459="",COUNT(J459:N459)=0),"",IF(SUM(J459:N459)=I459,"✓","⚠ "&amp;SUM(J459:N459)&amp;" statt "&amp;I459))</f>
        <v/>
      </c>
      <c r="P459" s="21" t="n"/>
      <c r="Q459" s="21" t="n"/>
      <c r="R459" s="21" t="n"/>
      <c r="S459" s="24" t="n"/>
      <c r="T459" s="24" t="n"/>
      <c r="V459">
        <f>IF(A459="","",MONTH(A459))</f>
        <v/>
      </c>
      <c r="W459">
        <f>N(W458)+IF(AND(C459&lt;&gt;"",T459&lt;&gt;""),IF(C459=WOCHE!$B$3,1,0),0)</f>
        <v/>
      </c>
      <c r="X459">
        <f>N(X458)+IF(AND(V459&lt;&gt;"",T459&lt;&gt;""),IF(V459=MONAT!$AZ$3,1,0),0)</f>
        <v/>
      </c>
    </row>
    <row r="460">
      <c r="A460" s="19" t="n"/>
      <c r="B460" s="20">
        <f>IF(A460="","",CHOOSE(WEEKDAY(A460,2),"Mo","Di","Mi","Do","Fr","Sa","So"))</f>
        <v/>
      </c>
      <c r="C460" s="20">
        <f>IF(A460="","",INT((A460-DATE(YEAR(A460-WEEKDAY(A460-1)+4),1,3)+WEEKDAY(DATE(YEAR(A460-WEEKDAY(A460-1)+4),1,3))+5)/7))</f>
        <v/>
      </c>
      <c r="D460" s="21" t="n"/>
      <c r="E460" s="22" t="n"/>
      <c r="F460" s="23" t="n"/>
      <c r="G460" s="23" t="n"/>
      <c r="H460" s="23" t="n"/>
      <c r="I460" s="20">
        <f>IF(COUNT(F460:H460)=0,"",SUM(F460:H460))</f>
        <v/>
      </c>
      <c r="J460" s="23" t="n"/>
      <c r="K460" s="23" t="n"/>
      <c r="L460" s="23" t="n"/>
      <c r="M460" s="23" t="n"/>
      <c r="N460" s="23" t="n"/>
      <c r="O460" s="20">
        <f>IF(OR(I460="",COUNT(J460:N460)=0),"",IF(SUM(J460:N460)=I460,"✓","⚠ "&amp;SUM(J460:N460)&amp;" statt "&amp;I460))</f>
        <v/>
      </c>
      <c r="P460" s="21" t="n"/>
      <c r="Q460" s="21" t="n"/>
      <c r="R460" s="21" t="n"/>
      <c r="S460" s="24" t="n"/>
      <c r="T460" s="24" t="n"/>
      <c r="V460">
        <f>IF(A460="","",MONTH(A460))</f>
        <v/>
      </c>
      <c r="W460">
        <f>N(W459)+IF(AND(C460&lt;&gt;"",T460&lt;&gt;""),IF(C460=WOCHE!$B$3,1,0),0)</f>
        <v/>
      </c>
      <c r="X460">
        <f>N(X459)+IF(AND(V460&lt;&gt;"",T460&lt;&gt;""),IF(V460=MONAT!$AZ$3,1,0),0)</f>
        <v/>
      </c>
    </row>
    <row r="461">
      <c r="A461" s="19" t="n"/>
      <c r="B461" s="20">
        <f>IF(A461="","",CHOOSE(WEEKDAY(A461,2),"Mo","Di","Mi","Do","Fr","Sa","So"))</f>
        <v/>
      </c>
      <c r="C461" s="20">
        <f>IF(A461="","",INT((A461-DATE(YEAR(A461-WEEKDAY(A461-1)+4),1,3)+WEEKDAY(DATE(YEAR(A461-WEEKDAY(A461-1)+4),1,3))+5)/7))</f>
        <v/>
      </c>
      <c r="D461" s="21" t="n"/>
      <c r="E461" s="22" t="n"/>
      <c r="F461" s="23" t="n"/>
      <c r="G461" s="23" t="n"/>
      <c r="H461" s="23" t="n"/>
      <c r="I461" s="20">
        <f>IF(COUNT(F461:H461)=0,"",SUM(F461:H461))</f>
        <v/>
      </c>
      <c r="J461" s="23" t="n"/>
      <c r="K461" s="23" t="n"/>
      <c r="L461" s="23" t="n"/>
      <c r="M461" s="23" t="n"/>
      <c r="N461" s="23" t="n"/>
      <c r="O461" s="20">
        <f>IF(OR(I461="",COUNT(J461:N461)=0),"",IF(SUM(J461:N461)=I461,"✓","⚠ "&amp;SUM(J461:N461)&amp;" statt "&amp;I461))</f>
        <v/>
      </c>
      <c r="P461" s="21" t="n"/>
      <c r="Q461" s="21" t="n"/>
      <c r="R461" s="21" t="n"/>
      <c r="S461" s="24" t="n"/>
      <c r="T461" s="24" t="n"/>
      <c r="V461">
        <f>IF(A461="","",MONTH(A461))</f>
        <v/>
      </c>
      <c r="W461">
        <f>N(W460)+IF(AND(C461&lt;&gt;"",T461&lt;&gt;""),IF(C461=WOCHE!$B$3,1,0),0)</f>
        <v/>
      </c>
      <c r="X461">
        <f>N(X460)+IF(AND(V461&lt;&gt;"",T461&lt;&gt;""),IF(V461=MONAT!$AZ$3,1,0),0)</f>
        <v/>
      </c>
    </row>
    <row r="462">
      <c r="A462" s="19" t="n"/>
      <c r="B462" s="20">
        <f>IF(A462="","",CHOOSE(WEEKDAY(A462,2),"Mo","Di","Mi","Do","Fr","Sa","So"))</f>
        <v/>
      </c>
      <c r="C462" s="20">
        <f>IF(A462="","",INT((A462-DATE(YEAR(A462-WEEKDAY(A462-1)+4),1,3)+WEEKDAY(DATE(YEAR(A462-WEEKDAY(A462-1)+4),1,3))+5)/7))</f>
        <v/>
      </c>
      <c r="D462" s="21" t="n"/>
      <c r="E462" s="22" t="n"/>
      <c r="F462" s="23" t="n"/>
      <c r="G462" s="23" t="n"/>
      <c r="H462" s="23" t="n"/>
      <c r="I462" s="20">
        <f>IF(COUNT(F462:H462)=0,"",SUM(F462:H462))</f>
        <v/>
      </c>
      <c r="J462" s="23" t="n"/>
      <c r="K462" s="23" t="n"/>
      <c r="L462" s="23" t="n"/>
      <c r="M462" s="23" t="n"/>
      <c r="N462" s="23" t="n"/>
      <c r="O462" s="20">
        <f>IF(OR(I462="",COUNT(J462:N462)=0),"",IF(SUM(J462:N462)=I462,"✓","⚠ "&amp;SUM(J462:N462)&amp;" statt "&amp;I462))</f>
        <v/>
      </c>
      <c r="P462" s="21" t="n"/>
      <c r="Q462" s="21" t="n"/>
      <c r="R462" s="21" t="n"/>
      <c r="S462" s="24" t="n"/>
      <c r="T462" s="24" t="n"/>
      <c r="V462">
        <f>IF(A462="","",MONTH(A462))</f>
        <v/>
      </c>
      <c r="W462">
        <f>N(W461)+IF(AND(C462&lt;&gt;"",T462&lt;&gt;""),IF(C462=WOCHE!$B$3,1,0),0)</f>
        <v/>
      </c>
      <c r="X462">
        <f>N(X461)+IF(AND(V462&lt;&gt;"",T462&lt;&gt;""),IF(V462=MONAT!$AZ$3,1,0),0)</f>
        <v/>
      </c>
    </row>
    <row r="463">
      <c r="A463" s="19" t="n"/>
      <c r="B463" s="20">
        <f>IF(A463="","",CHOOSE(WEEKDAY(A463,2),"Mo","Di","Mi","Do","Fr","Sa","So"))</f>
        <v/>
      </c>
      <c r="C463" s="20">
        <f>IF(A463="","",INT((A463-DATE(YEAR(A463-WEEKDAY(A463-1)+4),1,3)+WEEKDAY(DATE(YEAR(A463-WEEKDAY(A463-1)+4),1,3))+5)/7))</f>
        <v/>
      </c>
      <c r="D463" s="21" t="n"/>
      <c r="E463" s="22" t="n"/>
      <c r="F463" s="23" t="n"/>
      <c r="G463" s="23" t="n"/>
      <c r="H463" s="23" t="n"/>
      <c r="I463" s="20">
        <f>IF(COUNT(F463:H463)=0,"",SUM(F463:H463))</f>
        <v/>
      </c>
      <c r="J463" s="23" t="n"/>
      <c r="K463" s="23" t="n"/>
      <c r="L463" s="23" t="n"/>
      <c r="M463" s="23" t="n"/>
      <c r="N463" s="23" t="n"/>
      <c r="O463" s="20">
        <f>IF(OR(I463="",COUNT(J463:N463)=0),"",IF(SUM(J463:N463)=I463,"✓","⚠ "&amp;SUM(J463:N463)&amp;" statt "&amp;I463))</f>
        <v/>
      </c>
      <c r="P463" s="21" t="n"/>
      <c r="Q463" s="21" t="n"/>
      <c r="R463" s="21" t="n"/>
      <c r="S463" s="24" t="n"/>
      <c r="T463" s="24" t="n"/>
      <c r="V463">
        <f>IF(A463="","",MONTH(A463))</f>
        <v/>
      </c>
      <c r="W463">
        <f>N(W462)+IF(AND(C463&lt;&gt;"",T463&lt;&gt;""),IF(C463=WOCHE!$B$3,1,0),0)</f>
        <v/>
      </c>
      <c r="X463">
        <f>N(X462)+IF(AND(V463&lt;&gt;"",T463&lt;&gt;""),IF(V463=MONAT!$AZ$3,1,0),0)</f>
        <v/>
      </c>
    </row>
    <row r="464">
      <c r="A464" s="19" t="n"/>
      <c r="B464" s="20">
        <f>IF(A464="","",CHOOSE(WEEKDAY(A464,2),"Mo","Di","Mi","Do","Fr","Sa","So"))</f>
        <v/>
      </c>
      <c r="C464" s="20">
        <f>IF(A464="","",INT((A464-DATE(YEAR(A464-WEEKDAY(A464-1)+4),1,3)+WEEKDAY(DATE(YEAR(A464-WEEKDAY(A464-1)+4),1,3))+5)/7))</f>
        <v/>
      </c>
      <c r="D464" s="21" t="n"/>
      <c r="E464" s="22" t="n"/>
      <c r="F464" s="23" t="n"/>
      <c r="G464" s="23" t="n"/>
      <c r="H464" s="23" t="n"/>
      <c r="I464" s="20">
        <f>IF(COUNT(F464:H464)=0,"",SUM(F464:H464))</f>
        <v/>
      </c>
      <c r="J464" s="23" t="n"/>
      <c r="K464" s="23" t="n"/>
      <c r="L464" s="23" t="n"/>
      <c r="M464" s="23" t="n"/>
      <c r="N464" s="23" t="n"/>
      <c r="O464" s="20">
        <f>IF(OR(I464="",COUNT(J464:N464)=0),"",IF(SUM(J464:N464)=I464,"✓","⚠ "&amp;SUM(J464:N464)&amp;" statt "&amp;I464))</f>
        <v/>
      </c>
      <c r="P464" s="21" t="n"/>
      <c r="Q464" s="21" t="n"/>
      <c r="R464" s="21" t="n"/>
      <c r="S464" s="24" t="n"/>
      <c r="T464" s="24" t="n"/>
      <c r="V464">
        <f>IF(A464="","",MONTH(A464))</f>
        <v/>
      </c>
      <c r="W464">
        <f>N(W463)+IF(AND(C464&lt;&gt;"",T464&lt;&gt;""),IF(C464=WOCHE!$B$3,1,0),0)</f>
        <v/>
      </c>
      <c r="X464">
        <f>N(X463)+IF(AND(V464&lt;&gt;"",T464&lt;&gt;""),IF(V464=MONAT!$AZ$3,1,0),0)</f>
        <v/>
      </c>
    </row>
    <row r="465">
      <c r="A465" s="19" t="n"/>
      <c r="B465" s="20">
        <f>IF(A465="","",CHOOSE(WEEKDAY(A465,2),"Mo","Di","Mi","Do","Fr","Sa","So"))</f>
        <v/>
      </c>
      <c r="C465" s="20">
        <f>IF(A465="","",INT((A465-DATE(YEAR(A465-WEEKDAY(A465-1)+4),1,3)+WEEKDAY(DATE(YEAR(A465-WEEKDAY(A465-1)+4),1,3))+5)/7))</f>
        <v/>
      </c>
      <c r="D465" s="21" t="n"/>
      <c r="E465" s="22" t="n"/>
      <c r="F465" s="23" t="n"/>
      <c r="G465" s="23" t="n"/>
      <c r="H465" s="23" t="n"/>
      <c r="I465" s="20">
        <f>IF(COUNT(F465:H465)=0,"",SUM(F465:H465))</f>
        <v/>
      </c>
      <c r="J465" s="23" t="n"/>
      <c r="K465" s="23" t="n"/>
      <c r="L465" s="23" t="n"/>
      <c r="M465" s="23" t="n"/>
      <c r="N465" s="23" t="n"/>
      <c r="O465" s="20">
        <f>IF(OR(I465="",COUNT(J465:N465)=0),"",IF(SUM(J465:N465)=I465,"✓","⚠ "&amp;SUM(J465:N465)&amp;" statt "&amp;I465))</f>
        <v/>
      </c>
      <c r="P465" s="21" t="n"/>
      <c r="Q465" s="21" t="n"/>
      <c r="R465" s="21" t="n"/>
      <c r="S465" s="24" t="n"/>
      <c r="T465" s="24" t="n"/>
      <c r="V465">
        <f>IF(A465="","",MONTH(A465))</f>
        <v/>
      </c>
      <c r="W465">
        <f>N(W464)+IF(AND(C465&lt;&gt;"",T465&lt;&gt;""),IF(C465=WOCHE!$B$3,1,0),0)</f>
        <v/>
      </c>
      <c r="X465">
        <f>N(X464)+IF(AND(V465&lt;&gt;"",T465&lt;&gt;""),IF(V465=MONAT!$AZ$3,1,0),0)</f>
        <v/>
      </c>
    </row>
    <row r="466">
      <c r="A466" s="19" t="n"/>
      <c r="B466" s="20">
        <f>IF(A466="","",CHOOSE(WEEKDAY(A466,2),"Mo","Di","Mi","Do","Fr","Sa","So"))</f>
        <v/>
      </c>
      <c r="C466" s="20">
        <f>IF(A466="","",INT((A466-DATE(YEAR(A466-WEEKDAY(A466-1)+4),1,3)+WEEKDAY(DATE(YEAR(A466-WEEKDAY(A466-1)+4),1,3))+5)/7))</f>
        <v/>
      </c>
      <c r="D466" s="21" t="n"/>
      <c r="E466" s="22" t="n"/>
      <c r="F466" s="23" t="n"/>
      <c r="G466" s="23" t="n"/>
      <c r="H466" s="23" t="n"/>
      <c r="I466" s="20">
        <f>IF(COUNT(F466:H466)=0,"",SUM(F466:H466))</f>
        <v/>
      </c>
      <c r="J466" s="23" t="n"/>
      <c r="K466" s="23" t="n"/>
      <c r="L466" s="23" t="n"/>
      <c r="M466" s="23" t="n"/>
      <c r="N466" s="23" t="n"/>
      <c r="O466" s="20">
        <f>IF(OR(I466="",COUNT(J466:N466)=0),"",IF(SUM(J466:N466)=I466,"✓","⚠ "&amp;SUM(J466:N466)&amp;" statt "&amp;I466))</f>
        <v/>
      </c>
      <c r="P466" s="21" t="n"/>
      <c r="Q466" s="21" t="n"/>
      <c r="R466" s="21" t="n"/>
      <c r="S466" s="24" t="n"/>
      <c r="T466" s="24" t="n"/>
      <c r="V466">
        <f>IF(A466="","",MONTH(A466))</f>
        <v/>
      </c>
      <c r="W466">
        <f>N(W465)+IF(AND(C466&lt;&gt;"",T466&lt;&gt;""),IF(C466=WOCHE!$B$3,1,0),0)</f>
        <v/>
      </c>
      <c r="X466">
        <f>N(X465)+IF(AND(V466&lt;&gt;"",T466&lt;&gt;""),IF(V466=MONAT!$AZ$3,1,0),0)</f>
        <v/>
      </c>
    </row>
    <row r="467">
      <c r="A467" s="19" t="n"/>
      <c r="B467" s="20">
        <f>IF(A467="","",CHOOSE(WEEKDAY(A467,2),"Mo","Di","Mi","Do","Fr","Sa","So"))</f>
        <v/>
      </c>
      <c r="C467" s="20">
        <f>IF(A467="","",INT((A467-DATE(YEAR(A467-WEEKDAY(A467-1)+4),1,3)+WEEKDAY(DATE(YEAR(A467-WEEKDAY(A467-1)+4),1,3))+5)/7))</f>
        <v/>
      </c>
      <c r="D467" s="21" t="n"/>
      <c r="E467" s="22" t="n"/>
      <c r="F467" s="23" t="n"/>
      <c r="G467" s="23" t="n"/>
      <c r="H467" s="23" t="n"/>
      <c r="I467" s="20">
        <f>IF(COUNT(F467:H467)=0,"",SUM(F467:H467))</f>
        <v/>
      </c>
      <c r="J467" s="23" t="n"/>
      <c r="K467" s="23" t="n"/>
      <c r="L467" s="23" t="n"/>
      <c r="M467" s="23" t="n"/>
      <c r="N467" s="23" t="n"/>
      <c r="O467" s="20">
        <f>IF(OR(I467="",COUNT(J467:N467)=0),"",IF(SUM(J467:N467)=I467,"✓","⚠ "&amp;SUM(J467:N467)&amp;" statt "&amp;I467))</f>
        <v/>
      </c>
      <c r="P467" s="21" t="n"/>
      <c r="Q467" s="21" t="n"/>
      <c r="R467" s="21" t="n"/>
      <c r="S467" s="24" t="n"/>
      <c r="T467" s="24" t="n"/>
      <c r="V467">
        <f>IF(A467="","",MONTH(A467))</f>
        <v/>
      </c>
      <c r="W467">
        <f>N(W466)+IF(AND(C467&lt;&gt;"",T467&lt;&gt;""),IF(C467=WOCHE!$B$3,1,0),0)</f>
        <v/>
      </c>
      <c r="X467">
        <f>N(X466)+IF(AND(V467&lt;&gt;"",T467&lt;&gt;""),IF(V467=MONAT!$AZ$3,1,0),0)</f>
        <v/>
      </c>
    </row>
    <row r="468">
      <c r="A468" s="19" t="n"/>
      <c r="B468" s="20">
        <f>IF(A468="","",CHOOSE(WEEKDAY(A468,2),"Mo","Di","Mi","Do","Fr","Sa","So"))</f>
        <v/>
      </c>
      <c r="C468" s="20">
        <f>IF(A468="","",INT((A468-DATE(YEAR(A468-WEEKDAY(A468-1)+4),1,3)+WEEKDAY(DATE(YEAR(A468-WEEKDAY(A468-1)+4),1,3))+5)/7))</f>
        <v/>
      </c>
      <c r="D468" s="21" t="n"/>
      <c r="E468" s="22" t="n"/>
      <c r="F468" s="23" t="n"/>
      <c r="G468" s="23" t="n"/>
      <c r="H468" s="23" t="n"/>
      <c r="I468" s="20">
        <f>IF(COUNT(F468:H468)=0,"",SUM(F468:H468))</f>
        <v/>
      </c>
      <c r="J468" s="23" t="n"/>
      <c r="K468" s="23" t="n"/>
      <c r="L468" s="23" t="n"/>
      <c r="M468" s="23" t="n"/>
      <c r="N468" s="23" t="n"/>
      <c r="O468" s="20">
        <f>IF(OR(I468="",COUNT(J468:N468)=0),"",IF(SUM(J468:N468)=I468,"✓","⚠ "&amp;SUM(J468:N468)&amp;" statt "&amp;I468))</f>
        <v/>
      </c>
      <c r="P468" s="21" t="n"/>
      <c r="Q468" s="21" t="n"/>
      <c r="R468" s="21" t="n"/>
      <c r="S468" s="24" t="n"/>
      <c r="T468" s="24" t="n"/>
      <c r="V468">
        <f>IF(A468="","",MONTH(A468))</f>
        <v/>
      </c>
      <c r="W468">
        <f>N(W467)+IF(AND(C468&lt;&gt;"",T468&lt;&gt;""),IF(C468=WOCHE!$B$3,1,0),0)</f>
        <v/>
      </c>
      <c r="X468">
        <f>N(X467)+IF(AND(V468&lt;&gt;"",T468&lt;&gt;""),IF(V468=MONAT!$AZ$3,1,0),0)</f>
        <v/>
      </c>
    </row>
    <row r="469">
      <c r="A469" s="19" t="n"/>
      <c r="B469" s="20">
        <f>IF(A469="","",CHOOSE(WEEKDAY(A469,2),"Mo","Di","Mi","Do","Fr","Sa","So"))</f>
        <v/>
      </c>
      <c r="C469" s="20">
        <f>IF(A469="","",INT((A469-DATE(YEAR(A469-WEEKDAY(A469-1)+4),1,3)+WEEKDAY(DATE(YEAR(A469-WEEKDAY(A469-1)+4),1,3))+5)/7))</f>
        <v/>
      </c>
      <c r="D469" s="21" t="n"/>
      <c r="E469" s="22" t="n"/>
      <c r="F469" s="23" t="n"/>
      <c r="G469" s="23" t="n"/>
      <c r="H469" s="23" t="n"/>
      <c r="I469" s="20">
        <f>IF(COUNT(F469:H469)=0,"",SUM(F469:H469))</f>
        <v/>
      </c>
      <c r="J469" s="23" t="n"/>
      <c r="K469" s="23" t="n"/>
      <c r="L469" s="23" t="n"/>
      <c r="M469" s="23" t="n"/>
      <c r="N469" s="23" t="n"/>
      <c r="O469" s="20">
        <f>IF(OR(I469="",COUNT(J469:N469)=0),"",IF(SUM(J469:N469)=I469,"✓","⚠ "&amp;SUM(J469:N469)&amp;" statt "&amp;I469))</f>
        <v/>
      </c>
      <c r="P469" s="21" t="n"/>
      <c r="Q469" s="21" t="n"/>
      <c r="R469" s="21" t="n"/>
      <c r="S469" s="24" t="n"/>
      <c r="T469" s="24" t="n"/>
      <c r="V469">
        <f>IF(A469="","",MONTH(A469))</f>
        <v/>
      </c>
      <c r="W469">
        <f>N(W468)+IF(AND(C469&lt;&gt;"",T469&lt;&gt;""),IF(C469=WOCHE!$B$3,1,0),0)</f>
        <v/>
      </c>
      <c r="X469">
        <f>N(X468)+IF(AND(V469&lt;&gt;"",T469&lt;&gt;""),IF(V469=MONAT!$AZ$3,1,0),0)</f>
        <v/>
      </c>
    </row>
    <row r="470">
      <c r="A470" s="19" t="n"/>
      <c r="B470" s="20">
        <f>IF(A470="","",CHOOSE(WEEKDAY(A470,2),"Mo","Di","Mi","Do","Fr","Sa","So"))</f>
        <v/>
      </c>
      <c r="C470" s="20">
        <f>IF(A470="","",INT((A470-DATE(YEAR(A470-WEEKDAY(A470-1)+4),1,3)+WEEKDAY(DATE(YEAR(A470-WEEKDAY(A470-1)+4),1,3))+5)/7))</f>
        <v/>
      </c>
      <c r="D470" s="21" t="n"/>
      <c r="E470" s="22" t="n"/>
      <c r="F470" s="23" t="n"/>
      <c r="G470" s="23" t="n"/>
      <c r="H470" s="23" t="n"/>
      <c r="I470" s="20">
        <f>IF(COUNT(F470:H470)=0,"",SUM(F470:H470))</f>
        <v/>
      </c>
      <c r="J470" s="23" t="n"/>
      <c r="K470" s="23" t="n"/>
      <c r="L470" s="23" t="n"/>
      <c r="M470" s="23" t="n"/>
      <c r="N470" s="23" t="n"/>
      <c r="O470" s="20">
        <f>IF(OR(I470="",COUNT(J470:N470)=0),"",IF(SUM(J470:N470)=I470,"✓","⚠ "&amp;SUM(J470:N470)&amp;" statt "&amp;I470))</f>
        <v/>
      </c>
      <c r="P470" s="21" t="n"/>
      <c r="Q470" s="21" t="n"/>
      <c r="R470" s="21" t="n"/>
      <c r="S470" s="24" t="n"/>
      <c r="T470" s="24" t="n"/>
      <c r="V470">
        <f>IF(A470="","",MONTH(A470))</f>
        <v/>
      </c>
      <c r="W470">
        <f>N(W469)+IF(AND(C470&lt;&gt;"",T470&lt;&gt;""),IF(C470=WOCHE!$B$3,1,0),0)</f>
        <v/>
      </c>
      <c r="X470">
        <f>N(X469)+IF(AND(V470&lt;&gt;"",T470&lt;&gt;""),IF(V470=MONAT!$AZ$3,1,0),0)</f>
        <v/>
      </c>
    </row>
    <row r="471">
      <c r="A471" s="19" t="n"/>
      <c r="B471" s="20">
        <f>IF(A471="","",CHOOSE(WEEKDAY(A471,2),"Mo","Di","Mi","Do","Fr","Sa","So"))</f>
        <v/>
      </c>
      <c r="C471" s="20">
        <f>IF(A471="","",INT((A471-DATE(YEAR(A471-WEEKDAY(A471-1)+4),1,3)+WEEKDAY(DATE(YEAR(A471-WEEKDAY(A471-1)+4),1,3))+5)/7))</f>
        <v/>
      </c>
      <c r="D471" s="21" t="n"/>
      <c r="E471" s="22" t="n"/>
      <c r="F471" s="23" t="n"/>
      <c r="G471" s="23" t="n"/>
      <c r="H471" s="23" t="n"/>
      <c r="I471" s="20">
        <f>IF(COUNT(F471:H471)=0,"",SUM(F471:H471))</f>
        <v/>
      </c>
      <c r="J471" s="23" t="n"/>
      <c r="K471" s="23" t="n"/>
      <c r="L471" s="23" t="n"/>
      <c r="M471" s="23" t="n"/>
      <c r="N471" s="23" t="n"/>
      <c r="O471" s="20">
        <f>IF(OR(I471="",COUNT(J471:N471)=0),"",IF(SUM(J471:N471)=I471,"✓","⚠ "&amp;SUM(J471:N471)&amp;" statt "&amp;I471))</f>
        <v/>
      </c>
      <c r="P471" s="21" t="n"/>
      <c r="Q471" s="21" t="n"/>
      <c r="R471" s="21" t="n"/>
      <c r="S471" s="24" t="n"/>
      <c r="T471" s="24" t="n"/>
      <c r="V471">
        <f>IF(A471="","",MONTH(A471))</f>
        <v/>
      </c>
      <c r="W471">
        <f>N(W470)+IF(AND(C471&lt;&gt;"",T471&lt;&gt;""),IF(C471=WOCHE!$B$3,1,0),0)</f>
        <v/>
      </c>
      <c r="X471">
        <f>N(X470)+IF(AND(V471&lt;&gt;"",T471&lt;&gt;""),IF(V471=MONAT!$AZ$3,1,0),0)</f>
        <v/>
      </c>
    </row>
    <row r="472">
      <c r="A472" s="19" t="n"/>
      <c r="B472" s="20">
        <f>IF(A472="","",CHOOSE(WEEKDAY(A472,2),"Mo","Di","Mi","Do","Fr","Sa","So"))</f>
        <v/>
      </c>
      <c r="C472" s="20">
        <f>IF(A472="","",INT((A472-DATE(YEAR(A472-WEEKDAY(A472-1)+4),1,3)+WEEKDAY(DATE(YEAR(A472-WEEKDAY(A472-1)+4),1,3))+5)/7))</f>
        <v/>
      </c>
      <c r="D472" s="21" t="n"/>
      <c r="E472" s="22" t="n"/>
      <c r="F472" s="23" t="n"/>
      <c r="G472" s="23" t="n"/>
      <c r="H472" s="23" t="n"/>
      <c r="I472" s="20">
        <f>IF(COUNT(F472:H472)=0,"",SUM(F472:H472))</f>
        <v/>
      </c>
      <c r="J472" s="23" t="n"/>
      <c r="K472" s="23" t="n"/>
      <c r="L472" s="23" t="n"/>
      <c r="M472" s="23" t="n"/>
      <c r="N472" s="23" t="n"/>
      <c r="O472" s="20">
        <f>IF(OR(I472="",COUNT(J472:N472)=0),"",IF(SUM(J472:N472)=I472,"✓","⚠ "&amp;SUM(J472:N472)&amp;" statt "&amp;I472))</f>
        <v/>
      </c>
      <c r="P472" s="21" t="n"/>
      <c r="Q472" s="21" t="n"/>
      <c r="R472" s="21" t="n"/>
      <c r="S472" s="24" t="n"/>
      <c r="T472" s="24" t="n"/>
      <c r="V472">
        <f>IF(A472="","",MONTH(A472))</f>
        <v/>
      </c>
      <c r="W472">
        <f>N(W471)+IF(AND(C472&lt;&gt;"",T472&lt;&gt;""),IF(C472=WOCHE!$B$3,1,0),0)</f>
        <v/>
      </c>
      <c r="X472">
        <f>N(X471)+IF(AND(V472&lt;&gt;"",T472&lt;&gt;""),IF(V472=MONAT!$AZ$3,1,0),0)</f>
        <v/>
      </c>
    </row>
    <row r="473">
      <c r="A473" s="19" t="n"/>
      <c r="B473" s="20">
        <f>IF(A473="","",CHOOSE(WEEKDAY(A473,2),"Mo","Di","Mi","Do","Fr","Sa","So"))</f>
        <v/>
      </c>
      <c r="C473" s="20">
        <f>IF(A473="","",INT((A473-DATE(YEAR(A473-WEEKDAY(A473-1)+4),1,3)+WEEKDAY(DATE(YEAR(A473-WEEKDAY(A473-1)+4),1,3))+5)/7))</f>
        <v/>
      </c>
      <c r="D473" s="21" t="n"/>
      <c r="E473" s="22" t="n"/>
      <c r="F473" s="23" t="n"/>
      <c r="G473" s="23" t="n"/>
      <c r="H473" s="23" t="n"/>
      <c r="I473" s="20">
        <f>IF(COUNT(F473:H473)=0,"",SUM(F473:H473))</f>
        <v/>
      </c>
      <c r="J473" s="23" t="n"/>
      <c r="K473" s="23" t="n"/>
      <c r="L473" s="23" t="n"/>
      <c r="M473" s="23" t="n"/>
      <c r="N473" s="23" t="n"/>
      <c r="O473" s="20">
        <f>IF(OR(I473="",COUNT(J473:N473)=0),"",IF(SUM(J473:N473)=I473,"✓","⚠ "&amp;SUM(J473:N473)&amp;" statt "&amp;I473))</f>
        <v/>
      </c>
      <c r="P473" s="21" t="n"/>
      <c r="Q473" s="21" t="n"/>
      <c r="R473" s="21" t="n"/>
      <c r="S473" s="24" t="n"/>
      <c r="T473" s="24" t="n"/>
      <c r="V473">
        <f>IF(A473="","",MONTH(A473))</f>
        <v/>
      </c>
      <c r="W473">
        <f>N(W472)+IF(AND(C473&lt;&gt;"",T473&lt;&gt;""),IF(C473=WOCHE!$B$3,1,0),0)</f>
        <v/>
      </c>
      <c r="X473">
        <f>N(X472)+IF(AND(V473&lt;&gt;"",T473&lt;&gt;""),IF(V473=MONAT!$AZ$3,1,0),0)</f>
        <v/>
      </c>
    </row>
    <row r="474">
      <c r="A474" s="19" t="n"/>
      <c r="B474" s="20">
        <f>IF(A474="","",CHOOSE(WEEKDAY(A474,2),"Mo","Di","Mi","Do","Fr","Sa","So"))</f>
        <v/>
      </c>
      <c r="C474" s="20">
        <f>IF(A474="","",INT((A474-DATE(YEAR(A474-WEEKDAY(A474-1)+4),1,3)+WEEKDAY(DATE(YEAR(A474-WEEKDAY(A474-1)+4),1,3))+5)/7))</f>
        <v/>
      </c>
      <c r="D474" s="21" t="n"/>
      <c r="E474" s="22" t="n"/>
      <c r="F474" s="23" t="n"/>
      <c r="G474" s="23" t="n"/>
      <c r="H474" s="23" t="n"/>
      <c r="I474" s="20">
        <f>IF(COUNT(F474:H474)=0,"",SUM(F474:H474))</f>
        <v/>
      </c>
      <c r="J474" s="23" t="n"/>
      <c r="K474" s="23" t="n"/>
      <c r="L474" s="23" t="n"/>
      <c r="M474" s="23" t="n"/>
      <c r="N474" s="23" t="n"/>
      <c r="O474" s="20">
        <f>IF(OR(I474="",COUNT(J474:N474)=0),"",IF(SUM(J474:N474)=I474,"✓","⚠ "&amp;SUM(J474:N474)&amp;" statt "&amp;I474))</f>
        <v/>
      </c>
      <c r="P474" s="21" t="n"/>
      <c r="Q474" s="21" t="n"/>
      <c r="R474" s="21" t="n"/>
      <c r="S474" s="24" t="n"/>
      <c r="T474" s="24" t="n"/>
      <c r="V474">
        <f>IF(A474="","",MONTH(A474))</f>
        <v/>
      </c>
      <c r="W474">
        <f>N(W473)+IF(AND(C474&lt;&gt;"",T474&lt;&gt;""),IF(C474=WOCHE!$B$3,1,0),0)</f>
        <v/>
      </c>
      <c r="X474">
        <f>N(X473)+IF(AND(V474&lt;&gt;"",T474&lt;&gt;""),IF(V474=MONAT!$AZ$3,1,0),0)</f>
        <v/>
      </c>
    </row>
    <row r="475">
      <c r="A475" s="19" t="n"/>
      <c r="B475" s="20">
        <f>IF(A475="","",CHOOSE(WEEKDAY(A475,2),"Mo","Di","Mi","Do","Fr","Sa","So"))</f>
        <v/>
      </c>
      <c r="C475" s="20">
        <f>IF(A475="","",INT((A475-DATE(YEAR(A475-WEEKDAY(A475-1)+4),1,3)+WEEKDAY(DATE(YEAR(A475-WEEKDAY(A475-1)+4),1,3))+5)/7))</f>
        <v/>
      </c>
      <c r="D475" s="21" t="n"/>
      <c r="E475" s="22" t="n"/>
      <c r="F475" s="23" t="n"/>
      <c r="G475" s="23" t="n"/>
      <c r="H475" s="23" t="n"/>
      <c r="I475" s="20">
        <f>IF(COUNT(F475:H475)=0,"",SUM(F475:H475))</f>
        <v/>
      </c>
      <c r="J475" s="23" t="n"/>
      <c r="K475" s="23" t="n"/>
      <c r="L475" s="23" t="n"/>
      <c r="M475" s="23" t="n"/>
      <c r="N475" s="23" t="n"/>
      <c r="O475" s="20">
        <f>IF(OR(I475="",COUNT(J475:N475)=0),"",IF(SUM(J475:N475)=I475,"✓","⚠ "&amp;SUM(J475:N475)&amp;" statt "&amp;I475))</f>
        <v/>
      </c>
      <c r="P475" s="21" t="n"/>
      <c r="Q475" s="21" t="n"/>
      <c r="R475" s="21" t="n"/>
      <c r="S475" s="24" t="n"/>
      <c r="T475" s="24" t="n"/>
      <c r="V475">
        <f>IF(A475="","",MONTH(A475))</f>
        <v/>
      </c>
      <c r="W475">
        <f>N(W474)+IF(AND(C475&lt;&gt;"",T475&lt;&gt;""),IF(C475=WOCHE!$B$3,1,0),0)</f>
        <v/>
      </c>
      <c r="X475">
        <f>N(X474)+IF(AND(V475&lt;&gt;"",T475&lt;&gt;""),IF(V475=MONAT!$AZ$3,1,0),0)</f>
        <v/>
      </c>
    </row>
    <row r="476">
      <c r="A476" s="19" t="n"/>
      <c r="B476" s="20">
        <f>IF(A476="","",CHOOSE(WEEKDAY(A476,2),"Mo","Di","Mi","Do","Fr","Sa","So"))</f>
        <v/>
      </c>
      <c r="C476" s="20">
        <f>IF(A476="","",INT((A476-DATE(YEAR(A476-WEEKDAY(A476-1)+4),1,3)+WEEKDAY(DATE(YEAR(A476-WEEKDAY(A476-1)+4),1,3))+5)/7))</f>
        <v/>
      </c>
      <c r="D476" s="21" t="n"/>
      <c r="E476" s="22" t="n"/>
      <c r="F476" s="23" t="n"/>
      <c r="G476" s="23" t="n"/>
      <c r="H476" s="23" t="n"/>
      <c r="I476" s="20">
        <f>IF(COUNT(F476:H476)=0,"",SUM(F476:H476))</f>
        <v/>
      </c>
      <c r="J476" s="23" t="n"/>
      <c r="K476" s="23" t="n"/>
      <c r="L476" s="23" t="n"/>
      <c r="M476" s="23" t="n"/>
      <c r="N476" s="23" t="n"/>
      <c r="O476" s="20">
        <f>IF(OR(I476="",COUNT(J476:N476)=0),"",IF(SUM(J476:N476)=I476,"✓","⚠ "&amp;SUM(J476:N476)&amp;" statt "&amp;I476))</f>
        <v/>
      </c>
      <c r="P476" s="21" t="n"/>
      <c r="Q476" s="21" t="n"/>
      <c r="R476" s="21" t="n"/>
      <c r="S476" s="24" t="n"/>
      <c r="T476" s="24" t="n"/>
      <c r="V476">
        <f>IF(A476="","",MONTH(A476))</f>
        <v/>
      </c>
      <c r="W476">
        <f>N(W475)+IF(AND(C476&lt;&gt;"",T476&lt;&gt;""),IF(C476=WOCHE!$B$3,1,0),0)</f>
        <v/>
      </c>
      <c r="X476">
        <f>N(X475)+IF(AND(V476&lt;&gt;"",T476&lt;&gt;""),IF(V476=MONAT!$AZ$3,1,0),0)</f>
        <v/>
      </c>
    </row>
    <row r="477">
      <c r="A477" s="19" t="n"/>
      <c r="B477" s="20">
        <f>IF(A477="","",CHOOSE(WEEKDAY(A477,2),"Mo","Di","Mi","Do","Fr","Sa","So"))</f>
        <v/>
      </c>
      <c r="C477" s="20">
        <f>IF(A477="","",INT((A477-DATE(YEAR(A477-WEEKDAY(A477-1)+4),1,3)+WEEKDAY(DATE(YEAR(A477-WEEKDAY(A477-1)+4),1,3))+5)/7))</f>
        <v/>
      </c>
      <c r="D477" s="21" t="n"/>
      <c r="E477" s="22" t="n"/>
      <c r="F477" s="23" t="n"/>
      <c r="G477" s="23" t="n"/>
      <c r="H477" s="23" t="n"/>
      <c r="I477" s="20">
        <f>IF(COUNT(F477:H477)=0,"",SUM(F477:H477))</f>
        <v/>
      </c>
      <c r="J477" s="23" t="n"/>
      <c r="K477" s="23" t="n"/>
      <c r="L477" s="23" t="n"/>
      <c r="M477" s="23" t="n"/>
      <c r="N477" s="23" t="n"/>
      <c r="O477" s="20">
        <f>IF(OR(I477="",COUNT(J477:N477)=0),"",IF(SUM(J477:N477)=I477,"✓","⚠ "&amp;SUM(J477:N477)&amp;" statt "&amp;I477))</f>
        <v/>
      </c>
      <c r="P477" s="21" t="n"/>
      <c r="Q477" s="21" t="n"/>
      <c r="R477" s="21" t="n"/>
      <c r="S477" s="24" t="n"/>
      <c r="T477" s="24" t="n"/>
      <c r="V477">
        <f>IF(A477="","",MONTH(A477))</f>
        <v/>
      </c>
      <c r="W477">
        <f>N(W476)+IF(AND(C477&lt;&gt;"",T477&lt;&gt;""),IF(C477=WOCHE!$B$3,1,0),0)</f>
        <v/>
      </c>
      <c r="X477">
        <f>N(X476)+IF(AND(V477&lt;&gt;"",T477&lt;&gt;""),IF(V477=MONAT!$AZ$3,1,0),0)</f>
        <v/>
      </c>
    </row>
    <row r="478">
      <c r="A478" s="19" t="n"/>
      <c r="B478" s="20">
        <f>IF(A478="","",CHOOSE(WEEKDAY(A478,2),"Mo","Di","Mi","Do","Fr","Sa","So"))</f>
        <v/>
      </c>
      <c r="C478" s="20">
        <f>IF(A478="","",INT((A478-DATE(YEAR(A478-WEEKDAY(A478-1)+4),1,3)+WEEKDAY(DATE(YEAR(A478-WEEKDAY(A478-1)+4),1,3))+5)/7))</f>
        <v/>
      </c>
      <c r="D478" s="21" t="n"/>
      <c r="E478" s="22" t="n"/>
      <c r="F478" s="23" t="n"/>
      <c r="G478" s="23" t="n"/>
      <c r="H478" s="23" t="n"/>
      <c r="I478" s="20">
        <f>IF(COUNT(F478:H478)=0,"",SUM(F478:H478))</f>
        <v/>
      </c>
      <c r="J478" s="23" t="n"/>
      <c r="K478" s="23" t="n"/>
      <c r="L478" s="23" t="n"/>
      <c r="M478" s="23" t="n"/>
      <c r="N478" s="23" t="n"/>
      <c r="O478" s="20">
        <f>IF(OR(I478="",COUNT(J478:N478)=0),"",IF(SUM(J478:N478)=I478,"✓","⚠ "&amp;SUM(J478:N478)&amp;" statt "&amp;I478))</f>
        <v/>
      </c>
      <c r="P478" s="21" t="n"/>
      <c r="Q478" s="21" t="n"/>
      <c r="R478" s="21" t="n"/>
      <c r="S478" s="24" t="n"/>
      <c r="T478" s="24" t="n"/>
      <c r="V478">
        <f>IF(A478="","",MONTH(A478))</f>
        <v/>
      </c>
      <c r="W478">
        <f>N(W477)+IF(AND(C478&lt;&gt;"",T478&lt;&gt;""),IF(C478=WOCHE!$B$3,1,0),0)</f>
        <v/>
      </c>
      <c r="X478">
        <f>N(X477)+IF(AND(V478&lt;&gt;"",T478&lt;&gt;""),IF(V478=MONAT!$AZ$3,1,0),0)</f>
        <v/>
      </c>
    </row>
    <row r="479">
      <c r="A479" s="19" t="n"/>
      <c r="B479" s="20">
        <f>IF(A479="","",CHOOSE(WEEKDAY(A479,2),"Mo","Di","Mi","Do","Fr","Sa","So"))</f>
        <v/>
      </c>
      <c r="C479" s="20">
        <f>IF(A479="","",INT((A479-DATE(YEAR(A479-WEEKDAY(A479-1)+4),1,3)+WEEKDAY(DATE(YEAR(A479-WEEKDAY(A479-1)+4),1,3))+5)/7))</f>
        <v/>
      </c>
      <c r="D479" s="21" t="n"/>
      <c r="E479" s="22" t="n"/>
      <c r="F479" s="23" t="n"/>
      <c r="G479" s="23" t="n"/>
      <c r="H479" s="23" t="n"/>
      <c r="I479" s="20">
        <f>IF(COUNT(F479:H479)=0,"",SUM(F479:H479))</f>
        <v/>
      </c>
      <c r="J479" s="23" t="n"/>
      <c r="K479" s="23" t="n"/>
      <c r="L479" s="23" t="n"/>
      <c r="M479" s="23" t="n"/>
      <c r="N479" s="23" t="n"/>
      <c r="O479" s="20">
        <f>IF(OR(I479="",COUNT(J479:N479)=0),"",IF(SUM(J479:N479)=I479,"✓","⚠ "&amp;SUM(J479:N479)&amp;" statt "&amp;I479))</f>
        <v/>
      </c>
      <c r="P479" s="21" t="n"/>
      <c r="Q479" s="21" t="n"/>
      <c r="R479" s="21" t="n"/>
      <c r="S479" s="24" t="n"/>
      <c r="T479" s="24" t="n"/>
      <c r="V479">
        <f>IF(A479="","",MONTH(A479))</f>
        <v/>
      </c>
      <c r="W479">
        <f>N(W478)+IF(AND(C479&lt;&gt;"",T479&lt;&gt;""),IF(C479=WOCHE!$B$3,1,0),0)</f>
        <v/>
      </c>
      <c r="X479">
        <f>N(X478)+IF(AND(V479&lt;&gt;"",T479&lt;&gt;""),IF(V479=MONAT!$AZ$3,1,0),0)</f>
        <v/>
      </c>
    </row>
    <row r="480">
      <c r="A480" s="19" t="n"/>
      <c r="B480" s="20">
        <f>IF(A480="","",CHOOSE(WEEKDAY(A480,2),"Mo","Di","Mi","Do","Fr","Sa","So"))</f>
        <v/>
      </c>
      <c r="C480" s="20">
        <f>IF(A480="","",INT((A480-DATE(YEAR(A480-WEEKDAY(A480-1)+4),1,3)+WEEKDAY(DATE(YEAR(A480-WEEKDAY(A480-1)+4),1,3))+5)/7))</f>
        <v/>
      </c>
      <c r="D480" s="21" t="n"/>
      <c r="E480" s="22" t="n"/>
      <c r="F480" s="23" t="n"/>
      <c r="G480" s="23" t="n"/>
      <c r="H480" s="23" t="n"/>
      <c r="I480" s="20">
        <f>IF(COUNT(F480:H480)=0,"",SUM(F480:H480))</f>
        <v/>
      </c>
      <c r="J480" s="23" t="n"/>
      <c r="K480" s="23" t="n"/>
      <c r="L480" s="23" t="n"/>
      <c r="M480" s="23" t="n"/>
      <c r="N480" s="23" t="n"/>
      <c r="O480" s="20">
        <f>IF(OR(I480="",COUNT(J480:N480)=0),"",IF(SUM(J480:N480)=I480,"✓","⚠ "&amp;SUM(J480:N480)&amp;" statt "&amp;I480))</f>
        <v/>
      </c>
      <c r="P480" s="21" t="n"/>
      <c r="Q480" s="21" t="n"/>
      <c r="R480" s="21" t="n"/>
      <c r="S480" s="24" t="n"/>
      <c r="T480" s="24" t="n"/>
      <c r="V480">
        <f>IF(A480="","",MONTH(A480))</f>
        <v/>
      </c>
      <c r="W480">
        <f>N(W479)+IF(AND(C480&lt;&gt;"",T480&lt;&gt;""),IF(C480=WOCHE!$B$3,1,0),0)</f>
        <v/>
      </c>
      <c r="X480">
        <f>N(X479)+IF(AND(V480&lt;&gt;"",T480&lt;&gt;""),IF(V480=MONAT!$AZ$3,1,0),0)</f>
        <v/>
      </c>
    </row>
    <row r="481">
      <c r="A481" s="19" t="n"/>
      <c r="B481" s="20">
        <f>IF(A481="","",CHOOSE(WEEKDAY(A481,2),"Mo","Di","Mi","Do","Fr","Sa","So"))</f>
        <v/>
      </c>
      <c r="C481" s="20">
        <f>IF(A481="","",INT((A481-DATE(YEAR(A481-WEEKDAY(A481-1)+4),1,3)+WEEKDAY(DATE(YEAR(A481-WEEKDAY(A481-1)+4),1,3))+5)/7))</f>
        <v/>
      </c>
      <c r="D481" s="21" t="n"/>
      <c r="E481" s="22" t="n"/>
      <c r="F481" s="23" t="n"/>
      <c r="G481" s="23" t="n"/>
      <c r="H481" s="23" t="n"/>
      <c r="I481" s="20">
        <f>IF(COUNT(F481:H481)=0,"",SUM(F481:H481))</f>
        <v/>
      </c>
      <c r="J481" s="23" t="n"/>
      <c r="K481" s="23" t="n"/>
      <c r="L481" s="23" t="n"/>
      <c r="M481" s="23" t="n"/>
      <c r="N481" s="23" t="n"/>
      <c r="O481" s="20">
        <f>IF(OR(I481="",COUNT(J481:N481)=0),"",IF(SUM(J481:N481)=I481,"✓","⚠ "&amp;SUM(J481:N481)&amp;" statt "&amp;I481))</f>
        <v/>
      </c>
      <c r="P481" s="21" t="n"/>
      <c r="Q481" s="21" t="n"/>
      <c r="R481" s="21" t="n"/>
      <c r="S481" s="24" t="n"/>
      <c r="T481" s="24" t="n"/>
      <c r="V481">
        <f>IF(A481="","",MONTH(A481))</f>
        <v/>
      </c>
      <c r="W481">
        <f>N(W480)+IF(AND(C481&lt;&gt;"",T481&lt;&gt;""),IF(C481=WOCHE!$B$3,1,0),0)</f>
        <v/>
      </c>
      <c r="X481">
        <f>N(X480)+IF(AND(V481&lt;&gt;"",T481&lt;&gt;""),IF(V481=MONAT!$AZ$3,1,0),0)</f>
        <v/>
      </c>
    </row>
    <row r="482">
      <c r="A482" s="19" t="n"/>
      <c r="B482" s="20">
        <f>IF(A482="","",CHOOSE(WEEKDAY(A482,2),"Mo","Di","Mi","Do","Fr","Sa","So"))</f>
        <v/>
      </c>
      <c r="C482" s="20">
        <f>IF(A482="","",INT((A482-DATE(YEAR(A482-WEEKDAY(A482-1)+4),1,3)+WEEKDAY(DATE(YEAR(A482-WEEKDAY(A482-1)+4),1,3))+5)/7))</f>
        <v/>
      </c>
      <c r="D482" s="21" t="n"/>
      <c r="E482" s="22" t="n"/>
      <c r="F482" s="23" t="n"/>
      <c r="G482" s="23" t="n"/>
      <c r="H482" s="23" t="n"/>
      <c r="I482" s="20">
        <f>IF(COUNT(F482:H482)=0,"",SUM(F482:H482))</f>
        <v/>
      </c>
      <c r="J482" s="23" t="n"/>
      <c r="K482" s="23" t="n"/>
      <c r="L482" s="23" t="n"/>
      <c r="M482" s="23" t="n"/>
      <c r="N482" s="23" t="n"/>
      <c r="O482" s="20">
        <f>IF(OR(I482="",COUNT(J482:N482)=0),"",IF(SUM(J482:N482)=I482,"✓","⚠ "&amp;SUM(J482:N482)&amp;" statt "&amp;I482))</f>
        <v/>
      </c>
      <c r="P482" s="21" t="n"/>
      <c r="Q482" s="21" t="n"/>
      <c r="R482" s="21" t="n"/>
      <c r="S482" s="24" t="n"/>
      <c r="T482" s="24" t="n"/>
      <c r="V482">
        <f>IF(A482="","",MONTH(A482))</f>
        <v/>
      </c>
      <c r="W482">
        <f>N(W481)+IF(AND(C482&lt;&gt;"",T482&lt;&gt;""),IF(C482=WOCHE!$B$3,1,0),0)</f>
        <v/>
      </c>
      <c r="X482">
        <f>N(X481)+IF(AND(V482&lt;&gt;"",T482&lt;&gt;""),IF(V482=MONAT!$AZ$3,1,0),0)</f>
        <v/>
      </c>
    </row>
    <row r="483">
      <c r="A483" s="19" t="n"/>
      <c r="B483" s="20">
        <f>IF(A483="","",CHOOSE(WEEKDAY(A483,2),"Mo","Di","Mi","Do","Fr","Sa","So"))</f>
        <v/>
      </c>
      <c r="C483" s="20">
        <f>IF(A483="","",INT((A483-DATE(YEAR(A483-WEEKDAY(A483-1)+4),1,3)+WEEKDAY(DATE(YEAR(A483-WEEKDAY(A483-1)+4),1,3))+5)/7))</f>
        <v/>
      </c>
      <c r="D483" s="21" t="n"/>
      <c r="E483" s="22" t="n"/>
      <c r="F483" s="23" t="n"/>
      <c r="G483" s="23" t="n"/>
      <c r="H483" s="23" t="n"/>
      <c r="I483" s="20">
        <f>IF(COUNT(F483:H483)=0,"",SUM(F483:H483))</f>
        <v/>
      </c>
      <c r="J483" s="23" t="n"/>
      <c r="K483" s="23" t="n"/>
      <c r="L483" s="23" t="n"/>
      <c r="M483" s="23" t="n"/>
      <c r="N483" s="23" t="n"/>
      <c r="O483" s="20">
        <f>IF(OR(I483="",COUNT(J483:N483)=0),"",IF(SUM(J483:N483)=I483,"✓","⚠ "&amp;SUM(J483:N483)&amp;" statt "&amp;I483))</f>
        <v/>
      </c>
      <c r="P483" s="21" t="n"/>
      <c r="Q483" s="21" t="n"/>
      <c r="R483" s="21" t="n"/>
      <c r="S483" s="24" t="n"/>
      <c r="T483" s="24" t="n"/>
      <c r="V483">
        <f>IF(A483="","",MONTH(A483))</f>
        <v/>
      </c>
      <c r="W483">
        <f>N(W482)+IF(AND(C483&lt;&gt;"",T483&lt;&gt;""),IF(C483=WOCHE!$B$3,1,0),0)</f>
        <v/>
      </c>
      <c r="X483">
        <f>N(X482)+IF(AND(V483&lt;&gt;"",T483&lt;&gt;""),IF(V483=MONAT!$AZ$3,1,0),0)</f>
        <v/>
      </c>
    </row>
    <row r="484">
      <c r="A484" s="19" t="n"/>
      <c r="B484" s="20">
        <f>IF(A484="","",CHOOSE(WEEKDAY(A484,2),"Mo","Di","Mi","Do","Fr","Sa","So"))</f>
        <v/>
      </c>
      <c r="C484" s="20">
        <f>IF(A484="","",INT((A484-DATE(YEAR(A484-WEEKDAY(A484-1)+4),1,3)+WEEKDAY(DATE(YEAR(A484-WEEKDAY(A484-1)+4),1,3))+5)/7))</f>
        <v/>
      </c>
      <c r="D484" s="21" t="n"/>
      <c r="E484" s="22" t="n"/>
      <c r="F484" s="23" t="n"/>
      <c r="G484" s="23" t="n"/>
      <c r="H484" s="23" t="n"/>
      <c r="I484" s="20">
        <f>IF(COUNT(F484:H484)=0,"",SUM(F484:H484))</f>
        <v/>
      </c>
      <c r="J484" s="23" t="n"/>
      <c r="K484" s="23" t="n"/>
      <c r="L484" s="23" t="n"/>
      <c r="M484" s="23" t="n"/>
      <c r="N484" s="23" t="n"/>
      <c r="O484" s="20">
        <f>IF(OR(I484="",COUNT(J484:N484)=0),"",IF(SUM(J484:N484)=I484,"✓","⚠ "&amp;SUM(J484:N484)&amp;" statt "&amp;I484))</f>
        <v/>
      </c>
      <c r="P484" s="21" t="n"/>
      <c r="Q484" s="21" t="n"/>
      <c r="R484" s="21" t="n"/>
      <c r="S484" s="24" t="n"/>
      <c r="T484" s="24" t="n"/>
      <c r="V484">
        <f>IF(A484="","",MONTH(A484))</f>
        <v/>
      </c>
      <c r="W484">
        <f>N(W483)+IF(AND(C484&lt;&gt;"",T484&lt;&gt;""),IF(C484=WOCHE!$B$3,1,0),0)</f>
        <v/>
      </c>
      <c r="X484">
        <f>N(X483)+IF(AND(V484&lt;&gt;"",T484&lt;&gt;""),IF(V484=MONAT!$AZ$3,1,0),0)</f>
        <v/>
      </c>
    </row>
    <row r="485">
      <c r="A485" s="19" t="n"/>
      <c r="B485" s="20">
        <f>IF(A485="","",CHOOSE(WEEKDAY(A485,2),"Mo","Di","Mi","Do","Fr","Sa","So"))</f>
        <v/>
      </c>
      <c r="C485" s="20">
        <f>IF(A485="","",INT((A485-DATE(YEAR(A485-WEEKDAY(A485-1)+4),1,3)+WEEKDAY(DATE(YEAR(A485-WEEKDAY(A485-1)+4),1,3))+5)/7))</f>
        <v/>
      </c>
      <c r="D485" s="21" t="n"/>
      <c r="E485" s="22" t="n"/>
      <c r="F485" s="23" t="n"/>
      <c r="G485" s="23" t="n"/>
      <c r="H485" s="23" t="n"/>
      <c r="I485" s="20">
        <f>IF(COUNT(F485:H485)=0,"",SUM(F485:H485))</f>
        <v/>
      </c>
      <c r="J485" s="23" t="n"/>
      <c r="K485" s="23" t="n"/>
      <c r="L485" s="23" t="n"/>
      <c r="M485" s="23" t="n"/>
      <c r="N485" s="23" t="n"/>
      <c r="O485" s="20">
        <f>IF(OR(I485="",COUNT(J485:N485)=0),"",IF(SUM(J485:N485)=I485,"✓","⚠ "&amp;SUM(J485:N485)&amp;" statt "&amp;I485))</f>
        <v/>
      </c>
      <c r="P485" s="21" t="n"/>
      <c r="Q485" s="21" t="n"/>
      <c r="R485" s="21" t="n"/>
      <c r="S485" s="24" t="n"/>
      <c r="T485" s="24" t="n"/>
      <c r="V485">
        <f>IF(A485="","",MONTH(A485))</f>
        <v/>
      </c>
      <c r="W485">
        <f>N(W484)+IF(AND(C485&lt;&gt;"",T485&lt;&gt;""),IF(C485=WOCHE!$B$3,1,0),0)</f>
        <v/>
      </c>
      <c r="X485">
        <f>N(X484)+IF(AND(V485&lt;&gt;"",T485&lt;&gt;""),IF(V485=MONAT!$AZ$3,1,0),0)</f>
        <v/>
      </c>
    </row>
    <row r="486">
      <c r="A486" s="19" t="n"/>
      <c r="B486" s="20">
        <f>IF(A486="","",CHOOSE(WEEKDAY(A486,2),"Mo","Di","Mi","Do","Fr","Sa","So"))</f>
        <v/>
      </c>
      <c r="C486" s="20">
        <f>IF(A486="","",INT((A486-DATE(YEAR(A486-WEEKDAY(A486-1)+4),1,3)+WEEKDAY(DATE(YEAR(A486-WEEKDAY(A486-1)+4),1,3))+5)/7))</f>
        <v/>
      </c>
      <c r="D486" s="21" t="n"/>
      <c r="E486" s="22" t="n"/>
      <c r="F486" s="23" t="n"/>
      <c r="G486" s="23" t="n"/>
      <c r="H486" s="23" t="n"/>
      <c r="I486" s="20">
        <f>IF(COUNT(F486:H486)=0,"",SUM(F486:H486))</f>
        <v/>
      </c>
      <c r="J486" s="23" t="n"/>
      <c r="K486" s="23" t="n"/>
      <c r="L486" s="23" t="n"/>
      <c r="M486" s="23" t="n"/>
      <c r="N486" s="23" t="n"/>
      <c r="O486" s="20">
        <f>IF(OR(I486="",COUNT(J486:N486)=0),"",IF(SUM(J486:N486)=I486,"✓","⚠ "&amp;SUM(J486:N486)&amp;" statt "&amp;I486))</f>
        <v/>
      </c>
      <c r="P486" s="21" t="n"/>
      <c r="Q486" s="21" t="n"/>
      <c r="R486" s="21" t="n"/>
      <c r="S486" s="24" t="n"/>
      <c r="T486" s="24" t="n"/>
      <c r="V486">
        <f>IF(A486="","",MONTH(A486))</f>
        <v/>
      </c>
      <c r="W486">
        <f>N(W485)+IF(AND(C486&lt;&gt;"",T486&lt;&gt;""),IF(C486=WOCHE!$B$3,1,0),0)</f>
        <v/>
      </c>
      <c r="X486">
        <f>N(X485)+IF(AND(V486&lt;&gt;"",T486&lt;&gt;""),IF(V486=MONAT!$AZ$3,1,0),0)</f>
        <v/>
      </c>
    </row>
    <row r="487">
      <c r="A487" s="19" t="n"/>
      <c r="B487" s="20">
        <f>IF(A487="","",CHOOSE(WEEKDAY(A487,2),"Mo","Di","Mi","Do","Fr","Sa","So"))</f>
        <v/>
      </c>
      <c r="C487" s="20">
        <f>IF(A487="","",INT((A487-DATE(YEAR(A487-WEEKDAY(A487-1)+4),1,3)+WEEKDAY(DATE(YEAR(A487-WEEKDAY(A487-1)+4),1,3))+5)/7))</f>
        <v/>
      </c>
      <c r="D487" s="21" t="n"/>
      <c r="E487" s="22" t="n"/>
      <c r="F487" s="23" t="n"/>
      <c r="G487" s="23" t="n"/>
      <c r="H487" s="23" t="n"/>
      <c r="I487" s="20">
        <f>IF(COUNT(F487:H487)=0,"",SUM(F487:H487))</f>
        <v/>
      </c>
      <c r="J487" s="23" t="n"/>
      <c r="K487" s="23" t="n"/>
      <c r="L487" s="23" t="n"/>
      <c r="M487" s="23" t="n"/>
      <c r="N487" s="23" t="n"/>
      <c r="O487" s="20">
        <f>IF(OR(I487="",COUNT(J487:N487)=0),"",IF(SUM(J487:N487)=I487,"✓","⚠ "&amp;SUM(J487:N487)&amp;" statt "&amp;I487))</f>
        <v/>
      </c>
      <c r="P487" s="21" t="n"/>
      <c r="Q487" s="21" t="n"/>
      <c r="R487" s="21" t="n"/>
      <c r="S487" s="24" t="n"/>
      <c r="T487" s="24" t="n"/>
      <c r="V487">
        <f>IF(A487="","",MONTH(A487))</f>
        <v/>
      </c>
      <c r="W487">
        <f>N(W486)+IF(AND(C487&lt;&gt;"",T487&lt;&gt;""),IF(C487=WOCHE!$B$3,1,0),0)</f>
        <v/>
      </c>
      <c r="X487">
        <f>N(X486)+IF(AND(V487&lt;&gt;"",T487&lt;&gt;""),IF(V487=MONAT!$AZ$3,1,0),0)</f>
        <v/>
      </c>
    </row>
    <row r="488">
      <c r="A488" s="19" t="n"/>
      <c r="B488" s="20">
        <f>IF(A488="","",CHOOSE(WEEKDAY(A488,2),"Mo","Di","Mi","Do","Fr","Sa","So"))</f>
        <v/>
      </c>
      <c r="C488" s="20">
        <f>IF(A488="","",INT((A488-DATE(YEAR(A488-WEEKDAY(A488-1)+4),1,3)+WEEKDAY(DATE(YEAR(A488-WEEKDAY(A488-1)+4),1,3))+5)/7))</f>
        <v/>
      </c>
      <c r="D488" s="21" t="n"/>
      <c r="E488" s="22" t="n"/>
      <c r="F488" s="23" t="n"/>
      <c r="G488" s="23" t="n"/>
      <c r="H488" s="23" t="n"/>
      <c r="I488" s="20">
        <f>IF(COUNT(F488:H488)=0,"",SUM(F488:H488))</f>
        <v/>
      </c>
      <c r="J488" s="23" t="n"/>
      <c r="K488" s="23" t="n"/>
      <c r="L488" s="23" t="n"/>
      <c r="M488" s="23" t="n"/>
      <c r="N488" s="23" t="n"/>
      <c r="O488" s="20">
        <f>IF(OR(I488="",COUNT(J488:N488)=0),"",IF(SUM(J488:N488)=I488,"✓","⚠ "&amp;SUM(J488:N488)&amp;" statt "&amp;I488))</f>
        <v/>
      </c>
      <c r="P488" s="21" t="n"/>
      <c r="Q488" s="21" t="n"/>
      <c r="R488" s="21" t="n"/>
      <c r="S488" s="24" t="n"/>
      <c r="T488" s="24" t="n"/>
      <c r="V488">
        <f>IF(A488="","",MONTH(A488))</f>
        <v/>
      </c>
      <c r="W488">
        <f>N(W487)+IF(AND(C488&lt;&gt;"",T488&lt;&gt;""),IF(C488=WOCHE!$B$3,1,0),0)</f>
        <v/>
      </c>
      <c r="X488">
        <f>N(X487)+IF(AND(V488&lt;&gt;"",T488&lt;&gt;""),IF(V488=MONAT!$AZ$3,1,0),0)</f>
        <v/>
      </c>
    </row>
    <row r="489">
      <c r="A489" s="19" t="n"/>
      <c r="B489" s="20">
        <f>IF(A489="","",CHOOSE(WEEKDAY(A489,2),"Mo","Di","Mi","Do","Fr","Sa","So"))</f>
        <v/>
      </c>
      <c r="C489" s="20">
        <f>IF(A489="","",INT((A489-DATE(YEAR(A489-WEEKDAY(A489-1)+4),1,3)+WEEKDAY(DATE(YEAR(A489-WEEKDAY(A489-1)+4),1,3))+5)/7))</f>
        <v/>
      </c>
      <c r="D489" s="21" t="n"/>
      <c r="E489" s="22" t="n"/>
      <c r="F489" s="23" t="n"/>
      <c r="G489" s="23" t="n"/>
      <c r="H489" s="23" t="n"/>
      <c r="I489" s="20">
        <f>IF(COUNT(F489:H489)=0,"",SUM(F489:H489))</f>
        <v/>
      </c>
      <c r="J489" s="23" t="n"/>
      <c r="K489" s="23" t="n"/>
      <c r="L489" s="23" t="n"/>
      <c r="M489" s="23" t="n"/>
      <c r="N489" s="23" t="n"/>
      <c r="O489" s="20">
        <f>IF(OR(I489="",COUNT(J489:N489)=0),"",IF(SUM(J489:N489)=I489,"✓","⚠ "&amp;SUM(J489:N489)&amp;" statt "&amp;I489))</f>
        <v/>
      </c>
      <c r="P489" s="21" t="n"/>
      <c r="Q489" s="21" t="n"/>
      <c r="R489" s="21" t="n"/>
      <c r="S489" s="24" t="n"/>
      <c r="T489" s="24" t="n"/>
      <c r="V489">
        <f>IF(A489="","",MONTH(A489))</f>
        <v/>
      </c>
      <c r="W489">
        <f>N(W488)+IF(AND(C489&lt;&gt;"",T489&lt;&gt;""),IF(C489=WOCHE!$B$3,1,0),0)</f>
        <v/>
      </c>
      <c r="X489">
        <f>N(X488)+IF(AND(V489&lt;&gt;"",T489&lt;&gt;""),IF(V489=MONAT!$AZ$3,1,0),0)</f>
        <v/>
      </c>
    </row>
    <row r="490">
      <c r="A490" s="19" t="n"/>
      <c r="B490" s="20">
        <f>IF(A490="","",CHOOSE(WEEKDAY(A490,2),"Mo","Di","Mi","Do","Fr","Sa","So"))</f>
        <v/>
      </c>
      <c r="C490" s="20">
        <f>IF(A490="","",INT((A490-DATE(YEAR(A490-WEEKDAY(A490-1)+4),1,3)+WEEKDAY(DATE(YEAR(A490-WEEKDAY(A490-1)+4),1,3))+5)/7))</f>
        <v/>
      </c>
      <c r="D490" s="21" t="n"/>
      <c r="E490" s="22" t="n"/>
      <c r="F490" s="23" t="n"/>
      <c r="G490" s="23" t="n"/>
      <c r="H490" s="23" t="n"/>
      <c r="I490" s="20">
        <f>IF(COUNT(F490:H490)=0,"",SUM(F490:H490))</f>
        <v/>
      </c>
      <c r="J490" s="23" t="n"/>
      <c r="K490" s="23" t="n"/>
      <c r="L490" s="23" t="n"/>
      <c r="M490" s="23" t="n"/>
      <c r="N490" s="23" t="n"/>
      <c r="O490" s="20">
        <f>IF(OR(I490="",COUNT(J490:N490)=0),"",IF(SUM(J490:N490)=I490,"✓","⚠ "&amp;SUM(J490:N490)&amp;" statt "&amp;I490))</f>
        <v/>
      </c>
      <c r="P490" s="21" t="n"/>
      <c r="Q490" s="21" t="n"/>
      <c r="R490" s="21" t="n"/>
      <c r="S490" s="24" t="n"/>
      <c r="T490" s="24" t="n"/>
      <c r="V490">
        <f>IF(A490="","",MONTH(A490))</f>
        <v/>
      </c>
      <c r="W490">
        <f>N(W489)+IF(AND(C490&lt;&gt;"",T490&lt;&gt;""),IF(C490=WOCHE!$B$3,1,0),0)</f>
        <v/>
      </c>
      <c r="X490">
        <f>N(X489)+IF(AND(V490&lt;&gt;"",T490&lt;&gt;""),IF(V490=MONAT!$AZ$3,1,0),0)</f>
        <v/>
      </c>
    </row>
    <row r="491">
      <c r="A491" s="19" t="n"/>
      <c r="B491" s="20">
        <f>IF(A491="","",CHOOSE(WEEKDAY(A491,2),"Mo","Di","Mi","Do","Fr","Sa","So"))</f>
        <v/>
      </c>
      <c r="C491" s="20">
        <f>IF(A491="","",INT((A491-DATE(YEAR(A491-WEEKDAY(A491-1)+4),1,3)+WEEKDAY(DATE(YEAR(A491-WEEKDAY(A491-1)+4),1,3))+5)/7))</f>
        <v/>
      </c>
      <c r="D491" s="21" t="n"/>
      <c r="E491" s="22" t="n"/>
      <c r="F491" s="23" t="n"/>
      <c r="G491" s="23" t="n"/>
      <c r="H491" s="23" t="n"/>
      <c r="I491" s="20">
        <f>IF(COUNT(F491:H491)=0,"",SUM(F491:H491))</f>
        <v/>
      </c>
      <c r="J491" s="23" t="n"/>
      <c r="K491" s="23" t="n"/>
      <c r="L491" s="23" t="n"/>
      <c r="M491" s="23" t="n"/>
      <c r="N491" s="23" t="n"/>
      <c r="O491" s="20">
        <f>IF(OR(I491="",COUNT(J491:N491)=0),"",IF(SUM(J491:N491)=I491,"✓","⚠ "&amp;SUM(J491:N491)&amp;" statt "&amp;I491))</f>
        <v/>
      </c>
      <c r="P491" s="21" t="n"/>
      <c r="Q491" s="21" t="n"/>
      <c r="R491" s="21" t="n"/>
      <c r="S491" s="24" t="n"/>
      <c r="T491" s="24" t="n"/>
      <c r="V491">
        <f>IF(A491="","",MONTH(A491))</f>
        <v/>
      </c>
      <c r="W491">
        <f>N(W490)+IF(AND(C491&lt;&gt;"",T491&lt;&gt;""),IF(C491=WOCHE!$B$3,1,0),0)</f>
        <v/>
      </c>
      <c r="X491">
        <f>N(X490)+IF(AND(V491&lt;&gt;"",T491&lt;&gt;""),IF(V491=MONAT!$AZ$3,1,0),0)</f>
        <v/>
      </c>
    </row>
    <row r="492">
      <c r="A492" s="19" t="n"/>
      <c r="B492" s="20">
        <f>IF(A492="","",CHOOSE(WEEKDAY(A492,2),"Mo","Di","Mi","Do","Fr","Sa","So"))</f>
        <v/>
      </c>
      <c r="C492" s="20">
        <f>IF(A492="","",INT((A492-DATE(YEAR(A492-WEEKDAY(A492-1)+4),1,3)+WEEKDAY(DATE(YEAR(A492-WEEKDAY(A492-1)+4),1,3))+5)/7))</f>
        <v/>
      </c>
      <c r="D492" s="21" t="n"/>
      <c r="E492" s="22" t="n"/>
      <c r="F492" s="23" t="n"/>
      <c r="G492" s="23" t="n"/>
      <c r="H492" s="23" t="n"/>
      <c r="I492" s="20">
        <f>IF(COUNT(F492:H492)=0,"",SUM(F492:H492))</f>
        <v/>
      </c>
      <c r="J492" s="23" t="n"/>
      <c r="K492" s="23" t="n"/>
      <c r="L492" s="23" t="n"/>
      <c r="M492" s="23" t="n"/>
      <c r="N492" s="23" t="n"/>
      <c r="O492" s="20">
        <f>IF(OR(I492="",COUNT(J492:N492)=0),"",IF(SUM(J492:N492)=I492,"✓","⚠ "&amp;SUM(J492:N492)&amp;" statt "&amp;I492))</f>
        <v/>
      </c>
      <c r="P492" s="21" t="n"/>
      <c r="Q492" s="21" t="n"/>
      <c r="R492" s="21" t="n"/>
      <c r="S492" s="24" t="n"/>
      <c r="T492" s="24" t="n"/>
      <c r="V492">
        <f>IF(A492="","",MONTH(A492))</f>
        <v/>
      </c>
      <c r="W492">
        <f>N(W491)+IF(AND(C492&lt;&gt;"",T492&lt;&gt;""),IF(C492=WOCHE!$B$3,1,0),0)</f>
        <v/>
      </c>
      <c r="X492">
        <f>N(X491)+IF(AND(V492&lt;&gt;"",T492&lt;&gt;""),IF(V492=MONAT!$AZ$3,1,0),0)</f>
        <v/>
      </c>
    </row>
    <row r="493">
      <c r="A493" s="19" t="n"/>
      <c r="B493" s="20">
        <f>IF(A493="","",CHOOSE(WEEKDAY(A493,2),"Mo","Di","Mi","Do","Fr","Sa","So"))</f>
        <v/>
      </c>
      <c r="C493" s="20">
        <f>IF(A493="","",INT((A493-DATE(YEAR(A493-WEEKDAY(A493-1)+4),1,3)+WEEKDAY(DATE(YEAR(A493-WEEKDAY(A493-1)+4),1,3))+5)/7))</f>
        <v/>
      </c>
      <c r="D493" s="21" t="n"/>
      <c r="E493" s="22" t="n"/>
      <c r="F493" s="23" t="n"/>
      <c r="G493" s="23" t="n"/>
      <c r="H493" s="23" t="n"/>
      <c r="I493" s="20">
        <f>IF(COUNT(F493:H493)=0,"",SUM(F493:H493))</f>
        <v/>
      </c>
      <c r="J493" s="23" t="n"/>
      <c r="K493" s="23" t="n"/>
      <c r="L493" s="23" t="n"/>
      <c r="M493" s="23" t="n"/>
      <c r="N493" s="23" t="n"/>
      <c r="O493" s="20">
        <f>IF(OR(I493="",COUNT(J493:N493)=0),"",IF(SUM(J493:N493)=I493,"✓","⚠ "&amp;SUM(J493:N493)&amp;" statt "&amp;I493))</f>
        <v/>
      </c>
      <c r="P493" s="21" t="n"/>
      <c r="Q493" s="21" t="n"/>
      <c r="R493" s="21" t="n"/>
      <c r="S493" s="24" t="n"/>
      <c r="T493" s="24" t="n"/>
      <c r="V493">
        <f>IF(A493="","",MONTH(A493))</f>
        <v/>
      </c>
      <c r="W493">
        <f>N(W492)+IF(AND(C493&lt;&gt;"",T493&lt;&gt;""),IF(C493=WOCHE!$B$3,1,0),0)</f>
        <v/>
      </c>
      <c r="X493">
        <f>N(X492)+IF(AND(V493&lt;&gt;"",T493&lt;&gt;""),IF(V493=MONAT!$AZ$3,1,0),0)</f>
        <v/>
      </c>
    </row>
    <row r="494">
      <c r="A494" s="19" t="n"/>
      <c r="B494" s="20">
        <f>IF(A494="","",CHOOSE(WEEKDAY(A494,2),"Mo","Di","Mi","Do","Fr","Sa","So"))</f>
        <v/>
      </c>
      <c r="C494" s="20">
        <f>IF(A494="","",INT((A494-DATE(YEAR(A494-WEEKDAY(A494-1)+4),1,3)+WEEKDAY(DATE(YEAR(A494-WEEKDAY(A494-1)+4),1,3))+5)/7))</f>
        <v/>
      </c>
      <c r="D494" s="21" t="n"/>
      <c r="E494" s="22" t="n"/>
      <c r="F494" s="23" t="n"/>
      <c r="G494" s="23" t="n"/>
      <c r="H494" s="23" t="n"/>
      <c r="I494" s="20">
        <f>IF(COUNT(F494:H494)=0,"",SUM(F494:H494))</f>
        <v/>
      </c>
      <c r="J494" s="23" t="n"/>
      <c r="K494" s="23" t="n"/>
      <c r="L494" s="23" t="n"/>
      <c r="M494" s="23" t="n"/>
      <c r="N494" s="23" t="n"/>
      <c r="O494" s="20">
        <f>IF(OR(I494="",COUNT(J494:N494)=0),"",IF(SUM(J494:N494)=I494,"✓","⚠ "&amp;SUM(J494:N494)&amp;" statt "&amp;I494))</f>
        <v/>
      </c>
      <c r="P494" s="21" t="n"/>
      <c r="Q494" s="21" t="n"/>
      <c r="R494" s="21" t="n"/>
      <c r="S494" s="24" t="n"/>
      <c r="T494" s="24" t="n"/>
      <c r="V494">
        <f>IF(A494="","",MONTH(A494))</f>
        <v/>
      </c>
      <c r="W494">
        <f>N(W493)+IF(AND(C494&lt;&gt;"",T494&lt;&gt;""),IF(C494=WOCHE!$B$3,1,0),0)</f>
        <v/>
      </c>
      <c r="X494">
        <f>N(X493)+IF(AND(V494&lt;&gt;"",T494&lt;&gt;""),IF(V494=MONAT!$AZ$3,1,0),0)</f>
        <v/>
      </c>
    </row>
    <row r="495">
      <c r="A495" s="19" t="n"/>
      <c r="B495" s="20">
        <f>IF(A495="","",CHOOSE(WEEKDAY(A495,2),"Mo","Di","Mi","Do","Fr","Sa","So"))</f>
        <v/>
      </c>
      <c r="C495" s="20">
        <f>IF(A495="","",INT((A495-DATE(YEAR(A495-WEEKDAY(A495-1)+4),1,3)+WEEKDAY(DATE(YEAR(A495-WEEKDAY(A495-1)+4),1,3))+5)/7))</f>
        <v/>
      </c>
      <c r="D495" s="21" t="n"/>
      <c r="E495" s="22" t="n"/>
      <c r="F495" s="23" t="n"/>
      <c r="G495" s="23" t="n"/>
      <c r="H495" s="23" t="n"/>
      <c r="I495" s="20">
        <f>IF(COUNT(F495:H495)=0,"",SUM(F495:H495))</f>
        <v/>
      </c>
      <c r="J495" s="23" t="n"/>
      <c r="K495" s="23" t="n"/>
      <c r="L495" s="23" t="n"/>
      <c r="M495" s="23" t="n"/>
      <c r="N495" s="23" t="n"/>
      <c r="O495" s="20">
        <f>IF(OR(I495="",COUNT(J495:N495)=0),"",IF(SUM(J495:N495)=I495,"✓","⚠ "&amp;SUM(J495:N495)&amp;" statt "&amp;I495))</f>
        <v/>
      </c>
      <c r="P495" s="21" t="n"/>
      <c r="Q495" s="21" t="n"/>
      <c r="R495" s="21" t="n"/>
      <c r="S495" s="24" t="n"/>
      <c r="T495" s="24" t="n"/>
      <c r="V495">
        <f>IF(A495="","",MONTH(A495))</f>
        <v/>
      </c>
      <c r="W495">
        <f>N(W494)+IF(AND(C495&lt;&gt;"",T495&lt;&gt;""),IF(C495=WOCHE!$B$3,1,0),0)</f>
        <v/>
      </c>
      <c r="X495">
        <f>N(X494)+IF(AND(V495&lt;&gt;"",T495&lt;&gt;""),IF(V495=MONAT!$AZ$3,1,0),0)</f>
        <v/>
      </c>
    </row>
    <row r="496">
      <c r="A496" s="19" t="n"/>
      <c r="B496" s="20">
        <f>IF(A496="","",CHOOSE(WEEKDAY(A496,2),"Mo","Di","Mi","Do","Fr","Sa","So"))</f>
        <v/>
      </c>
      <c r="C496" s="20">
        <f>IF(A496="","",INT((A496-DATE(YEAR(A496-WEEKDAY(A496-1)+4),1,3)+WEEKDAY(DATE(YEAR(A496-WEEKDAY(A496-1)+4),1,3))+5)/7))</f>
        <v/>
      </c>
      <c r="D496" s="21" t="n"/>
      <c r="E496" s="22" t="n"/>
      <c r="F496" s="23" t="n"/>
      <c r="G496" s="23" t="n"/>
      <c r="H496" s="23" t="n"/>
      <c r="I496" s="20">
        <f>IF(COUNT(F496:H496)=0,"",SUM(F496:H496))</f>
        <v/>
      </c>
      <c r="J496" s="23" t="n"/>
      <c r="K496" s="23" t="n"/>
      <c r="L496" s="23" t="n"/>
      <c r="M496" s="23" t="n"/>
      <c r="N496" s="23" t="n"/>
      <c r="O496" s="20">
        <f>IF(OR(I496="",COUNT(J496:N496)=0),"",IF(SUM(J496:N496)=I496,"✓","⚠ "&amp;SUM(J496:N496)&amp;" statt "&amp;I496))</f>
        <v/>
      </c>
      <c r="P496" s="21" t="n"/>
      <c r="Q496" s="21" t="n"/>
      <c r="R496" s="21" t="n"/>
      <c r="S496" s="24" t="n"/>
      <c r="T496" s="24" t="n"/>
      <c r="V496">
        <f>IF(A496="","",MONTH(A496))</f>
        <v/>
      </c>
      <c r="W496">
        <f>N(W495)+IF(AND(C496&lt;&gt;"",T496&lt;&gt;""),IF(C496=WOCHE!$B$3,1,0),0)</f>
        <v/>
      </c>
      <c r="X496">
        <f>N(X495)+IF(AND(V496&lt;&gt;"",T496&lt;&gt;""),IF(V496=MONAT!$AZ$3,1,0),0)</f>
        <v/>
      </c>
    </row>
    <row r="497">
      <c r="A497" s="19" t="n"/>
      <c r="B497" s="20">
        <f>IF(A497="","",CHOOSE(WEEKDAY(A497,2),"Mo","Di","Mi","Do","Fr","Sa","So"))</f>
        <v/>
      </c>
      <c r="C497" s="20">
        <f>IF(A497="","",INT((A497-DATE(YEAR(A497-WEEKDAY(A497-1)+4),1,3)+WEEKDAY(DATE(YEAR(A497-WEEKDAY(A497-1)+4),1,3))+5)/7))</f>
        <v/>
      </c>
      <c r="D497" s="21" t="n"/>
      <c r="E497" s="22" t="n"/>
      <c r="F497" s="23" t="n"/>
      <c r="G497" s="23" t="n"/>
      <c r="H497" s="23" t="n"/>
      <c r="I497" s="20">
        <f>IF(COUNT(F497:H497)=0,"",SUM(F497:H497))</f>
        <v/>
      </c>
      <c r="J497" s="23" t="n"/>
      <c r="K497" s="23" t="n"/>
      <c r="L497" s="23" t="n"/>
      <c r="M497" s="23" t="n"/>
      <c r="N497" s="23" t="n"/>
      <c r="O497" s="20">
        <f>IF(OR(I497="",COUNT(J497:N497)=0),"",IF(SUM(J497:N497)=I497,"✓","⚠ "&amp;SUM(J497:N497)&amp;" statt "&amp;I497))</f>
        <v/>
      </c>
      <c r="P497" s="21" t="n"/>
      <c r="Q497" s="21" t="n"/>
      <c r="R497" s="21" t="n"/>
      <c r="S497" s="24" t="n"/>
      <c r="T497" s="24" t="n"/>
      <c r="V497">
        <f>IF(A497="","",MONTH(A497))</f>
        <v/>
      </c>
      <c r="W497">
        <f>N(W496)+IF(AND(C497&lt;&gt;"",T497&lt;&gt;""),IF(C497=WOCHE!$B$3,1,0),0)</f>
        <v/>
      </c>
      <c r="X497">
        <f>N(X496)+IF(AND(V497&lt;&gt;"",T497&lt;&gt;""),IF(V497=MONAT!$AZ$3,1,0),0)</f>
        <v/>
      </c>
    </row>
    <row r="498">
      <c r="A498" s="19" t="n"/>
      <c r="B498" s="20">
        <f>IF(A498="","",CHOOSE(WEEKDAY(A498,2),"Mo","Di","Mi","Do","Fr","Sa","So"))</f>
        <v/>
      </c>
      <c r="C498" s="20">
        <f>IF(A498="","",INT((A498-DATE(YEAR(A498-WEEKDAY(A498-1)+4),1,3)+WEEKDAY(DATE(YEAR(A498-WEEKDAY(A498-1)+4),1,3))+5)/7))</f>
        <v/>
      </c>
      <c r="D498" s="21" t="n"/>
      <c r="E498" s="22" t="n"/>
      <c r="F498" s="23" t="n"/>
      <c r="G498" s="23" t="n"/>
      <c r="H498" s="23" t="n"/>
      <c r="I498" s="20">
        <f>IF(COUNT(F498:H498)=0,"",SUM(F498:H498))</f>
        <v/>
      </c>
      <c r="J498" s="23" t="n"/>
      <c r="K498" s="23" t="n"/>
      <c r="L498" s="23" t="n"/>
      <c r="M498" s="23" t="n"/>
      <c r="N498" s="23" t="n"/>
      <c r="O498" s="20">
        <f>IF(OR(I498="",COUNT(J498:N498)=0),"",IF(SUM(J498:N498)=I498,"✓","⚠ "&amp;SUM(J498:N498)&amp;" statt "&amp;I498))</f>
        <v/>
      </c>
      <c r="P498" s="21" t="n"/>
      <c r="Q498" s="21" t="n"/>
      <c r="R498" s="21" t="n"/>
      <c r="S498" s="24" t="n"/>
      <c r="T498" s="24" t="n"/>
      <c r="V498">
        <f>IF(A498="","",MONTH(A498))</f>
        <v/>
      </c>
      <c r="W498">
        <f>N(W497)+IF(AND(C498&lt;&gt;"",T498&lt;&gt;""),IF(C498=WOCHE!$B$3,1,0),0)</f>
        <v/>
      </c>
      <c r="X498">
        <f>N(X497)+IF(AND(V498&lt;&gt;"",T498&lt;&gt;""),IF(V498=MONAT!$AZ$3,1,0),0)</f>
        <v/>
      </c>
    </row>
    <row r="499">
      <c r="A499" s="19" t="n"/>
      <c r="B499" s="20">
        <f>IF(A499="","",CHOOSE(WEEKDAY(A499,2),"Mo","Di","Mi","Do","Fr","Sa","So"))</f>
        <v/>
      </c>
      <c r="C499" s="20">
        <f>IF(A499="","",INT((A499-DATE(YEAR(A499-WEEKDAY(A499-1)+4),1,3)+WEEKDAY(DATE(YEAR(A499-WEEKDAY(A499-1)+4),1,3))+5)/7))</f>
        <v/>
      </c>
      <c r="D499" s="21" t="n"/>
      <c r="E499" s="22" t="n"/>
      <c r="F499" s="23" t="n"/>
      <c r="G499" s="23" t="n"/>
      <c r="H499" s="23" t="n"/>
      <c r="I499" s="20">
        <f>IF(COUNT(F499:H499)=0,"",SUM(F499:H499))</f>
        <v/>
      </c>
      <c r="J499" s="23" t="n"/>
      <c r="K499" s="23" t="n"/>
      <c r="L499" s="23" t="n"/>
      <c r="M499" s="23" t="n"/>
      <c r="N499" s="23" t="n"/>
      <c r="O499" s="20">
        <f>IF(OR(I499="",COUNT(J499:N499)=0),"",IF(SUM(J499:N499)=I499,"✓","⚠ "&amp;SUM(J499:N499)&amp;" statt "&amp;I499))</f>
        <v/>
      </c>
      <c r="P499" s="21" t="n"/>
      <c r="Q499" s="21" t="n"/>
      <c r="R499" s="21" t="n"/>
      <c r="S499" s="24" t="n"/>
      <c r="T499" s="24" t="n"/>
      <c r="V499">
        <f>IF(A499="","",MONTH(A499))</f>
        <v/>
      </c>
      <c r="W499">
        <f>N(W498)+IF(AND(C499&lt;&gt;"",T499&lt;&gt;""),IF(C499=WOCHE!$B$3,1,0),0)</f>
        <v/>
      </c>
      <c r="X499">
        <f>N(X498)+IF(AND(V499&lt;&gt;"",T499&lt;&gt;""),IF(V499=MONAT!$AZ$3,1,0),0)</f>
        <v/>
      </c>
    </row>
    <row r="500">
      <c r="A500" s="19" t="n"/>
      <c r="B500" s="20">
        <f>IF(A500="","",CHOOSE(WEEKDAY(A500,2),"Mo","Di","Mi","Do","Fr","Sa","So"))</f>
        <v/>
      </c>
      <c r="C500" s="20">
        <f>IF(A500="","",INT((A500-DATE(YEAR(A500-WEEKDAY(A500-1)+4),1,3)+WEEKDAY(DATE(YEAR(A500-WEEKDAY(A500-1)+4),1,3))+5)/7))</f>
        <v/>
      </c>
      <c r="D500" s="21" t="n"/>
      <c r="E500" s="22" t="n"/>
      <c r="F500" s="23" t="n"/>
      <c r="G500" s="23" t="n"/>
      <c r="H500" s="23" t="n"/>
      <c r="I500" s="20">
        <f>IF(COUNT(F500:H500)=0,"",SUM(F500:H500))</f>
        <v/>
      </c>
      <c r="J500" s="23" t="n"/>
      <c r="K500" s="23" t="n"/>
      <c r="L500" s="23" t="n"/>
      <c r="M500" s="23" t="n"/>
      <c r="N500" s="23" t="n"/>
      <c r="O500" s="20">
        <f>IF(OR(I500="",COUNT(J500:N500)=0),"",IF(SUM(J500:N500)=I500,"✓","⚠ "&amp;SUM(J500:N500)&amp;" statt "&amp;I500))</f>
        <v/>
      </c>
      <c r="P500" s="21" t="n"/>
      <c r="Q500" s="21" t="n"/>
      <c r="R500" s="21" t="n"/>
      <c r="S500" s="24" t="n"/>
      <c r="T500" s="24" t="n"/>
      <c r="V500">
        <f>IF(A500="","",MONTH(A500))</f>
        <v/>
      </c>
      <c r="W500">
        <f>N(W499)+IF(AND(C500&lt;&gt;"",T500&lt;&gt;""),IF(C500=WOCHE!$B$3,1,0),0)</f>
        <v/>
      </c>
      <c r="X500">
        <f>N(X499)+IF(AND(V500&lt;&gt;"",T500&lt;&gt;""),IF(V500=MONAT!$AZ$3,1,0),0)</f>
        <v/>
      </c>
    </row>
    <row r="501">
      <c r="A501" s="19" t="n"/>
      <c r="B501" s="20">
        <f>IF(A501="","",CHOOSE(WEEKDAY(A501,2),"Mo","Di","Mi","Do","Fr","Sa","So"))</f>
        <v/>
      </c>
      <c r="C501" s="20">
        <f>IF(A501="","",INT((A501-DATE(YEAR(A501-WEEKDAY(A501-1)+4),1,3)+WEEKDAY(DATE(YEAR(A501-WEEKDAY(A501-1)+4),1,3))+5)/7))</f>
        <v/>
      </c>
      <c r="D501" s="21" t="n"/>
      <c r="E501" s="22" t="n"/>
      <c r="F501" s="23" t="n"/>
      <c r="G501" s="23" t="n"/>
      <c r="H501" s="23" t="n"/>
      <c r="I501" s="20">
        <f>IF(COUNT(F501:H501)=0,"",SUM(F501:H501))</f>
        <v/>
      </c>
      <c r="J501" s="23" t="n"/>
      <c r="K501" s="23" t="n"/>
      <c r="L501" s="23" t="n"/>
      <c r="M501" s="23" t="n"/>
      <c r="N501" s="23" t="n"/>
      <c r="O501" s="20">
        <f>IF(OR(I501="",COUNT(J501:N501)=0),"",IF(SUM(J501:N501)=I501,"✓","⚠ "&amp;SUM(J501:N501)&amp;" statt "&amp;I501))</f>
        <v/>
      </c>
      <c r="P501" s="21" t="n"/>
      <c r="Q501" s="21" t="n"/>
      <c r="R501" s="21" t="n"/>
      <c r="S501" s="24" t="n"/>
      <c r="T501" s="24" t="n"/>
      <c r="V501">
        <f>IF(A501="","",MONTH(A501))</f>
        <v/>
      </c>
      <c r="W501">
        <f>N(W500)+IF(AND(C501&lt;&gt;"",T501&lt;&gt;""),IF(C501=WOCHE!$B$3,1,0),0)</f>
        <v/>
      </c>
      <c r="X501">
        <f>N(X500)+IF(AND(V501&lt;&gt;"",T501&lt;&gt;""),IF(V501=MONAT!$AZ$3,1,0),0)</f>
        <v/>
      </c>
    </row>
    <row r="502">
      <c r="A502" s="19" t="n"/>
      <c r="B502" s="20">
        <f>IF(A502="","",CHOOSE(WEEKDAY(A502,2),"Mo","Di","Mi","Do","Fr","Sa","So"))</f>
        <v/>
      </c>
      <c r="C502" s="20">
        <f>IF(A502="","",INT((A502-DATE(YEAR(A502-WEEKDAY(A502-1)+4),1,3)+WEEKDAY(DATE(YEAR(A502-WEEKDAY(A502-1)+4),1,3))+5)/7))</f>
        <v/>
      </c>
      <c r="D502" s="21" t="n"/>
      <c r="E502" s="22" t="n"/>
      <c r="F502" s="23" t="n"/>
      <c r="G502" s="23" t="n"/>
      <c r="H502" s="23" t="n"/>
      <c r="I502" s="20">
        <f>IF(COUNT(F502:H502)=0,"",SUM(F502:H502))</f>
        <v/>
      </c>
      <c r="J502" s="23" t="n"/>
      <c r="K502" s="23" t="n"/>
      <c r="L502" s="23" t="n"/>
      <c r="M502" s="23" t="n"/>
      <c r="N502" s="23" t="n"/>
      <c r="O502" s="20">
        <f>IF(OR(I502="",COUNT(J502:N502)=0),"",IF(SUM(J502:N502)=I502,"✓","⚠ "&amp;SUM(J502:N502)&amp;" statt "&amp;I502))</f>
        <v/>
      </c>
      <c r="P502" s="21" t="n"/>
      <c r="Q502" s="21" t="n"/>
      <c r="R502" s="21" t="n"/>
      <c r="S502" s="24" t="n"/>
      <c r="T502" s="24" t="n"/>
      <c r="V502">
        <f>IF(A502="","",MONTH(A502))</f>
        <v/>
      </c>
      <c r="W502">
        <f>N(W501)+IF(AND(C502&lt;&gt;"",T502&lt;&gt;""),IF(C502=WOCHE!$B$3,1,0),0)</f>
        <v/>
      </c>
      <c r="X502">
        <f>N(X501)+IF(AND(V502&lt;&gt;"",T502&lt;&gt;""),IF(V502=MONAT!$AZ$3,1,0),0)</f>
        <v/>
      </c>
    </row>
    <row r="503">
      <c r="A503" s="19" t="n"/>
      <c r="B503" s="20">
        <f>IF(A503="","",CHOOSE(WEEKDAY(A503,2),"Mo","Di","Mi","Do","Fr","Sa","So"))</f>
        <v/>
      </c>
      <c r="C503" s="20">
        <f>IF(A503="","",INT((A503-DATE(YEAR(A503-WEEKDAY(A503-1)+4),1,3)+WEEKDAY(DATE(YEAR(A503-WEEKDAY(A503-1)+4),1,3))+5)/7))</f>
        <v/>
      </c>
      <c r="D503" s="21" t="n"/>
      <c r="E503" s="22" t="n"/>
      <c r="F503" s="23" t="n"/>
      <c r="G503" s="23" t="n"/>
      <c r="H503" s="23" t="n"/>
      <c r="I503" s="20">
        <f>IF(COUNT(F503:H503)=0,"",SUM(F503:H503))</f>
        <v/>
      </c>
      <c r="J503" s="23" t="n"/>
      <c r="K503" s="23" t="n"/>
      <c r="L503" s="23" t="n"/>
      <c r="M503" s="23" t="n"/>
      <c r="N503" s="23" t="n"/>
      <c r="O503" s="20">
        <f>IF(OR(I503="",COUNT(J503:N503)=0),"",IF(SUM(J503:N503)=I503,"✓","⚠ "&amp;SUM(J503:N503)&amp;" statt "&amp;I503))</f>
        <v/>
      </c>
      <c r="P503" s="21" t="n"/>
      <c r="Q503" s="21" t="n"/>
      <c r="R503" s="21" t="n"/>
      <c r="S503" s="24" t="n"/>
      <c r="T503" s="24" t="n"/>
      <c r="V503">
        <f>IF(A503="","",MONTH(A503))</f>
        <v/>
      </c>
      <c r="W503">
        <f>N(W502)+IF(AND(C503&lt;&gt;"",T503&lt;&gt;""),IF(C503=WOCHE!$B$3,1,0),0)</f>
        <v/>
      </c>
      <c r="X503">
        <f>N(X502)+IF(AND(V503&lt;&gt;"",T503&lt;&gt;""),IF(V503=MONAT!$AZ$3,1,0),0)</f>
        <v/>
      </c>
    </row>
    <row r="504">
      <c r="A504" s="19" t="n"/>
      <c r="B504" s="20">
        <f>IF(A504="","",CHOOSE(WEEKDAY(A504,2),"Mo","Di","Mi","Do","Fr","Sa","So"))</f>
        <v/>
      </c>
      <c r="C504" s="20">
        <f>IF(A504="","",INT((A504-DATE(YEAR(A504-WEEKDAY(A504-1)+4),1,3)+WEEKDAY(DATE(YEAR(A504-WEEKDAY(A504-1)+4),1,3))+5)/7))</f>
        <v/>
      </c>
      <c r="D504" s="21" t="n"/>
      <c r="E504" s="22" t="n"/>
      <c r="F504" s="23" t="n"/>
      <c r="G504" s="23" t="n"/>
      <c r="H504" s="23" t="n"/>
      <c r="I504" s="20">
        <f>IF(COUNT(F504:H504)=0,"",SUM(F504:H504))</f>
        <v/>
      </c>
      <c r="J504" s="23" t="n"/>
      <c r="K504" s="23" t="n"/>
      <c r="L504" s="23" t="n"/>
      <c r="M504" s="23" t="n"/>
      <c r="N504" s="23" t="n"/>
      <c r="O504" s="20">
        <f>IF(OR(I504="",COUNT(J504:N504)=0),"",IF(SUM(J504:N504)=I504,"✓","⚠ "&amp;SUM(J504:N504)&amp;" statt "&amp;I504))</f>
        <v/>
      </c>
      <c r="P504" s="21" t="n"/>
      <c r="Q504" s="21" t="n"/>
      <c r="R504" s="21" t="n"/>
      <c r="S504" s="24" t="n"/>
      <c r="T504" s="24" t="n"/>
      <c r="V504">
        <f>IF(A504="","",MONTH(A504))</f>
        <v/>
      </c>
      <c r="W504">
        <f>N(W503)+IF(AND(C504&lt;&gt;"",T504&lt;&gt;""),IF(C504=WOCHE!$B$3,1,0),0)</f>
        <v/>
      </c>
      <c r="X504">
        <f>N(X503)+IF(AND(V504&lt;&gt;"",T504&lt;&gt;""),IF(V504=MONAT!$AZ$3,1,0),0)</f>
        <v/>
      </c>
    </row>
    <row r="505">
      <c r="A505" s="19" t="n"/>
      <c r="B505" s="20">
        <f>IF(A505="","",CHOOSE(WEEKDAY(A505,2),"Mo","Di","Mi","Do","Fr","Sa","So"))</f>
        <v/>
      </c>
      <c r="C505" s="20">
        <f>IF(A505="","",INT((A505-DATE(YEAR(A505-WEEKDAY(A505-1)+4),1,3)+WEEKDAY(DATE(YEAR(A505-WEEKDAY(A505-1)+4),1,3))+5)/7))</f>
        <v/>
      </c>
      <c r="D505" s="21" t="n"/>
      <c r="E505" s="22" t="n"/>
      <c r="F505" s="23" t="n"/>
      <c r="G505" s="23" t="n"/>
      <c r="H505" s="23" t="n"/>
      <c r="I505" s="20">
        <f>IF(COUNT(F505:H505)=0,"",SUM(F505:H505))</f>
        <v/>
      </c>
      <c r="J505" s="23" t="n"/>
      <c r="K505" s="23" t="n"/>
      <c r="L505" s="23" t="n"/>
      <c r="M505" s="23" t="n"/>
      <c r="N505" s="23" t="n"/>
      <c r="O505" s="20">
        <f>IF(OR(I505="",COUNT(J505:N505)=0),"",IF(SUM(J505:N505)=I505,"✓","⚠ "&amp;SUM(J505:N505)&amp;" statt "&amp;I505))</f>
        <v/>
      </c>
      <c r="P505" s="21" t="n"/>
      <c r="Q505" s="21" t="n"/>
      <c r="R505" s="21" t="n"/>
      <c r="S505" s="24" t="n"/>
      <c r="T505" s="24" t="n"/>
      <c r="V505">
        <f>IF(A505="","",MONTH(A505))</f>
        <v/>
      </c>
      <c r="W505">
        <f>N(W504)+IF(AND(C505&lt;&gt;"",T505&lt;&gt;""),IF(C505=WOCHE!$B$3,1,0),0)</f>
        <v/>
      </c>
      <c r="X505">
        <f>N(X504)+IF(AND(V505&lt;&gt;"",T505&lt;&gt;""),IF(V505=MONAT!$AZ$3,1,0),0)</f>
        <v/>
      </c>
    </row>
    <row r="506">
      <c r="A506" s="19" t="n"/>
      <c r="B506" s="20">
        <f>IF(A506="","",CHOOSE(WEEKDAY(A506,2),"Mo","Di","Mi","Do","Fr","Sa","So"))</f>
        <v/>
      </c>
      <c r="C506" s="20">
        <f>IF(A506="","",INT((A506-DATE(YEAR(A506-WEEKDAY(A506-1)+4),1,3)+WEEKDAY(DATE(YEAR(A506-WEEKDAY(A506-1)+4),1,3))+5)/7))</f>
        <v/>
      </c>
      <c r="D506" s="21" t="n"/>
      <c r="E506" s="22" t="n"/>
      <c r="F506" s="23" t="n"/>
      <c r="G506" s="23" t="n"/>
      <c r="H506" s="23" t="n"/>
      <c r="I506" s="20">
        <f>IF(COUNT(F506:H506)=0,"",SUM(F506:H506))</f>
        <v/>
      </c>
      <c r="J506" s="23" t="n"/>
      <c r="K506" s="23" t="n"/>
      <c r="L506" s="23" t="n"/>
      <c r="M506" s="23" t="n"/>
      <c r="N506" s="23" t="n"/>
      <c r="O506" s="20">
        <f>IF(OR(I506="",COUNT(J506:N506)=0),"",IF(SUM(J506:N506)=I506,"✓","⚠ "&amp;SUM(J506:N506)&amp;" statt "&amp;I506))</f>
        <v/>
      </c>
      <c r="P506" s="21" t="n"/>
      <c r="Q506" s="21" t="n"/>
      <c r="R506" s="21" t="n"/>
      <c r="S506" s="24" t="n"/>
      <c r="T506" s="24" t="n"/>
      <c r="V506">
        <f>IF(A506="","",MONTH(A506))</f>
        <v/>
      </c>
      <c r="W506">
        <f>N(W505)+IF(AND(C506&lt;&gt;"",T506&lt;&gt;""),IF(C506=WOCHE!$B$3,1,0),0)</f>
        <v/>
      </c>
      <c r="X506">
        <f>N(X505)+IF(AND(V506&lt;&gt;"",T506&lt;&gt;""),IF(V506=MONAT!$AZ$3,1,0),0)</f>
        <v/>
      </c>
    </row>
    <row r="507">
      <c r="A507" s="19" t="n"/>
      <c r="B507" s="20">
        <f>IF(A507="","",CHOOSE(WEEKDAY(A507,2),"Mo","Di","Mi","Do","Fr","Sa","So"))</f>
        <v/>
      </c>
      <c r="C507" s="20">
        <f>IF(A507="","",INT((A507-DATE(YEAR(A507-WEEKDAY(A507-1)+4),1,3)+WEEKDAY(DATE(YEAR(A507-WEEKDAY(A507-1)+4),1,3))+5)/7))</f>
        <v/>
      </c>
      <c r="D507" s="21" t="n"/>
      <c r="E507" s="22" t="n"/>
      <c r="F507" s="23" t="n"/>
      <c r="G507" s="23" t="n"/>
      <c r="H507" s="23" t="n"/>
      <c r="I507" s="20">
        <f>IF(COUNT(F507:H507)=0,"",SUM(F507:H507))</f>
        <v/>
      </c>
      <c r="J507" s="23" t="n"/>
      <c r="K507" s="23" t="n"/>
      <c r="L507" s="23" t="n"/>
      <c r="M507" s="23" t="n"/>
      <c r="N507" s="23" t="n"/>
      <c r="O507" s="20">
        <f>IF(OR(I507="",COUNT(J507:N507)=0),"",IF(SUM(J507:N507)=I507,"✓","⚠ "&amp;SUM(J507:N507)&amp;" statt "&amp;I507))</f>
        <v/>
      </c>
      <c r="P507" s="21" t="n"/>
      <c r="Q507" s="21" t="n"/>
      <c r="R507" s="21" t="n"/>
      <c r="S507" s="24" t="n"/>
      <c r="T507" s="24" t="n"/>
      <c r="V507">
        <f>IF(A507="","",MONTH(A507))</f>
        <v/>
      </c>
      <c r="W507">
        <f>N(W506)+IF(AND(C507&lt;&gt;"",T507&lt;&gt;""),IF(C507=WOCHE!$B$3,1,0),0)</f>
        <v/>
      </c>
      <c r="X507">
        <f>N(X506)+IF(AND(V507&lt;&gt;"",T507&lt;&gt;""),IF(V507=MONAT!$AZ$3,1,0),0)</f>
        <v/>
      </c>
    </row>
    <row r="508">
      <c r="A508" s="19" t="n"/>
      <c r="B508" s="20">
        <f>IF(A508="","",CHOOSE(WEEKDAY(A508,2),"Mo","Di","Mi","Do","Fr","Sa","So"))</f>
        <v/>
      </c>
      <c r="C508" s="20">
        <f>IF(A508="","",INT((A508-DATE(YEAR(A508-WEEKDAY(A508-1)+4),1,3)+WEEKDAY(DATE(YEAR(A508-WEEKDAY(A508-1)+4),1,3))+5)/7))</f>
        <v/>
      </c>
      <c r="D508" s="21" t="n"/>
      <c r="E508" s="22" t="n"/>
      <c r="F508" s="23" t="n"/>
      <c r="G508" s="23" t="n"/>
      <c r="H508" s="23" t="n"/>
      <c r="I508" s="20">
        <f>IF(COUNT(F508:H508)=0,"",SUM(F508:H508))</f>
        <v/>
      </c>
      <c r="J508" s="23" t="n"/>
      <c r="K508" s="23" t="n"/>
      <c r="L508" s="23" t="n"/>
      <c r="M508" s="23" t="n"/>
      <c r="N508" s="23" t="n"/>
      <c r="O508" s="20">
        <f>IF(OR(I508="",COUNT(J508:N508)=0),"",IF(SUM(J508:N508)=I508,"✓","⚠ "&amp;SUM(J508:N508)&amp;" statt "&amp;I508))</f>
        <v/>
      </c>
      <c r="P508" s="21" t="n"/>
      <c r="Q508" s="21" t="n"/>
      <c r="R508" s="21" t="n"/>
      <c r="S508" s="24" t="n"/>
      <c r="T508" s="24" t="n"/>
      <c r="V508">
        <f>IF(A508="","",MONTH(A508))</f>
        <v/>
      </c>
      <c r="W508">
        <f>N(W507)+IF(AND(C508&lt;&gt;"",T508&lt;&gt;""),IF(C508=WOCHE!$B$3,1,0),0)</f>
        <v/>
      </c>
      <c r="X508">
        <f>N(X507)+IF(AND(V508&lt;&gt;"",T508&lt;&gt;""),IF(V508=MONAT!$AZ$3,1,0),0)</f>
        <v/>
      </c>
    </row>
    <row r="509">
      <c r="A509" s="19" t="n"/>
      <c r="B509" s="20">
        <f>IF(A509="","",CHOOSE(WEEKDAY(A509,2),"Mo","Di","Mi","Do","Fr","Sa","So"))</f>
        <v/>
      </c>
      <c r="C509" s="20">
        <f>IF(A509="","",INT((A509-DATE(YEAR(A509-WEEKDAY(A509-1)+4),1,3)+WEEKDAY(DATE(YEAR(A509-WEEKDAY(A509-1)+4),1,3))+5)/7))</f>
        <v/>
      </c>
      <c r="D509" s="21" t="n"/>
      <c r="E509" s="22" t="n"/>
      <c r="F509" s="23" t="n"/>
      <c r="G509" s="23" t="n"/>
      <c r="H509" s="23" t="n"/>
      <c r="I509" s="20">
        <f>IF(COUNT(F509:H509)=0,"",SUM(F509:H509))</f>
        <v/>
      </c>
      <c r="J509" s="23" t="n"/>
      <c r="K509" s="23" t="n"/>
      <c r="L509" s="23" t="n"/>
      <c r="M509" s="23" t="n"/>
      <c r="N509" s="23" t="n"/>
      <c r="O509" s="20">
        <f>IF(OR(I509="",COUNT(J509:N509)=0),"",IF(SUM(J509:N509)=I509,"✓","⚠ "&amp;SUM(J509:N509)&amp;" statt "&amp;I509))</f>
        <v/>
      </c>
      <c r="P509" s="21" t="n"/>
      <c r="Q509" s="21" t="n"/>
      <c r="R509" s="21" t="n"/>
      <c r="S509" s="24" t="n"/>
      <c r="T509" s="24" t="n"/>
      <c r="V509">
        <f>IF(A509="","",MONTH(A509))</f>
        <v/>
      </c>
      <c r="W509">
        <f>N(W508)+IF(AND(C509&lt;&gt;"",T509&lt;&gt;""),IF(C509=WOCHE!$B$3,1,0),0)</f>
        <v/>
      </c>
      <c r="X509">
        <f>N(X508)+IF(AND(V509&lt;&gt;"",T509&lt;&gt;""),IF(V509=MONAT!$AZ$3,1,0),0)</f>
        <v/>
      </c>
    </row>
    <row r="510">
      <c r="A510" s="19" t="n"/>
      <c r="B510" s="20">
        <f>IF(A510="","",CHOOSE(WEEKDAY(A510,2),"Mo","Di","Mi","Do","Fr","Sa","So"))</f>
        <v/>
      </c>
      <c r="C510" s="20">
        <f>IF(A510="","",INT((A510-DATE(YEAR(A510-WEEKDAY(A510-1)+4),1,3)+WEEKDAY(DATE(YEAR(A510-WEEKDAY(A510-1)+4),1,3))+5)/7))</f>
        <v/>
      </c>
      <c r="D510" s="21" t="n"/>
      <c r="E510" s="22" t="n"/>
      <c r="F510" s="23" t="n"/>
      <c r="G510" s="23" t="n"/>
      <c r="H510" s="23" t="n"/>
      <c r="I510" s="20">
        <f>IF(COUNT(F510:H510)=0,"",SUM(F510:H510))</f>
        <v/>
      </c>
      <c r="J510" s="23" t="n"/>
      <c r="K510" s="23" t="n"/>
      <c r="L510" s="23" t="n"/>
      <c r="M510" s="23" t="n"/>
      <c r="N510" s="23" t="n"/>
      <c r="O510" s="20">
        <f>IF(OR(I510="",COUNT(J510:N510)=0),"",IF(SUM(J510:N510)=I510,"✓","⚠ "&amp;SUM(J510:N510)&amp;" statt "&amp;I510))</f>
        <v/>
      </c>
      <c r="P510" s="21" t="n"/>
      <c r="Q510" s="21" t="n"/>
      <c r="R510" s="21" t="n"/>
      <c r="S510" s="24" t="n"/>
      <c r="T510" s="24" t="n"/>
      <c r="V510">
        <f>IF(A510="","",MONTH(A510))</f>
        <v/>
      </c>
      <c r="W510">
        <f>N(W509)+IF(AND(C510&lt;&gt;"",T510&lt;&gt;""),IF(C510=WOCHE!$B$3,1,0),0)</f>
        <v/>
      </c>
      <c r="X510">
        <f>N(X509)+IF(AND(V510&lt;&gt;"",T510&lt;&gt;""),IF(V510=MONAT!$AZ$3,1,0),0)</f>
        <v/>
      </c>
    </row>
    <row r="511">
      <c r="A511" s="19" t="n"/>
      <c r="B511" s="20">
        <f>IF(A511="","",CHOOSE(WEEKDAY(A511,2),"Mo","Di","Mi","Do","Fr","Sa","So"))</f>
        <v/>
      </c>
      <c r="C511" s="20">
        <f>IF(A511="","",INT((A511-DATE(YEAR(A511-WEEKDAY(A511-1)+4),1,3)+WEEKDAY(DATE(YEAR(A511-WEEKDAY(A511-1)+4),1,3))+5)/7))</f>
        <v/>
      </c>
      <c r="D511" s="21" t="n"/>
      <c r="E511" s="22" t="n"/>
      <c r="F511" s="23" t="n"/>
      <c r="G511" s="23" t="n"/>
      <c r="H511" s="23" t="n"/>
      <c r="I511" s="20">
        <f>IF(COUNT(F511:H511)=0,"",SUM(F511:H511))</f>
        <v/>
      </c>
      <c r="J511" s="23" t="n"/>
      <c r="K511" s="23" t="n"/>
      <c r="L511" s="23" t="n"/>
      <c r="M511" s="23" t="n"/>
      <c r="N511" s="23" t="n"/>
      <c r="O511" s="20">
        <f>IF(OR(I511="",COUNT(J511:N511)=0),"",IF(SUM(J511:N511)=I511,"✓","⚠ "&amp;SUM(J511:N511)&amp;" statt "&amp;I511))</f>
        <v/>
      </c>
      <c r="P511" s="21" t="n"/>
      <c r="Q511" s="21" t="n"/>
      <c r="R511" s="21" t="n"/>
      <c r="S511" s="24" t="n"/>
      <c r="T511" s="24" t="n"/>
      <c r="V511">
        <f>IF(A511="","",MONTH(A511))</f>
        <v/>
      </c>
      <c r="W511">
        <f>N(W510)+IF(AND(C511&lt;&gt;"",T511&lt;&gt;""),IF(C511=WOCHE!$B$3,1,0),0)</f>
        <v/>
      </c>
      <c r="X511">
        <f>N(X510)+IF(AND(V511&lt;&gt;"",T511&lt;&gt;""),IF(V511=MONAT!$AZ$3,1,0),0)</f>
        <v/>
      </c>
    </row>
    <row r="512">
      <c r="A512" s="19" t="n"/>
      <c r="B512" s="20">
        <f>IF(A512="","",CHOOSE(WEEKDAY(A512,2),"Mo","Di","Mi","Do","Fr","Sa","So"))</f>
        <v/>
      </c>
      <c r="C512" s="20">
        <f>IF(A512="","",INT((A512-DATE(YEAR(A512-WEEKDAY(A512-1)+4),1,3)+WEEKDAY(DATE(YEAR(A512-WEEKDAY(A512-1)+4),1,3))+5)/7))</f>
        <v/>
      </c>
      <c r="D512" s="21" t="n"/>
      <c r="E512" s="22" t="n"/>
      <c r="F512" s="23" t="n"/>
      <c r="G512" s="23" t="n"/>
      <c r="H512" s="23" t="n"/>
      <c r="I512" s="20">
        <f>IF(COUNT(F512:H512)=0,"",SUM(F512:H512))</f>
        <v/>
      </c>
      <c r="J512" s="23" t="n"/>
      <c r="K512" s="23" t="n"/>
      <c r="L512" s="23" t="n"/>
      <c r="M512" s="23" t="n"/>
      <c r="N512" s="23" t="n"/>
      <c r="O512" s="20">
        <f>IF(OR(I512="",COUNT(J512:N512)=0),"",IF(SUM(J512:N512)=I512,"✓","⚠ "&amp;SUM(J512:N512)&amp;" statt "&amp;I512))</f>
        <v/>
      </c>
      <c r="P512" s="21" t="n"/>
      <c r="Q512" s="21" t="n"/>
      <c r="R512" s="21" t="n"/>
      <c r="S512" s="24" t="n"/>
      <c r="T512" s="24" t="n"/>
      <c r="V512">
        <f>IF(A512="","",MONTH(A512))</f>
        <v/>
      </c>
      <c r="W512">
        <f>N(W511)+IF(AND(C512&lt;&gt;"",T512&lt;&gt;""),IF(C512=WOCHE!$B$3,1,0),0)</f>
        <v/>
      </c>
      <c r="X512">
        <f>N(X511)+IF(AND(V512&lt;&gt;"",T512&lt;&gt;""),IF(V512=MONAT!$AZ$3,1,0),0)</f>
        <v/>
      </c>
    </row>
    <row r="513">
      <c r="A513" s="19" t="n"/>
      <c r="B513" s="20">
        <f>IF(A513="","",CHOOSE(WEEKDAY(A513,2),"Mo","Di","Mi","Do","Fr","Sa","So"))</f>
        <v/>
      </c>
      <c r="C513" s="20">
        <f>IF(A513="","",INT((A513-DATE(YEAR(A513-WEEKDAY(A513-1)+4),1,3)+WEEKDAY(DATE(YEAR(A513-WEEKDAY(A513-1)+4),1,3))+5)/7))</f>
        <v/>
      </c>
      <c r="D513" s="21" t="n"/>
      <c r="E513" s="22" t="n"/>
      <c r="F513" s="23" t="n"/>
      <c r="G513" s="23" t="n"/>
      <c r="H513" s="23" t="n"/>
      <c r="I513" s="20">
        <f>IF(COUNT(F513:H513)=0,"",SUM(F513:H513))</f>
        <v/>
      </c>
      <c r="J513" s="23" t="n"/>
      <c r="K513" s="23" t="n"/>
      <c r="L513" s="23" t="n"/>
      <c r="M513" s="23" t="n"/>
      <c r="N513" s="23" t="n"/>
      <c r="O513" s="20">
        <f>IF(OR(I513="",COUNT(J513:N513)=0),"",IF(SUM(J513:N513)=I513,"✓","⚠ "&amp;SUM(J513:N513)&amp;" statt "&amp;I513))</f>
        <v/>
      </c>
      <c r="P513" s="21" t="n"/>
      <c r="Q513" s="21" t="n"/>
      <c r="R513" s="21" t="n"/>
      <c r="S513" s="24" t="n"/>
      <c r="T513" s="24" t="n"/>
      <c r="V513">
        <f>IF(A513="","",MONTH(A513))</f>
        <v/>
      </c>
      <c r="W513">
        <f>N(W512)+IF(AND(C513&lt;&gt;"",T513&lt;&gt;""),IF(C513=WOCHE!$B$3,1,0),0)</f>
        <v/>
      </c>
      <c r="X513">
        <f>N(X512)+IF(AND(V513&lt;&gt;"",T513&lt;&gt;""),IF(V513=MONAT!$AZ$3,1,0),0)</f>
        <v/>
      </c>
    </row>
    <row r="514">
      <c r="A514" s="19" t="n"/>
      <c r="B514" s="20">
        <f>IF(A514="","",CHOOSE(WEEKDAY(A514,2),"Mo","Di","Mi","Do","Fr","Sa","So"))</f>
        <v/>
      </c>
      <c r="C514" s="20">
        <f>IF(A514="","",INT((A514-DATE(YEAR(A514-WEEKDAY(A514-1)+4),1,3)+WEEKDAY(DATE(YEAR(A514-WEEKDAY(A514-1)+4),1,3))+5)/7))</f>
        <v/>
      </c>
      <c r="D514" s="21" t="n"/>
      <c r="E514" s="22" t="n"/>
      <c r="F514" s="23" t="n"/>
      <c r="G514" s="23" t="n"/>
      <c r="H514" s="23" t="n"/>
      <c r="I514" s="20">
        <f>IF(COUNT(F514:H514)=0,"",SUM(F514:H514))</f>
        <v/>
      </c>
      <c r="J514" s="23" t="n"/>
      <c r="K514" s="23" t="n"/>
      <c r="L514" s="23" t="n"/>
      <c r="M514" s="23" t="n"/>
      <c r="N514" s="23" t="n"/>
      <c r="O514" s="20">
        <f>IF(OR(I514="",COUNT(J514:N514)=0),"",IF(SUM(J514:N514)=I514,"✓","⚠ "&amp;SUM(J514:N514)&amp;" statt "&amp;I514))</f>
        <v/>
      </c>
      <c r="P514" s="21" t="n"/>
      <c r="Q514" s="21" t="n"/>
      <c r="R514" s="21" t="n"/>
      <c r="S514" s="24" t="n"/>
      <c r="T514" s="24" t="n"/>
      <c r="V514">
        <f>IF(A514="","",MONTH(A514))</f>
        <v/>
      </c>
      <c r="W514">
        <f>N(W513)+IF(AND(C514&lt;&gt;"",T514&lt;&gt;""),IF(C514=WOCHE!$B$3,1,0),0)</f>
        <v/>
      </c>
      <c r="X514">
        <f>N(X513)+IF(AND(V514&lt;&gt;"",T514&lt;&gt;""),IF(V514=MONAT!$AZ$3,1,0),0)</f>
        <v/>
      </c>
    </row>
    <row r="515">
      <c r="A515" s="19" t="n"/>
      <c r="B515" s="20">
        <f>IF(A515="","",CHOOSE(WEEKDAY(A515,2),"Mo","Di","Mi","Do","Fr","Sa","So"))</f>
        <v/>
      </c>
      <c r="C515" s="20">
        <f>IF(A515="","",INT((A515-DATE(YEAR(A515-WEEKDAY(A515-1)+4),1,3)+WEEKDAY(DATE(YEAR(A515-WEEKDAY(A515-1)+4),1,3))+5)/7))</f>
        <v/>
      </c>
      <c r="D515" s="21" t="n"/>
      <c r="E515" s="22" t="n"/>
      <c r="F515" s="23" t="n"/>
      <c r="G515" s="23" t="n"/>
      <c r="H515" s="23" t="n"/>
      <c r="I515" s="20">
        <f>IF(COUNT(F515:H515)=0,"",SUM(F515:H515))</f>
        <v/>
      </c>
      <c r="J515" s="23" t="n"/>
      <c r="K515" s="23" t="n"/>
      <c r="L515" s="23" t="n"/>
      <c r="M515" s="23" t="n"/>
      <c r="N515" s="23" t="n"/>
      <c r="O515" s="20">
        <f>IF(OR(I515="",COUNT(J515:N515)=0),"",IF(SUM(J515:N515)=I515,"✓","⚠ "&amp;SUM(J515:N515)&amp;" statt "&amp;I515))</f>
        <v/>
      </c>
      <c r="P515" s="21" t="n"/>
      <c r="Q515" s="21" t="n"/>
      <c r="R515" s="21" t="n"/>
      <c r="S515" s="24" t="n"/>
      <c r="T515" s="24" t="n"/>
      <c r="V515">
        <f>IF(A515="","",MONTH(A515))</f>
        <v/>
      </c>
      <c r="W515">
        <f>N(W514)+IF(AND(C515&lt;&gt;"",T515&lt;&gt;""),IF(C515=WOCHE!$B$3,1,0),0)</f>
        <v/>
      </c>
      <c r="X515">
        <f>N(X514)+IF(AND(V515&lt;&gt;"",T515&lt;&gt;""),IF(V515=MONAT!$AZ$3,1,0),0)</f>
        <v/>
      </c>
    </row>
    <row r="516">
      <c r="A516" s="19" t="n"/>
      <c r="B516" s="20">
        <f>IF(A516="","",CHOOSE(WEEKDAY(A516,2),"Mo","Di","Mi","Do","Fr","Sa","So"))</f>
        <v/>
      </c>
      <c r="C516" s="20">
        <f>IF(A516="","",INT((A516-DATE(YEAR(A516-WEEKDAY(A516-1)+4),1,3)+WEEKDAY(DATE(YEAR(A516-WEEKDAY(A516-1)+4),1,3))+5)/7))</f>
        <v/>
      </c>
      <c r="D516" s="21" t="n"/>
      <c r="E516" s="22" t="n"/>
      <c r="F516" s="23" t="n"/>
      <c r="G516" s="23" t="n"/>
      <c r="H516" s="23" t="n"/>
      <c r="I516" s="20">
        <f>IF(COUNT(F516:H516)=0,"",SUM(F516:H516))</f>
        <v/>
      </c>
      <c r="J516" s="23" t="n"/>
      <c r="K516" s="23" t="n"/>
      <c r="L516" s="23" t="n"/>
      <c r="M516" s="23" t="n"/>
      <c r="N516" s="23" t="n"/>
      <c r="O516" s="20">
        <f>IF(OR(I516="",COUNT(J516:N516)=0),"",IF(SUM(J516:N516)=I516,"✓","⚠ "&amp;SUM(J516:N516)&amp;" statt "&amp;I516))</f>
        <v/>
      </c>
      <c r="P516" s="21" t="n"/>
      <c r="Q516" s="21" t="n"/>
      <c r="R516" s="21" t="n"/>
      <c r="S516" s="24" t="n"/>
      <c r="T516" s="24" t="n"/>
      <c r="V516">
        <f>IF(A516="","",MONTH(A516))</f>
        <v/>
      </c>
      <c r="W516">
        <f>N(W515)+IF(AND(C516&lt;&gt;"",T516&lt;&gt;""),IF(C516=WOCHE!$B$3,1,0),0)</f>
        <v/>
      </c>
      <c r="X516">
        <f>N(X515)+IF(AND(V516&lt;&gt;"",T516&lt;&gt;""),IF(V516=MONAT!$AZ$3,1,0),0)</f>
        <v/>
      </c>
    </row>
    <row r="517">
      <c r="A517" s="19" t="n"/>
      <c r="B517" s="20">
        <f>IF(A517="","",CHOOSE(WEEKDAY(A517,2),"Mo","Di","Mi","Do","Fr","Sa","So"))</f>
        <v/>
      </c>
      <c r="C517" s="20">
        <f>IF(A517="","",INT((A517-DATE(YEAR(A517-WEEKDAY(A517-1)+4),1,3)+WEEKDAY(DATE(YEAR(A517-WEEKDAY(A517-1)+4),1,3))+5)/7))</f>
        <v/>
      </c>
      <c r="D517" s="21" t="n"/>
      <c r="E517" s="22" t="n"/>
      <c r="F517" s="23" t="n"/>
      <c r="G517" s="23" t="n"/>
      <c r="H517" s="23" t="n"/>
      <c r="I517" s="20">
        <f>IF(COUNT(F517:H517)=0,"",SUM(F517:H517))</f>
        <v/>
      </c>
      <c r="J517" s="23" t="n"/>
      <c r="K517" s="23" t="n"/>
      <c r="L517" s="23" t="n"/>
      <c r="M517" s="23" t="n"/>
      <c r="N517" s="23" t="n"/>
      <c r="O517" s="20">
        <f>IF(OR(I517="",COUNT(J517:N517)=0),"",IF(SUM(J517:N517)=I517,"✓","⚠ "&amp;SUM(J517:N517)&amp;" statt "&amp;I517))</f>
        <v/>
      </c>
      <c r="P517" s="21" t="n"/>
      <c r="Q517" s="21" t="n"/>
      <c r="R517" s="21" t="n"/>
      <c r="S517" s="24" t="n"/>
      <c r="T517" s="24" t="n"/>
      <c r="V517">
        <f>IF(A517="","",MONTH(A517))</f>
        <v/>
      </c>
      <c r="W517">
        <f>N(W516)+IF(AND(C517&lt;&gt;"",T517&lt;&gt;""),IF(C517=WOCHE!$B$3,1,0),0)</f>
        <v/>
      </c>
      <c r="X517">
        <f>N(X516)+IF(AND(V517&lt;&gt;"",T517&lt;&gt;""),IF(V517=MONAT!$AZ$3,1,0),0)</f>
        <v/>
      </c>
    </row>
    <row r="518">
      <c r="A518" s="19" t="n"/>
      <c r="B518" s="20">
        <f>IF(A518="","",CHOOSE(WEEKDAY(A518,2),"Mo","Di","Mi","Do","Fr","Sa","So"))</f>
        <v/>
      </c>
      <c r="C518" s="20">
        <f>IF(A518="","",INT((A518-DATE(YEAR(A518-WEEKDAY(A518-1)+4),1,3)+WEEKDAY(DATE(YEAR(A518-WEEKDAY(A518-1)+4),1,3))+5)/7))</f>
        <v/>
      </c>
      <c r="D518" s="21" t="n"/>
      <c r="E518" s="22" t="n"/>
      <c r="F518" s="23" t="n"/>
      <c r="G518" s="23" t="n"/>
      <c r="H518" s="23" t="n"/>
      <c r="I518" s="20">
        <f>IF(COUNT(F518:H518)=0,"",SUM(F518:H518))</f>
        <v/>
      </c>
      <c r="J518" s="23" t="n"/>
      <c r="K518" s="23" t="n"/>
      <c r="L518" s="23" t="n"/>
      <c r="M518" s="23" t="n"/>
      <c r="N518" s="23" t="n"/>
      <c r="O518" s="20">
        <f>IF(OR(I518="",COUNT(J518:N518)=0),"",IF(SUM(J518:N518)=I518,"✓","⚠ "&amp;SUM(J518:N518)&amp;" statt "&amp;I518))</f>
        <v/>
      </c>
      <c r="P518" s="21" t="n"/>
      <c r="Q518" s="21" t="n"/>
      <c r="R518" s="21" t="n"/>
      <c r="S518" s="24" t="n"/>
      <c r="T518" s="24" t="n"/>
      <c r="V518">
        <f>IF(A518="","",MONTH(A518))</f>
        <v/>
      </c>
      <c r="W518">
        <f>N(W517)+IF(AND(C518&lt;&gt;"",T518&lt;&gt;""),IF(C518=WOCHE!$B$3,1,0),0)</f>
        <v/>
      </c>
      <c r="X518">
        <f>N(X517)+IF(AND(V518&lt;&gt;"",T518&lt;&gt;""),IF(V518=MONAT!$AZ$3,1,0),0)</f>
        <v/>
      </c>
    </row>
    <row r="519">
      <c r="A519" s="19" t="n"/>
      <c r="B519" s="20">
        <f>IF(A519="","",CHOOSE(WEEKDAY(A519,2),"Mo","Di","Mi","Do","Fr","Sa","So"))</f>
        <v/>
      </c>
      <c r="C519" s="20">
        <f>IF(A519="","",INT((A519-DATE(YEAR(A519-WEEKDAY(A519-1)+4),1,3)+WEEKDAY(DATE(YEAR(A519-WEEKDAY(A519-1)+4),1,3))+5)/7))</f>
        <v/>
      </c>
      <c r="D519" s="21" t="n"/>
      <c r="E519" s="22" t="n"/>
      <c r="F519" s="23" t="n"/>
      <c r="G519" s="23" t="n"/>
      <c r="H519" s="23" t="n"/>
      <c r="I519" s="20">
        <f>IF(COUNT(F519:H519)=0,"",SUM(F519:H519))</f>
        <v/>
      </c>
      <c r="J519" s="23" t="n"/>
      <c r="K519" s="23" t="n"/>
      <c r="L519" s="23" t="n"/>
      <c r="M519" s="23" t="n"/>
      <c r="N519" s="23" t="n"/>
      <c r="O519" s="20">
        <f>IF(OR(I519="",COUNT(J519:N519)=0),"",IF(SUM(J519:N519)=I519,"✓","⚠ "&amp;SUM(J519:N519)&amp;" statt "&amp;I519))</f>
        <v/>
      </c>
      <c r="P519" s="21" t="n"/>
      <c r="Q519" s="21" t="n"/>
      <c r="R519" s="21" t="n"/>
      <c r="S519" s="24" t="n"/>
      <c r="T519" s="24" t="n"/>
      <c r="V519">
        <f>IF(A519="","",MONTH(A519))</f>
        <v/>
      </c>
      <c r="W519">
        <f>N(W518)+IF(AND(C519&lt;&gt;"",T519&lt;&gt;""),IF(C519=WOCHE!$B$3,1,0),0)</f>
        <v/>
      </c>
      <c r="X519">
        <f>N(X518)+IF(AND(V519&lt;&gt;"",T519&lt;&gt;""),IF(V519=MONAT!$AZ$3,1,0),0)</f>
        <v/>
      </c>
    </row>
    <row r="520">
      <c r="A520" s="19" t="n"/>
      <c r="B520" s="20">
        <f>IF(A520="","",CHOOSE(WEEKDAY(A520,2),"Mo","Di","Mi","Do","Fr","Sa","So"))</f>
        <v/>
      </c>
      <c r="C520" s="20">
        <f>IF(A520="","",INT((A520-DATE(YEAR(A520-WEEKDAY(A520-1)+4),1,3)+WEEKDAY(DATE(YEAR(A520-WEEKDAY(A520-1)+4),1,3))+5)/7))</f>
        <v/>
      </c>
      <c r="D520" s="21" t="n"/>
      <c r="E520" s="22" t="n"/>
      <c r="F520" s="23" t="n"/>
      <c r="G520" s="23" t="n"/>
      <c r="H520" s="23" t="n"/>
      <c r="I520" s="20">
        <f>IF(COUNT(F520:H520)=0,"",SUM(F520:H520))</f>
        <v/>
      </c>
      <c r="J520" s="23" t="n"/>
      <c r="K520" s="23" t="n"/>
      <c r="L520" s="23" t="n"/>
      <c r="M520" s="23" t="n"/>
      <c r="N520" s="23" t="n"/>
      <c r="O520" s="20">
        <f>IF(OR(I520="",COUNT(J520:N520)=0),"",IF(SUM(J520:N520)=I520,"✓","⚠ "&amp;SUM(J520:N520)&amp;" statt "&amp;I520))</f>
        <v/>
      </c>
      <c r="P520" s="21" t="n"/>
      <c r="Q520" s="21" t="n"/>
      <c r="R520" s="21" t="n"/>
      <c r="S520" s="24" t="n"/>
      <c r="T520" s="24" t="n"/>
      <c r="V520">
        <f>IF(A520="","",MONTH(A520))</f>
        <v/>
      </c>
      <c r="W520">
        <f>N(W519)+IF(AND(C520&lt;&gt;"",T520&lt;&gt;""),IF(C520=WOCHE!$B$3,1,0),0)</f>
        <v/>
      </c>
      <c r="X520">
        <f>N(X519)+IF(AND(V520&lt;&gt;"",T520&lt;&gt;""),IF(V520=MONAT!$AZ$3,1,0),0)</f>
        <v/>
      </c>
    </row>
    <row r="521">
      <c r="A521" s="19" t="n"/>
      <c r="B521" s="20">
        <f>IF(A521="","",CHOOSE(WEEKDAY(A521,2),"Mo","Di","Mi","Do","Fr","Sa","So"))</f>
        <v/>
      </c>
      <c r="C521" s="20">
        <f>IF(A521="","",INT((A521-DATE(YEAR(A521-WEEKDAY(A521-1)+4),1,3)+WEEKDAY(DATE(YEAR(A521-WEEKDAY(A521-1)+4),1,3))+5)/7))</f>
        <v/>
      </c>
      <c r="D521" s="21" t="n"/>
      <c r="E521" s="22" t="n"/>
      <c r="F521" s="23" t="n"/>
      <c r="G521" s="23" t="n"/>
      <c r="H521" s="23" t="n"/>
      <c r="I521" s="20">
        <f>IF(COUNT(F521:H521)=0,"",SUM(F521:H521))</f>
        <v/>
      </c>
      <c r="J521" s="23" t="n"/>
      <c r="K521" s="23" t="n"/>
      <c r="L521" s="23" t="n"/>
      <c r="M521" s="23" t="n"/>
      <c r="N521" s="23" t="n"/>
      <c r="O521" s="20">
        <f>IF(OR(I521="",COUNT(J521:N521)=0),"",IF(SUM(J521:N521)=I521,"✓","⚠ "&amp;SUM(J521:N521)&amp;" statt "&amp;I521))</f>
        <v/>
      </c>
      <c r="P521" s="21" t="n"/>
      <c r="Q521" s="21" t="n"/>
      <c r="R521" s="21" t="n"/>
      <c r="S521" s="24" t="n"/>
      <c r="T521" s="24" t="n"/>
      <c r="V521">
        <f>IF(A521="","",MONTH(A521))</f>
        <v/>
      </c>
      <c r="W521">
        <f>N(W520)+IF(AND(C521&lt;&gt;"",T521&lt;&gt;""),IF(C521=WOCHE!$B$3,1,0),0)</f>
        <v/>
      </c>
      <c r="X521">
        <f>N(X520)+IF(AND(V521&lt;&gt;"",T521&lt;&gt;""),IF(V521=MONAT!$AZ$3,1,0),0)</f>
        <v/>
      </c>
    </row>
    <row r="522">
      <c r="A522" s="19" t="n"/>
      <c r="B522" s="20">
        <f>IF(A522="","",CHOOSE(WEEKDAY(A522,2),"Mo","Di","Mi","Do","Fr","Sa","So"))</f>
        <v/>
      </c>
      <c r="C522" s="20">
        <f>IF(A522="","",INT((A522-DATE(YEAR(A522-WEEKDAY(A522-1)+4),1,3)+WEEKDAY(DATE(YEAR(A522-WEEKDAY(A522-1)+4),1,3))+5)/7))</f>
        <v/>
      </c>
      <c r="D522" s="21" t="n"/>
      <c r="E522" s="22" t="n"/>
      <c r="F522" s="23" t="n"/>
      <c r="G522" s="23" t="n"/>
      <c r="H522" s="23" t="n"/>
      <c r="I522" s="20">
        <f>IF(COUNT(F522:H522)=0,"",SUM(F522:H522))</f>
        <v/>
      </c>
      <c r="J522" s="23" t="n"/>
      <c r="K522" s="23" t="n"/>
      <c r="L522" s="23" t="n"/>
      <c r="M522" s="23" t="n"/>
      <c r="N522" s="23" t="n"/>
      <c r="O522" s="20">
        <f>IF(OR(I522="",COUNT(J522:N522)=0),"",IF(SUM(J522:N522)=I522,"✓","⚠ "&amp;SUM(J522:N522)&amp;" statt "&amp;I522))</f>
        <v/>
      </c>
      <c r="P522" s="21" t="n"/>
      <c r="Q522" s="21" t="n"/>
      <c r="R522" s="21" t="n"/>
      <c r="S522" s="24" t="n"/>
      <c r="T522" s="24" t="n"/>
      <c r="V522">
        <f>IF(A522="","",MONTH(A522))</f>
        <v/>
      </c>
      <c r="W522">
        <f>N(W521)+IF(AND(C522&lt;&gt;"",T522&lt;&gt;""),IF(C522=WOCHE!$B$3,1,0),0)</f>
        <v/>
      </c>
      <c r="X522">
        <f>N(X521)+IF(AND(V522&lt;&gt;"",T522&lt;&gt;""),IF(V522=MONAT!$AZ$3,1,0),0)</f>
        <v/>
      </c>
    </row>
    <row r="523">
      <c r="A523" s="19" t="n"/>
      <c r="B523" s="20">
        <f>IF(A523="","",CHOOSE(WEEKDAY(A523,2),"Mo","Di","Mi","Do","Fr","Sa","So"))</f>
        <v/>
      </c>
      <c r="C523" s="20">
        <f>IF(A523="","",INT((A523-DATE(YEAR(A523-WEEKDAY(A523-1)+4),1,3)+WEEKDAY(DATE(YEAR(A523-WEEKDAY(A523-1)+4),1,3))+5)/7))</f>
        <v/>
      </c>
      <c r="D523" s="21" t="n"/>
      <c r="E523" s="22" t="n"/>
      <c r="F523" s="23" t="n"/>
      <c r="G523" s="23" t="n"/>
      <c r="H523" s="23" t="n"/>
      <c r="I523" s="20">
        <f>IF(COUNT(F523:H523)=0,"",SUM(F523:H523))</f>
        <v/>
      </c>
      <c r="J523" s="23" t="n"/>
      <c r="K523" s="23" t="n"/>
      <c r="L523" s="23" t="n"/>
      <c r="M523" s="23" t="n"/>
      <c r="N523" s="23" t="n"/>
      <c r="O523" s="20">
        <f>IF(OR(I523="",COUNT(J523:N523)=0),"",IF(SUM(J523:N523)=I523,"✓","⚠ "&amp;SUM(J523:N523)&amp;" statt "&amp;I523))</f>
        <v/>
      </c>
      <c r="P523" s="21" t="n"/>
      <c r="Q523" s="21" t="n"/>
      <c r="R523" s="21" t="n"/>
      <c r="S523" s="24" t="n"/>
      <c r="T523" s="24" t="n"/>
      <c r="V523">
        <f>IF(A523="","",MONTH(A523))</f>
        <v/>
      </c>
      <c r="W523">
        <f>N(W522)+IF(AND(C523&lt;&gt;"",T523&lt;&gt;""),IF(C523=WOCHE!$B$3,1,0),0)</f>
        <v/>
      </c>
      <c r="X523">
        <f>N(X522)+IF(AND(V523&lt;&gt;"",T523&lt;&gt;""),IF(V523=MONAT!$AZ$3,1,0),0)</f>
        <v/>
      </c>
    </row>
    <row r="524">
      <c r="A524" s="19" t="n"/>
      <c r="B524" s="20">
        <f>IF(A524="","",CHOOSE(WEEKDAY(A524,2),"Mo","Di","Mi","Do","Fr","Sa","So"))</f>
        <v/>
      </c>
      <c r="C524" s="20">
        <f>IF(A524="","",INT((A524-DATE(YEAR(A524-WEEKDAY(A524-1)+4),1,3)+WEEKDAY(DATE(YEAR(A524-WEEKDAY(A524-1)+4),1,3))+5)/7))</f>
        <v/>
      </c>
      <c r="D524" s="21" t="n"/>
      <c r="E524" s="22" t="n"/>
      <c r="F524" s="23" t="n"/>
      <c r="G524" s="23" t="n"/>
      <c r="H524" s="23" t="n"/>
      <c r="I524" s="20">
        <f>IF(COUNT(F524:H524)=0,"",SUM(F524:H524))</f>
        <v/>
      </c>
      <c r="J524" s="23" t="n"/>
      <c r="K524" s="23" t="n"/>
      <c r="L524" s="23" t="n"/>
      <c r="M524" s="23" t="n"/>
      <c r="N524" s="23" t="n"/>
      <c r="O524" s="20">
        <f>IF(OR(I524="",COUNT(J524:N524)=0),"",IF(SUM(J524:N524)=I524,"✓","⚠ "&amp;SUM(J524:N524)&amp;" statt "&amp;I524))</f>
        <v/>
      </c>
      <c r="P524" s="21" t="n"/>
      <c r="Q524" s="21" t="n"/>
      <c r="R524" s="21" t="n"/>
      <c r="S524" s="24" t="n"/>
      <c r="T524" s="24" t="n"/>
      <c r="V524">
        <f>IF(A524="","",MONTH(A524))</f>
        <v/>
      </c>
      <c r="W524">
        <f>N(W523)+IF(AND(C524&lt;&gt;"",T524&lt;&gt;""),IF(C524=WOCHE!$B$3,1,0),0)</f>
        <v/>
      </c>
      <c r="X524">
        <f>N(X523)+IF(AND(V524&lt;&gt;"",T524&lt;&gt;""),IF(V524=MONAT!$AZ$3,1,0),0)</f>
        <v/>
      </c>
    </row>
    <row r="525">
      <c r="A525" s="19" t="n"/>
      <c r="B525" s="20">
        <f>IF(A525="","",CHOOSE(WEEKDAY(A525,2),"Mo","Di","Mi","Do","Fr","Sa","So"))</f>
        <v/>
      </c>
      <c r="C525" s="20">
        <f>IF(A525="","",INT((A525-DATE(YEAR(A525-WEEKDAY(A525-1)+4),1,3)+WEEKDAY(DATE(YEAR(A525-WEEKDAY(A525-1)+4),1,3))+5)/7))</f>
        <v/>
      </c>
      <c r="D525" s="21" t="n"/>
      <c r="E525" s="22" t="n"/>
      <c r="F525" s="23" t="n"/>
      <c r="G525" s="23" t="n"/>
      <c r="H525" s="23" t="n"/>
      <c r="I525" s="20">
        <f>IF(COUNT(F525:H525)=0,"",SUM(F525:H525))</f>
        <v/>
      </c>
      <c r="J525" s="23" t="n"/>
      <c r="K525" s="23" t="n"/>
      <c r="L525" s="23" t="n"/>
      <c r="M525" s="23" t="n"/>
      <c r="N525" s="23" t="n"/>
      <c r="O525" s="20">
        <f>IF(OR(I525="",COUNT(J525:N525)=0),"",IF(SUM(J525:N525)=I525,"✓","⚠ "&amp;SUM(J525:N525)&amp;" statt "&amp;I525))</f>
        <v/>
      </c>
      <c r="P525" s="21" t="n"/>
      <c r="Q525" s="21" t="n"/>
      <c r="R525" s="21" t="n"/>
      <c r="S525" s="24" t="n"/>
      <c r="T525" s="24" t="n"/>
      <c r="V525">
        <f>IF(A525="","",MONTH(A525))</f>
        <v/>
      </c>
      <c r="W525">
        <f>N(W524)+IF(AND(C525&lt;&gt;"",T525&lt;&gt;""),IF(C525=WOCHE!$B$3,1,0),0)</f>
        <v/>
      </c>
      <c r="X525">
        <f>N(X524)+IF(AND(V525&lt;&gt;"",T525&lt;&gt;""),IF(V525=MONAT!$AZ$3,1,0),0)</f>
        <v/>
      </c>
    </row>
    <row r="526">
      <c r="A526" s="19" t="n"/>
      <c r="B526" s="20">
        <f>IF(A526="","",CHOOSE(WEEKDAY(A526,2),"Mo","Di","Mi","Do","Fr","Sa","So"))</f>
        <v/>
      </c>
      <c r="C526" s="20">
        <f>IF(A526="","",INT((A526-DATE(YEAR(A526-WEEKDAY(A526-1)+4),1,3)+WEEKDAY(DATE(YEAR(A526-WEEKDAY(A526-1)+4),1,3))+5)/7))</f>
        <v/>
      </c>
      <c r="D526" s="21" t="n"/>
      <c r="E526" s="22" t="n"/>
      <c r="F526" s="23" t="n"/>
      <c r="G526" s="23" t="n"/>
      <c r="H526" s="23" t="n"/>
      <c r="I526" s="20">
        <f>IF(COUNT(F526:H526)=0,"",SUM(F526:H526))</f>
        <v/>
      </c>
      <c r="J526" s="23" t="n"/>
      <c r="K526" s="23" t="n"/>
      <c r="L526" s="23" t="n"/>
      <c r="M526" s="23" t="n"/>
      <c r="N526" s="23" t="n"/>
      <c r="O526" s="20">
        <f>IF(OR(I526="",COUNT(J526:N526)=0),"",IF(SUM(J526:N526)=I526,"✓","⚠ "&amp;SUM(J526:N526)&amp;" statt "&amp;I526))</f>
        <v/>
      </c>
      <c r="P526" s="21" t="n"/>
      <c r="Q526" s="21" t="n"/>
      <c r="R526" s="21" t="n"/>
      <c r="S526" s="24" t="n"/>
      <c r="T526" s="24" t="n"/>
      <c r="V526">
        <f>IF(A526="","",MONTH(A526))</f>
        <v/>
      </c>
      <c r="W526">
        <f>N(W525)+IF(AND(C526&lt;&gt;"",T526&lt;&gt;""),IF(C526=WOCHE!$B$3,1,0),0)</f>
        <v/>
      </c>
      <c r="X526">
        <f>N(X525)+IF(AND(V526&lt;&gt;"",T526&lt;&gt;""),IF(V526=MONAT!$AZ$3,1,0),0)</f>
        <v/>
      </c>
    </row>
    <row r="527">
      <c r="A527" s="19" t="n"/>
      <c r="B527" s="20">
        <f>IF(A527="","",CHOOSE(WEEKDAY(A527,2),"Mo","Di","Mi","Do","Fr","Sa","So"))</f>
        <v/>
      </c>
      <c r="C527" s="20">
        <f>IF(A527="","",INT((A527-DATE(YEAR(A527-WEEKDAY(A527-1)+4),1,3)+WEEKDAY(DATE(YEAR(A527-WEEKDAY(A527-1)+4),1,3))+5)/7))</f>
        <v/>
      </c>
      <c r="D527" s="21" t="n"/>
      <c r="E527" s="22" t="n"/>
      <c r="F527" s="23" t="n"/>
      <c r="G527" s="23" t="n"/>
      <c r="H527" s="23" t="n"/>
      <c r="I527" s="20">
        <f>IF(COUNT(F527:H527)=0,"",SUM(F527:H527))</f>
        <v/>
      </c>
      <c r="J527" s="23" t="n"/>
      <c r="K527" s="23" t="n"/>
      <c r="L527" s="23" t="n"/>
      <c r="M527" s="23" t="n"/>
      <c r="N527" s="23" t="n"/>
      <c r="O527" s="20">
        <f>IF(OR(I527="",COUNT(J527:N527)=0),"",IF(SUM(J527:N527)=I527,"✓","⚠ "&amp;SUM(J527:N527)&amp;" statt "&amp;I527))</f>
        <v/>
      </c>
      <c r="P527" s="21" t="n"/>
      <c r="Q527" s="21" t="n"/>
      <c r="R527" s="21" t="n"/>
      <c r="S527" s="24" t="n"/>
      <c r="T527" s="24" t="n"/>
      <c r="V527">
        <f>IF(A527="","",MONTH(A527))</f>
        <v/>
      </c>
      <c r="W527">
        <f>N(W526)+IF(AND(C527&lt;&gt;"",T527&lt;&gt;""),IF(C527=WOCHE!$B$3,1,0),0)</f>
        <v/>
      </c>
      <c r="X527">
        <f>N(X526)+IF(AND(V527&lt;&gt;"",T527&lt;&gt;""),IF(V527=MONAT!$AZ$3,1,0),0)</f>
        <v/>
      </c>
    </row>
    <row r="528">
      <c r="A528" s="19" t="n"/>
      <c r="B528" s="20">
        <f>IF(A528="","",CHOOSE(WEEKDAY(A528,2),"Mo","Di","Mi","Do","Fr","Sa","So"))</f>
        <v/>
      </c>
      <c r="C528" s="20">
        <f>IF(A528="","",INT((A528-DATE(YEAR(A528-WEEKDAY(A528-1)+4),1,3)+WEEKDAY(DATE(YEAR(A528-WEEKDAY(A528-1)+4),1,3))+5)/7))</f>
        <v/>
      </c>
      <c r="D528" s="21" t="n"/>
      <c r="E528" s="22" t="n"/>
      <c r="F528" s="23" t="n"/>
      <c r="G528" s="23" t="n"/>
      <c r="H528" s="23" t="n"/>
      <c r="I528" s="20">
        <f>IF(COUNT(F528:H528)=0,"",SUM(F528:H528))</f>
        <v/>
      </c>
      <c r="J528" s="23" t="n"/>
      <c r="K528" s="23" t="n"/>
      <c r="L528" s="23" t="n"/>
      <c r="M528" s="23" t="n"/>
      <c r="N528" s="23" t="n"/>
      <c r="O528" s="20">
        <f>IF(OR(I528="",COUNT(J528:N528)=0),"",IF(SUM(J528:N528)=I528,"✓","⚠ "&amp;SUM(J528:N528)&amp;" statt "&amp;I528))</f>
        <v/>
      </c>
      <c r="P528" s="21" t="n"/>
      <c r="Q528" s="21" t="n"/>
      <c r="R528" s="21" t="n"/>
      <c r="S528" s="24" t="n"/>
      <c r="T528" s="24" t="n"/>
      <c r="V528">
        <f>IF(A528="","",MONTH(A528))</f>
        <v/>
      </c>
      <c r="W528">
        <f>N(W527)+IF(AND(C528&lt;&gt;"",T528&lt;&gt;""),IF(C528=WOCHE!$B$3,1,0),0)</f>
        <v/>
      </c>
      <c r="X528">
        <f>N(X527)+IF(AND(V528&lt;&gt;"",T528&lt;&gt;""),IF(V528=MONAT!$AZ$3,1,0),0)</f>
        <v/>
      </c>
    </row>
    <row r="529">
      <c r="A529" s="19" t="n"/>
      <c r="B529" s="20">
        <f>IF(A529="","",CHOOSE(WEEKDAY(A529,2),"Mo","Di","Mi","Do","Fr","Sa","So"))</f>
        <v/>
      </c>
      <c r="C529" s="20">
        <f>IF(A529="","",INT((A529-DATE(YEAR(A529-WEEKDAY(A529-1)+4),1,3)+WEEKDAY(DATE(YEAR(A529-WEEKDAY(A529-1)+4),1,3))+5)/7))</f>
        <v/>
      </c>
      <c r="D529" s="21" t="n"/>
      <c r="E529" s="22" t="n"/>
      <c r="F529" s="23" t="n"/>
      <c r="G529" s="23" t="n"/>
      <c r="H529" s="23" t="n"/>
      <c r="I529" s="20">
        <f>IF(COUNT(F529:H529)=0,"",SUM(F529:H529))</f>
        <v/>
      </c>
      <c r="J529" s="23" t="n"/>
      <c r="K529" s="23" t="n"/>
      <c r="L529" s="23" t="n"/>
      <c r="M529" s="23" t="n"/>
      <c r="N529" s="23" t="n"/>
      <c r="O529" s="20">
        <f>IF(OR(I529="",COUNT(J529:N529)=0),"",IF(SUM(J529:N529)=I529,"✓","⚠ "&amp;SUM(J529:N529)&amp;" statt "&amp;I529))</f>
        <v/>
      </c>
      <c r="P529" s="21" t="n"/>
      <c r="Q529" s="21" t="n"/>
      <c r="R529" s="21" t="n"/>
      <c r="S529" s="24" t="n"/>
      <c r="T529" s="24" t="n"/>
      <c r="V529">
        <f>IF(A529="","",MONTH(A529))</f>
        <v/>
      </c>
      <c r="W529">
        <f>N(W528)+IF(AND(C529&lt;&gt;"",T529&lt;&gt;""),IF(C529=WOCHE!$B$3,1,0),0)</f>
        <v/>
      </c>
      <c r="X529">
        <f>N(X528)+IF(AND(V529&lt;&gt;"",T529&lt;&gt;""),IF(V529=MONAT!$AZ$3,1,0),0)</f>
        <v/>
      </c>
    </row>
    <row r="530">
      <c r="A530" s="19" t="n"/>
      <c r="B530" s="20">
        <f>IF(A530="","",CHOOSE(WEEKDAY(A530,2),"Mo","Di","Mi","Do","Fr","Sa","So"))</f>
        <v/>
      </c>
      <c r="C530" s="20">
        <f>IF(A530="","",INT((A530-DATE(YEAR(A530-WEEKDAY(A530-1)+4),1,3)+WEEKDAY(DATE(YEAR(A530-WEEKDAY(A530-1)+4),1,3))+5)/7))</f>
        <v/>
      </c>
      <c r="D530" s="21" t="n"/>
      <c r="E530" s="22" t="n"/>
      <c r="F530" s="23" t="n"/>
      <c r="G530" s="23" t="n"/>
      <c r="H530" s="23" t="n"/>
      <c r="I530" s="20">
        <f>IF(COUNT(F530:H530)=0,"",SUM(F530:H530))</f>
        <v/>
      </c>
      <c r="J530" s="23" t="n"/>
      <c r="K530" s="23" t="n"/>
      <c r="L530" s="23" t="n"/>
      <c r="M530" s="23" t="n"/>
      <c r="N530" s="23" t="n"/>
      <c r="O530" s="20">
        <f>IF(OR(I530="",COUNT(J530:N530)=0),"",IF(SUM(J530:N530)=I530,"✓","⚠ "&amp;SUM(J530:N530)&amp;" statt "&amp;I530))</f>
        <v/>
      </c>
      <c r="P530" s="21" t="n"/>
      <c r="Q530" s="21" t="n"/>
      <c r="R530" s="21" t="n"/>
      <c r="S530" s="24" t="n"/>
      <c r="T530" s="24" t="n"/>
      <c r="V530">
        <f>IF(A530="","",MONTH(A530))</f>
        <v/>
      </c>
      <c r="W530">
        <f>N(W529)+IF(AND(C530&lt;&gt;"",T530&lt;&gt;""),IF(C530=WOCHE!$B$3,1,0),0)</f>
        <v/>
      </c>
      <c r="X530">
        <f>N(X529)+IF(AND(V530&lt;&gt;"",T530&lt;&gt;""),IF(V530=MONAT!$AZ$3,1,0),0)</f>
        <v/>
      </c>
    </row>
    <row r="531">
      <c r="A531" s="19" t="n"/>
      <c r="B531" s="20">
        <f>IF(A531="","",CHOOSE(WEEKDAY(A531,2),"Mo","Di","Mi","Do","Fr","Sa","So"))</f>
        <v/>
      </c>
      <c r="C531" s="20">
        <f>IF(A531="","",INT((A531-DATE(YEAR(A531-WEEKDAY(A531-1)+4),1,3)+WEEKDAY(DATE(YEAR(A531-WEEKDAY(A531-1)+4),1,3))+5)/7))</f>
        <v/>
      </c>
      <c r="D531" s="21" t="n"/>
      <c r="E531" s="22" t="n"/>
      <c r="F531" s="23" t="n"/>
      <c r="G531" s="23" t="n"/>
      <c r="H531" s="23" t="n"/>
      <c r="I531" s="20">
        <f>IF(COUNT(F531:H531)=0,"",SUM(F531:H531))</f>
        <v/>
      </c>
      <c r="J531" s="23" t="n"/>
      <c r="K531" s="23" t="n"/>
      <c r="L531" s="23" t="n"/>
      <c r="M531" s="23" t="n"/>
      <c r="N531" s="23" t="n"/>
      <c r="O531" s="20">
        <f>IF(OR(I531="",COUNT(J531:N531)=0),"",IF(SUM(J531:N531)=I531,"✓","⚠ "&amp;SUM(J531:N531)&amp;" statt "&amp;I531))</f>
        <v/>
      </c>
      <c r="P531" s="21" t="n"/>
      <c r="Q531" s="21" t="n"/>
      <c r="R531" s="21" t="n"/>
      <c r="S531" s="24" t="n"/>
      <c r="T531" s="24" t="n"/>
      <c r="V531">
        <f>IF(A531="","",MONTH(A531))</f>
        <v/>
      </c>
      <c r="W531">
        <f>N(W530)+IF(AND(C531&lt;&gt;"",T531&lt;&gt;""),IF(C531=WOCHE!$B$3,1,0),0)</f>
        <v/>
      </c>
      <c r="X531">
        <f>N(X530)+IF(AND(V531&lt;&gt;"",T531&lt;&gt;""),IF(V531=MONAT!$AZ$3,1,0),0)</f>
        <v/>
      </c>
    </row>
    <row r="532">
      <c r="A532" s="19" t="n"/>
      <c r="B532" s="20">
        <f>IF(A532="","",CHOOSE(WEEKDAY(A532,2),"Mo","Di","Mi","Do","Fr","Sa","So"))</f>
        <v/>
      </c>
      <c r="C532" s="20">
        <f>IF(A532="","",INT((A532-DATE(YEAR(A532-WEEKDAY(A532-1)+4),1,3)+WEEKDAY(DATE(YEAR(A532-WEEKDAY(A532-1)+4),1,3))+5)/7))</f>
        <v/>
      </c>
      <c r="D532" s="21" t="n"/>
      <c r="E532" s="22" t="n"/>
      <c r="F532" s="23" t="n"/>
      <c r="G532" s="23" t="n"/>
      <c r="H532" s="23" t="n"/>
      <c r="I532" s="20">
        <f>IF(COUNT(F532:H532)=0,"",SUM(F532:H532))</f>
        <v/>
      </c>
      <c r="J532" s="23" t="n"/>
      <c r="K532" s="23" t="n"/>
      <c r="L532" s="23" t="n"/>
      <c r="M532" s="23" t="n"/>
      <c r="N532" s="23" t="n"/>
      <c r="O532" s="20">
        <f>IF(OR(I532="",COUNT(J532:N532)=0),"",IF(SUM(J532:N532)=I532,"✓","⚠ "&amp;SUM(J532:N532)&amp;" statt "&amp;I532))</f>
        <v/>
      </c>
      <c r="P532" s="21" t="n"/>
      <c r="Q532" s="21" t="n"/>
      <c r="R532" s="21" t="n"/>
      <c r="S532" s="24" t="n"/>
      <c r="T532" s="24" t="n"/>
      <c r="V532">
        <f>IF(A532="","",MONTH(A532))</f>
        <v/>
      </c>
      <c r="W532">
        <f>N(W531)+IF(AND(C532&lt;&gt;"",T532&lt;&gt;""),IF(C532=WOCHE!$B$3,1,0),0)</f>
        <v/>
      </c>
      <c r="X532">
        <f>N(X531)+IF(AND(V532&lt;&gt;"",T532&lt;&gt;""),IF(V532=MONAT!$AZ$3,1,0),0)</f>
        <v/>
      </c>
    </row>
    <row r="533">
      <c r="A533" s="19" t="n"/>
      <c r="B533" s="20">
        <f>IF(A533="","",CHOOSE(WEEKDAY(A533,2),"Mo","Di","Mi","Do","Fr","Sa","So"))</f>
        <v/>
      </c>
      <c r="C533" s="20">
        <f>IF(A533="","",INT((A533-DATE(YEAR(A533-WEEKDAY(A533-1)+4),1,3)+WEEKDAY(DATE(YEAR(A533-WEEKDAY(A533-1)+4),1,3))+5)/7))</f>
        <v/>
      </c>
      <c r="D533" s="21" t="n"/>
      <c r="E533" s="22" t="n"/>
      <c r="F533" s="23" t="n"/>
      <c r="G533" s="23" t="n"/>
      <c r="H533" s="23" t="n"/>
      <c r="I533" s="20">
        <f>IF(COUNT(F533:H533)=0,"",SUM(F533:H533))</f>
        <v/>
      </c>
      <c r="J533" s="23" t="n"/>
      <c r="K533" s="23" t="n"/>
      <c r="L533" s="23" t="n"/>
      <c r="M533" s="23" t="n"/>
      <c r="N533" s="23" t="n"/>
      <c r="O533" s="20">
        <f>IF(OR(I533="",COUNT(J533:N533)=0),"",IF(SUM(J533:N533)=I533,"✓","⚠ "&amp;SUM(J533:N533)&amp;" statt "&amp;I533))</f>
        <v/>
      </c>
      <c r="P533" s="21" t="n"/>
      <c r="Q533" s="21" t="n"/>
      <c r="R533" s="21" t="n"/>
      <c r="S533" s="24" t="n"/>
      <c r="T533" s="24" t="n"/>
      <c r="V533">
        <f>IF(A533="","",MONTH(A533))</f>
        <v/>
      </c>
      <c r="W533">
        <f>N(W532)+IF(AND(C533&lt;&gt;"",T533&lt;&gt;""),IF(C533=WOCHE!$B$3,1,0),0)</f>
        <v/>
      </c>
      <c r="X533">
        <f>N(X532)+IF(AND(V533&lt;&gt;"",T533&lt;&gt;""),IF(V533=MONAT!$AZ$3,1,0),0)</f>
        <v/>
      </c>
    </row>
    <row r="534">
      <c r="A534" s="19" t="n"/>
      <c r="B534" s="20">
        <f>IF(A534="","",CHOOSE(WEEKDAY(A534,2),"Mo","Di","Mi","Do","Fr","Sa","So"))</f>
        <v/>
      </c>
      <c r="C534" s="20">
        <f>IF(A534="","",INT((A534-DATE(YEAR(A534-WEEKDAY(A534-1)+4),1,3)+WEEKDAY(DATE(YEAR(A534-WEEKDAY(A534-1)+4),1,3))+5)/7))</f>
        <v/>
      </c>
      <c r="D534" s="21" t="n"/>
      <c r="E534" s="22" t="n"/>
      <c r="F534" s="23" t="n"/>
      <c r="G534" s="23" t="n"/>
      <c r="H534" s="23" t="n"/>
      <c r="I534" s="20">
        <f>IF(COUNT(F534:H534)=0,"",SUM(F534:H534))</f>
        <v/>
      </c>
      <c r="J534" s="23" t="n"/>
      <c r="K534" s="23" t="n"/>
      <c r="L534" s="23" t="n"/>
      <c r="M534" s="23" t="n"/>
      <c r="N534" s="23" t="n"/>
      <c r="O534" s="20">
        <f>IF(OR(I534="",COUNT(J534:N534)=0),"",IF(SUM(J534:N534)=I534,"✓","⚠ "&amp;SUM(J534:N534)&amp;" statt "&amp;I534))</f>
        <v/>
      </c>
      <c r="P534" s="21" t="n"/>
      <c r="Q534" s="21" t="n"/>
      <c r="R534" s="21" t="n"/>
      <c r="S534" s="24" t="n"/>
      <c r="T534" s="24" t="n"/>
      <c r="V534">
        <f>IF(A534="","",MONTH(A534))</f>
        <v/>
      </c>
      <c r="W534">
        <f>N(W533)+IF(AND(C534&lt;&gt;"",T534&lt;&gt;""),IF(C534=WOCHE!$B$3,1,0),0)</f>
        <v/>
      </c>
      <c r="X534">
        <f>N(X533)+IF(AND(V534&lt;&gt;"",T534&lt;&gt;""),IF(V534=MONAT!$AZ$3,1,0),0)</f>
        <v/>
      </c>
    </row>
    <row r="535">
      <c r="A535" s="19" t="n"/>
      <c r="B535" s="20">
        <f>IF(A535="","",CHOOSE(WEEKDAY(A535,2),"Mo","Di","Mi","Do","Fr","Sa","So"))</f>
        <v/>
      </c>
      <c r="C535" s="20">
        <f>IF(A535="","",INT((A535-DATE(YEAR(A535-WEEKDAY(A535-1)+4),1,3)+WEEKDAY(DATE(YEAR(A535-WEEKDAY(A535-1)+4),1,3))+5)/7))</f>
        <v/>
      </c>
      <c r="D535" s="21" t="n"/>
      <c r="E535" s="22" t="n"/>
      <c r="F535" s="23" t="n"/>
      <c r="G535" s="23" t="n"/>
      <c r="H535" s="23" t="n"/>
      <c r="I535" s="20">
        <f>IF(COUNT(F535:H535)=0,"",SUM(F535:H535))</f>
        <v/>
      </c>
      <c r="J535" s="23" t="n"/>
      <c r="K535" s="23" t="n"/>
      <c r="L535" s="23" t="n"/>
      <c r="M535" s="23" t="n"/>
      <c r="N535" s="23" t="n"/>
      <c r="O535" s="20">
        <f>IF(OR(I535="",COUNT(J535:N535)=0),"",IF(SUM(J535:N535)=I535,"✓","⚠ "&amp;SUM(J535:N535)&amp;" statt "&amp;I535))</f>
        <v/>
      </c>
      <c r="P535" s="21" t="n"/>
      <c r="Q535" s="21" t="n"/>
      <c r="R535" s="21" t="n"/>
      <c r="S535" s="24" t="n"/>
      <c r="T535" s="24" t="n"/>
      <c r="V535">
        <f>IF(A535="","",MONTH(A535))</f>
        <v/>
      </c>
      <c r="W535">
        <f>N(W534)+IF(AND(C535&lt;&gt;"",T535&lt;&gt;""),IF(C535=WOCHE!$B$3,1,0),0)</f>
        <v/>
      </c>
      <c r="X535">
        <f>N(X534)+IF(AND(V535&lt;&gt;"",T535&lt;&gt;""),IF(V535=MONAT!$AZ$3,1,0),0)</f>
        <v/>
      </c>
    </row>
    <row r="536">
      <c r="A536" s="19" t="n"/>
      <c r="B536" s="20">
        <f>IF(A536="","",CHOOSE(WEEKDAY(A536,2),"Mo","Di","Mi","Do","Fr","Sa","So"))</f>
        <v/>
      </c>
      <c r="C536" s="20">
        <f>IF(A536="","",INT((A536-DATE(YEAR(A536-WEEKDAY(A536-1)+4),1,3)+WEEKDAY(DATE(YEAR(A536-WEEKDAY(A536-1)+4),1,3))+5)/7))</f>
        <v/>
      </c>
      <c r="D536" s="21" t="n"/>
      <c r="E536" s="22" t="n"/>
      <c r="F536" s="23" t="n"/>
      <c r="G536" s="23" t="n"/>
      <c r="H536" s="23" t="n"/>
      <c r="I536" s="20">
        <f>IF(COUNT(F536:H536)=0,"",SUM(F536:H536))</f>
        <v/>
      </c>
      <c r="J536" s="23" t="n"/>
      <c r="K536" s="23" t="n"/>
      <c r="L536" s="23" t="n"/>
      <c r="M536" s="23" t="n"/>
      <c r="N536" s="23" t="n"/>
      <c r="O536" s="20">
        <f>IF(OR(I536="",COUNT(J536:N536)=0),"",IF(SUM(J536:N536)=I536,"✓","⚠ "&amp;SUM(J536:N536)&amp;" statt "&amp;I536))</f>
        <v/>
      </c>
      <c r="P536" s="21" t="n"/>
      <c r="Q536" s="21" t="n"/>
      <c r="R536" s="21" t="n"/>
      <c r="S536" s="24" t="n"/>
      <c r="T536" s="24" t="n"/>
      <c r="V536">
        <f>IF(A536="","",MONTH(A536))</f>
        <v/>
      </c>
      <c r="W536">
        <f>N(W535)+IF(AND(C536&lt;&gt;"",T536&lt;&gt;""),IF(C536=WOCHE!$B$3,1,0),0)</f>
        <v/>
      </c>
      <c r="X536">
        <f>N(X535)+IF(AND(V536&lt;&gt;"",T536&lt;&gt;""),IF(V536=MONAT!$AZ$3,1,0),0)</f>
        <v/>
      </c>
    </row>
    <row r="537">
      <c r="A537" s="19" t="n"/>
      <c r="B537" s="20">
        <f>IF(A537="","",CHOOSE(WEEKDAY(A537,2),"Mo","Di","Mi","Do","Fr","Sa","So"))</f>
        <v/>
      </c>
      <c r="C537" s="20">
        <f>IF(A537="","",INT((A537-DATE(YEAR(A537-WEEKDAY(A537-1)+4),1,3)+WEEKDAY(DATE(YEAR(A537-WEEKDAY(A537-1)+4),1,3))+5)/7))</f>
        <v/>
      </c>
      <c r="D537" s="21" t="n"/>
      <c r="E537" s="22" t="n"/>
      <c r="F537" s="23" t="n"/>
      <c r="G537" s="23" t="n"/>
      <c r="H537" s="23" t="n"/>
      <c r="I537" s="20">
        <f>IF(COUNT(F537:H537)=0,"",SUM(F537:H537))</f>
        <v/>
      </c>
      <c r="J537" s="23" t="n"/>
      <c r="K537" s="23" t="n"/>
      <c r="L537" s="23" t="n"/>
      <c r="M537" s="23" t="n"/>
      <c r="N537" s="23" t="n"/>
      <c r="O537" s="20">
        <f>IF(OR(I537="",COUNT(J537:N537)=0),"",IF(SUM(J537:N537)=I537,"✓","⚠ "&amp;SUM(J537:N537)&amp;" statt "&amp;I537))</f>
        <v/>
      </c>
      <c r="P537" s="21" t="n"/>
      <c r="Q537" s="21" t="n"/>
      <c r="R537" s="21" t="n"/>
      <c r="S537" s="24" t="n"/>
      <c r="T537" s="24" t="n"/>
      <c r="V537">
        <f>IF(A537="","",MONTH(A537))</f>
        <v/>
      </c>
      <c r="W537">
        <f>N(W536)+IF(AND(C537&lt;&gt;"",T537&lt;&gt;""),IF(C537=WOCHE!$B$3,1,0),0)</f>
        <v/>
      </c>
      <c r="X537">
        <f>N(X536)+IF(AND(V537&lt;&gt;"",T537&lt;&gt;""),IF(V537=MONAT!$AZ$3,1,0),0)</f>
        <v/>
      </c>
    </row>
    <row r="538">
      <c r="A538" s="19" t="n"/>
      <c r="B538" s="20">
        <f>IF(A538="","",CHOOSE(WEEKDAY(A538,2),"Mo","Di","Mi","Do","Fr","Sa","So"))</f>
        <v/>
      </c>
      <c r="C538" s="20">
        <f>IF(A538="","",INT((A538-DATE(YEAR(A538-WEEKDAY(A538-1)+4),1,3)+WEEKDAY(DATE(YEAR(A538-WEEKDAY(A538-1)+4),1,3))+5)/7))</f>
        <v/>
      </c>
      <c r="D538" s="21" t="n"/>
      <c r="E538" s="22" t="n"/>
      <c r="F538" s="23" t="n"/>
      <c r="G538" s="23" t="n"/>
      <c r="H538" s="23" t="n"/>
      <c r="I538" s="20">
        <f>IF(COUNT(F538:H538)=0,"",SUM(F538:H538))</f>
        <v/>
      </c>
      <c r="J538" s="23" t="n"/>
      <c r="K538" s="23" t="n"/>
      <c r="L538" s="23" t="n"/>
      <c r="M538" s="23" t="n"/>
      <c r="N538" s="23" t="n"/>
      <c r="O538" s="20">
        <f>IF(OR(I538="",COUNT(J538:N538)=0),"",IF(SUM(J538:N538)=I538,"✓","⚠ "&amp;SUM(J538:N538)&amp;" statt "&amp;I538))</f>
        <v/>
      </c>
      <c r="P538" s="21" t="n"/>
      <c r="Q538" s="21" t="n"/>
      <c r="R538" s="21" t="n"/>
      <c r="S538" s="24" t="n"/>
      <c r="T538" s="24" t="n"/>
      <c r="V538">
        <f>IF(A538="","",MONTH(A538))</f>
        <v/>
      </c>
      <c r="W538">
        <f>N(W537)+IF(AND(C538&lt;&gt;"",T538&lt;&gt;""),IF(C538=WOCHE!$B$3,1,0),0)</f>
        <v/>
      </c>
      <c r="X538">
        <f>N(X537)+IF(AND(V538&lt;&gt;"",T538&lt;&gt;""),IF(V538=MONAT!$AZ$3,1,0),0)</f>
        <v/>
      </c>
    </row>
    <row r="539">
      <c r="A539" s="19" t="n"/>
      <c r="B539" s="20">
        <f>IF(A539="","",CHOOSE(WEEKDAY(A539,2),"Mo","Di","Mi","Do","Fr","Sa","So"))</f>
        <v/>
      </c>
      <c r="C539" s="20">
        <f>IF(A539="","",INT((A539-DATE(YEAR(A539-WEEKDAY(A539-1)+4),1,3)+WEEKDAY(DATE(YEAR(A539-WEEKDAY(A539-1)+4),1,3))+5)/7))</f>
        <v/>
      </c>
      <c r="D539" s="21" t="n"/>
      <c r="E539" s="22" t="n"/>
      <c r="F539" s="23" t="n"/>
      <c r="G539" s="23" t="n"/>
      <c r="H539" s="23" t="n"/>
      <c r="I539" s="20">
        <f>IF(COUNT(F539:H539)=0,"",SUM(F539:H539))</f>
        <v/>
      </c>
      <c r="J539" s="23" t="n"/>
      <c r="K539" s="23" t="n"/>
      <c r="L539" s="23" t="n"/>
      <c r="M539" s="23" t="n"/>
      <c r="N539" s="23" t="n"/>
      <c r="O539" s="20">
        <f>IF(OR(I539="",COUNT(J539:N539)=0),"",IF(SUM(J539:N539)=I539,"✓","⚠ "&amp;SUM(J539:N539)&amp;" statt "&amp;I539))</f>
        <v/>
      </c>
      <c r="P539" s="21" t="n"/>
      <c r="Q539" s="21" t="n"/>
      <c r="R539" s="21" t="n"/>
      <c r="S539" s="24" t="n"/>
      <c r="T539" s="24" t="n"/>
      <c r="V539">
        <f>IF(A539="","",MONTH(A539))</f>
        <v/>
      </c>
      <c r="W539">
        <f>N(W538)+IF(AND(C539&lt;&gt;"",T539&lt;&gt;""),IF(C539=WOCHE!$B$3,1,0),0)</f>
        <v/>
      </c>
      <c r="X539">
        <f>N(X538)+IF(AND(V539&lt;&gt;"",T539&lt;&gt;""),IF(V539=MONAT!$AZ$3,1,0),0)</f>
        <v/>
      </c>
    </row>
    <row r="540">
      <c r="A540" s="19" t="n"/>
      <c r="B540" s="20">
        <f>IF(A540="","",CHOOSE(WEEKDAY(A540,2),"Mo","Di","Mi","Do","Fr","Sa","So"))</f>
        <v/>
      </c>
      <c r="C540" s="20">
        <f>IF(A540="","",INT((A540-DATE(YEAR(A540-WEEKDAY(A540-1)+4),1,3)+WEEKDAY(DATE(YEAR(A540-WEEKDAY(A540-1)+4),1,3))+5)/7))</f>
        <v/>
      </c>
      <c r="D540" s="21" t="n"/>
      <c r="E540" s="22" t="n"/>
      <c r="F540" s="23" t="n"/>
      <c r="G540" s="23" t="n"/>
      <c r="H540" s="23" t="n"/>
      <c r="I540" s="20">
        <f>IF(COUNT(F540:H540)=0,"",SUM(F540:H540))</f>
        <v/>
      </c>
      <c r="J540" s="23" t="n"/>
      <c r="K540" s="23" t="n"/>
      <c r="L540" s="23" t="n"/>
      <c r="M540" s="23" t="n"/>
      <c r="N540" s="23" t="n"/>
      <c r="O540" s="20">
        <f>IF(OR(I540="",COUNT(J540:N540)=0),"",IF(SUM(J540:N540)=I540,"✓","⚠ "&amp;SUM(J540:N540)&amp;" statt "&amp;I540))</f>
        <v/>
      </c>
      <c r="P540" s="21" t="n"/>
      <c r="Q540" s="21" t="n"/>
      <c r="R540" s="21" t="n"/>
      <c r="S540" s="24" t="n"/>
      <c r="T540" s="24" t="n"/>
      <c r="V540">
        <f>IF(A540="","",MONTH(A540))</f>
        <v/>
      </c>
      <c r="W540">
        <f>N(W539)+IF(AND(C540&lt;&gt;"",T540&lt;&gt;""),IF(C540=WOCHE!$B$3,1,0),0)</f>
        <v/>
      </c>
      <c r="X540">
        <f>N(X539)+IF(AND(V540&lt;&gt;"",T540&lt;&gt;""),IF(V540=MONAT!$AZ$3,1,0),0)</f>
        <v/>
      </c>
    </row>
    <row r="541">
      <c r="A541" s="19" t="n"/>
      <c r="B541" s="20">
        <f>IF(A541="","",CHOOSE(WEEKDAY(A541,2),"Mo","Di","Mi","Do","Fr","Sa","So"))</f>
        <v/>
      </c>
      <c r="C541" s="20">
        <f>IF(A541="","",INT((A541-DATE(YEAR(A541-WEEKDAY(A541-1)+4),1,3)+WEEKDAY(DATE(YEAR(A541-WEEKDAY(A541-1)+4),1,3))+5)/7))</f>
        <v/>
      </c>
      <c r="D541" s="21" t="n"/>
      <c r="E541" s="22" t="n"/>
      <c r="F541" s="23" t="n"/>
      <c r="G541" s="23" t="n"/>
      <c r="H541" s="23" t="n"/>
      <c r="I541" s="20">
        <f>IF(COUNT(F541:H541)=0,"",SUM(F541:H541))</f>
        <v/>
      </c>
      <c r="J541" s="23" t="n"/>
      <c r="K541" s="23" t="n"/>
      <c r="L541" s="23" t="n"/>
      <c r="M541" s="23" t="n"/>
      <c r="N541" s="23" t="n"/>
      <c r="O541" s="20">
        <f>IF(OR(I541="",COUNT(J541:N541)=0),"",IF(SUM(J541:N541)=I541,"✓","⚠ "&amp;SUM(J541:N541)&amp;" statt "&amp;I541))</f>
        <v/>
      </c>
      <c r="P541" s="21" t="n"/>
      <c r="Q541" s="21" t="n"/>
      <c r="R541" s="21" t="n"/>
      <c r="S541" s="24" t="n"/>
      <c r="T541" s="24" t="n"/>
      <c r="V541">
        <f>IF(A541="","",MONTH(A541))</f>
        <v/>
      </c>
      <c r="W541">
        <f>N(W540)+IF(AND(C541&lt;&gt;"",T541&lt;&gt;""),IF(C541=WOCHE!$B$3,1,0),0)</f>
        <v/>
      </c>
      <c r="X541">
        <f>N(X540)+IF(AND(V541&lt;&gt;"",T541&lt;&gt;""),IF(V541=MONAT!$AZ$3,1,0),0)</f>
        <v/>
      </c>
    </row>
    <row r="542">
      <c r="A542" s="19" t="n"/>
      <c r="B542" s="20">
        <f>IF(A542="","",CHOOSE(WEEKDAY(A542,2),"Mo","Di","Mi","Do","Fr","Sa","So"))</f>
        <v/>
      </c>
      <c r="C542" s="20">
        <f>IF(A542="","",INT((A542-DATE(YEAR(A542-WEEKDAY(A542-1)+4),1,3)+WEEKDAY(DATE(YEAR(A542-WEEKDAY(A542-1)+4),1,3))+5)/7))</f>
        <v/>
      </c>
      <c r="D542" s="21" t="n"/>
      <c r="E542" s="22" t="n"/>
      <c r="F542" s="23" t="n"/>
      <c r="G542" s="23" t="n"/>
      <c r="H542" s="23" t="n"/>
      <c r="I542" s="20">
        <f>IF(COUNT(F542:H542)=0,"",SUM(F542:H542))</f>
        <v/>
      </c>
      <c r="J542" s="23" t="n"/>
      <c r="K542" s="23" t="n"/>
      <c r="L542" s="23" t="n"/>
      <c r="M542" s="23" t="n"/>
      <c r="N542" s="23" t="n"/>
      <c r="O542" s="20">
        <f>IF(OR(I542="",COUNT(J542:N542)=0),"",IF(SUM(J542:N542)=I542,"✓","⚠ "&amp;SUM(J542:N542)&amp;" statt "&amp;I542))</f>
        <v/>
      </c>
      <c r="P542" s="21" t="n"/>
      <c r="Q542" s="21" t="n"/>
      <c r="R542" s="21" t="n"/>
      <c r="S542" s="24" t="n"/>
      <c r="T542" s="24" t="n"/>
      <c r="V542">
        <f>IF(A542="","",MONTH(A542))</f>
        <v/>
      </c>
      <c r="W542">
        <f>N(W541)+IF(AND(C542&lt;&gt;"",T542&lt;&gt;""),IF(C542=WOCHE!$B$3,1,0),0)</f>
        <v/>
      </c>
      <c r="X542">
        <f>N(X541)+IF(AND(V542&lt;&gt;"",T542&lt;&gt;""),IF(V542=MONAT!$AZ$3,1,0),0)</f>
        <v/>
      </c>
    </row>
    <row r="543">
      <c r="A543" s="19" t="n"/>
      <c r="B543" s="20">
        <f>IF(A543="","",CHOOSE(WEEKDAY(A543,2),"Mo","Di","Mi","Do","Fr","Sa","So"))</f>
        <v/>
      </c>
      <c r="C543" s="20">
        <f>IF(A543="","",INT((A543-DATE(YEAR(A543-WEEKDAY(A543-1)+4),1,3)+WEEKDAY(DATE(YEAR(A543-WEEKDAY(A543-1)+4),1,3))+5)/7))</f>
        <v/>
      </c>
      <c r="D543" s="21" t="n"/>
      <c r="E543" s="22" t="n"/>
      <c r="F543" s="23" t="n"/>
      <c r="G543" s="23" t="n"/>
      <c r="H543" s="23" t="n"/>
      <c r="I543" s="20">
        <f>IF(COUNT(F543:H543)=0,"",SUM(F543:H543))</f>
        <v/>
      </c>
      <c r="J543" s="23" t="n"/>
      <c r="K543" s="23" t="n"/>
      <c r="L543" s="23" t="n"/>
      <c r="M543" s="23" t="n"/>
      <c r="N543" s="23" t="n"/>
      <c r="O543" s="20">
        <f>IF(OR(I543="",COUNT(J543:N543)=0),"",IF(SUM(J543:N543)=I543,"✓","⚠ "&amp;SUM(J543:N543)&amp;" statt "&amp;I543))</f>
        <v/>
      </c>
      <c r="P543" s="21" t="n"/>
      <c r="Q543" s="21" t="n"/>
      <c r="R543" s="21" t="n"/>
      <c r="S543" s="24" t="n"/>
      <c r="T543" s="24" t="n"/>
      <c r="V543">
        <f>IF(A543="","",MONTH(A543))</f>
        <v/>
      </c>
      <c r="W543">
        <f>N(W542)+IF(AND(C543&lt;&gt;"",T543&lt;&gt;""),IF(C543=WOCHE!$B$3,1,0),0)</f>
        <v/>
      </c>
      <c r="X543">
        <f>N(X542)+IF(AND(V543&lt;&gt;"",T543&lt;&gt;""),IF(V543=MONAT!$AZ$3,1,0),0)</f>
        <v/>
      </c>
    </row>
    <row r="544">
      <c r="A544" s="19" t="n"/>
      <c r="B544" s="20">
        <f>IF(A544="","",CHOOSE(WEEKDAY(A544,2),"Mo","Di","Mi","Do","Fr","Sa","So"))</f>
        <v/>
      </c>
      <c r="C544" s="20">
        <f>IF(A544="","",INT((A544-DATE(YEAR(A544-WEEKDAY(A544-1)+4),1,3)+WEEKDAY(DATE(YEAR(A544-WEEKDAY(A544-1)+4),1,3))+5)/7))</f>
        <v/>
      </c>
      <c r="D544" s="21" t="n"/>
      <c r="E544" s="22" t="n"/>
      <c r="F544" s="23" t="n"/>
      <c r="G544" s="23" t="n"/>
      <c r="H544" s="23" t="n"/>
      <c r="I544" s="20">
        <f>IF(COUNT(F544:H544)=0,"",SUM(F544:H544))</f>
        <v/>
      </c>
      <c r="J544" s="23" t="n"/>
      <c r="K544" s="23" t="n"/>
      <c r="L544" s="23" t="n"/>
      <c r="M544" s="23" t="n"/>
      <c r="N544" s="23" t="n"/>
      <c r="O544" s="20">
        <f>IF(OR(I544="",COUNT(J544:N544)=0),"",IF(SUM(J544:N544)=I544,"✓","⚠ "&amp;SUM(J544:N544)&amp;" statt "&amp;I544))</f>
        <v/>
      </c>
      <c r="P544" s="21" t="n"/>
      <c r="Q544" s="21" t="n"/>
      <c r="R544" s="21" t="n"/>
      <c r="S544" s="24" t="n"/>
      <c r="T544" s="24" t="n"/>
      <c r="V544">
        <f>IF(A544="","",MONTH(A544))</f>
        <v/>
      </c>
      <c r="W544">
        <f>N(W543)+IF(AND(C544&lt;&gt;"",T544&lt;&gt;""),IF(C544=WOCHE!$B$3,1,0),0)</f>
        <v/>
      </c>
      <c r="X544">
        <f>N(X543)+IF(AND(V544&lt;&gt;"",T544&lt;&gt;""),IF(V544=MONAT!$AZ$3,1,0),0)</f>
        <v/>
      </c>
    </row>
    <row r="545">
      <c r="A545" s="19" t="n"/>
      <c r="B545" s="20">
        <f>IF(A545="","",CHOOSE(WEEKDAY(A545,2),"Mo","Di","Mi","Do","Fr","Sa","So"))</f>
        <v/>
      </c>
      <c r="C545" s="20">
        <f>IF(A545="","",INT((A545-DATE(YEAR(A545-WEEKDAY(A545-1)+4),1,3)+WEEKDAY(DATE(YEAR(A545-WEEKDAY(A545-1)+4),1,3))+5)/7))</f>
        <v/>
      </c>
      <c r="D545" s="21" t="n"/>
      <c r="E545" s="22" t="n"/>
      <c r="F545" s="23" t="n"/>
      <c r="G545" s="23" t="n"/>
      <c r="H545" s="23" t="n"/>
      <c r="I545" s="20">
        <f>IF(COUNT(F545:H545)=0,"",SUM(F545:H545))</f>
        <v/>
      </c>
      <c r="J545" s="23" t="n"/>
      <c r="K545" s="23" t="n"/>
      <c r="L545" s="23" t="n"/>
      <c r="M545" s="23" t="n"/>
      <c r="N545" s="23" t="n"/>
      <c r="O545" s="20">
        <f>IF(OR(I545="",COUNT(J545:N545)=0),"",IF(SUM(J545:N545)=I545,"✓","⚠ "&amp;SUM(J545:N545)&amp;" statt "&amp;I545))</f>
        <v/>
      </c>
      <c r="P545" s="21" t="n"/>
      <c r="Q545" s="21" t="n"/>
      <c r="R545" s="21" t="n"/>
      <c r="S545" s="24" t="n"/>
      <c r="T545" s="24" t="n"/>
      <c r="V545">
        <f>IF(A545="","",MONTH(A545))</f>
        <v/>
      </c>
      <c r="W545">
        <f>N(W544)+IF(AND(C545&lt;&gt;"",T545&lt;&gt;""),IF(C545=WOCHE!$B$3,1,0),0)</f>
        <v/>
      </c>
      <c r="X545">
        <f>N(X544)+IF(AND(V545&lt;&gt;"",T545&lt;&gt;""),IF(V545=MONAT!$AZ$3,1,0),0)</f>
        <v/>
      </c>
    </row>
    <row r="546">
      <c r="A546" s="19" t="n"/>
      <c r="B546" s="20">
        <f>IF(A546="","",CHOOSE(WEEKDAY(A546,2),"Mo","Di","Mi","Do","Fr","Sa","So"))</f>
        <v/>
      </c>
      <c r="C546" s="20">
        <f>IF(A546="","",INT((A546-DATE(YEAR(A546-WEEKDAY(A546-1)+4),1,3)+WEEKDAY(DATE(YEAR(A546-WEEKDAY(A546-1)+4),1,3))+5)/7))</f>
        <v/>
      </c>
      <c r="D546" s="21" t="n"/>
      <c r="E546" s="22" t="n"/>
      <c r="F546" s="23" t="n"/>
      <c r="G546" s="23" t="n"/>
      <c r="H546" s="23" t="n"/>
      <c r="I546" s="20">
        <f>IF(COUNT(F546:H546)=0,"",SUM(F546:H546))</f>
        <v/>
      </c>
      <c r="J546" s="23" t="n"/>
      <c r="K546" s="23" t="n"/>
      <c r="L546" s="23" t="n"/>
      <c r="M546" s="23" t="n"/>
      <c r="N546" s="23" t="n"/>
      <c r="O546" s="20">
        <f>IF(OR(I546="",COUNT(J546:N546)=0),"",IF(SUM(J546:N546)=I546,"✓","⚠ "&amp;SUM(J546:N546)&amp;" statt "&amp;I546))</f>
        <v/>
      </c>
      <c r="P546" s="21" t="n"/>
      <c r="Q546" s="21" t="n"/>
      <c r="R546" s="21" t="n"/>
      <c r="S546" s="24" t="n"/>
      <c r="T546" s="24" t="n"/>
      <c r="V546">
        <f>IF(A546="","",MONTH(A546))</f>
        <v/>
      </c>
      <c r="W546">
        <f>N(W545)+IF(AND(C546&lt;&gt;"",T546&lt;&gt;""),IF(C546=WOCHE!$B$3,1,0),0)</f>
        <v/>
      </c>
      <c r="X546">
        <f>N(X545)+IF(AND(V546&lt;&gt;"",T546&lt;&gt;""),IF(V546=MONAT!$AZ$3,1,0),0)</f>
        <v/>
      </c>
    </row>
    <row r="547">
      <c r="A547" s="19" t="n"/>
      <c r="B547" s="20">
        <f>IF(A547="","",CHOOSE(WEEKDAY(A547,2),"Mo","Di","Mi","Do","Fr","Sa","So"))</f>
        <v/>
      </c>
      <c r="C547" s="20">
        <f>IF(A547="","",INT((A547-DATE(YEAR(A547-WEEKDAY(A547-1)+4),1,3)+WEEKDAY(DATE(YEAR(A547-WEEKDAY(A547-1)+4),1,3))+5)/7))</f>
        <v/>
      </c>
      <c r="D547" s="21" t="n"/>
      <c r="E547" s="22" t="n"/>
      <c r="F547" s="23" t="n"/>
      <c r="G547" s="23" t="n"/>
      <c r="H547" s="23" t="n"/>
      <c r="I547" s="20">
        <f>IF(COUNT(F547:H547)=0,"",SUM(F547:H547))</f>
        <v/>
      </c>
      <c r="J547" s="23" t="n"/>
      <c r="K547" s="23" t="n"/>
      <c r="L547" s="23" t="n"/>
      <c r="M547" s="23" t="n"/>
      <c r="N547" s="23" t="n"/>
      <c r="O547" s="20">
        <f>IF(OR(I547="",COUNT(J547:N547)=0),"",IF(SUM(J547:N547)=I547,"✓","⚠ "&amp;SUM(J547:N547)&amp;" statt "&amp;I547))</f>
        <v/>
      </c>
      <c r="P547" s="21" t="n"/>
      <c r="Q547" s="21" t="n"/>
      <c r="R547" s="21" t="n"/>
      <c r="S547" s="24" t="n"/>
      <c r="T547" s="24" t="n"/>
      <c r="V547">
        <f>IF(A547="","",MONTH(A547))</f>
        <v/>
      </c>
      <c r="W547">
        <f>N(W546)+IF(AND(C547&lt;&gt;"",T547&lt;&gt;""),IF(C547=WOCHE!$B$3,1,0),0)</f>
        <v/>
      </c>
      <c r="X547">
        <f>N(X546)+IF(AND(V547&lt;&gt;"",T547&lt;&gt;""),IF(V547=MONAT!$AZ$3,1,0),0)</f>
        <v/>
      </c>
    </row>
    <row r="548">
      <c r="A548" s="19" t="n"/>
      <c r="B548" s="20">
        <f>IF(A548="","",CHOOSE(WEEKDAY(A548,2),"Mo","Di","Mi","Do","Fr","Sa","So"))</f>
        <v/>
      </c>
      <c r="C548" s="20">
        <f>IF(A548="","",INT((A548-DATE(YEAR(A548-WEEKDAY(A548-1)+4),1,3)+WEEKDAY(DATE(YEAR(A548-WEEKDAY(A548-1)+4),1,3))+5)/7))</f>
        <v/>
      </c>
      <c r="D548" s="21" t="n"/>
      <c r="E548" s="22" t="n"/>
      <c r="F548" s="23" t="n"/>
      <c r="G548" s="23" t="n"/>
      <c r="H548" s="23" t="n"/>
      <c r="I548" s="20">
        <f>IF(COUNT(F548:H548)=0,"",SUM(F548:H548))</f>
        <v/>
      </c>
      <c r="J548" s="23" t="n"/>
      <c r="K548" s="23" t="n"/>
      <c r="L548" s="23" t="n"/>
      <c r="M548" s="23" t="n"/>
      <c r="N548" s="23" t="n"/>
      <c r="O548" s="20">
        <f>IF(OR(I548="",COUNT(J548:N548)=0),"",IF(SUM(J548:N548)=I548,"✓","⚠ "&amp;SUM(J548:N548)&amp;" statt "&amp;I548))</f>
        <v/>
      </c>
      <c r="P548" s="21" t="n"/>
      <c r="Q548" s="21" t="n"/>
      <c r="R548" s="21" t="n"/>
      <c r="S548" s="24" t="n"/>
      <c r="T548" s="24" t="n"/>
      <c r="V548">
        <f>IF(A548="","",MONTH(A548))</f>
        <v/>
      </c>
      <c r="W548">
        <f>N(W547)+IF(AND(C548&lt;&gt;"",T548&lt;&gt;""),IF(C548=WOCHE!$B$3,1,0),0)</f>
        <v/>
      </c>
      <c r="X548">
        <f>N(X547)+IF(AND(V548&lt;&gt;"",T548&lt;&gt;""),IF(V548=MONAT!$AZ$3,1,0),0)</f>
        <v/>
      </c>
    </row>
    <row r="549">
      <c r="A549" s="19" t="n"/>
      <c r="B549" s="20">
        <f>IF(A549="","",CHOOSE(WEEKDAY(A549,2),"Mo","Di","Mi","Do","Fr","Sa","So"))</f>
        <v/>
      </c>
      <c r="C549" s="20">
        <f>IF(A549="","",INT((A549-DATE(YEAR(A549-WEEKDAY(A549-1)+4),1,3)+WEEKDAY(DATE(YEAR(A549-WEEKDAY(A549-1)+4),1,3))+5)/7))</f>
        <v/>
      </c>
      <c r="D549" s="21" t="n"/>
      <c r="E549" s="22" t="n"/>
      <c r="F549" s="23" t="n"/>
      <c r="G549" s="23" t="n"/>
      <c r="H549" s="23" t="n"/>
      <c r="I549" s="20">
        <f>IF(COUNT(F549:H549)=0,"",SUM(F549:H549))</f>
        <v/>
      </c>
      <c r="J549" s="23" t="n"/>
      <c r="K549" s="23" t="n"/>
      <c r="L549" s="23" t="n"/>
      <c r="M549" s="23" t="n"/>
      <c r="N549" s="23" t="n"/>
      <c r="O549" s="20">
        <f>IF(OR(I549="",COUNT(J549:N549)=0),"",IF(SUM(J549:N549)=I549,"✓","⚠ "&amp;SUM(J549:N549)&amp;" statt "&amp;I549))</f>
        <v/>
      </c>
      <c r="P549" s="21" t="n"/>
      <c r="Q549" s="21" t="n"/>
      <c r="R549" s="21" t="n"/>
      <c r="S549" s="24" t="n"/>
      <c r="T549" s="24" t="n"/>
      <c r="V549">
        <f>IF(A549="","",MONTH(A549))</f>
        <v/>
      </c>
      <c r="W549">
        <f>N(W548)+IF(AND(C549&lt;&gt;"",T549&lt;&gt;""),IF(C549=WOCHE!$B$3,1,0),0)</f>
        <v/>
      </c>
      <c r="X549">
        <f>N(X548)+IF(AND(V549&lt;&gt;"",T549&lt;&gt;""),IF(V549=MONAT!$AZ$3,1,0),0)</f>
        <v/>
      </c>
    </row>
    <row r="550">
      <c r="A550" s="19" t="n"/>
      <c r="B550" s="20">
        <f>IF(A550="","",CHOOSE(WEEKDAY(A550,2),"Mo","Di","Mi","Do","Fr","Sa","So"))</f>
        <v/>
      </c>
      <c r="C550" s="20">
        <f>IF(A550="","",INT((A550-DATE(YEAR(A550-WEEKDAY(A550-1)+4),1,3)+WEEKDAY(DATE(YEAR(A550-WEEKDAY(A550-1)+4),1,3))+5)/7))</f>
        <v/>
      </c>
      <c r="D550" s="21" t="n"/>
      <c r="E550" s="22" t="n"/>
      <c r="F550" s="23" t="n"/>
      <c r="G550" s="23" t="n"/>
      <c r="H550" s="23" t="n"/>
      <c r="I550" s="20">
        <f>IF(COUNT(F550:H550)=0,"",SUM(F550:H550))</f>
        <v/>
      </c>
      <c r="J550" s="23" t="n"/>
      <c r="K550" s="23" t="n"/>
      <c r="L550" s="23" t="n"/>
      <c r="M550" s="23" t="n"/>
      <c r="N550" s="23" t="n"/>
      <c r="O550" s="20">
        <f>IF(OR(I550="",COUNT(J550:N550)=0),"",IF(SUM(J550:N550)=I550,"✓","⚠ "&amp;SUM(J550:N550)&amp;" statt "&amp;I550))</f>
        <v/>
      </c>
      <c r="P550" s="21" t="n"/>
      <c r="Q550" s="21" t="n"/>
      <c r="R550" s="21" t="n"/>
      <c r="S550" s="24" t="n"/>
      <c r="T550" s="24" t="n"/>
      <c r="V550">
        <f>IF(A550="","",MONTH(A550))</f>
        <v/>
      </c>
      <c r="W550">
        <f>N(W549)+IF(AND(C550&lt;&gt;"",T550&lt;&gt;""),IF(C550=WOCHE!$B$3,1,0),0)</f>
        <v/>
      </c>
      <c r="X550">
        <f>N(X549)+IF(AND(V550&lt;&gt;"",T550&lt;&gt;""),IF(V550=MONAT!$AZ$3,1,0),0)</f>
        <v/>
      </c>
    </row>
    <row r="551">
      <c r="A551" s="19" t="n"/>
      <c r="B551" s="20">
        <f>IF(A551="","",CHOOSE(WEEKDAY(A551,2),"Mo","Di","Mi","Do","Fr","Sa","So"))</f>
        <v/>
      </c>
      <c r="C551" s="20">
        <f>IF(A551="","",INT((A551-DATE(YEAR(A551-WEEKDAY(A551-1)+4),1,3)+WEEKDAY(DATE(YEAR(A551-WEEKDAY(A551-1)+4),1,3))+5)/7))</f>
        <v/>
      </c>
      <c r="D551" s="21" t="n"/>
      <c r="E551" s="22" t="n"/>
      <c r="F551" s="23" t="n"/>
      <c r="G551" s="23" t="n"/>
      <c r="H551" s="23" t="n"/>
      <c r="I551" s="20">
        <f>IF(COUNT(F551:H551)=0,"",SUM(F551:H551))</f>
        <v/>
      </c>
      <c r="J551" s="23" t="n"/>
      <c r="K551" s="23" t="n"/>
      <c r="L551" s="23" t="n"/>
      <c r="M551" s="23" t="n"/>
      <c r="N551" s="23" t="n"/>
      <c r="O551" s="20">
        <f>IF(OR(I551="",COUNT(J551:N551)=0),"",IF(SUM(J551:N551)=I551,"✓","⚠ "&amp;SUM(J551:N551)&amp;" statt "&amp;I551))</f>
        <v/>
      </c>
      <c r="P551" s="21" t="n"/>
      <c r="Q551" s="21" t="n"/>
      <c r="R551" s="21" t="n"/>
      <c r="S551" s="24" t="n"/>
      <c r="T551" s="24" t="n"/>
      <c r="V551">
        <f>IF(A551="","",MONTH(A551))</f>
        <v/>
      </c>
      <c r="W551">
        <f>N(W550)+IF(AND(C551&lt;&gt;"",T551&lt;&gt;""),IF(C551=WOCHE!$B$3,1,0),0)</f>
        <v/>
      </c>
      <c r="X551">
        <f>N(X550)+IF(AND(V551&lt;&gt;"",T551&lt;&gt;""),IF(V551=MONAT!$AZ$3,1,0),0)</f>
        <v/>
      </c>
    </row>
    <row r="552">
      <c r="A552" s="19" t="n"/>
      <c r="B552" s="20">
        <f>IF(A552="","",CHOOSE(WEEKDAY(A552,2),"Mo","Di","Mi","Do","Fr","Sa","So"))</f>
        <v/>
      </c>
      <c r="C552" s="20">
        <f>IF(A552="","",INT((A552-DATE(YEAR(A552-WEEKDAY(A552-1)+4),1,3)+WEEKDAY(DATE(YEAR(A552-WEEKDAY(A552-1)+4),1,3))+5)/7))</f>
        <v/>
      </c>
      <c r="D552" s="21" t="n"/>
      <c r="E552" s="22" t="n"/>
      <c r="F552" s="23" t="n"/>
      <c r="G552" s="23" t="n"/>
      <c r="H552" s="23" t="n"/>
      <c r="I552" s="20">
        <f>IF(COUNT(F552:H552)=0,"",SUM(F552:H552))</f>
        <v/>
      </c>
      <c r="J552" s="23" t="n"/>
      <c r="K552" s="23" t="n"/>
      <c r="L552" s="23" t="n"/>
      <c r="M552" s="23" t="n"/>
      <c r="N552" s="23" t="n"/>
      <c r="O552" s="20">
        <f>IF(OR(I552="",COUNT(J552:N552)=0),"",IF(SUM(J552:N552)=I552,"✓","⚠ "&amp;SUM(J552:N552)&amp;" statt "&amp;I552))</f>
        <v/>
      </c>
      <c r="P552" s="21" t="n"/>
      <c r="Q552" s="21" t="n"/>
      <c r="R552" s="21" t="n"/>
      <c r="S552" s="24" t="n"/>
      <c r="T552" s="24" t="n"/>
      <c r="V552">
        <f>IF(A552="","",MONTH(A552))</f>
        <v/>
      </c>
      <c r="W552">
        <f>N(W551)+IF(AND(C552&lt;&gt;"",T552&lt;&gt;""),IF(C552=WOCHE!$B$3,1,0),0)</f>
        <v/>
      </c>
      <c r="X552">
        <f>N(X551)+IF(AND(V552&lt;&gt;"",T552&lt;&gt;""),IF(V552=MONAT!$AZ$3,1,0),0)</f>
        <v/>
      </c>
    </row>
    <row r="553">
      <c r="A553" s="19" t="n"/>
      <c r="B553" s="20">
        <f>IF(A553="","",CHOOSE(WEEKDAY(A553,2),"Mo","Di","Mi","Do","Fr","Sa","So"))</f>
        <v/>
      </c>
      <c r="C553" s="20">
        <f>IF(A553="","",INT((A553-DATE(YEAR(A553-WEEKDAY(A553-1)+4),1,3)+WEEKDAY(DATE(YEAR(A553-WEEKDAY(A553-1)+4),1,3))+5)/7))</f>
        <v/>
      </c>
      <c r="D553" s="21" t="n"/>
      <c r="E553" s="22" t="n"/>
      <c r="F553" s="23" t="n"/>
      <c r="G553" s="23" t="n"/>
      <c r="H553" s="23" t="n"/>
      <c r="I553" s="20">
        <f>IF(COUNT(F553:H553)=0,"",SUM(F553:H553))</f>
        <v/>
      </c>
      <c r="J553" s="23" t="n"/>
      <c r="K553" s="23" t="n"/>
      <c r="L553" s="23" t="n"/>
      <c r="M553" s="23" t="n"/>
      <c r="N553" s="23" t="n"/>
      <c r="O553" s="20">
        <f>IF(OR(I553="",COUNT(J553:N553)=0),"",IF(SUM(J553:N553)=I553,"✓","⚠ "&amp;SUM(J553:N553)&amp;" statt "&amp;I553))</f>
        <v/>
      </c>
      <c r="P553" s="21" t="n"/>
      <c r="Q553" s="21" t="n"/>
      <c r="R553" s="21" t="n"/>
      <c r="S553" s="24" t="n"/>
      <c r="T553" s="24" t="n"/>
      <c r="V553">
        <f>IF(A553="","",MONTH(A553))</f>
        <v/>
      </c>
      <c r="W553">
        <f>N(W552)+IF(AND(C553&lt;&gt;"",T553&lt;&gt;""),IF(C553=WOCHE!$B$3,1,0),0)</f>
        <v/>
      </c>
      <c r="X553">
        <f>N(X552)+IF(AND(V553&lt;&gt;"",T553&lt;&gt;""),IF(V553=MONAT!$AZ$3,1,0),0)</f>
        <v/>
      </c>
    </row>
    <row r="554">
      <c r="A554" s="19" t="n"/>
      <c r="B554" s="20">
        <f>IF(A554="","",CHOOSE(WEEKDAY(A554,2),"Mo","Di","Mi","Do","Fr","Sa","So"))</f>
        <v/>
      </c>
      <c r="C554" s="20">
        <f>IF(A554="","",INT((A554-DATE(YEAR(A554-WEEKDAY(A554-1)+4),1,3)+WEEKDAY(DATE(YEAR(A554-WEEKDAY(A554-1)+4),1,3))+5)/7))</f>
        <v/>
      </c>
      <c r="D554" s="21" t="n"/>
      <c r="E554" s="22" t="n"/>
      <c r="F554" s="23" t="n"/>
      <c r="G554" s="23" t="n"/>
      <c r="H554" s="23" t="n"/>
      <c r="I554" s="20">
        <f>IF(COUNT(F554:H554)=0,"",SUM(F554:H554))</f>
        <v/>
      </c>
      <c r="J554" s="23" t="n"/>
      <c r="K554" s="23" t="n"/>
      <c r="L554" s="23" t="n"/>
      <c r="M554" s="23" t="n"/>
      <c r="N554" s="23" t="n"/>
      <c r="O554" s="20">
        <f>IF(OR(I554="",COUNT(J554:N554)=0),"",IF(SUM(J554:N554)=I554,"✓","⚠ "&amp;SUM(J554:N554)&amp;" statt "&amp;I554))</f>
        <v/>
      </c>
      <c r="P554" s="21" t="n"/>
      <c r="Q554" s="21" t="n"/>
      <c r="R554" s="21" t="n"/>
      <c r="S554" s="24" t="n"/>
      <c r="T554" s="24" t="n"/>
      <c r="V554">
        <f>IF(A554="","",MONTH(A554))</f>
        <v/>
      </c>
      <c r="W554">
        <f>N(W553)+IF(AND(C554&lt;&gt;"",T554&lt;&gt;""),IF(C554=WOCHE!$B$3,1,0),0)</f>
        <v/>
      </c>
      <c r="X554">
        <f>N(X553)+IF(AND(V554&lt;&gt;"",T554&lt;&gt;""),IF(V554=MONAT!$AZ$3,1,0),0)</f>
        <v/>
      </c>
    </row>
    <row r="555">
      <c r="A555" s="19" t="n"/>
      <c r="B555" s="20">
        <f>IF(A555="","",CHOOSE(WEEKDAY(A555,2),"Mo","Di","Mi","Do","Fr","Sa","So"))</f>
        <v/>
      </c>
      <c r="C555" s="20">
        <f>IF(A555="","",INT((A555-DATE(YEAR(A555-WEEKDAY(A555-1)+4),1,3)+WEEKDAY(DATE(YEAR(A555-WEEKDAY(A555-1)+4),1,3))+5)/7))</f>
        <v/>
      </c>
      <c r="D555" s="21" t="n"/>
      <c r="E555" s="22" t="n"/>
      <c r="F555" s="23" t="n"/>
      <c r="G555" s="23" t="n"/>
      <c r="H555" s="23" t="n"/>
      <c r="I555" s="20">
        <f>IF(COUNT(F555:H555)=0,"",SUM(F555:H555))</f>
        <v/>
      </c>
      <c r="J555" s="23" t="n"/>
      <c r="K555" s="23" t="n"/>
      <c r="L555" s="23" t="n"/>
      <c r="M555" s="23" t="n"/>
      <c r="N555" s="23" t="n"/>
      <c r="O555" s="20">
        <f>IF(OR(I555="",COUNT(J555:N555)=0),"",IF(SUM(J555:N555)=I555,"✓","⚠ "&amp;SUM(J555:N555)&amp;" statt "&amp;I555))</f>
        <v/>
      </c>
      <c r="P555" s="21" t="n"/>
      <c r="Q555" s="21" t="n"/>
      <c r="R555" s="21" t="n"/>
      <c r="S555" s="24" t="n"/>
      <c r="T555" s="24" t="n"/>
      <c r="V555">
        <f>IF(A555="","",MONTH(A555))</f>
        <v/>
      </c>
      <c r="W555">
        <f>N(W554)+IF(AND(C555&lt;&gt;"",T555&lt;&gt;""),IF(C555=WOCHE!$B$3,1,0),0)</f>
        <v/>
      </c>
      <c r="X555">
        <f>N(X554)+IF(AND(V555&lt;&gt;"",T555&lt;&gt;""),IF(V555=MONAT!$AZ$3,1,0),0)</f>
        <v/>
      </c>
    </row>
    <row r="556">
      <c r="A556" s="19" t="n"/>
      <c r="B556" s="20">
        <f>IF(A556="","",CHOOSE(WEEKDAY(A556,2),"Mo","Di","Mi","Do","Fr","Sa","So"))</f>
        <v/>
      </c>
      <c r="C556" s="20">
        <f>IF(A556="","",INT((A556-DATE(YEAR(A556-WEEKDAY(A556-1)+4),1,3)+WEEKDAY(DATE(YEAR(A556-WEEKDAY(A556-1)+4),1,3))+5)/7))</f>
        <v/>
      </c>
      <c r="D556" s="21" t="n"/>
      <c r="E556" s="22" t="n"/>
      <c r="F556" s="23" t="n"/>
      <c r="G556" s="23" t="n"/>
      <c r="H556" s="23" t="n"/>
      <c r="I556" s="20">
        <f>IF(COUNT(F556:H556)=0,"",SUM(F556:H556))</f>
        <v/>
      </c>
      <c r="J556" s="23" t="n"/>
      <c r="K556" s="23" t="n"/>
      <c r="L556" s="23" t="n"/>
      <c r="M556" s="23" t="n"/>
      <c r="N556" s="23" t="n"/>
      <c r="O556" s="20">
        <f>IF(OR(I556="",COUNT(J556:N556)=0),"",IF(SUM(J556:N556)=I556,"✓","⚠ "&amp;SUM(J556:N556)&amp;" statt "&amp;I556))</f>
        <v/>
      </c>
      <c r="P556" s="21" t="n"/>
      <c r="Q556" s="21" t="n"/>
      <c r="R556" s="21" t="n"/>
      <c r="S556" s="24" t="n"/>
      <c r="T556" s="24" t="n"/>
      <c r="V556">
        <f>IF(A556="","",MONTH(A556))</f>
        <v/>
      </c>
      <c r="W556">
        <f>N(W555)+IF(AND(C556&lt;&gt;"",T556&lt;&gt;""),IF(C556=WOCHE!$B$3,1,0),0)</f>
        <v/>
      </c>
      <c r="X556">
        <f>N(X555)+IF(AND(V556&lt;&gt;"",T556&lt;&gt;""),IF(V556=MONAT!$AZ$3,1,0),0)</f>
        <v/>
      </c>
    </row>
    <row r="557">
      <c r="A557" s="19" t="n"/>
      <c r="B557" s="20">
        <f>IF(A557="","",CHOOSE(WEEKDAY(A557,2),"Mo","Di","Mi","Do","Fr","Sa","So"))</f>
        <v/>
      </c>
      <c r="C557" s="20">
        <f>IF(A557="","",INT((A557-DATE(YEAR(A557-WEEKDAY(A557-1)+4),1,3)+WEEKDAY(DATE(YEAR(A557-WEEKDAY(A557-1)+4),1,3))+5)/7))</f>
        <v/>
      </c>
      <c r="D557" s="21" t="n"/>
      <c r="E557" s="22" t="n"/>
      <c r="F557" s="23" t="n"/>
      <c r="G557" s="23" t="n"/>
      <c r="H557" s="23" t="n"/>
      <c r="I557" s="20">
        <f>IF(COUNT(F557:H557)=0,"",SUM(F557:H557))</f>
        <v/>
      </c>
      <c r="J557" s="23" t="n"/>
      <c r="K557" s="23" t="n"/>
      <c r="L557" s="23" t="n"/>
      <c r="M557" s="23" t="n"/>
      <c r="N557" s="23" t="n"/>
      <c r="O557" s="20">
        <f>IF(OR(I557="",COUNT(J557:N557)=0),"",IF(SUM(J557:N557)=I557,"✓","⚠ "&amp;SUM(J557:N557)&amp;" statt "&amp;I557))</f>
        <v/>
      </c>
      <c r="P557" s="21" t="n"/>
      <c r="Q557" s="21" t="n"/>
      <c r="R557" s="21" t="n"/>
      <c r="S557" s="24" t="n"/>
      <c r="T557" s="24" t="n"/>
      <c r="V557">
        <f>IF(A557="","",MONTH(A557))</f>
        <v/>
      </c>
      <c r="W557">
        <f>N(W556)+IF(AND(C557&lt;&gt;"",T557&lt;&gt;""),IF(C557=WOCHE!$B$3,1,0),0)</f>
        <v/>
      </c>
      <c r="X557">
        <f>N(X556)+IF(AND(V557&lt;&gt;"",T557&lt;&gt;""),IF(V557=MONAT!$AZ$3,1,0),0)</f>
        <v/>
      </c>
    </row>
    <row r="558">
      <c r="A558" s="19" t="n"/>
      <c r="B558" s="20">
        <f>IF(A558="","",CHOOSE(WEEKDAY(A558,2),"Mo","Di","Mi","Do","Fr","Sa","So"))</f>
        <v/>
      </c>
      <c r="C558" s="20">
        <f>IF(A558="","",INT((A558-DATE(YEAR(A558-WEEKDAY(A558-1)+4),1,3)+WEEKDAY(DATE(YEAR(A558-WEEKDAY(A558-1)+4),1,3))+5)/7))</f>
        <v/>
      </c>
      <c r="D558" s="21" t="n"/>
      <c r="E558" s="22" t="n"/>
      <c r="F558" s="23" t="n"/>
      <c r="G558" s="23" t="n"/>
      <c r="H558" s="23" t="n"/>
      <c r="I558" s="20">
        <f>IF(COUNT(F558:H558)=0,"",SUM(F558:H558))</f>
        <v/>
      </c>
      <c r="J558" s="23" t="n"/>
      <c r="K558" s="23" t="n"/>
      <c r="L558" s="23" t="n"/>
      <c r="M558" s="23" t="n"/>
      <c r="N558" s="23" t="n"/>
      <c r="O558" s="20">
        <f>IF(OR(I558="",COUNT(J558:N558)=0),"",IF(SUM(J558:N558)=I558,"✓","⚠ "&amp;SUM(J558:N558)&amp;" statt "&amp;I558))</f>
        <v/>
      </c>
      <c r="P558" s="21" t="n"/>
      <c r="Q558" s="21" t="n"/>
      <c r="R558" s="21" t="n"/>
      <c r="S558" s="24" t="n"/>
      <c r="T558" s="24" t="n"/>
      <c r="V558">
        <f>IF(A558="","",MONTH(A558))</f>
        <v/>
      </c>
      <c r="W558">
        <f>N(W557)+IF(AND(C558&lt;&gt;"",T558&lt;&gt;""),IF(C558=WOCHE!$B$3,1,0),0)</f>
        <v/>
      </c>
      <c r="X558">
        <f>N(X557)+IF(AND(V558&lt;&gt;"",T558&lt;&gt;""),IF(V558=MONAT!$AZ$3,1,0),0)</f>
        <v/>
      </c>
    </row>
    <row r="559">
      <c r="A559" s="19" t="n"/>
      <c r="B559" s="20">
        <f>IF(A559="","",CHOOSE(WEEKDAY(A559,2),"Mo","Di","Mi","Do","Fr","Sa","So"))</f>
        <v/>
      </c>
      <c r="C559" s="20">
        <f>IF(A559="","",INT((A559-DATE(YEAR(A559-WEEKDAY(A559-1)+4),1,3)+WEEKDAY(DATE(YEAR(A559-WEEKDAY(A559-1)+4),1,3))+5)/7))</f>
        <v/>
      </c>
      <c r="D559" s="21" t="n"/>
      <c r="E559" s="22" t="n"/>
      <c r="F559" s="23" t="n"/>
      <c r="G559" s="23" t="n"/>
      <c r="H559" s="23" t="n"/>
      <c r="I559" s="20">
        <f>IF(COUNT(F559:H559)=0,"",SUM(F559:H559))</f>
        <v/>
      </c>
      <c r="J559" s="23" t="n"/>
      <c r="K559" s="23" t="n"/>
      <c r="L559" s="23" t="n"/>
      <c r="M559" s="23" t="n"/>
      <c r="N559" s="23" t="n"/>
      <c r="O559" s="20">
        <f>IF(OR(I559="",COUNT(J559:N559)=0),"",IF(SUM(J559:N559)=I559,"✓","⚠ "&amp;SUM(J559:N559)&amp;" statt "&amp;I559))</f>
        <v/>
      </c>
      <c r="P559" s="21" t="n"/>
      <c r="Q559" s="21" t="n"/>
      <c r="R559" s="21" t="n"/>
      <c r="S559" s="24" t="n"/>
      <c r="T559" s="24" t="n"/>
      <c r="V559">
        <f>IF(A559="","",MONTH(A559))</f>
        <v/>
      </c>
      <c r="W559">
        <f>N(W558)+IF(AND(C559&lt;&gt;"",T559&lt;&gt;""),IF(C559=WOCHE!$B$3,1,0),0)</f>
        <v/>
      </c>
      <c r="X559">
        <f>N(X558)+IF(AND(V559&lt;&gt;"",T559&lt;&gt;""),IF(V559=MONAT!$AZ$3,1,0),0)</f>
        <v/>
      </c>
    </row>
    <row r="560">
      <c r="A560" s="19" t="n"/>
      <c r="B560" s="20">
        <f>IF(A560="","",CHOOSE(WEEKDAY(A560,2),"Mo","Di","Mi","Do","Fr","Sa","So"))</f>
        <v/>
      </c>
      <c r="C560" s="20">
        <f>IF(A560="","",INT((A560-DATE(YEAR(A560-WEEKDAY(A560-1)+4),1,3)+WEEKDAY(DATE(YEAR(A560-WEEKDAY(A560-1)+4),1,3))+5)/7))</f>
        <v/>
      </c>
      <c r="D560" s="21" t="n"/>
      <c r="E560" s="22" t="n"/>
      <c r="F560" s="23" t="n"/>
      <c r="G560" s="23" t="n"/>
      <c r="H560" s="23" t="n"/>
      <c r="I560" s="20">
        <f>IF(COUNT(F560:H560)=0,"",SUM(F560:H560))</f>
        <v/>
      </c>
      <c r="J560" s="23" t="n"/>
      <c r="K560" s="23" t="n"/>
      <c r="L560" s="23" t="n"/>
      <c r="M560" s="23" t="n"/>
      <c r="N560" s="23" t="n"/>
      <c r="O560" s="20">
        <f>IF(OR(I560="",COUNT(J560:N560)=0),"",IF(SUM(J560:N560)=I560,"✓","⚠ "&amp;SUM(J560:N560)&amp;" statt "&amp;I560))</f>
        <v/>
      </c>
      <c r="P560" s="21" t="n"/>
      <c r="Q560" s="21" t="n"/>
      <c r="R560" s="21" t="n"/>
      <c r="S560" s="24" t="n"/>
      <c r="T560" s="24" t="n"/>
      <c r="V560">
        <f>IF(A560="","",MONTH(A560))</f>
        <v/>
      </c>
      <c r="W560">
        <f>N(W559)+IF(AND(C560&lt;&gt;"",T560&lt;&gt;""),IF(C560=WOCHE!$B$3,1,0),0)</f>
        <v/>
      </c>
      <c r="X560">
        <f>N(X559)+IF(AND(V560&lt;&gt;"",T560&lt;&gt;""),IF(V560=MONAT!$AZ$3,1,0),0)</f>
        <v/>
      </c>
    </row>
    <row r="561">
      <c r="A561" s="19" t="n"/>
      <c r="B561" s="20">
        <f>IF(A561="","",CHOOSE(WEEKDAY(A561,2),"Mo","Di","Mi","Do","Fr","Sa","So"))</f>
        <v/>
      </c>
      <c r="C561" s="20">
        <f>IF(A561="","",INT((A561-DATE(YEAR(A561-WEEKDAY(A561-1)+4),1,3)+WEEKDAY(DATE(YEAR(A561-WEEKDAY(A561-1)+4),1,3))+5)/7))</f>
        <v/>
      </c>
      <c r="D561" s="21" t="n"/>
      <c r="E561" s="22" t="n"/>
      <c r="F561" s="23" t="n"/>
      <c r="G561" s="23" t="n"/>
      <c r="H561" s="23" t="n"/>
      <c r="I561" s="20">
        <f>IF(COUNT(F561:H561)=0,"",SUM(F561:H561))</f>
        <v/>
      </c>
      <c r="J561" s="23" t="n"/>
      <c r="K561" s="23" t="n"/>
      <c r="L561" s="23" t="n"/>
      <c r="M561" s="23" t="n"/>
      <c r="N561" s="23" t="n"/>
      <c r="O561" s="20">
        <f>IF(OR(I561="",COUNT(J561:N561)=0),"",IF(SUM(J561:N561)=I561,"✓","⚠ "&amp;SUM(J561:N561)&amp;" statt "&amp;I561))</f>
        <v/>
      </c>
      <c r="P561" s="21" t="n"/>
      <c r="Q561" s="21" t="n"/>
      <c r="R561" s="21" t="n"/>
      <c r="S561" s="24" t="n"/>
      <c r="T561" s="24" t="n"/>
      <c r="V561">
        <f>IF(A561="","",MONTH(A561))</f>
        <v/>
      </c>
      <c r="W561">
        <f>N(W560)+IF(AND(C561&lt;&gt;"",T561&lt;&gt;""),IF(C561=WOCHE!$B$3,1,0),0)</f>
        <v/>
      </c>
      <c r="X561">
        <f>N(X560)+IF(AND(V561&lt;&gt;"",T561&lt;&gt;""),IF(V561=MONAT!$AZ$3,1,0),0)</f>
        <v/>
      </c>
    </row>
    <row r="562">
      <c r="A562" s="19" t="n"/>
      <c r="B562" s="20">
        <f>IF(A562="","",CHOOSE(WEEKDAY(A562,2),"Mo","Di","Mi","Do","Fr","Sa","So"))</f>
        <v/>
      </c>
      <c r="C562" s="20">
        <f>IF(A562="","",INT((A562-DATE(YEAR(A562-WEEKDAY(A562-1)+4),1,3)+WEEKDAY(DATE(YEAR(A562-WEEKDAY(A562-1)+4),1,3))+5)/7))</f>
        <v/>
      </c>
      <c r="D562" s="21" t="n"/>
      <c r="E562" s="22" t="n"/>
      <c r="F562" s="23" t="n"/>
      <c r="G562" s="23" t="n"/>
      <c r="H562" s="23" t="n"/>
      <c r="I562" s="20">
        <f>IF(COUNT(F562:H562)=0,"",SUM(F562:H562))</f>
        <v/>
      </c>
      <c r="J562" s="23" t="n"/>
      <c r="K562" s="23" t="n"/>
      <c r="L562" s="23" t="n"/>
      <c r="M562" s="23" t="n"/>
      <c r="N562" s="23" t="n"/>
      <c r="O562" s="20">
        <f>IF(OR(I562="",COUNT(J562:N562)=0),"",IF(SUM(J562:N562)=I562,"✓","⚠ "&amp;SUM(J562:N562)&amp;" statt "&amp;I562))</f>
        <v/>
      </c>
      <c r="P562" s="21" t="n"/>
      <c r="Q562" s="21" t="n"/>
      <c r="R562" s="21" t="n"/>
      <c r="S562" s="24" t="n"/>
      <c r="T562" s="24" t="n"/>
      <c r="V562">
        <f>IF(A562="","",MONTH(A562))</f>
        <v/>
      </c>
      <c r="W562">
        <f>N(W561)+IF(AND(C562&lt;&gt;"",T562&lt;&gt;""),IF(C562=WOCHE!$B$3,1,0),0)</f>
        <v/>
      </c>
      <c r="X562">
        <f>N(X561)+IF(AND(V562&lt;&gt;"",T562&lt;&gt;""),IF(V562=MONAT!$AZ$3,1,0),0)</f>
        <v/>
      </c>
    </row>
    <row r="563">
      <c r="A563" s="19" t="n"/>
      <c r="B563" s="20">
        <f>IF(A563="","",CHOOSE(WEEKDAY(A563,2),"Mo","Di","Mi","Do","Fr","Sa","So"))</f>
        <v/>
      </c>
      <c r="C563" s="20">
        <f>IF(A563="","",INT((A563-DATE(YEAR(A563-WEEKDAY(A563-1)+4),1,3)+WEEKDAY(DATE(YEAR(A563-WEEKDAY(A563-1)+4),1,3))+5)/7))</f>
        <v/>
      </c>
      <c r="D563" s="21" t="n"/>
      <c r="E563" s="22" t="n"/>
      <c r="F563" s="23" t="n"/>
      <c r="G563" s="23" t="n"/>
      <c r="H563" s="23" t="n"/>
      <c r="I563" s="20">
        <f>IF(COUNT(F563:H563)=0,"",SUM(F563:H563))</f>
        <v/>
      </c>
      <c r="J563" s="23" t="n"/>
      <c r="K563" s="23" t="n"/>
      <c r="L563" s="23" t="n"/>
      <c r="M563" s="23" t="n"/>
      <c r="N563" s="23" t="n"/>
      <c r="O563" s="20">
        <f>IF(OR(I563="",COUNT(J563:N563)=0),"",IF(SUM(J563:N563)=I563,"✓","⚠ "&amp;SUM(J563:N563)&amp;" statt "&amp;I563))</f>
        <v/>
      </c>
      <c r="P563" s="21" t="n"/>
      <c r="Q563" s="21" t="n"/>
      <c r="R563" s="21" t="n"/>
      <c r="S563" s="24" t="n"/>
      <c r="T563" s="24" t="n"/>
      <c r="V563">
        <f>IF(A563="","",MONTH(A563))</f>
        <v/>
      </c>
      <c r="W563">
        <f>N(W562)+IF(AND(C563&lt;&gt;"",T563&lt;&gt;""),IF(C563=WOCHE!$B$3,1,0),0)</f>
        <v/>
      </c>
      <c r="X563">
        <f>N(X562)+IF(AND(V563&lt;&gt;"",T563&lt;&gt;""),IF(V563=MONAT!$AZ$3,1,0),0)</f>
        <v/>
      </c>
    </row>
    <row r="564">
      <c r="A564" s="19" t="n"/>
      <c r="B564" s="20">
        <f>IF(A564="","",CHOOSE(WEEKDAY(A564,2),"Mo","Di","Mi","Do","Fr","Sa","So"))</f>
        <v/>
      </c>
      <c r="C564" s="20">
        <f>IF(A564="","",INT((A564-DATE(YEAR(A564-WEEKDAY(A564-1)+4),1,3)+WEEKDAY(DATE(YEAR(A564-WEEKDAY(A564-1)+4),1,3))+5)/7))</f>
        <v/>
      </c>
      <c r="D564" s="21" t="n"/>
      <c r="E564" s="22" t="n"/>
      <c r="F564" s="23" t="n"/>
      <c r="G564" s="23" t="n"/>
      <c r="H564" s="23" t="n"/>
      <c r="I564" s="20">
        <f>IF(COUNT(F564:H564)=0,"",SUM(F564:H564))</f>
        <v/>
      </c>
      <c r="J564" s="23" t="n"/>
      <c r="K564" s="23" t="n"/>
      <c r="L564" s="23" t="n"/>
      <c r="M564" s="23" t="n"/>
      <c r="N564" s="23" t="n"/>
      <c r="O564" s="20">
        <f>IF(OR(I564="",COUNT(J564:N564)=0),"",IF(SUM(J564:N564)=I564,"✓","⚠ "&amp;SUM(J564:N564)&amp;" statt "&amp;I564))</f>
        <v/>
      </c>
      <c r="P564" s="21" t="n"/>
      <c r="Q564" s="21" t="n"/>
      <c r="R564" s="21" t="n"/>
      <c r="S564" s="24" t="n"/>
      <c r="T564" s="24" t="n"/>
      <c r="V564">
        <f>IF(A564="","",MONTH(A564))</f>
        <v/>
      </c>
      <c r="W564">
        <f>N(W563)+IF(AND(C564&lt;&gt;"",T564&lt;&gt;""),IF(C564=WOCHE!$B$3,1,0),0)</f>
        <v/>
      </c>
      <c r="X564">
        <f>N(X563)+IF(AND(V564&lt;&gt;"",T564&lt;&gt;""),IF(V564=MONAT!$AZ$3,1,0),0)</f>
        <v/>
      </c>
    </row>
    <row r="565">
      <c r="A565" s="19" t="n"/>
      <c r="B565" s="20">
        <f>IF(A565="","",CHOOSE(WEEKDAY(A565,2),"Mo","Di","Mi","Do","Fr","Sa","So"))</f>
        <v/>
      </c>
      <c r="C565" s="20">
        <f>IF(A565="","",INT((A565-DATE(YEAR(A565-WEEKDAY(A565-1)+4),1,3)+WEEKDAY(DATE(YEAR(A565-WEEKDAY(A565-1)+4),1,3))+5)/7))</f>
        <v/>
      </c>
      <c r="D565" s="21" t="n"/>
      <c r="E565" s="22" t="n"/>
      <c r="F565" s="23" t="n"/>
      <c r="G565" s="23" t="n"/>
      <c r="H565" s="23" t="n"/>
      <c r="I565" s="20">
        <f>IF(COUNT(F565:H565)=0,"",SUM(F565:H565))</f>
        <v/>
      </c>
      <c r="J565" s="23" t="n"/>
      <c r="K565" s="23" t="n"/>
      <c r="L565" s="23" t="n"/>
      <c r="M565" s="23" t="n"/>
      <c r="N565" s="23" t="n"/>
      <c r="O565" s="20">
        <f>IF(OR(I565="",COUNT(J565:N565)=0),"",IF(SUM(J565:N565)=I565,"✓","⚠ "&amp;SUM(J565:N565)&amp;" statt "&amp;I565))</f>
        <v/>
      </c>
      <c r="P565" s="21" t="n"/>
      <c r="Q565" s="21" t="n"/>
      <c r="R565" s="21" t="n"/>
      <c r="S565" s="24" t="n"/>
      <c r="T565" s="24" t="n"/>
      <c r="V565">
        <f>IF(A565="","",MONTH(A565))</f>
        <v/>
      </c>
      <c r="W565">
        <f>N(W564)+IF(AND(C565&lt;&gt;"",T565&lt;&gt;""),IF(C565=WOCHE!$B$3,1,0),0)</f>
        <v/>
      </c>
      <c r="X565">
        <f>N(X564)+IF(AND(V565&lt;&gt;"",T565&lt;&gt;""),IF(V565=MONAT!$AZ$3,1,0),0)</f>
        <v/>
      </c>
    </row>
    <row r="566">
      <c r="A566" s="19" t="n"/>
      <c r="B566" s="20">
        <f>IF(A566="","",CHOOSE(WEEKDAY(A566,2),"Mo","Di","Mi","Do","Fr","Sa","So"))</f>
        <v/>
      </c>
      <c r="C566" s="20">
        <f>IF(A566="","",INT((A566-DATE(YEAR(A566-WEEKDAY(A566-1)+4),1,3)+WEEKDAY(DATE(YEAR(A566-WEEKDAY(A566-1)+4),1,3))+5)/7))</f>
        <v/>
      </c>
      <c r="D566" s="21" t="n"/>
      <c r="E566" s="22" t="n"/>
      <c r="F566" s="23" t="n"/>
      <c r="G566" s="23" t="n"/>
      <c r="H566" s="23" t="n"/>
      <c r="I566" s="20">
        <f>IF(COUNT(F566:H566)=0,"",SUM(F566:H566))</f>
        <v/>
      </c>
      <c r="J566" s="23" t="n"/>
      <c r="K566" s="23" t="n"/>
      <c r="L566" s="23" t="n"/>
      <c r="M566" s="23" t="n"/>
      <c r="N566" s="23" t="n"/>
      <c r="O566" s="20">
        <f>IF(OR(I566="",COUNT(J566:N566)=0),"",IF(SUM(J566:N566)=I566,"✓","⚠ "&amp;SUM(J566:N566)&amp;" statt "&amp;I566))</f>
        <v/>
      </c>
      <c r="P566" s="21" t="n"/>
      <c r="Q566" s="21" t="n"/>
      <c r="R566" s="21" t="n"/>
      <c r="S566" s="24" t="n"/>
      <c r="T566" s="24" t="n"/>
      <c r="V566">
        <f>IF(A566="","",MONTH(A566))</f>
        <v/>
      </c>
      <c r="W566">
        <f>N(W565)+IF(AND(C566&lt;&gt;"",T566&lt;&gt;""),IF(C566=WOCHE!$B$3,1,0),0)</f>
        <v/>
      </c>
      <c r="X566">
        <f>N(X565)+IF(AND(V566&lt;&gt;"",T566&lt;&gt;""),IF(V566=MONAT!$AZ$3,1,0),0)</f>
        <v/>
      </c>
    </row>
    <row r="567">
      <c r="A567" s="19" t="n"/>
      <c r="B567" s="20">
        <f>IF(A567="","",CHOOSE(WEEKDAY(A567,2),"Mo","Di","Mi","Do","Fr","Sa","So"))</f>
        <v/>
      </c>
      <c r="C567" s="20">
        <f>IF(A567="","",INT((A567-DATE(YEAR(A567-WEEKDAY(A567-1)+4),1,3)+WEEKDAY(DATE(YEAR(A567-WEEKDAY(A567-1)+4),1,3))+5)/7))</f>
        <v/>
      </c>
      <c r="D567" s="21" t="n"/>
      <c r="E567" s="22" t="n"/>
      <c r="F567" s="23" t="n"/>
      <c r="G567" s="23" t="n"/>
      <c r="H567" s="23" t="n"/>
      <c r="I567" s="20">
        <f>IF(COUNT(F567:H567)=0,"",SUM(F567:H567))</f>
        <v/>
      </c>
      <c r="J567" s="23" t="n"/>
      <c r="K567" s="23" t="n"/>
      <c r="L567" s="23" t="n"/>
      <c r="M567" s="23" t="n"/>
      <c r="N567" s="23" t="n"/>
      <c r="O567" s="20">
        <f>IF(OR(I567="",COUNT(J567:N567)=0),"",IF(SUM(J567:N567)=I567,"✓","⚠ "&amp;SUM(J567:N567)&amp;" statt "&amp;I567))</f>
        <v/>
      </c>
      <c r="P567" s="21" t="n"/>
      <c r="Q567" s="21" t="n"/>
      <c r="R567" s="21" t="n"/>
      <c r="S567" s="24" t="n"/>
      <c r="T567" s="24" t="n"/>
      <c r="V567">
        <f>IF(A567="","",MONTH(A567))</f>
        <v/>
      </c>
      <c r="W567">
        <f>N(W566)+IF(AND(C567&lt;&gt;"",T567&lt;&gt;""),IF(C567=WOCHE!$B$3,1,0),0)</f>
        <v/>
      </c>
      <c r="X567">
        <f>N(X566)+IF(AND(V567&lt;&gt;"",T567&lt;&gt;""),IF(V567=MONAT!$AZ$3,1,0),0)</f>
        <v/>
      </c>
    </row>
    <row r="568">
      <c r="A568" s="19" t="n"/>
      <c r="B568" s="20">
        <f>IF(A568="","",CHOOSE(WEEKDAY(A568,2),"Mo","Di","Mi","Do","Fr","Sa","So"))</f>
        <v/>
      </c>
      <c r="C568" s="20">
        <f>IF(A568="","",INT((A568-DATE(YEAR(A568-WEEKDAY(A568-1)+4),1,3)+WEEKDAY(DATE(YEAR(A568-WEEKDAY(A568-1)+4),1,3))+5)/7))</f>
        <v/>
      </c>
      <c r="D568" s="21" t="n"/>
      <c r="E568" s="22" t="n"/>
      <c r="F568" s="23" t="n"/>
      <c r="G568" s="23" t="n"/>
      <c r="H568" s="23" t="n"/>
      <c r="I568" s="20">
        <f>IF(COUNT(F568:H568)=0,"",SUM(F568:H568))</f>
        <v/>
      </c>
      <c r="J568" s="23" t="n"/>
      <c r="K568" s="23" t="n"/>
      <c r="L568" s="23" t="n"/>
      <c r="M568" s="23" t="n"/>
      <c r="N568" s="23" t="n"/>
      <c r="O568" s="20">
        <f>IF(OR(I568="",COUNT(J568:N568)=0),"",IF(SUM(J568:N568)=I568,"✓","⚠ "&amp;SUM(J568:N568)&amp;" statt "&amp;I568))</f>
        <v/>
      </c>
      <c r="P568" s="21" t="n"/>
      <c r="Q568" s="21" t="n"/>
      <c r="R568" s="21" t="n"/>
      <c r="S568" s="24" t="n"/>
      <c r="T568" s="24" t="n"/>
      <c r="V568">
        <f>IF(A568="","",MONTH(A568))</f>
        <v/>
      </c>
      <c r="W568">
        <f>N(W567)+IF(AND(C568&lt;&gt;"",T568&lt;&gt;""),IF(C568=WOCHE!$B$3,1,0),0)</f>
        <v/>
      </c>
      <c r="X568">
        <f>N(X567)+IF(AND(V568&lt;&gt;"",T568&lt;&gt;""),IF(V568=MONAT!$AZ$3,1,0),0)</f>
        <v/>
      </c>
    </row>
    <row r="569">
      <c r="A569" s="19" t="n"/>
      <c r="B569" s="20">
        <f>IF(A569="","",CHOOSE(WEEKDAY(A569,2),"Mo","Di","Mi","Do","Fr","Sa","So"))</f>
        <v/>
      </c>
      <c r="C569" s="20">
        <f>IF(A569="","",INT((A569-DATE(YEAR(A569-WEEKDAY(A569-1)+4),1,3)+WEEKDAY(DATE(YEAR(A569-WEEKDAY(A569-1)+4),1,3))+5)/7))</f>
        <v/>
      </c>
      <c r="D569" s="21" t="n"/>
      <c r="E569" s="22" t="n"/>
      <c r="F569" s="23" t="n"/>
      <c r="G569" s="23" t="n"/>
      <c r="H569" s="23" t="n"/>
      <c r="I569" s="20">
        <f>IF(COUNT(F569:H569)=0,"",SUM(F569:H569))</f>
        <v/>
      </c>
      <c r="J569" s="23" t="n"/>
      <c r="K569" s="23" t="n"/>
      <c r="L569" s="23" t="n"/>
      <c r="M569" s="23" t="n"/>
      <c r="N569" s="23" t="n"/>
      <c r="O569" s="20">
        <f>IF(OR(I569="",COUNT(J569:N569)=0),"",IF(SUM(J569:N569)=I569,"✓","⚠ "&amp;SUM(J569:N569)&amp;" statt "&amp;I569))</f>
        <v/>
      </c>
      <c r="P569" s="21" t="n"/>
      <c r="Q569" s="21" t="n"/>
      <c r="R569" s="21" t="n"/>
      <c r="S569" s="24" t="n"/>
      <c r="T569" s="24" t="n"/>
      <c r="V569">
        <f>IF(A569="","",MONTH(A569))</f>
        <v/>
      </c>
      <c r="W569">
        <f>N(W568)+IF(AND(C569&lt;&gt;"",T569&lt;&gt;""),IF(C569=WOCHE!$B$3,1,0),0)</f>
        <v/>
      </c>
      <c r="X569">
        <f>N(X568)+IF(AND(V569&lt;&gt;"",T569&lt;&gt;""),IF(V569=MONAT!$AZ$3,1,0),0)</f>
        <v/>
      </c>
    </row>
    <row r="570">
      <c r="A570" s="19" t="n"/>
      <c r="B570" s="20">
        <f>IF(A570="","",CHOOSE(WEEKDAY(A570,2),"Mo","Di","Mi","Do","Fr","Sa","So"))</f>
        <v/>
      </c>
      <c r="C570" s="20">
        <f>IF(A570="","",INT((A570-DATE(YEAR(A570-WEEKDAY(A570-1)+4),1,3)+WEEKDAY(DATE(YEAR(A570-WEEKDAY(A570-1)+4),1,3))+5)/7))</f>
        <v/>
      </c>
      <c r="D570" s="21" t="n"/>
      <c r="E570" s="22" t="n"/>
      <c r="F570" s="23" t="n"/>
      <c r="G570" s="23" t="n"/>
      <c r="H570" s="23" t="n"/>
      <c r="I570" s="20">
        <f>IF(COUNT(F570:H570)=0,"",SUM(F570:H570))</f>
        <v/>
      </c>
      <c r="J570" s="23" t="n"/>
      <c r="K570" s="23" t="n"/>
      <c r="L570" s="23" t="n"/>
      <c r="M570" s="23" t="n"/>
      <c r="N570" s="23" t="n"/>
      <c r="O570" s="20">
        <f>IF(OR(I570="",COUNT(J570:N570)=0),"",IF(SUM(J570:N570)=I570,"✓","⚠ "&amp;SUM(J570:N570)&amp;" statt "&amp;I570))</f>
        <v/>
      </c>
      <c r="P570" s="21" t="n"/>
      <c r="Q570" s="21" t="n"/>
      <c r="R570" s="21" t="n"/>
      <c r="S570" s="24" t="n"/>
      <c r="T570" s="24" t="n"/>
      <c r="V570">
        <f>IF(A570="","",MONTH(A570))</f>
        <v/>
      </c>
      <c r="W570">
        <f>N(W569)+IF(AND(C570&lt;&gt;"",T570&lt;&gt;""),IF(C570=WOCHE!$B$3,1,0),0)</f>
        <v/>
      </c>
      <c r="X570">
        <f>N(X569)+IF(AND(V570&lt;&gt;"",T570&lt;&gt;""),IF(V570=MONAT!$AZ$3,1,0),0)</f>
        <v/>
      </c>
    </row>
    <row r="571">
      <c r="A571" s="19" t="n"/>
      <c r="B571" s="20">
        <f>IF(A571="","",CHOOSE(WEEKDAY(A571,2),"Mo","Di","Mi","Do","Fr","Sa","So"))</f>
        <v/>
      </c>
      <c r="C571" s="20">
        <f>IF(A571="","",INT((A571-DATE(YEAR(A571-WEEKDAY(A571-1)+4),1,3)+WEEKDAY(DATE(YEAR(A571-WEEKDAY(A571-1)+4),1,3))+5)/7))</f>
        <v/>
      </c>
      <c r="D571" s="21" t="n"/>
      <c r="E571" s="22" t="n"/>
      <c r="F571" s="23" t="n"/>
      <c r="G571" s="23" t="n"/>
      <c r="H571" s="23" t="n"/>
      <c r="I571" s="20">
        <f>IF(COUNT(F571:H571)=0,"",SUM(F571:H571))</f>
        <v/>
      </c>
      <c r="J571" s="23" t="n"/>
      <c r="K571" s="23" t="n"/>
      <c r="L571" s="23" t="n"/>
      <c r="M571" s="23" t="n"/>
      <c r="N571" s="23" t="n"/>
      <c r="O571" s="20">
        <f>IF(OR(I571="",COUNT(J571:N571)=0),"",IF(SUM(J571:N571)=I571,"✓","⚠ "&amp;SUM(J571:N571)&amp;" statt "&amp;I571))</f>
        <v/>
      </c>
      <c r="P571" s="21" t="n"/>
      <c r="Q571" s="21" t="n"/>
      <c r="R571" s="21" t="n"/>
      <c r="S571" s="24" t="n"/>
      <c r="T571" s="24" t="n"/>
      <c r="V571">
        <f>IF(A571="","",MONTH(A571))</f>
        <v/>
      </c>
      <c r="W571">
        <f>N(W570)+IF(AND(C571&lt;&gt;"",T571&lt;&gt;""),IF(C571=WOCHE!$B$3,1,0),0)</f>
        <v/>
      </c>
      <c r="X571">
        <f>N(X570)+IF(AND(V571&lt;&gt;"",T571&lt;&gt;""),IF(V571=MONAT!$AZ$3,1,0),0)</f>
        <v/>
      </c>
    </row>
    <row r="572">
      <c r="A572" s="19" t="n"/>
      <c r="B572" s="20">
        <f>IF(A572="","",CHOOSE(WEEKDAY(A572,2),"Mo","Di","Mi","Do","Fr","Sa","So"))</f>
        <v/>
      </c>
      <c r="C572" s="20">
        <f>IF(A572="","",INT((A572-DATE(YEAR(A572-WEEKDAY(A572-1)+4),1,3)+WEEKDAY(DATE(YEAR(A572-WEEKDAY(A572-1)+4),1,3))+5)/7))</f>
        <v/>
      </c>
      <c r="D572" s="21" t="n"/>
      <c r="E572" s="22" t="n"/>
      <c r="F572" s="23" t="n"/>
      <c r="G572" s="23" t="n"/>
      <c r="H572" s="23" t="n"/>
      <c r="I572" s="20">
        <f>IF(COUNT(F572:H572)=0,"",SUM(F572:H572))</f>
        <v/>
      </c>
      <c r="J572" s="23" t="n"/>
      <c r="K572" s="23" t="n"/>
      <c r="L572" s="23" t="n"/>
      <c r="M572" s="23" t="n"/>
      <c r="N572" s="23" t="n"/>
      <c r="O572" s="20">
        <f>IF(OR(I572="",COUNT(J572:N572)=0),"",IF(SUM(J572:N572)=I572,"✓","⚠ "&amp;SUM(J572:N572)&amp;" statt "&amp;I572))</f>
        <v/>
      </c>
      <c r="P572" s="21" t="n"/>
      <c r="Q572" s="21" t="n"/>
      <c r="R572" s="21" t="n"/>
      <c r="S572" s="24" t="n"/>
      <c r="T572" s="24" t="n"/>
      <c r="V572">
        <f>IF(A572="","",MONTH(A572))</f>
        <v/>
      </c>
      <c r="W572">
        <f>N(W571)+IF(AND(C572&lt;&gt;"",T572&lt;&gt;""),IF(C572=WOCHE!$B$3,1,0),0)</f>
        <v/>
      </c>
      <c r="X572">
        <f>N(X571)+IF(AND(V572&lt;&gt;"",T572&lt;&gt;""),IF(V572=MONAT!$AZ$3,1,0),0)</f>
        <v/>
      </c>
    </row>
    <row r="573">
      <c r="A573" s="19" t="n"/>
      <c r="B573" s="20">
        <f>IF(A573="","",CHOOSE(WEEKDAY(A573,2),"Mo","Di","Mi","Do","Fr","Sa","So"))</f>
        <v/>
      </c>
      <c r="C573" s="20">
        <f>IF(A573="","",INT((A573-DATE(YEAR(A573-WEEKDAY(A573-1)+4),1,3)+WEEKDAY(DATE(YEAR(A573-WEEKDAY(A573-1)+4),1,3))+5)/7))</f>
        <v/>
      </c>
      <c r="D573" s="21" t="n"/>
      <c r="E573" s="22" t="n"/>
      <c r="F573" s="23" t="n"/>
      <c r="G573" s="23" t="n"/>
      <c r="H573" s="23" t="n"/>
      <c r="I573" s="20">
        <f>IF(COUNT(F573:H573)=0,"",SUM(F573:H573))</f>
        <v/>
      </c>
      <c r="J573" s="23" t="n"/>
      <c r="K573" s="23" t="n"/>
      <c r="L573" s="23" t="n"/>
      <c r="M573" s="23" t="n"/>
      <c r="N573" s="23" t="n"/>
      <c r="O573" s="20">
        <f>IF(OR(I573="",COUNT(J573:N573)=0),"",IF(SUM(J573:N573)=I573,"✓","⚠ "&amp;SUM(J573:N573)&amp;" statt "&amp;I573))</f>
        <v/>
      </c>
      <c r="P573" s="21" t="n"/>
      <c r="Q573" s="21" t="n"/>
      <c r="R573" s="21" t="n"/>
      <c r="S573" s="24" t="n"/>
      <c r="T573" s="24" t="n"/>
      <c r="V573">
        <f>IF(A573="","",MONTH(A573))</f>
        <v/>
      </c>
      <c r="W573">
        <f>N(W572)+IF(AND(C573&lt;&gt;"",T573&lt;&gt;""),IF(C573=WOCHE!$B$3,1,0),0)</f>
        <v/>
      </c>
      <c r="X573">
        <f>N(X572)+IF(AND(V573&lt;&gt;"",T573&lt;&gt;""),IF(V573=MONAT!$AZ$3,1,0),0)</f>
        <v/>
      </c>
    </row>
    <row r="574">
      <c r="A574" s="19" t="n"/>
      <c r="B574" s="20">
        <f>IF(A574="","",CHOOSE(WEEKDAY(A574,2),"Mo","Di","Mi","Do","Fr","Sa","So"))</f>
        <v/>
      </c>
      <c r="C574" s="20">
        <f>IF(A574="","",INT((A574-DATE(YEAR(A574-WEEKDAY(A574-1)+4),1,3)+WEEKDAY(DATE(YEAR(A574-WEEKDAY(A574-1)+4),1,3))+5)/7))</f>
        <v/>
      </c>
      <c r="D574" s="21" t="n"/>
      <c r="E574" s="22" t="n"/>
      <c r="F574" s="23" t="n"/>
      <c r="G574" s="23" t="n"/>
      <c r="H574" s="23" t="n"/>
      <c r="I574" s="20">
        <f>IF(COUNT(F574:H574)=0,"",SUM(F574:H574))</f>
        <v/>
      </c>
      <c r="J574" s="23" t="n"/>
      <c r="K574" s="23" t="n"/>
      <c r="L574" s="23" t="n"/>
      <c r="M574" s="23" t="n"/>
      <c r="N574" s="23" t="n"/>
      <c r="O574" s="20">
        <f>IF(OR(I574="",COUNT(J574:N574)=0),"",IF(SUM(J574:N574)=I574,"✓","⚠ "&amp;SUM(J574:N574)&amp;" statt "&amp;I574))</f>
        <v/>
      </c>
      <c r="P574" s="21" t="n"/>
      <c r="Q574" s="21" t="n"/>
      <c r="R574" s="21" t="n"/>
      <c r="S574" s="24" t="n"/>
      <c r="T574" s="24" t="n"/>
      <c r="V574">
        <f>IF(A574="","",MONTH(A574))</f>
        <v/>
      </c>
      <c r="W574">
        <f>N(W573)+IF(AND(C574&lt;&gt;"",T574&lt;&gt;""),IF(C574=WOCHE!$B$3,1,0),0)</f>
        <v/>
      </c>
      <c r="X574">
        <f>N(X573)+IF(AND(V574&lt;&gt;"",T574&lt;&gt;""),IF(V574=MONAT!$AZ$3,1,0),0)</f>
        <v/>
      </c>
    </row>
    <row r="575">
      <c r="A575" s="19" t="n"/>
      <c r="B575" s="20">
        <f>IF(A575="","",CHOOSE(WEEKDAY(A575,2),"Mo","Di","Mi","Do","Fr","Sa","So"))</f>
        <v/>
      </c>
      <c r="C575" s="20">
        <f>IF(A575="","",INT((A575-DATE(YEAR(A575-WEEKDAY(A575-1)+4),1,3)+WEEKDAY(DATE(YEAR(A575-WEEKDAY(A575-1)+4),1,3))+5)/7))</f>
        <v/>
      </c>
      <c r="D575" s="21" t="n"/>
      <c r="E575" s="22" t="n"/>
      <c r="F575" s="23" t="n"/>
      <c r="G575" s="23" t="n"/>
      <c r="H575" s="23" t="n"/>
      <c r="I575" s="20">
        <f>IF(COUNT(F575:H575)=0,"",SUM(F575:H575))</f>
        <v/>
      </c>
      <c r="J575" s="23" t="n"/>
      <c r="K575" s="23" t="n"/>
      <c r="L575" s="23" t="n"/>
      <c r="M575" s="23" t="n"/>
      <c r="N575" s="23" t="n"/>
      <c r="O575" s="20">
        <f>IF(OR(I575="",COUNT(J575:N575)=0),"",IF(SUM(J575:N575)=I575,"✓","⚠ "&amp;SUM(J575:N575)&amp;" statt "&amp;I575))</f>
        <v/>
      </c>
      <c r="P575" s="21" t="n"/>
      <c r="Q575" s="21" t="n"/>
      <c r="R575" s="21" t="n"/>
      <c r="S575" s="24" t="n"/>
      <c r="T575" s="24" t="n"/>
      <c r="V575">
        <f>IF(A575="","",MONTH(A575))</f>
        <v/>
      </c>
      <c r="W575">
        <f>N(W574)+IF(AND(C575&lt;&gt;"",T575&lt;&gt;""),IF(C575=WOCHE!$B$3,1,0),0)</f>
        <v/>
      </c>
      <c r="X575">
        <f>N(X574)+IF(AND(V575&lt;&gt;"",T575&lt;&gt;""),IF(V575=MONAT!$AZ$3,1,0),0)</f>
        <v/>
      </c>
    </row>
    <row r="576">
      <c r="A576" s="19" t="n"/>
      <c r="B576" s="20">
        <f>IF(A576="","",CHOOSE(WEEKDAY(A576,2),"Mo","Di","Mi","Do","Fr","Sa","So"))</f>
        <v/>
      </c>
      <c r="C576" s="20">
        <f>IF(A576="","",INT((A576-DATE(YEAR(A576-WEEKDAY(A576-1)+4),1,3)+WEEKDAY(DATE(YEAR(A576-WEEKDAY(A576-1)+4),1,3))+5)/7))</f>
        <v/>
      </c>
      <c r="D576" s="21" t="n"/>
      <c r="E576" s="22" t="n"/>
      <c r="F576" s="23" t="n"/>
      <c r="G576" s="23" t="n"/>
      <c r="H576" s="23" t="n"/>
      <c r="I576" s="20">
        <f>IF(COUNT(F576:H576)=0,"",SUM(F576:H576))</f>
        <v/>
      </c>
      <c r="J576" s="23" t="n"/>
      <c r="K576" s="23" t="n"/>
      <c r="L576" s="23" t="n"/>
      <c r="M576" s="23" t="n"/>
      <c r="N576" s="23" t="n"/>
      <c r="O576" s="20">
        <f>IF(OR(I576="",COUNT(J576:N576)=0),"",IF(SUM(J576:N576)=I576,"✓","⚠ "&amp;SUM(J576:N576)&amp;" statt "&amp;I576))</f>
        <v/>
      </c>
      <c r="P576" s="21" t="n"/>
      <c r="Q576" s="21" t="n"/>
      <c r="R576" s="21" t="n"/>
      <c r="S576" s="24" t="n"/>
      <c r="T576" s="24" t="n"/>
      <c r="V576">
        <f>IF(A576="","",MONTH(A576))</f>
        <v/>
      </c>
      <c r="W576">
        <f>N(W575)+IF(AND(C576&lt;&gt;"",T576&lt;&gt;""),IF(C576=WOCHE!$B$3,1,0),0)</f>
        <v/>
      </c>
      <c r="X576">
        <f>N(X575)+IF(AND(V576&lt;&gt;"",T576&lt;&gt;""),IF(V576=MONAT!$AZ$3,1,0),0)</f>
        <v/>
      </c>
    </row>
    <row r="577">
      <c r="A577" s="19" t="n"/>
      <c r="B577" s="20">
        <f>IF(A577="","",CHOOSE(WEEKDAY(A577,2),"Mo","Di","Mi","Do","Fr","Sa","So"))</f>
        <v/>
      </c>
      <c r="C577" s="20">
        <f>IF(A577="","",INT((A577-DATE(YEAR(A577-WEEKDAY(A577-1)+4),1,3)+WEEKDAY(DATE(YEAR(A577-WEEKDAY(A577-1)+4),1,3))+5)/7))</f>
        <v/>
      </c>
      <c r="D577" s="21" t="n"/>
      <c r="E577" s="22" t="n"/>
      <c r="F577" s="23" t="n"/>
      <c r="G577" s="23" t="n"/>
      <c r="H577" s="23" t="n"/>
      <c r="I577" s="20">
        <f>IF(COUNT(F577:H577)=0,"",SUM(F577:H577))</f>
        <v/>
      </c>
      <c r="J577" s="23" t="n"/>
      <c r="K577" s="23" t="n"/>
      <c r="L577" s="23" t="n"/>
      <c r="M577" s="23" t="n"/>
      <c r="N577" s="23" t="n"/>
      <c r="O577" s="20">
        <f>IF(OR(I577="",COUNT(J577:N577)=0),"",IF(SUM(J577:N577)=I577,"✓","⚠ "&amp;SUM(J577:N577)&amp;" statt "&amp;I577))</f>
        <v/>
      </c>
      <c r="P577" s="21" t="n"/>
      <c r="Q577" s="21" t="n"/>
      <c r="R577" s="21" t="n"/>
      <c r="S577" s="24" t="n"/>
      <c r="T577" s="24" t="n"/>
      <c r="V577">
        <f>IF(A577="","",MONTH(A577))</f>
        <v/>
      </c>
      <c r="W577">
        <f>N(W576)+IF(AND(C577&lt;&gt;"",T577&lt;&gt;""),IF(C577=WOCHE!$B$3,1,0),0)</f>
        <v/>
      </c>
      <c r="X577">
        <f>N(X576)+IF(AND(V577&lt;&gt;"",T577&lt;&gt;""),IF(V577=MONAT!$AZ$3,1,0),0)</f>
        <v/>
      </c>
    </row>
    <row r="578">
      <c r="A578" s="19" t="n"/>
      <c r="B578" s="20">
        <f>IF(A578="","",CHOOSE(WEEKDAY(A578,2),"Mo","Di","Mi","Do","Fr","Sa","So"))</f>
        <v/>
      </c>
      <c r="C578" s="20">
        <f>IF(A578="","",INT((A578-DATE(YEAR(A578-WEEKDAY(A578-1)+4),1,3)+WEEKDAY(DATE(YEAR(A578-WEEKDAY(A578-1)+4),1,3))+5)/7))</f>
        <v/>
      </c>
      <c r="D578" s="21" t="n"/>
      <c r="E578" s="22" t="n"/>
      <c r="F578" s="23" t="n"/>
      <c r="G578" s="23" t="n"/>
      <c r="H578" s="23" t="n"/>
      <c r="I578" s="20">
        <f>IF(COUNT(F578:H578)=0,"",SUM(F578:H578))</f>
        <v/>
      </c>
      <c r="J578" s="23" t="n"/>
      <c r="K578" s="23" t="n"/>
      <c r="L578" s="23" t="n"/>
      <c r="M578" s="23" t="n"/>
      <c r="N578" s="23" t="n"/>
      <c r="O578" s="20">
        <f>IF(OR(I578="",COUNT(J578:N578)=0),"",IF(SUM(J578:N578)=I578,"✓","⚠ "&amp;SUM(J578:N578)&amp;" statt "&amp;I578))</f>
        <v/>
      </c>
      <c r="P578" s="21" t="n"/>
      <c r="Q578" s="21" t="n"/>
      <c r="R578" s="21" t="n"/>
      <c r="S578" s="24" t="n"/>
      <c r="T578" s="24" t="n"/>
      <c r="V578">
        <f>IF(A578="","",MONTH(A578))</f>
        <v/>
      </c>
      <c r="W578">
        <f>N(W577)+IF(AND(C578&lt;&gt;"",T578&lt;&gt;""),IF(C578=WOCHE!$B$3,1,0),0)</f>
        <v/>
      </c>
      <c r="X578">
        <f>N(X577)+IF(AND(V578&lt;&gt;"",T578&lt;&gt;""),IF(V578=MONAT!$AZ$3,1,0),0)</f>
        <v/>
      </c>
    </row>
    <row r="579">
      <c r="A579" s="19" t="n"/>
      <c r="B579" s="20">
        <f>IF(A579="","",CHOOSE(WEEKDAY(A579,2),"Mo","Di","Mi","Do","Fr","Sa","So"))</f>
        <v/>
      </c>
      <c r="C579" s="20">
        <f>IF(A579="","",INT((A579-DATE(YEAR(A579-WEEKDAY(A579-1)+4),1,3)+WEEKDAY(DATE(YEAR(A579-WEEKDAY(A579-1)+4),1,3))+5)/7))</f>
        <v/>
      </c>
      <c r="D579" s="21" t="n"/>
      <c r="E579" s="22" t="n"/>
      <c r="F579" s="23" t="n"/>
      <c r="G579" s="23" t="n"/>
      <c r="H579" s="23" t="n"/>
      <c r="I579" s="20">
        <f>IF(COUNT(F579:H579)=0,"",SUM(F579:H579))</f>
        <v/>
      </c>
      <c r="J579" s="23" t="n"/>
      <c r="K579" s="23" t="n"/>
      <c r="L579" s="23" t="n"/>
      <c r="M579" s="23" t="n"/>
      <c r="N579" s="23" t="n"/>
      <c r="O579" s="20">
        <f>IF(OR(I579="",COUNT(J579:N579)=0),"",IF(SUM(J579:N579)=I579,"✓","⚠ "&amp;SUM(J579:N579)&amp;" statt "&amp;I579))</f>
        <v/>
      </c>
      <c r="P579" s="21" t="n"/>
      <c r="Q579" s="21" t="n"/>
      <c r="R579" s="21" t="n"/>
      <c r="S579" s="24" t="n"/>
      <c r="T579" s="24" t="n"/>
      <c r="V579">
        <f>IF(A579="","",MONTH(A579))</f>
        <v/>
      </c>
      <c r="W579">
        <f>N(W578)+IF(AND(C579&lt;&gt;"",T579&lt;&gt;""),IF(C579=WOCHE!$B$3,1,0),0)</f>
        <v/>
      </c>
      <c r="X579">
        <f>N(X578)+IF(AND(V579&lt;&gt;"",T579&lt;&gt;""),IF(V579=MONAT!$AZ$3,1,0),0)</f>
        <v/>
      </c>
    </row>
    <row r="580">
      <c r="A580" s="19" t="n"/>
      <c r="B580" s="20">
        <f>IF(A580="","",CHOOSE(WEEKDAY(A580,2),"Mo","Di","Mi","Do","Fr","Sa","So"))</f>
        <v/>
      </c>
      <c r="C580" s="20">
        <f>IF(A580="","",INT((A580-DATE(YEAR(A580-WEEKDAY(A580-1)+4),1,3)+WEEKDAY(DATE(YEAR(A580-WEEKDAY(A580-1)+4),1,3))+5)/7))</f>
        <v/>
      </c>
      <c r="D580" s="21" t="n"/>
      <c r="E580" s="22" t="n"/>
      <c r="F580" s="23" t="n"/>
      <c r="G580" s="23" t="n"/>
      <c r="H580" s="23" t="n"/>
      <c r="I580" s="20">
        <f>IF(COUNT(F580:H580)=0,"",SUM(F580:H580))</f>
        <v/>
      </c>
      <c r="J580" s="23" t="n"/>
      <c r="K580" s="23" t="n"/>
      <c r="L580" s="23" t="n"/>
      <c r="M580" s="23" t="n"/>
      <c r="N580" s="23" t="n"/>
      <c r="O580" s="20">
        <f>IF(OR(I580="",COUNT(J580:N580)=0),"",IF(SUM(J580:N580)=I580,"✓","⚠ "&amp;SUM(J580:N580)&amp;" statt "&amp;I580))</f>
        <v/>
      </c>
      <c r="P580" s="21" t="n"/>
      <c r="Q580" s="21" t="n"/>
      <c r="R580" s="21" t="n"/>
      <c r="S580" s="24" t="n"/>
      <c r="T580" s="24" t="n"/>
      <c r="V580">
        <f>IF(A580="","",MONTH(A580))</f>
        <v/>
      </c>
      <c r="W580">
        <f>N(W579)+IF(AND(C580&lt;&gt;"",T580&lt;&gt;""),IF(C580=WOCHE!$B$3,1,0),0)</f>
        <v/>
      </c>
      <c r="X580">
        <f>N(X579)+IF(AND(V580&lt;&gt;"",T580&lt;&gt;""),IF(V580=MONAT!$AZ$3,1,0),0)</f>
        <v/>
      </c>
    </row>
    <row r="581">
      <c r="A581" s="19" t="n"/>
      <c r="B581" s="20">
        <f>IF(A581="","",CHOOSE(WEEKDAY(A581,2),"Mo","Di","Mi","Do","Fr","Sa","So"))</f>
        <v/>
      </c>
      <c r="C581" s="20">
        <f>IF(A581="","",INT((A581-DATE(YEAR(A581-WEEKDAY(A581-1)+4),1,3)+WEEKDAY(DATE(YEAR(A581-WEEKDAY(A581-1)+4),1,3))+5)/7))</f>
        <v/>
      </c>
      <c r="D581" s="21" t="n"/>
      <c r="E581" s="22" t="n"/>
      <c r="F581" s="23" t="n"/>
      <c r="G581" s="23" t="n"/>
      <c r="H581" s="23" t="n"/>
      <c r="I581" s="20">
        <f>IF(COUNT(F581:H581)=0,"",SUM(F581:H581))</f>
        <v/>
      </c>
      <c r="J581" s="23" t="n"/>
      <c r="K581" s="23" t="n"/>
      <c r="L581" s="23" t="n"/>
      <c r="M581" s="23" t="n"/>
      <c r="N581" s="23" t="n"/>
      <c r="O581" s="20">
        <f>IF(OR(I581="",COUNT(J581:N581)=0),"",IF(SUM(J581:N581)=I581,"✓","⚠ "&amp;SUM(J581:N581)&amp;" statt "&amp;I581))</f>
        <v/>
      </c>
      <c r="P581" s="21" t="n"/>
      <c r="Q581" s="21" t="n"/>
      <c r="R581" s="21" t="n"/>
      <c r="S581" s="24" t="n"/>
      <c r="T581" s="24" t="n"/>
      <c r="V581">
        <f>IF(A581="","",MONTH(A581))</f>
        <v/>
      </c>
      <c r="W581">
        <f>N(W580)+IF(AND(C581&lt;&gt;"",T581&lt;&gt;""),IF(C581=WOCHE!$B$3,1,0),0)</f>
        <v/>
      </c>
      <c r="X581">
        <f>N(X580)+IF(AND(V581&lt;&gt;"",T581&lt;&gt;""),IF(V581=MONAT!$AZ$3,1,0),0)</f>
        <v/>
      </c>
    </row>
    <row r="582">
      <c r="A582" s="19" t="n"/>
      <c r="B582" s="20">
        <f>IF(A582="","",CHOOSE(WEEKDAY(A582,2),"Mo","Di","Mi","Do","Fr","Sa","So"))</f>
        <v/>
      </c>
      <c r="C582" s="20">
        <f>IF(A582="","",INT((A582-DATE(YEAR(A582-WEEKDAY(A582-1)+4),1,3)+WEEKDAY(DATE(YEAR(A582-WEEKDAY(A582-1)+4),1,3))+5)/7))</f>
        <v/>
      </c>
      <c r="D582" s="21" t="n"/>
      <c r="E582" s="22" t="n"/>
      <c r="F582" s="23" t="n"/>
      <c r="G582" s="23" t="n"/>
      <c r="H582" s="23" t="n"/>
      <c r="I582" s="20">
        <f>IF(COUNT(F582:H582)=0,"",SUM(F582:H582))</f>
        <v/>
      </c>
      <c r="J582" s="23" t="n"/>
      <c r="K582" s="23" t="n"/>
      <c r="L582" s="23" t="n"/>
      <c r="M582" s="23" t="n"/>
      <c r="N582" s="23" t="n"/>
      <c r="O582" s="20">
        <f>IF(OR(I582="",COUNT(J582:N582)=0),"",IF(SUM(J582:N582)=I582,"✓","⚠ "&amp;SUM(J582:N582)&amp;" statt "&amp;I582))</f>
        <v/>
      </c>
      <c r="P582" s="21" t="n"/>
      <c r="Q582" s="21" t="n"/>
      <c r="R582" s="21" t="n"/>
      <c r="S582" s="24" t="n"/>
      <c r="T582" s="24" t="n"/>
      <c r="V582">
        <f>IF(A582="","",MONTH(A582))</f>
        <v/>
      </c>
      <c r="W582">
        <f>N(W581)+IF(AND(C582&lt;&gt;"",T582&lt;&gt;""),IF(C582=WOCHE!$B$3,1,0),0)</f>
        <v/>
      </c>
      <c r="X582">
        <f>N(X581)+IF(AND(V582&lt;&gt;"",T582&lt;&gt;""),IF(V582=MONAT!$AZ$3,1,0),0)</f>
        <v/>
      </c>
    </row>
    <row r="583">
      <c r="A583" s="19" t="n"/>
      <c r="B583" s="20">
        <f>IF(A583="","",CHOOSE(WEEKDAY(A583,2),"Mo","Di","Mi","Do","Fr","Sa","So"))</f>
        <v/>
      </c>
      <c r="C583" s="20">
        <f>IF(A583="","",INT((A583-DATE(YEAR(A583-WEEKDAY(A583-1)+4),1,3)+WEEKDAY(DATE(YEAR(A583-WEEKDAY(A583-1)+4),1,3))+5)/7))</f>
        <v/>
      </c>
      <c r="D583" s="21" t="n"/>
      <c r="E583" s="22" t="n"/>
      <c r="F583" s="23" t="n"/>
      <c r="G583" s="23" t="n"/>
      <c r="H583" s="23" t="n"/>
      <c r="I583" s="20">
        <f>IF(COUNT(F583:H583)=0,"",SUM(F583:H583))</f>
        <v/>
      </c>
      <c r="J583" s="23" t="n"/>
      <c r="K583" s="23" t="n"/>
      <c r="L583" s="23" t="n"/>
      <c r="M583" s="23" t="n"/>
      <c r="N583" s="23" t="n"/>
      <c r="O583" s="20">
        <f>IF(OR(I583="",COUNT(J583:N583)=0),"",IF(SUM(J583:N583)=I583,"✓","⚠ "&amp;SUM(J583:N583)&amp;" statt "&amp;I583))</f>
        <v/>
      </c>
      <c r="P583" s="21" t="n"/>
      <c r="Q583" s="21" t="n"/>
      <c r="R583" s="21" t="n"/>
      <c r="S583" s="24" t="n"/>
      <c r="T583" s="24" t="n"/>
      <c r="V583">
        <f>IF(A583="","",MONTH(A583))</f>
        <v/>
      </c>
      <c r="W583">
        <f>N(W582)+IF(AND(C583&lt;&gt;"",T583&lt;&gt;""),IF(C583=WOCHE!$B$3,1,0),0)</f>
        <v/>
      </c>
      <c r="X583">
        <f>N(X582)+IF(AND(V583&lt;&gt;"",T583&lt;&gt;""),IF(V583=MONAT!$AZ$3,1,0),0)</f>
        <v/>
      </c>
    </row>
    <row r="584">
      <c r="A584" s="19" t="n"/>
      <c r="B584" s="20">
        <f>IF(A584="","",CHOOSE(WEEKDAY(A584,2),"Mo","Di","Mi","Do","Fr","Sa","So"))</f>
        <v/>
      </c>
      <c r="C584" s="20">
        <f>IF(A584="","",INT((A584-DATE(YEAR(A584-WEEKDAY(A584-1)+4),1,3)+WEEKDAY(DATE(YEAR(A584-WEEKDAY(A584-1)+4),1,3))+5)/7))</f>
        <v/>
      </c>
      <c r="D584" s="21" t="n"/>
      <c r="E584" s="22" t="n"/>
      <c r="F584" s="23" t="n"/>
      <c r="G584" s="23" t="n"/>
      <c r="H584" s="23" t="n"/>
      <c r="I584" s="20">
        <f>IF(COUNT(F584:H584)=0,"",SUM(F584:H584))</f>
        <v/>
      </c>
      <c r="J584" s="23" t="n"/>
      <c r="K584" s="23" t="n"/>
      <c r="L584" s="23" t="n"/>
      <c r="M584" s="23" t="n"/>
      <c r="N584" s="23" t="n"/>
      <c r="O584" s="20">
        <f>IF(OR(I584="",COUNT(J584:N584)=0),"",IF(SUM(J584:N584)=I584,"✓","⚠ "&amp;SUM(J584:N584)&amp;" statt "&amp;I584))</f>
        <v/>
      </c>
      <c r="P584" s="21" t="n"/>
      <c r="Q584" s="21" t="n"/>
      <c r="R584" s="21" t="n"/>
      <c r="S584" s="24" t="n"/>
      <c r="T584" s="24" t="n"/>
      <c r="V584">
        <f>IF(A584="","",MONTH(A584))</f>
        <v/>
      </c>
      <c r="W584">
        <f>N(W583)+IF(AND(C584&lt;&gt;"",T584&lt;&gt;""),IF(C584=WOCHE!$B$3,1,0),0)</f>
        <v/>
      </c>
      <c r="X584">
        <f>N(X583)+IF(AND(V584&lt;&gt;"",T584&lt;&gt;""),IF(V584=MONAT!$AZ$3,1,0),0)</f>
        <v/>
      </c>
    </row>
    <row r="585">
      <c r="A585" s="19" t="n"/>
      <c r="B585" s="20">
        <f>IF(A585="","",CHOOSE(WEEKDAY(A585,2),"Mo","Di","Mi","Do","Fr","Sa","So"))</f>
        <v/>
      </c>
      <c r="C585" s="20">
        <f>IF(A585="","",INT((A585-DATE(YEAR(A585-WEEKDAY(A585-1)+4),1,3)+WEEKDAY(DATE(YEAR(A585-WEEKDAY(A585-1)+4),1,3))+5)/7))</f>
        <v/>
      </c>
      <c r="D585" s="21" t="n"/>
      <c r="E585" s="22" t="n"/>
      <c r="F585" s="23" t="n"/>
      <c r="G585" s="23" t="n"/>
      <c r="H585" s="23" t="n"/>
      <c r="I585" s="20">
        <f>IF(COUNT(F585:H585)=0,"",SUM(F585:H585))</f>
        <v/>
      </c>
      <c r="J585" s="23" t="n"/>
      <c r="K585" s="23" t="n"/>
      <c r="L585" s="23" t="n"/>
      <c r="M585" s="23" t="n"/>
      <c r="N585" s="23" t="n"/>
      <c r="O585" s="20">
        <f>IF(OR(I585="",COUNT(J585:N585)=0),"",IF(SUM(J585:N585)=I585,"✓","⚠ "&amp;SUM(J585:N585)&amp;" statt "&amp;I585))</f>
        <v/>
      </c>
      <c r="P585" s="21" t="n"/>
      <c r="Q585" s="21" t="n"/>
      <c r="R585" s="21" t="n"/>
      <c r="S585" s="24" t="n"/>
      <c r="T585" s="24" t="n"/>
      <c r="V585">
        <f>IF(A585="","",MONTH(A585))</f>
        <v/>
      </c>
      <c r="W585">
        <f>N(W584)+IF(AND(C585&lt;&gt;"",T585&lt;&gt;""),IF(C585=WOCHE!$B$3,1,0),0)</f>
        <v/>
      </c>
      <c r="X585">
        <f>N(X584)+IF(AND(V585&lt;&gt;"",T585&lt;&gt;""),IF(V585=MONAT!$AZ$3,1,0),0)</f>
        <v/>
      </c>
    </row>
    <row r="586">
      <c r="A586" s="19" t="n"/>
      <c r="B586" s="20">
        <f>IF(A586="","",CHOOSE(WEEKDAY(A586,2),"Mo","Di","Mi","Do","Fr","Sa","So"))</f>
        <v/>
      </c>
      <c r="C586" s="20">
        <f>IF(A586="","",INT((A586-DATE(YEAR(A586-WEEKDAY(A586-1)+4),1,3)+WEEKDAY(DATE(YEAR(A586-WEEKDAY(A586-1)+4),1,3))+5)/7))</f>
        <v/>
      </c>
      <c r="D586" s="21" t="n"/>
      <c r="E586" s="22" t="n"/>
      <c r="F586" s="23" t="n"/>
      <c r="G586" s="23" t="n"/>
      <c r="H586" s="23" t="n"/>
      <c r="I586" s="20">
        <f>IF(COUNT(F586:H586)=0,"",SUM(F586:H586))</f>
        <v/>
      </c>
      <c r="J586" s="23" t="n"/>
      <c r="K586" s="23" t="n"/>
      <c r="L586" s="23" t="n"/>
      <c r="M586" s="23" t="n"/>
      <c r="N586" s="23" t="n"/>
      <c r="O586" s="20">
        <f>IF(OR(I586="",COUNT(J586:N586)=0),"",IF(SUM(J586:N586)=I586,"✓","⚠ "&amp;SUM(J586:N586)&amp;" statt "&amp;I586))</f>
        <v/>
      </c>
      <c r="P586" s="21" t="n"/>
      <c r="Q586" s="21" t="n"/>
      <c r="R586" s="21" t="n"/>
      <c r="S586" s="24" t="n"/>
      <c r="T586" s="24" t="n"/>
      <c r="V586">
        <f>IF(A586="","",MONTH(A586))</f>
        <v/>
      </c>
      <c r="W586">
        <f>N(W585)+IF(AND(C586&lt;&gt;"",T586&lt;&gt;""),IF(C586=WOCHE!$B$3,1,0),0)</f>
        <v/>
      </c>
      <c r="X586">
        <f>N(X585)+IF(AND(V586&lt;&gt;"",T586&lt;&gt;""),IF(V586=MONAT!$AZ$3,1,0),0)</f>
        <v/>
      </c>
    </row>
    <row r="587">
      <c r="A587" s="19" t="n"/>
      <c r="B587" s="20">
        <f>IF(A587="","",CHOOSE(WEEKDAY(A587,2),"Mo","Di","Mi","Do","Fr","Sa","So"))</f>
        <v/>
      </c>
      <c r="C587" s="20">
        <f>IF(A587="","",INT((A587-DATE(YEAR(A587-WEEKDAY(A587-1)+4),1,3)+WEEKDAY(DATE(YEAR(A587-WEEKDAY(A587-1)+4),1,3))+5)/7))</f>
        <v/>
      </c>
      <c r="D587" s="21" t="n"/>
      <c r="E587" s="22" t="n"/>
      <c r="F587" s="23" t="n"/>
      <c r="G587" s="23" t="n"/>
      <c r="H587" s="23" t="n"/>
      <c r="I587" s="20">
        <f>IF(COUNT(F587:H587)=0,"",SUM(F587:H587))</f>
        <v/>
      </c>
      <c r="J587" s="23" t="n"/>
      <c r="K587" s="23" t="n"/>
      <c r="L587" s="23" t="n"/>
      <c r="M587" s="23" t="n"/>
      <c r="N587" s="23" t="n"/>
      <c r="O587" s="20">
        <f>IF(OR(I587="",COUNT(J587:N587)=0),"",IF(SUM(J587:N587)=I587,"✓","⚠ "&amp;SUM(J587:N587)&amp;" statt "&amp;I587))</f>
        <v/>
      </c>
      <c r="P587" s="21" t="n"/>
      <c r="Q587" s="21" t="n"/>
      <c r="R587" s="21" t="n"/>
      <c r="S587" s="24" t="n"/>
      <c r="T587" s="24" t="n"/>
      <c r="V587">
        <f>IF(A587="","",MONTH(A587))</f>
        <v/>
      </c>
      <c r="W587">
        <f>N(W586)+IF(AND(C587&lt;&gt;"",T587&lt;&gt;""),IF(C587=WOCHE!$B$3,1,0),0)</f>
        <v/>
      </c>
      <c r="X587">
        <f>N(X586)+IF(AND(V587&lt;&gt;"",T587&lt;&gt;""),IF(V587=MONAT!$AZ$3,1,0),0)</f>
        <v/>
      </c>
    </row>
    <row r="588">
      <c r="A588" s="19" t="n"/>
      <c r="B588" s="20">
        <f>IF(A588="","",CHOOSE(WEEKDAY(A588,2),"Mo","Di","Mi","Do","Fr","Sa","So"))</f>
        <v/>
      </c>
      <c r="C588" s="20">
        <f>IF(A588="","",INT((A588-DATE(YEAR(A588-WEEKDAY(A588-1)+4),1,3)+WEEKDAY(DATE(YEAR(A588-WEEKDAY(A588-1)+4),1,3))+5)/7))</f>
        <v/>
      </c>
      <c r="D588" s="21" t="n"/>
      <c r="E588" s="22" t="n"/>
      <c r="F588" s="23" t="n"/>
      <c r="G588" s="23" t="n"/>
      <c r="H588" s="23" t="n"/>
      <c r="I588" s="20">
        <f>IF(COUNT(F588:H588)=0,"",SUM(F588:H588))</f>
        <v/>
      </c>
      <c r="J588" s="23" t="n"/>
      <c r="K588" s="23" t="n"/>
      <c r="L588" s="23" t="n"/>
      <c r="M588" s="23" t="n"/>
      <c r="N588" s="23" t="n"/>
      <c r="O588" s="20">
        <f>IF(OR(I588="",COUNT(J588:N588)=0),"",IF(SUM(J588:N588)=I588,"✓","⚠ "&amp;SUM(J588:N588)&amp;" statt "&amp;I588))</f>
        <v/>
      </c>
      <c r="P588" s="21" t="n"/>
      <c r="Q588" s="21" t="n"/>
      <c r="R588" s="21" t="n"/>
      <c r="S588" s="24" t="n"/>
      <c r="T588" s="24" t="n"/>
      <c r="V588">
        <f>IF(A588="","",MONTH(A588))</f>
        <v/>
      </c>
      <c r="W588">
        <f>N(W587)+IF(AND(C588&lt;&gt;"",T588&lt;&gt;""),IF(C588=WOCHE!$B$3,1,0),0)</f>
        <v/>
      </c>
      <c r="X588">
        <f>N(X587)+IF(AND(V588&lt;&gt;"",T588&lt;&gt;""),IF(V588=MONAT!$AZ$3,1,0),0)</f>
        <v/>
      </c>
    </row>
    <row r="589">
      <c r="A589" s="19" t="n"/>
      <c r="B589" s="20">
        <f>IF(A589="","",CHOOSE(WEEKDAY(A589,2),"Mo","Di","Mi","Do","Fr","Sa","So"))</f>
        <v/>
      </c>
      <c r="C589" s="20">
        <f>IF(A589="","",INT((A589-DATE(YEAR(A589-WEEKDAY(A589-1)+4),1,3)+WEEKDAY(DATE(YEAR(A589-WEEKDAY(A589-1)+4),1,3))+5)/7))</f>
        <v/>
      </c>
      <c r="D589" s="21" t="n"/>
      <c r="E589" s="22" t="n"/>
      <c r="F589" s="23" t="n"/>
      <c r="G589" s="23" t="n"/>
      <c r="H589" s="23" t="n"/>
      <c r="I589" s="20">
        <f>IF(COUNT(F589:H589)=0,"",SUM(F589:H589))</f>
        <v/>
      </c>
      <c r="J589" s="23" t="n"/>
      <c r="K589" s="23" t="n"/>
      <c r="L589" s="23" t="n"/>
      <c r="M589" s="23" t="n"/>
      <c r="N589" s="23" t="n"/>
      <c r="O589" s="20">
        <f>IF(OR(I589="",COUNT(J589:N589)=0),"",IF(SUM(J589:N589)=I589,"✓","⚠ "&amp;SUM(J589:N589)&amp;" statt "&amp;I589))</f>
        <v/>
      </c>
      <c r="P589" s="21" t="n"/>
      <c r="Q589" s="21" t="n"/>
      <c r="R589" s="21" t="n"/>
      <c r="S589" s="24" t="n"/>
      <c r="T589" s="24" t="n"/>
      <c r="V589">
        <f>IF(A589="","",MONTH(A589))</f>
        <v/>
      </c>
      <c r="W589">
        <f>N(W588)+IF(AND(C589&lt;&gt;"",T589&lt;&gt;""),IF(C589=WOCHE!$B$3,1,0),0)</f>
        <v/>
      </c>
      <c r="X589">
        <f>N(X588)+IF(AND(V589&lt;&gt;"",T589&lt;&gt;""),IF(V589=MONAT!$AZ$3,1,0),0)</f>
        <v/>
      </c>
    </row>
    <row r="590">
      <c r="A590" s="19" t="n"/>
      <c r="B590" s="20">
        <f>IF(A590="","",CHOOSE(WEEKDAY(A590,2),"Mo","Di","Mi","Do","Fr","Sa","So"))</f>
        <v/>
      </c>
      <c r="C590" s="20">
        <f>IF(A590="","",INT((A590-DATE(YEAR(A590-WEEKDAY(A590-1)+4),1,3)+WEEKDAY(DATE(YEAR(A590-WEEKDAY(A590-1)+4),1,3))+5)/7))</f>
        <v/>
      </c>
      <c r="D590" s="21" t="n"/>
      <c r="E590" s="22" t="n"/>
      <c r="F590" s="23" t="n"/>
      <c r="G590" s="23" t="n"/>
      <c r="H590" s="23" t="n"/>
      <c r="I590" s="20">
        <f>IF(COUNT(F590:H590)=0,"",SUM(F590:H590))</f>
        <v/>
      </c>
      <c r="J590" s="23" t="n"/>
      <c r="K590" s="23" t="n"/>
      <c r="L590" s="23" t="n"/>
      <c r="M590" s="23" t="n"/>
      <c r="N590" s="23" t="n"/>
      <c r="O590" s="20">
        <f>IF(OR(I590="",COUNT(J590:N590)=0),"",IF(SUM(J590:N590)=I590,"✓","⚠ "&amp;SUM(J590:N590)&amp;" statt "&amp;I590))</f>
        <v/>
      </c>
      <c r="P590" s="21" t="n"/>
      <c r="Q590" s="21" t="n"/>
      <c r="R590" s="21" t="n"/>
      <c r="S590" s="24" t="n"/>
      <c r="T590" s="24" t="n"/>
      <c r="V590">
        <f>IF(A590="","",MONTH(A590))</f>
        <v/>
      </c>
      <c r="W590">
        <f>N(W589)+IF(AND(C590&lt;&gt;"",T590&lt;&gt;""),IF(C590=WOCHE!$B$3,1,0),0)</f>
        <v/>
      </c>
      <c r="X590">
        <f>N(X589)+IF(AND(V590&lt;&gt;"",T590&lt;&gt;""),IF(V590=MONAT!$AZ$3,1,0),0)</f>
        <v/>
      </c>
    </row>
    <row r="591">
      <c r="A591" s="19" t="n"/>
      <c r="B591" s="20">
        <f>IF(A591="","",CHOOSE(WEEKDAY(A591,2),"Mo","Di","Mi","Do","Fr","Sa","So"))</f>
        <v/>
      </c>
      <c r="C591" s="20">
        <f>IF(A591="","",INT((A591-DATE(YEAR(A591-WEEKDAY(A591-1)+4),1,3)+WEEKDAY(DATE(YEAR(A591-WEEKDAY(A591-1)+4),1,3))+5)/7))</f>
        <v/>
      </c>
      <c r="D591" s="21" t="n"/>
      <c r="E591" s="22" t="n"/>
      <c r="F591" s="23" t="n"/>
      <c r="G591" s="23" t="n"/>
      <c r="H591" s="23" t="n"/>
      <c r="I591" s="20">
        <f>IF(COUNT(F591:H591)=0,"",SUM(F591:H591))</f>
        <v/>
      </c>
      <c r="J591" s="23" t="n"/>
      <c r="K591" s="23" t="n"/>
      <c r="L591" s="23" t="n"/>
      <c r="M591" s="23" t="n"/>
      <c r="N591" s="23" t="n"/>
      <c r="O591" s="20">
        <f>IF(OR(I591="",COUNT(J591:N591)=0),"",IF(SUM(J591:N591)=I591,"✓","⚠ "&amp;SUM(J591:N591)&amp;" statt "&amp;I591))</f>
        <v/>
      </c>
      <c r="P591" s="21" t="n"/>
      <c r="Q591" s="21" t="n"/>
      <c r="R591" s="21" t="n"/>
      <c r="S591" s="24" t="n"/>
      <c r="T591" s="24" t="n"/>
      <c r="V591">
        <f>IF(A591="","",MONTH(A591))</f>
        <v/>
      </c>
      <c r="W591">
        <f>N(W590)+IF(AND(C591&lt;&gt;"",T591&lt;&gt;""),IF(C591=WOCHE!$B$3,1,0),0)</f>
        <v/>
      </c>
      <c r="X591">
        <f>N(X590)+IF(AND(V591&lt;&gt;"",T591&lt;&gt;""),IF(V591=MONAT!$AZ$3,1,0),0)</f>
        <v/>
      </c>
    </row>
    <row r="592">
      <c r="A592" s="19" t="n"/>
      <c r="B592" s="20">
        <f>IF(A592="","",CHOOSE(WEEKDAY(A592,2),"Mo","Di","Mi","Do","Fr","Sa","So"))</f>
        <v/>
      </c>
      <c r="C592" s="20">
        <f>IF(A592="","",INT((A592-DATE(YEAR(A592-WEEKDAY(A592-1)+4),1,3)+WEEKDAY(DATE(YEAR(A592-WEEKDAY(A592-1)+4),1,3))+5)/7))</f>
        <v/>
      </c>
      <c r="D592" s="21" t="n"/>
      <c r="E592" s="22" t="n"/>
      <c r="F592" s="23" t="n"/>
      <c r="G592" s="23" t="n"/>
      <c r="H592" s="23" t="n"/>
      <c r="I592" s="20">
        <f>IF(COUNT(F592:H592)=0,"",SUM(F592:H592))</f>
        <v/>
      </c>
      <c r="J592" s="23" t="n"/>
      <c r="K592" s="23" t="n"/>
      <c r="L592" s="23" t="n"/>
      <c r="M592" s="23" t="n"/>
      <c r="N592" s="23" t="n"/>
      <c r="O592" s="20">
        <f>IF(OR(I592="",COUNT(J592:N592)=0),"",IF(SUM(J592:N592)=I592,"✓","⚠ "&amp;SUM(J592:N592)&amp;" statt "&amp;I592))</f>
        <v/>
      </c>
      <c r="P592" s="21" t="n"/>
      <c r="Q592" s="21" t="n"/>
      <c r="R592" s="21" t="n"/>
      <c r="S592" s="24" t="n"/>
      <c r="T592" s="24" t="n"/>
      <c r="V592">
        <f>IF(A592="","",MONTH(A592))</f>
        <v/>
      </c>
      <c r="W592">
        <f>N(W591)+IF(AND(C592&lt;&gt;"",T592&lt;&gt;""),IF(C592=WOCHE!$B$3,1,0),0)</f>
        <v/>
      </c>
      <c r="X592">
        <f>N(X591)+IF(AND(V592&lt;&gt;"",T592&lt;&gt;""),IF(V592=MONAT!$AZ$3,1,0),0)</f>
        <v/>
      </c>
    </row>
    <row r="593">
      <c r="A593" s="19" t="n"/>
      <c r="B593" s="20">
        <f>IF(A593="","",CHOOSE(WEEKDAY(A593,2),"Mo","Di","Mi","Do","Fr","Sa","So"))</f>
        <v/>
      </c>
      <c r="C593" s="20">
        <f>IF(A593="","",INT((A593-DATE(YEAR(A593-WEEKDAY(A593-1)+4),1,3)+WEEKDAY(DATE(YEAR(A593-WEEKDAY(A593-1)+4),1,3))+5)/7))</f>
        <v/>
      </c>
      <c r="D593" s="21" t="n"/>
      <c r="E593" s="22" t="n"/>
      <c r="F593" s="23" t="n"/>
      <c r="G593" s="23" t="n"/>
      <c r="H593" s="23" t="n"/>
      <c r="I593" s="20">
        <f>IF(COUNT(F593:H593)=0,"",SUM(F593:H593))</f>
        <v/>
      </c>
      <c r="J593" s="23" t="n"/>
      <c r="K593" s="23" t="n"/>
      <c r="L593" s="23" t="n"/>
      <c r="M593" s="23" t="n"/>
      <c r="N593" s="23" t="n"/>
      <c r="O593" s="20">
        <f>IF(OR(I593="",COUNT(J593:N593)=0),"",IF(SUM(J593:N593)=I593,"✓","⚠ "&amp;SUM(J593:N593)&amp;" statt "&amp;I593))</f>
        <v/>
      </c>
      <c r="P593" s="21" t="n"/>
      <c r="Q593" s="21" t="n"/>
      <c r="R593" s="21" t="n"/>
      <c r="S593" s="24" t="n"/>
      <c r="T593" s="24" t="n"/>
      <c r="V593">
        <f>IF(A593="","",MONTH(A593))</f>
        <v/>
      </c>
      <c r="W593">
        <f>N(W592)+IF(AND(C593&lt;&gt;"",T593&lt;&gt;""),IF(C593=WOCHE!$B$3,1,0),0)</f>
        <v/>
      </c>
      <c r="X593">
        <f>N(X592)+IF(AND(V593&lt;&gt;"",T593&lt;&gt;""),IF(V593=MONAT!$AZ$3,1,0),0)</f>
        <v/>
      </c>
    </row>
    <row r="594">
      <c r="A594" s="19" t="n"/>
      <c r="B594" s="20">
        <f>IF(A594="","",CHOOSE(WEEKDAY(A594,2),"Mo","Di","Mi","Do","Fr","Sa","So"))</f>
        <v/>
      </c>
      <c r="C594" s="20">
        <f>IF(A594="","",INT((A594-DATE(YEAR(A594-WEEKDAY(A594-1)+4),1,3)+WEEKDAY(DATE(YEAR(A594-WEEKDAY(A594-1)+4),1,3))+5)/7))</f>
        <v/>
      </c>
      <c r="D594" s="21" t="n"/>
      <c r="E594" s="22" t="n"/>
      <c r="F594" s="23" t="n"/>
      <c r="G594" s="23" t="n"/>
      <c r="H594" s="23" t="n"/>
      <c r="I594" s="20">
        <f>IF(COUNT(F594:H594)=0,"",SUM(F594:H594))</f>
        <v/>
      </c>
      <c r="J594" s="23" t="n"/>
      <c r="K594" s="23" t="n"/>
      <c r="L594" s="23" t="n"/>
      <c r="M594" s="23" t="n"/>
      <c r="N594" s="23" t="n"/>
      <c r="O594" s="20">
        <f>IF(OR(I594="",COUNT(J594:N594)=0),"",IF(SUM(J594:N594)=I594,"✓","⚠ "&amp;SUM(J594:N594)&amp;" statt "&amp;I594))</f>
        <v/>
      </c>
      <c r="P594" s="21" t="n"/>
      <c r="Q594" s="21" t="n"/>
      <c r="R594" s="21" t="n"/>
      <c r="S594" s="24" t="n"/>
      <c r="T594" s="24" t="n"/>
      <c r="V594">
        <f>IF(A594="","",MONTH(A594))</f>
        <v/>
      </c>
      <c r="W594">
        <f>N(W593)+IF(AND(C594&lt;&gt;"",T594&lt;&gt;""),IF(C594=WOCHE!$B$3,1,0),0)</f>
        <v/>
      </c>
      <c r="X594">
        <f>N(X593)+IF(AND(V594&lt;&gt;"",T594&lt;&gt;""),IF(V594=MONAT!$AZ$3,1,0),0)</f>
        <v/>
      </c>
    </row>
    <row r="595">
      <c r="A595" s="19" t="n"/>
      <c r="B595" s="20">
        <f>IF(A595="","",CHOOSE(WEEKDAY(A595,2),"Mo","Di","Mi","Do","Fr","Sa","So"))</f>
        <v/>
      </c>
      <c r="C595" s="20">
        <f>IF(A595="","",INT((A595-DATE(YEAR(A595-WEEKDAY(A595-1)+4),1,3)+WEEKDAY(DATE(YEAR(A595-WEEKDAY(A595-1)+4),1,3))+5)/7))</f>
        <v/>
      </c>
      <c r="D595" s="21" t="n"/>
      <c r="E595" s="22" t="n"/>
      <c r="F595" s="23" t="n"/>
      <c r="G595" s="23" t="n"/>
      <c r="H595" s="23" t="n"/>
      <c r="I595" s="20">
        <f>IF(COUNT(F595:H595)=0,"",SUM(F595:H595))</f>
        <v/>
      </c>
      <c r="J595" s="23" t="n"/>
      <c r="K595" s="23" t="n"/>
      <c r="L595" s="23" t="n"/>
      <c r="M595" s="23" t="n"/>
      <c r="N595" s="23" t="n"/>
      <c r="O595" s="20">
        <f>IF(OR(I595="",COUNT(J595:N595)=0),"",IF(SUM(J595:N595)=I595,"✓","⚠ "&amp;SUM(J595:N595)&amp;" statt "&amp;I595))</f>
        <v/>
      </c>
      <c r="P595" s="21" t="n"/>
      <c r="Q595" s="21" t="n"/>
      <c r="R595" s="21" t="n"/>
      <c r="S595" s="24" t="n"/>
      <c r="T595" s="24" t="n"/>
      <c r="V595">
        <f>IF(A595="","",MONTH(A595))</f>
        <v/>
      </c>
      <c r="W595">
        <f>N(W594)+IF(AND(C595&lt;&gt;"",T595&lt;&gt;""),IF(C595=WOCHE!$B$3,1,0),0)</f>
        <v/>
      </c>
      <c r="X595">
        <f>N(X594)+IF(AND(V595&lt;&gt;"",T595&lt;&gt;""),IF(V595=MONAT!$AZ$3,1,0),0)</f>
        <v/>
      </c>
    </row>
    <row r="596">
      <c r="A596" s="19" t="n"/>
      <c r="B596" s="20">
        <f>IF(A596="","",CHOOSE(WEEKDAY(A596,2),"Mo","Di","Mi","Do","Fr","Sa","So"))</f>
        <v/>
      </c>
      <c r="C596" s="20">
        <f>IF(A596="","",INT((A596-DATE(YEAR(A596-WEEKDAY(A596-1)+4),1,3)+WEEKDAY(DATE(YEAR(A596-WEEKDAY(A596-1)+4),1,3))+5)/7))</f>
        <v/>
      </c>
      <c r="D596" s="21" t="n"/>
      <c r="E596" s="22" t="n"/>
      <c r="F596" s="23" t="n"/>
      <c r="G596" s="23" t="n"/>
      <c r="H596" s="23" t="n"/>
      <c r="I596" s="20">
        <f>IF(COUNT(F596:H596)=0,"",SUM(F596:H596))</f>
        <v/>
      </c>
      <c r="J596" s="23" t="n"/>
      <c r="K596" s="23" t="n"/>
      <c r="L596" s="23" t="n"/>
      <c r="M596" s="23" t="n"/>
      <c r="N596" s="23" t="n"/>
      <c r="O596" s="20">
        <f>IF(OR(I596="",COUNT(J596:N596)=0),"",IF(SUM(J596:N596)=I596,"✓","⚠ "&amp;SUM(J596:N596)&amp;" statt "&amp;I596))</f>
        <v/>
      </c>
      <c r="P596" s="21" t="n"/>
      <c r="Q596" s="21" t="n"/>
      <c r="R596" s="21" t="n"/>
      <c r="S596" s="24" t="n"/>
      <c r="T596" s="24" t="n"/>
      <c r="V596">
        <f>IF(A596="","",MONTH(A596))</f>
        <v/>
      </c>
      <c r="W596">
        <f>N(W595)+IF(AND(C596&lt;&gt;"",T596&lt;&gt;""),IF(C596=WOCHE!$B$3,1,0),0)</f>
        <v/>
      </c>
      <c r="X596">
        <f>N(X595)+IF(AND(V596&lt;&gt;"",T596&lt;&gt;""),IF(V596=MONAT!$AZ$3,1,0),0)</f>
        <v/>
      </c>
    </row>
    <row r="597">
      <c r="A597" s="19" t="n"/>
      <c r="B597" s="20">
        <f>IF(A597="","",CHOOSE(WEEKDAY(A597,2),"Mo","Di","Mi","Do","Fr","Sa","So"))</f>
        <v/>
      </c>
      <c r="C597" s="20">
        <f>IF(A597="","",INT((A597-DATE(YEAR(A597-WEEKDAY(A597-1)+4),1,3)+WEEKDAY(DATE(YEAR(A597-WEEKDAY(A597-1)+4),1,3))+5)/7))</f>
        <v/>
      </c>
      <c r="D597" s="21" t="n"/>
      <c r="E597" s="22" t="n"/>
      <c r="F597" s="23" t="n"/>
      <c r="G597" s="23" t="n"/>
      <c r="H597" s="23" t="n"/>
      <c r="I597" s="20">
        <f>IF(COUNT(F597:H597)=0,"",SUM(F597:H597))</f>
        <v/>
      </c>
      <c r="J597" s="23" t="n"/>
      <c r="K597" s="23" t="n"/>
      <c r="L597" s="23" t="n"/>
      <c r="M597" s="23" t="n"/>
      <c r="N597" s="23" t="n"/>
      <c r="O597" s="20">
        <f>IF(OR(I597="",COUNT(J597:N597)=0),"",IF(SUM(J597:N597)=I597,"✓","⚠ "&amp;SUM(J597:N597)&amp;" statt "&amp;I597))</f>
        <v/>
      </c>
      <c r="P597" s="21" t="n"/>
      <c r="Q597" s="21" t="n"/>
      <c r="R597" s="21" t="n"/>
      <c r="S597" s="24" t="n"/>
      <c r="T597" s="24" t="n"/>
      <c r="V597">
        <f>IF(A597="","",MONTH(A597))</f>
        <v/>
      </c>
      <c r="W597">
        <f>N(W596)+IF(AND(C597&lt;&gt;"",T597&lt;&gt;""),IF(C597=WOCHE!$B$3,1,0),0)</f>
        <v/>
      </c>
      <c r="X597">
        <f>N(X596)+IF(AND(V597&lt;&gt;"",T597&lt;&gt;""),IF(V597=MONAT!$AZ$3,1,0),0)</f>
        <v/>
      </c>
    </row>
    <row r="598">
      <c r="A598" s="19" t="n"/>
      <c r="B598" s="20">
        <f>IF(A598="","",CHOOSE(WEEKDAY(A598,2),"Mo","Di","Mi","Do","Fr","Sa","So"))</f>
        <v/>
      </c>
      <c r="C598" s="20">
        <f>IF(A598="","",INT((A598-DATE(YEAR(A598-WEEKDAY(A598-1)+4),1,3)+WEEKDAY(DATE(YEAR(A598-WEEKDAY(A598-1)+4),1,3))+5)/7))</f>
        <v/>
      </c>
      <c r="D598" s="21" t="n"/>
      <c r="E598" s="22" t="n"/>
      <c r="F598" s="23" t="n"/>
      <c r="G598" s="23" t="n"/>
      <c r="H598" s="23" t="n"/>
      <c r="I598" s="20">
        <f>IF(COUNT(F598:H598)=0,"",SUM(F598:H598))</f>
        <v/>
      </c>
      <c r="J598" s="23" t="n"/>
      <c r="K598" s="23" t="n"/>
      <c r="L598" s="23" t="n"/>
      <c r="M598" s="23" t="n"/>
      <c r="N598" s="23" t="n"/>
      <c r="O598" s="20">
        <f>IF(OR(I598="",COUNT(J598:N598)=0),"",IF(SUM(J598:N598)=I598,"✓","⚠ "&amp;SUM(J598:N598)&amp;" statt "&amp;I598))</f>
        <v/>
      </c>
      <c r="P598" s="21" t="n"/>
      <c r="Q598" s="21" t="n"/>
      <c r="R598" s="21" t="n"/>
      <c r="S598" s="24" t="n"/>
      <c r="T598" s="24" t="n"/>
      <c r="V598">
        <f>IF(A598="","",MONTH(A598))</f>
        <v/>
      </c>
      <c r="W598">
        <f>N(W597)+IF(AND(C598&lt;&gt;"",T598&lt;&gt;""),IF(C598=WOCHE!$B$3,1,0),0)</f>
        <v/>
      </c>
      <c r="X598">
        <f>N(X597)+IF(AND(V598&lt;&gt;"",T598&lt;&gt;""),IF(V598=MONAT!$AZ$3,1,0),0)</f>
        <v/>
      </c>
    </row>
    <row r="599">
      <c r="A599" s="19" t="n"/>
      <c r="B599" s="20">
        <f>IF(A599="","",CHOOSE(WEEKDAY(A599,2),"Mo","Di","Mi","Do","Fr","Sa","So"))</f>
        <v/>
      </c>
      <c r="C599" s="20">
        <f>IF(A599="","",INT((A599-DATE(YEAR(A599-WEEKDAY(A599-1)+4),1,3)+WEEKDAY(DATE(YEAR(A599-WEEKDAY(A599-1)+4),1,3))+5)/7))</f>
        <v/>
      </c>
      <c r="D599" s="21" t="n"/>
      <c r="E599" s="22" t="n"/>
      <c r="F599" s="23" t="n"/>
      <c r="G599" s="23" t="n"/>
      <c r="H599" s="23" t="n"/>
      <c r="I599" s="20">
        <f>IF(COUNT(F599:H599)=0,"",SUM(F599:H599))</f>
        <v/>
      </c>
      <c r="J599" s="23" t="n"/>
      <c r="K599" s="23" t="n"/>
      <c r="L599" s="23" t="n"/>
      <c r="M599" s="23" t="n"/>
      <c r="N599" s="23" t="n"/>
      <c r="O599" s="20">
        <f>IF(OR(I599="",COUNT(J599:N599)=0),"",IF(SUM(J599:N599)=I599,"✓","⚠ "&amp;SUM(J599:N599)&amp;" statt "&amp;I599))</f>
        <v/>
      </c>
      <c r="P599" s="21" t="n"/>
      <c r="Q599" s="21" t="n"/>
      <c r="R599" s="21" t="n"/>
      <c r="S599" s="24" t="n"/>
      <c r="T599" s="24" t="n"/>
      <c r="V599">
        <f>IF(A599="","",MONTH(A599))</f>
        <v/>
      </c>
      <c r="W599">
        <f>N(W598)+IF(AND(C599&lt;&gt;"",T599&lt;&gt;""),IF(C599=WOCHE!$B$3,1,0),0)</f>
        <v/>
      </c>
      <c r="X599">
        <f>N(X598)+IF(AND(V599&lt;&gt;"",T599&lt;&gt;""),IF(V599=MONAT!$AZ$3,1,0),0)</f>
        <v/>
      </c>
    </row>
    <row r="600">
      <c r="A600" s="19" t="n"/>
      <c r="B600" s="20">
        <f>IF(A600="","",CHOOSE(WEEKDAY(A600,2),"Mo","Di","Mi","Do","Fr","Sa","So"))</f>
        <v/>
      </c>
      <c r="C600" s="20">
        <f>IF(A600="","",INT((A600-DATE(YEAR(A600-WEEKDAY(A600-1)+4),1,3)+WEEKDAY(DATE(YEAR(A600-WEEKDAY(A600-1)+4),1,3))+5)/7))</f>
        <v/>
      </c>
      <c r="D600" s="21" t="n"/>
      <c r="E600" s="22" t="n"/>
      <c r="F600" s="23" t="n"/>
      <c r="G600" s="23" t="n"/>
      <c r="H600" s="23" t="n"/>
      <c r="I600" s="20">
        <f>IF(COUNT(F600:H600)=0,"",SUM(F600:H600))</f>
        <v/>
      </c>
      <c r="J600" s="23" t="n"/>
      <c r="K600" s="23" t="n"/>
      <c r="L600" s="23" t="n"/>
      <c r="M600" s="23" t="n"/>
      <c r="N600" s="23" t="n"/>
      <c r="O600" s="20">
        <f>IF(OR(I600="",COUNT(J600:N600)=0),"",IF(SUM(J600:N600)=I600,"✓","⚠ "&amp;SUM(J600:N600)&amp;" statt "&amp;I600))</f>
        <v/>
      </c>
      <c r="P600" s="21" t="n"/>
      <c r="Q600" s="21" t="n"/>
      <c r="R600" s="21" t="n"/>
      <c r="S600" s="24" t="n"/>
      <c r="T600" s="24" t="n"/>
      <c r="V600">
        <f>IF(A600="","",MONTH(A600))</f>
        <v/>
      </c>
      <c r="W600">
        <f>N(W599)+IF(AND(C600&lt;&gt;"",T600&lt;&gt;""),IF(C600=WOCHE!$B$3,1,0),0)</f>
        <v/>
      </c>
      <c r="X600">
        <f>N(X599)+IF(AND(V600&lt;&gt;"",T600&lt;&gt;""),IF(V600=MONAT!$AZ$3,1,0),0)</f>
        <v/>
      </c>
    </row>
    <row r="601">
      <c r="A601" s="19" t="n"/>
      <c r="B601" s="20">
        <f>IF(A601="","",CHOOSE(WEEKDAY(A601,2),"Mo","Di","Mi","Do","Fr","Sa","So"))</f>
        <v/>
      </c>
      <c r="C601" s="20">
        <f>IF(A601="","",INT((A601-DATE(YEAR(A601-WEEKDAY(A601-1)+4),1,3)+WEEKDAY(DATE(YEAR(A601-WEEKDAY(A601-1)+4),1,3))+5)/7))</f>
        <v/>
      </c>
      <c r="D601" s="21" t="n"/>
      <c r="E601" s="22" t="n"/>
      <c r="F601" s="23" t="n"/>
      <c r="G601" s="23" t="n"/>
      <c r="H601" s="23" t="n"/>
      <c r="I601" s="20">
        <f>IF(COUNT(F601:H601)=0,"",SUM(F601:H601))</f>
        <v/>
      </c>
      <c r="J601" s="23" t="n"/>
      <c r="K601" s="23" t="n"/>
      <c r="L601" s="23" t="n"/>
      <c r="M601" s="23" t="n"/>
      <c r="N601" s="23" t="n"/>
      <c r="O601" s="20">
        <f>IF(OR(I601="",COUNT(J601:N601)=0),"",IF(SUM(J601:N601)=I601,"✓","⚠ "&amp;SUM(J601:N601)&amp;" statt "&amp;I601))</f>
        <v/>
      </c>
      <c r="P601" s="21" t="n"/>
      <c r="Q601" s="21" t="n"/>
      <c r="R601" s="21" t="n"/>
      <c r="S601" s="24" t="n"/>
      <c r="T601" s="24" t="n"/>
      <c r="V601">
        <f>IF(A601="","",MONTH(A601))</f>
        <v/>
      </c>
      <c r="W601">
        <f>N(W600)+IF(AND(C601&lt;&gt;"",T601&lt;&gt;""),IF(C601=WOCHE!$B$3,1,0),0)</f>
        <v/>
      </c>
      <c r="X601">
        <f>N(X600)+IF(AND(V601&lt;&gt;"",T601&lt;&gt;""),IF(V601=MONAT!$AZ$3,1,0),0)</f>
        <v/>
      </c>
    </row>
    <row r="602">
      <c r="A602" s="19" t="n"/>
      <c r="B602" s="20">
        <f>IF(A602="","",CHOOSE(WEEKDAY(A602,2),"Mo","Di","Mi","Do","Fr","Sa","So"))</f>
        <v/>
      </c>
      <c r="C602" s="20">
        <f>IF(A602="","",INT((A602-DATE(YEAR(A602-WEEKDAY(A602-1)+4),1,3)+WEEKDAY(DATE(YEAR(A602-WEEKDAY(A602-1)+4),1,3))+5)/7))</f>
        <v/>
      </c>
      <c r="D602" s="21" t="n"/>
      <c r="E602" s="22" t="n"/>
      <c r="F602" s="23" t="n"/>
      <c r="G602" s="23" t="n"/>
      <c r="H602" s="23" t="n"/>
      <c r="I602" s="20">
        <f>IF(COUNT(F602:H602)=0,"",SUM(F602:H602))</f>
        <v/>
      </c>
      <c r="J602" s="23" t="n"/>
      <c r="K602" s="23" t="n"/>
      <c r="L602" s="23" t="n"/>
      <c r="M602" s="23" t="n"/>
      <c r="N602" s="23" t="n"/>
      <c r="O602" s="20">
        <f>IF(OR(I602="",COUNT(J602:N602)=0),"",IF(SUM(J602:N602)=I602,"✓","⚠ "&amp;SUM(J602:N602)&amp;" statt "&amp;I602))</f>
        <v/>
      </c>
      <c r="P602" s="21" t="n"/>
      <c r="Q602" s="21" t="n"/>
      <c r="R602" s="21" t="n"/>
      <c r="S602" s="24" t="n"/>
      <c r="T602" s="24" t="n"/>
      <c r="V602">
        <f>IF(A602="","",MONTH(A602))</f>
        <v/>
      </c>
      <c r="W602">
        <f>N(W601)+IF(AND(C602&lt;&gt;"",T602&lt;&gt;""),IF(C602=WOCHE!$B$3,1,0),0)</f>
        <v/>
      </c>
      <c r="X602">
        <f>N(X601)+IF(AND(V602&lt;&gt;"",T602&lt;&gt;""),IF(V602=MONAT!$AZ$3,1,0),0)</f>
        <v/>
      </c>
    </row>
    <row r="603">
      <c r="A603" s="19" t="n"/>
      <c r="B603" s="20">
        <f>IF(A603="","",CHOOSE(WEEKDAY(A603,2),"Mo","Di","Mi","Do","Fr","Sa","So"))</f>
        <v/>
      </c>
      <c r="C603" s="20">
        <f>IF(A603="","",INT((A603-DATE(YEAR(A603-WEEKDAY(A603-1)+4),1,3)+WEEKDAY(DATE(YEAR(A603-WEEKDAY(A603-1)+4),1,3))+5)/7))</f>
        <v/>
      </c>
      <c r="D603" s="21" t="n"/>
      <c r="E603" s="22" t="n"/>
      <c r="F603" s="23" t="n"/>
      <c r="G603" s="23" t="n"/>
      <c r="H603" s="23" t="n"/>
      <c r="I603" s="20">
        <f>IF(COUNT(F603:H603)=0,"",SUM(F603:H603))</f>
        <v/>
      </c>
      <c r="J603" s="23" t="n"/>
      <c r="K603" s="23" t="n"/>
      <c r="L603" s="23" t="n"/>
      <c r="M603" s="23" t="n"/>
      <c r="N603" s="23" t="n"/>
      <c r="O603" s="20">
        <f>IF(OR(I603="",COUNT(J603:N603)=0),"",IF(SUM(J603:N603)=I603,"✓","⚠ "&amp;SUM(J603:N603)&amp;" statt "&amp;I603))</f>
        <v/>
      </c>
      <c r="P603" s="21" t="n"/>
      <c r="Q603" s="21" t="n"/>
      <c r="R603" s="21" t="n"/>
      <c r="S603" s="24" t="n"/>
      <c r="T603" s="24" t="n"/>
      <c r="V603">
        <f>IF(A603="","",MONTH(A603))</f>
        <v/>
      </c>
      <c r="W603">
        <f>N(W602)+IF(AND(C603&lt;&gt;"",T603&lt;&gt;""),IF(C603=WOCHE!$B$3,1,0),0)</f>
        <v/>
      </c>
      <c r="X603">
        <f>N(X602)+IF(AND(V603&lt;&gt;"",T603&lt;&gt;""),IF(V603=MONAT!$AZ$3,1,0),0)</f>
        <v/>
      </c>
    </row>
    <row r="604">
      <c r="A604" s="19" t="n"/>
      <c r="B604" s="20">
        <f>IF(A604="","",CHOOSE(WEEKDAY(A604,2),"Mo","Di","Mi","Do","Fr","Sa","So"))</f>
        <v/>
      </c>
      <c r="C604" s="20">
        <f>IF(A604="","",INT((A604-DATE(YEAR(A604-WEEKDAY(A604-1)+4),1,3)+WEEKDAY(DATE(YEAR(A604-WEEKDAY(A604-1)+4),1,3))+5)/7))</f>
        <v/>
      </c>
      <c r="D604" s="21" t="n"/>
      <c r="E604" s="22" t="n"/>
      <c r="F604" s="23" t="n"/>
      <c r="G604" s="23" t="n"/>
      <c r="H604" s="23" t="n"/>
      <c r="I604" s="20">
        <f>IF(COUNT(F604:H604)=0,"",SUM(F604:H604))</f>
        <v/>
      </c>
      <c r="J604" s="23" t="n"/>
      <c r="K604" s="23" t="n"/>
      <c r="L604" s="23" t="n"/>
      <c r="M604" s="23" t="n"/>
      <c r="N604" s="23" t="n"/>
      <c r="O604" s="20">
        <f>IF(OR(I604="",COUNT(J604:N604)=0),"",IF(SUM(J604:N604)=I604,"✓","⚠ "&amp;SUM(J604:N604)&amp;" statt "&amp;I604))</f>
        <v/>
      </c>
      <c r="P604" s="21" t="n"/>
      <c r="Q604" s="21" t="n"/>
      <c r="R604" s="21" t="n"/>
      <c r="S604" s="24" t="n"/>
      <c r="T604" s="24" t="n"/>
      <c r="V604">
        <f>IF(A604="","",MONTH(A604))</f>
        <v/>
      </c>
      <c r="W604">
        <f>N(W603)+IF(AND(C604&lt;&gt;"",T604&lt;&gt;""),IF(C604=WOCHE!$B$3,1,0),0)</f>
        <v/>
      </c>
      <c r="X604">
        <f>N(X603)+IF(AND(V604&lt;&gt;"",T604&lt;&gt;""),IF(V604=MONAT!$AZ$3,1,0),0)</f>
        <v/>
      </c>
    </row>
    <row r="605">
      <c r="A605" s="19" t="n"/>
      <c r="B605" s="20">
        <f>IF(A605="","",CHOOSE(WEEKDAY(A605,2),"Mo","Di","Mi","Do","Fr","Sa","So"))</f>
        <v/>
      </c>
      <c r="C605" s="20">
        <f>IF(A605="","",INT((A605-DATE(YEAR(A605-WEEKDAY(A605-1)+4),1,3)+WEEKDAY(DATE(YEAR(A605-WEEKDAY(A605-1)+4),1,3))+5)/7))</f>
        <v/>
      </c>
      <c r="D605" s="21" t="n"/>
      <c r="E605" s="22" t="n"/>
      <c r="F605" s="23" t="n"/>
      <c r="G605" s="23" t="n"/>
      <c r="H605" s="23" t="n"/>
      <c r="I605" s="20">
        <f>IF(COUNT(F605:H605)=0,"",SUM(F605:H605))</f>
        <v/>
      </c>
      <c r="J605" s="23" t="n"/>
      <c r="K605" s="23" t="n"/>
      <c r="L605" s="23" t="n"/>
      <c r="M605" s="23" t="n"/>
      <c r="N605" s="23" t="n"/>
      <c r="O605" s="20">
        <f>IF(OR(I605="",COUNT(J605:N605)=0),"",IF(SUM(J605:N605)=I605,"✓","⚠ "&amp;SUM(J605:N605)&amp;" statt "&amp;I605))</f>
        <v/>
      </c>
      <c r="P605" s="21" t="n"/>
      <c r="Q605" s="21" t="n"/>
      <c r="R605" s="21" t="n"/>
      <c r="S605" s="24" t="n"/>
      <c r="T605" s="24" t="n"/>
      <c r="V605">
        <f>IF(A605="","",MONTH(A605))</f>
        <v/>
      </c>
      <c r="W605">
        <f>N(W604)+IF(AND(C605&lt;&gt;"",T605&lt;&gt;""),IF(C605=WOCHE!$B$3,1,0),0)</f>
        <v/>
      </c>
      <c r="X605">
        <f>N(X604)+IF(AND(V605&lt;&gt;"",T605&lt;&gt;""),IF(V605=MONAT!$AZ$3,1,0),0)</f>
        <v/>
      </c>
    </row>
    <row r="606">
      <c r="A606" s="19" t="n"/>
      <c r="B606" s="20">
        <f>IF(A606="","",CHOOSE(WEEKDAY(A606,2),"Mo","Di","Mi","Do","Fr","Sa","So"))</f>
        <v/>
      </c>
      <c r="C606" s="20">
        <f>IF(A606="","",INT((A606-DATE(YEAR(A606-WEEKDAY(A606-1)+4),1,3)+WEEKDAY(DATE(YEAR(A606-WEEKDAY(A606-1)+4),1,3))+5)/7))</f>
        <v/>
      </c>
      <c r="D606" s="21" t="n"/>
      <c r="E606" s="22" t="n"/>
      <c r="F606" s="23" t="n"/>
      <c r="G606" s="23" t="n"/>
      <c r="H606" s="23" t="n"/>
      <c r="I606" s="20">
        <f>IF(COUNT(F606:H606)=0,"",SUM(F606:H606))</f>
        <v/>
      </c>
      <c r="J606" s="23" t="n"/>
      <c r="K606" s="23" t="n"/>
      <c r="L606" s="23" t="n"/>
      <c r="M606" s="23" t="n"/>
      <c r="N606" s="23" t="n"/>
      <c r="O606" s="20">
        <f>IF(OR(I606="",COUNT(J606:N606)=0),"",IF(SUM(J606:N606)=I606,"✓","⚠ "&amp;SUM(J606:N606)&amp;" statt "&amp;I606))</f>
        <v/>
      </c>
      <c r="P606" s="21" t="n"/>
      <c r="Q606" s="21" t="n"/>
      <c r="R606" s="21" t="n"/>
      <c r="S606" s="24" t="n"/>
      <c r="T606" s="24" t="n"/>
      <c r="V606">
        <f>IF(A606="","",MONTH(A606))</f>
        <v/>
      </c>
      <c r="W606">
        <f>N(W605)+IF(AND(C606&lt;&gt;"",T606&lt;&gt;""),IF(C606=WOCHE!$B$3,1,0),0)</f>
        <v/>
      </c>
      <c r="X606">
        <f>N(X605)+IF(AND(V606&lt;&gt;"",T606&lt;&gt;""),IF(V606=MONAT!$AZ$3,1,0),0)</f>
        <v/>
      </c>
    </row>
    <row r="607">
      <c r="A607" s="19" t="n"/>
      <c r="B607" s="20">
        <f>IF(A607="","",CHOOSE(WEEKDAY(A607,2),"Mo","Di","Mi","Do","Fr","Sa","So"))</f>
        <v/>
      </c>
      <c r="C607" s="20">
        <f>IF(A607="","",INT((A607-DATE(YEAR(A607-WEEKDAY(A607-1)+4),1,3)+WEEKDAY(DATE(YEAR(A607-WEEKDAY(A607-1)+4),1,3))+5)/7))</f>
        <v/>
      </c>
      <c r="D607" s="21" t="n"/>
      <c r="E607" s="22" t="n"/>
      <c r="F607" s="23" t="n"/>
      <c r="G607" s="23" t="n"/>
      <c r="H607" s="23" t="n"/>
      <c r="I607" s="20">
        <f>IF(COUNT(F607:H607)=0,"",SUM(F607:H607))</f>
        <v/>
      </c>
      <c r="J607" s="23" t="n"/>
      <c r="K607" s="23" t="n"/>
      <c r="L607" s="23" t="n"/>
      <c r="M607" s="23" t="n"/>
      <c r="N607" s="23" t="n"/>
      <c r="O607" s="20">
        <f>IF(OR(I607="",COUNT(J607:N607)=0),"",IF(SUM(J607:N607)=I607,"✓","⚠ "&amp;SUM(J607:N607)&amp;" statt "&amp;I607))</f>
        <v/>
      </c>
      <c r="P607" s="21" t="n"/>
      <c r="Q607" s="21" t="n"/>
      <c r="R607" s="21" t="n"/>
      <c r="S607" s="24" t="n"/>
      <c r="T607" s="24" t="n"/>
      <c r="V607">
        <f>IF(A607="","",MONTH(A607))</f>
        <v/>
      </c>
      <c r="W607">
        <f>N(W606)+IF(AND(C607&lt;&gt;"",T607&lt;&gt;""),IF(C607=WOCHE!$B$3,1,0),0)</f>
        <v/>
      </c>
      <c r="X607">
        <f>N(X606)+IF(AND(V607&lt;&gt;"",T607&lt;&gt;""),IF(V607=MONAT!$AZ$3,1,0),0)</f>
        <v/>
      </c>
    </row>
    <row r="608">
      <c r="A608" s="19" t="n"/>
      <c r="B608" s="20">
        <f>IF(A608="","",CHOOSE(WEEKDAY(A608,2),"Mo","Di","Mi","Do","Fr","Sa","So"))</f>
        <v/>
      </c>
      <c r="C608" s="20">
        <f>IF(A608="","",INT((A608-DATE(YEAR(A608-WEEKDAY(A608-1)+4),1,3)+WEEKDAY(DATE(YEAR(A608-WEEKDAY(A608-1)+4),1,3))+5)/7))</f>
        <v/>
      </c>
      <c r="D608" s="21" t="n"/>
      <c r="E608" s="22" t="n"/>
      <c r="F608" s="23" t="n"/>
      <c r="G608" s="23" t="n"/>
      <c r="H608" s="23" t="n"/>
      <c r="I608" s="20">
        <f>IF(COUNT(F608:H608)=0,"",SUM(F608:H608))</f>
        <v/>
      </c>
      <c r="J608" s="23" t="n"/>
      <c r="K608" s="23" t="n"/>
      <c r="L608" s="23" t="n"/>
      <c r="M608" s="23" t="n"/>
      <c r="N608" s="23" t="n"/>
      <c r="O608" s="20">
        <f>IF(OR(I608="",COUNT(J608:N608)=0),"",IF(SUM(J608:N608)=I608,"✓","⚠ "&amp;SUM(J608:N608)&amp;" statt "&amp;I608))</f>
        <v/>
      </c>
      <c r="P608" s="21" t="n"/>
      <c r="Q608" s="21" t="n"/>
      <c r="R608" s="21" t="n"/>
      <c r="S608" s="24" t="n"/>
      <c r="T608" s="24" t="n"/>
      <c r="V608">
        <f>IF(A608="","",MONTH(A608))</f>
        <v/>
      </c>
      <c r="W608">
        <f>N(W607)+IF(AND(C608&lt;&gt;"",T608&lt;&gt;""),IF(C608=WOCHE!$B$3,1,0),0)</f>
        <v/>
      </c>
      <c r="X608">
        <f>N(X607)+IF(AND(V608&lt;&gt;"",T608&lt;&gt;""),IF(V608=MONAT!$AZ$3,1,0),0)</f>
        <v/>
      </c>
    </row>
    <row r="609">
      <c r="A609" s="19" t="n"/>
      <c r="B609" s="20">
        <f>IF(A609="","",CHOOSE(WEEKDAY(A609,2),"Mo","Di","Mi","Do","Fr","Sa","So"))</f>
        <v/>
      </c>
      <c r="C609" s="20">
        <f>IF(A609="","",INT((A609-DATE(YEAR(A609-WEEKDAY(A609-1)+4),1,3)+WEEKDAY(DATE(YEAR(A609-WEEKDAY(A609-1)+4),1,3))+5)/7))</f>
        <v/>
      </c>
      <c r="D609" s="21" t="n"/>
      <c r="E609" s="22" t="n"/>
      <c r="F609" s="23" t="n"/>
      <c r="G609" s="23" t="n"/>
      <c r="H609" s="23" t="n"/>
      <c r="I609" s="20">
        <f>IF(COUNT(F609:H609)=0,"",SUM(F609:H609))</f>
        <v/>
      </c>
      <c r="J609" s="23" t="n"/>
      <c r="K609" s="23" t="n"/>
      <c r="L609" s="23" t="n"/>
      <c r="M609" s="23" t="n"/>
      <c r="N609" s="23" t="n"/>
      <c r="O609" s="20">
        <f>IF(OR(I609="",COUNT(J609:N609)=0),"",IF(SUM(J609:N609)=I609,"✓","⚠ "&amp;SUM(J609:N609)&amp;" statt "&amp;I609))</f>
        <v/>
      </c>
      <c r="P609" s="21" t="n"/>
      <c r="Q609" s="21" t="n"/>
      <c r="R609" s="21" t="n"/>
      <c r="S609" s="24" t="n"/>
      <c r="T609" s="24" t="n"/>
      <c r="V609">
        <f>IF(A609="","",MONTH(A609))</f>
        <v/>
      </c>
      <c r="W609">
        <f>N(W608)+IF(AND(C609&lt;&gt;"",T609&lt;&gt;""),IF(C609=WOCHE!$B$3,1,0),0)</f>
        <v/>
      </c>
      <c r="X609">
        <f>N(X608)+IF(AND(V609&lt;&gt;"",T609&lt;&gt;""),IF(V609=MONAT!$AZ$3,1,0),0)</f>
        <v/>
      </c>
    </row>
    <row r="610">
      <c r="A610" s="19" t="n"/>
      <c r="B610" s="20">
        <f>IF(A610="","",CHOOSE(WEEKDAY(A610,2),"Mo","Di","Mi","Do","Fr","Sa","So"))</f>
        <v/>
      </c>
      <c r="C610" s="20">
        <f>IF(A610="","",INT((A610-DATE(YEAR(A610-WEEKDAY(A610-1)+4),1,3)+WEEKDAY(DATE(YEAR(A610-WEEKDAY(A610-1)+4),1,3))+5)/7))</f>
        <v/>
      </c>
      <c r="D610" s="21" t="n"/>
      <c r="E610" s="22" t="n"/>
      <c r="F610" s="23" t="n"/>
      <c r="G610" s="23" t="n"/>
      <c r="H610" s="23" t="n"/>
      <c r="I610" s="20">
        <f>IF(COUNT(F610:H610)=0,"",SUM(F610:H610))</f>
        <v/>
      </c>
      <c r="J610" s="23" t="n"/>
      <c r="K610" s="23" t="n"/>
      <c r="L610" s="23" t="n"/>
      <c r="M610" s="23" t="n"/>
      <c r="N610" s="23" t="n"/>
      <c r="O610" s="20">
        <f>IF(OR(I610="",COUNT(J610:N610)=0),"",IF(SUM(J610:N610)=I610,"✓","⚠ "&amp;SUM(J610:N610)&amp;" statt "&amp;I610))</f>
        <v/>
      </c>
      <c r="P610" s="21" t="n"/>
      <c r="Q610" s="21" t="n"/>
      <c r="R610" s="21" t="n"/>
      <c r="S610" s="24" t="n"/>
      <c r="T610" s="24" t="n"/>
      <c r="V610">
        <f>IF(A610="","",MONTH(A610))</f>
        <v/>
      </c>
      <c r="W610">
        <f>N(W609)+IF(AND(C610&lt;&gt;"",T610&lt;&gt;""),IF(C610=WOCHE!$B$3,1,0),0)</f>
        <v/>
      </c>
      <c r="X610">
        <f>N(X609)+IF(AND(V610&lt;&gt;"",T610&lt;&gt;""),IF(V610=MONAT!$AZ$3,1,0),0)</f>
        <v/>
      </c>
    </row>
    <row r="611">
      <c r="A611" s="19" t="n"/>
      <c r="B611" s="20">
        <f>IF(A611="","",CHOOSE(WEEKDAY(A611,2),"Mo","Di","Mi","Do","Fr","Sa","So"))</f>
        <v/>
      </c>
      <c r="C611" s="20">
        <f>IF(A611="","",INT((A611-DATE(YEAR(A611-WEEKDAY(A611-1)+4),1,3)+WEEKDAY(DATE(YEAR(A611-WEEKDAY(A611-1)+4),1,3))+5)/7))</f>
        <v/>
      </c>
      <c r="D611" s="21" t="n"/>
      <c r="E611" s="22" t="n"/>
      <c r="F611" s="23" t="n"/>
      <c r="G611" s="23" t="n"/>
      <c r="H611" s="23" t="n"/>
      <c r="I611" s="20">
        <f>IF(COUNT(F611:H611)=0,"",SUM(F611:H611))</f>
        <v/>
      </c>
      <c r="J611" s="23" t="n"/>
      <c r="K611" s="23" t="n"/>
      <c r="L611" s="23" t="n"/>
      <c r="M611" s="23" t="n"/>
      <c r="N611" s="23" t="n"/>
      <c r="O611" s="20">
        <f>IF(OR(I611="",COUNT(J611:N611)=0),"",IF(SUM(J611:N611)=I611,"✓","⚠ "&amp;SUM(J611:N611)&amp;" statt "&amp;I611))</f>
        <v/>
      </c>
      <c r="P611" s="21" t="n"/>
      <c r="Q611" s="21" t="n"/>
      <c r="R611" s="21" t="n"/>
      <c r="S611" s="24" t="n"/>
      <c r="T611" s="24" t="n"/>
      <c r="V611">
        <f>IF(A611="","",MONTH(A611))</f>
        <v/>
      </c>
      <c r="W611">
        <f>N(W610)+IF(AND(C611&lt;&gt;"",T611&lt;&gt;""),IF(C611=WOCHE!$B$3,1,0),0)</f>
        <v/>
      </c>
      <c r="X611">
        <f>N(X610)+IF(AND(V611&lt;&gt;"",T611&lt;&gt;""),IF(V611=MONAT!$AZ$3,1,0),0)</f>
        <v/>
      </c>
    </row>
    <row r="612">
      <c r="A612" s="19" t="n"/>
      <c r="B612" s="20">
        <f>IF(A612="","",CHOOSE(WEEKDAY(A612,2),"Mo","Di","Mi","Do","Fr","Sa","So"))</f>
        <v/>
      </c>
      <c r="C612" s="20">
        <f>IF(A612="","",INT((A612-DATE(YEAR(A612-WEEKDAY(A612-1)+4),1,3)+WEEKDAY(DATE(YEAR(A612-WEEKDAY(A612-1)+4),1,3))+5)/7))</f>
        <v/>
      </c>
      <c r="D612" s="21" t="n"/>
      <c r="E612" s="22" t="n"/>
      <c r="F612" s="23" t="n"/>
      <c r="G612" s="23" t="n"/>
      <c r="H612" s="23" t="n"/>
      <c r="I612" s="20">
        <f>IF(COUNT(F612:H612)=0,"",SUM(F612:H612))</f>
        <v/>
      </c>
      <c r="J612" s="23" t="n"/>
      <c r="K612" s="23" t="n"/>
      <c r="L612" s="23" t="n"/>
      <c r="M612" s="23" t="n"/>
      <c r="N612" s="23" t="n"/>
      <c r="O612" s="20">
        <f>IF(OR(I612="",COUNT(J612:N612)=0),"",IF(SUM(J612:N612)=I612,"✓","⚠ "&amp;SUM(J612:N612)&amp;" statt "&amp;I612))</f>
        <v/>
      </c>
      <c r="P612" s="21" t="n"/>
      <c r="Q612" s="21" t="n"/>
      <c r="R612" s="21" t="n"/>
      <c r="S612" s="24" t="n"/>
      <c r="T612" s="24" t="n"/>
      <c r="V612">
        <f>IF(A612="","",MONTH(A612))</f>
        <v/>
      </c>
      <c r="W612">
        <f>N(W611)+IF(AND(C612&lt;&gt;"",T612&lt;&gt;""),IF(C612=WOCHE!$B$3,1,0),0)</f>
        <v/>
      </c>
      <c r="X612">
        <f>N(X611)+IF(AND(V612&lt;&gt;"",T612&lt;&gt;""),IF(V612=MONAT!$AZ$3,1,0),0)</f>
        <v/>
      </c>
    </row>
    <row r="613">
      <c r="A613" s="19" t="n"/>
      <c r="B613" s="20">
        <f>IF(A613="","",CHOOSE(WEEKDAY(A613,2),"Mo","Di","Mi","Do","Fr","Sa","So"))</f>
        <v/>
      </c>
      <c r="C613" s="20">
        <f>IF(A613="","",INT((A613-DATE(YEAR(A613-WEEKDAY(A613-1)+4),1,3)+WEEKDAY(DATE(YEAR(A613-WEEKDAY(A613-1)+4),1,3))+5)/7))</f>
        <v/>
      </c>
      <c r="D613" s="21" t="n"/>
      <c r="E613" s="22" t="n"/>
      <c r="F613" s="23" t="n"/>
      <c r="G613" s="23" t="n"/>
      <c r="H613" s="23" t="n"/>
      <c r="I613" s="20">
        <f>IF(COUNT(F613:H613)=0,"",SUM(F613:H613))</f>
        <v/>
      </c>
      <c r="J613" s="23" t="n"/>
      <c r="K613" s="23" t="n"/>
      <c r="L613" s="23" t="n"/>
      <c r="M613" s="23" t="n"/>
      <c r="N613" s="23" t="n"/>
      <c r="O613" s="20">
        <f>IF(OR(I613="",COUNT(J613:N613)=0),"",IF(SUM(J613:N613)=I613,"✓","⚠ "&amp;SUM(J613:N613)&amp;" statt "&amp;I613))</f>
        <v/>
      </c>
      <c r="P613" s="21" t="n"/>
      <c r="Q613" s="21" t="n"/>
      <c r="R613" s="21" t="n"/>
      <c r="S613" s="24" t="n"/>
      <c r="T613" s="24" t="n"/>
      <c r="V613">
        <f>IF(A613="","",MONTH(A613))</f>
        <v/>
      </c>
      <c r="W613">
        <f>N(W612)+IF(AND(C613&lt;&gt;"",T613&lt;&gt;""),IF(C613=WOCHE!$B$3,1,0),0)</f>
        <v/>
      </c>
      <c r="X613">
        <f>N(X612)+IF(AND(V613&lt;&gt;"",T613&lt;&gt;""),IF(V613=MONAT!$AZ$3,1,0),0)</f>
        <v/>
      </c>
    </row>
    <row r="614">
      <c r="A614" s="19" t="n"/>
      <c r="B614" s="20">
        <f>IF(A614="","",CHOOSE(WEEKDAY(A614,2),"Mo","Di","Mi","Do","Fr","Sa","So"))</f>
        <v/>
      </c>
      <c r="C614" s="20">
        <f>IF(A614="","",INT((A614-DATE(YEAR(A614-WEEKDAY(A614-1)+4),1,3)+WEEKDAY(DATE(YEAR(A614-WEEKDAY(A614-1)+4),1,3))+5)/7))</f>
        <v/>
      </c>
      <c r="D614" s="21" t="n"/>
      <c r="E614" s="22" t="n"/>
      <c r="F614" s="23" t="n"/>
      <c r="G614" s="23" t="n"/>
      <c r="H614" s="23" t="n"/>
      <c r="I614" s="20">
        <f>IF(COUNT(F614:H614)=0,"",SUM(F614:H614))</f>
        <v/>
      </c>
      <c r="J614" s="23" t="n"/>
      <c r="K614" s="23" t="n"/>
      <c r="L614" s="23" t="n"/>
      <c r="M614" s="23" t="n"/>
      <c r="N614" s="23" t="n"/>
      <c r="O614" s="20">
        <f>IF(OR(I614="",COUNT(J614:N614)=0),"",IF(SUM(J614:N614)=I614,"✓","⚠ "&amp;SUM(J614:N614)&amp;" statt "&amp;I614))</f>
        <v/>
      </c>
      <c r="P614" s="21" t="n"/>
      <c r="Q614" s="21" t="n"/>
      <c r="R614" s="21" t="n"/>
      <c r="S614" s="24" t="n"/>
      <c r="T614" s="24" t="n"/>
      <c r="V614">
        <f>IF(A614="","",MONTH(A614))</f>
        <v/>
      </c>
      <c r="W614">
        <f>N(W613)+IF(AND(C614&lt;&gt;"",T614&lt;&gt;""),IF(C614=WOCHE!$B$3,1,0),0)</f>
        <v/>
      </c>
      <c r="X614">
        <f>N(X613)+IF(AND(V614&lt;&gt;"",T614&lt;&gt;""),IF(V614=MONAT!$AZ$3,1,0),0)</f>
        <v/>
      </c>
    </row>
    <row r="615">
      <c r="A615" s="19" t="n"/>
      <c r="B615" s="20">
        <f>IF(A615="","",CHOOSE(WEEKDAY(A615,2),"Mo","Di","Mi","Do","Fr","Sa","So"))</f>
        <v/>
      </c>
      <c r="C615" s="20">
        <f>IF(A615="","",INT((A615-DATE(YEAR(A615-WEEKDAY(A615-1)+4),1,3)+WEEKDAY(DATE(YEAR(A615-WEEKDAY(A615-1)+4),1,3))+5)/7))</f>
        <v/>
      </c>
      <c r="D615" s="21" t="n"/>
      <c r="E615" s="22" t="n"/>
      <c r="F615" s="23" t="n"/>
      <c r="G615" s="23" t="n"/>
      <c r="H615" s="23" t="n"/>
      <c r="I615" s="20">
        <f>IF(COUNT(F615:H615)=0,"",SUM(F615:H615))</f>
        <v/>
      </c>
      <c r="J615" s="23" t="n"/>
      <c r="K615" s="23" t="n"/>
      <c r="L615" s="23" t="n"/>
      <c r="M615" s="23" t="n"/>
      <c r="N615" s="23" t="n"/>
      <c r="O615" s="20">
        <f>IF(OR(I615="",COUNT(J615:N615)=0),"",IF(SUM(J615:N615)=I615,"✓","⚠ "&amp;SUM(J615:N615)&amp;" statt "&amp;I615))</f>
        <v/>
      </c>
      <c r="P615" s="21" t="n"/>
      <c r="Q615" s="21" t="n"/>
      <c r="R615" s="21" t="n"/>
      <c r="S615" s="24" t="n"/>
      <c r="T615" s="24" t="n"/>
      <c r="V615">
        <f>IF(A615="","",MONTH(A615))</f>
        <v/>
      </c>
      <c r="W615">
        <f>N(W614)+IF(AND(C615&lt;&gt;"",T615&lt;&gt;""),IF(C615=WOCHE!$B$3,1,0),0)</f>
        <v/>
      </c>
      <c r="X615">
        <f>N(X614)+IF(AND(V615&lt;&gt;"",T615&lt;&gt;""),IF(V615=MONAT!$AZ$3,1,0),0)</f>
        <v/>
      </c>
    </row>
    <row r="616">
      <c r="A616" s="19" t="n"/>
      <c r="B616" s="20">
        <f>IF(A616="","",CHOOSE(WEEKDAY(A616,2),"Mo","Di","Mi","Do","Fr","Sa","So"))</f>
        <v/>
      </c>
      <c r="C616" s="20">
        <f>IF(A616="","",INT((A616-DATE(YEAR(A616-WEEKDAY(A616-1)+4),1,3)+WEEKDAY(DATE(YEAR(A616-WEEKDAY(A616-1)+4),1,3))+5)/7))</f>
        <v/>
      </c>
      <c r="D616" s="21" t="n"/>
      <c r="E616" s="22" t="n"/>
      <c r="F616" s="23" t="n"/>
      <c r="G616" s="23" t="n"/>
      <c r="H616" s="23" t="n"/>
      <c r="I616" s="20">
        <f>IF(COUNT(F616:H616)=0,"",SUM(F616:H616))</f>
        <v/>
      </c>
      <c r="J616" s="23" t="n"/>
      <c r="K616" s="23" t="n"/>
      <c r="L616" s="23" t="n"/>
      <c r="M616" s="23" t="n"/>
      <c r="N616" s="23" t="n"/>
      <c r="O616" s="20">
        <f>IF(OR(I616="",COUNT(J616:N616)=0),"",IF(SUM(J616:N616)=I616,"✓","⚠ "&amp;SUM(J616:N616)&amp;" statt "&amp;I616))</f>
        <v/>
      </c>
      <c r="P616" s="21" t="n"/>
      <c r="Q616" s="21" t="n"/>
      <c r="R616" s="21" t="n"/>
      <c r="S616" s="24" t="n"/>
      <c r="T616" s="24" t="n"/>
      <c r="V616">
        <f>IF(A616="","",MONTH(A616))</f>
        <v/>
      </c>
      <c r="W616">
        <f>N(W615)+IF(AND(C616&lt;&gt;"",T616&lt;&gt;""),IF(C616=WOCHE!$B$3,1,0),0)</f>
        <v/>
      </c>
      <c r="X616">
        <f>N(X615)+IF(AND(V616&lt;&gt;"",T616&lt;&gt;""),IF(V616=MONAT!$AZ$3,1,0),0)</f>
        <v/>
      </c>
    </row>
    <row r="617">
      <c r="A617" s="19" t="n"/>
      <c r="B617" s="20">
        <f>IF(A617="","",CHOOSE(WEEKDAY(A617,2),"Mo","Di","Mi","Do","Fr","Sa","So"))</f>
        <v/>
      </c>
      <c r="C617" s="20">
        <f>IF(A617="","",INT((A617-DATE(YEAR(A617-WEEKDAY(A617-1)+4),1,3)+WEEKDAY(DATE(YEAR(A617-WEEKDAY(A617-1)+4),1,3))+5)/7))</f>
        <v/>
      </c>
      <c r="D617" s="21" t="n"/>
      <c r="E617" s="22" t="n"/>
      <c r="F617" s="23" t="n"/>
      <c r="G617" s="23" t="n"/>
      <c r="H617" s="23" t="n"/>
      <c r="I617" s="20">
        <f>IF(COUNT(F617:H617)=0,"",SUM(F617:H617))</f>
        <v/>
      </c>
      <c r="J617" s="23" t="n"/>
      <c r="K617" s="23" t="n"/>
      <c r="L617" s="23" t="n"/>
      <c r="M617" s="23" t="n"/>
      <c r="N617" s="23" t="n"/>
      <c r="O617" s="20">
        <f>IF(OR(I617="",COUNT(J617:N617)=0),"",IF(SUM(J617:N617)=I617,"✓","⚠ "&amp;SUM(J617:N617)&amp;" statt "&amp;I617))</f>
        <v/>
      </c>
      <c r="P617" s="21" t="n"/>
      <c r="Q617" s="21" t="n"/>
      <c r="R617" s="21" t="n"/>
      <c r="S617" s="24" t="n"/>
      <c r="T617" s="24" t="n"/>
      <c r="V617">
        <f>IF(A617="","",MONTH(A617))</f>
        <v/>
      </c>
      <c r="W617">
        <f>N(W616)+IF(AND(C617&lt;&gt;"",T617&lt;&gt;""),IF(C617=WOCHE!$B$3,1,0),0)</f>
        <v/>
      </c>
      <c r="X617">
        <f>N(X616)+IF(AND(V617&lt;&gt;"",T617&lt;&gt;""),IF(V617=MONAT!$AZ$3,1,0),0)</f>
        <v/>
      </c>
    </row>
    <row r="618">
      <c r="A618" s="19" t="n"/>
      <c r="B618" s="20">
        <f>IF(A618="","",CHOOSE(WEEKDAY(A618,2),"Mo","Di","Mi","Do","Fr","Sa","So"))</f>
        <v/>
      </c>
      <c r="C618" s="20">
        <f>IF(A618="","",INT((A618-DATE(YEAR(A618-WEEKDAY(A618-1)+4),1,3)+WEEKDAY(DATE(YEAR(A618-WEEKDAY(A618-1)+4),1,3))+5)/7))</f>
        <v/>
      </c>
      <c r="D618" s="21" t="n"/>
      <c r="E618" s="22" t="n"/>
      <c r="F618" s="23" t="n"/>
      <c r="G618" s="23" t="n"/>
      <c r="H618" s="23" t="n"/>
      <c r="I618" s="20">
        <f>IF(COUNT(F618:H618)=0,"",SUM(F618:H618))</f>
        <v/>
      </c>
      <c r="J618" s="23" t="n"/>
      <c r="K618" s="23" t="n"/>
      <c r="L618" s="23" t="n"/>
      <c r="M618" s="23" t="n"/>
      <c r="N618" s="23" t="n"/>
      <c r="O618" s="20">
        <f>IF(OR(I618="",COUNT(J618:N618)=0),"",IF(SUM(J618:N618)=I618,"✓","⚠ "&amp;SUM(J618:N618)&amp;" statt "&amp;I618))</f>
        <v/>
      </c>
      <c r="P618" s="21" t="n"/>
      <c r="Q618" s="21" t="n"/>
      <c r="R618" s="21" t="n"/>
      <c r="S618" s="24" t="n"/>
      <c r="T618" s="24" t="n"/>
      <c r="V618">
        <f>IF(A618="","",MONTH(A618))</f>
        <v/>
      </c>
      <c r="W618">
        <f>N(W617)+IF(AND(C618&lt;&gt;"",T618&lt;&gt;""),IF(C618=WOCHE!$B$3,1,0),0)</f>
        <v/>
      </c>
      <c r="X618">
        <f>N(X617)+IF(AND(V618&lt;&gt;"",T618&lt;&gt;""),IF(V618=MONAT!$AZ$3,1,0),0)</f>
        <v/>
      </c>
    </row>
    <row r="619">
      <c r="A619" s="19" t="n"/>
      <c r="B619" s="20">
        <f>IF(A619="","",CHOOSE(WEEKDAY(A619,2),"Mo","Di","Mi","Do","Fr","Sa","So"))</f>
        <v/>
      </c>
      <c r="C619" s="20">
        <f>IF(A619="","",INT((A619-DATE(YEAR(A619-WEEKDAY(A619-1)+4),1,3)+WEEKDAY(DATE(YEAR(A619-WEEKDAY(A619-1)+4),1,3))+5)/7))</f>
        <v/>
      </c>
      <c r="D619" s="21" t="n"/>
      <c r="E619" s="22" t="n"/>
      <c r="F619" s="23" t="n"/>
      <c r="G619" s="23" t="n"/>
      <c r="H619" s="23" t="n"/>
      <c r="I619" s="20">
        <f>IF(COUNT(F619:H619)=0,"",SUM(F619:H619))</f>
        <v/>
      </c>
      <c r="J619" s="23" t="n"/>
      <c r="K619" s="23" t="n"/>
      <c r="L619" s="23" t="n"/>
      <c r="M619" s="23" t="n"/>
      <c r="N619" s="23" t="n"/>
      <c r="O619" s="20">
        <f>IF(OR(I619="",COUNT(J619:N619)=0),"",IF(SUM(J619:N619)=I619,"✓","⚠ "&amp;SUM(J619:N619)&amp;" statt "&amp;I619))</f>
        <v/>
      </c>
      <c r="P619" s="21" t="n"/>
      <c r="Q619" s="21" t="n"/>
      <c r="R619" s="21" t="n"/>
      <c r="S619" s="24" t="n"/>
      <c r="T619" s="24" t="n"/>
      <c r="V619">
        <f>IF(A619="","",MONTH(A619))</f>
        <v/>
      </c>
      <c r="W619">
        <f>N(W618)+IF(AND(C619&lt;&gt;"",T619&lt;&gt;""),IF(C619=WOCHE!$B$3,1,0),0)</f>
        <v/>
      </c>
      <c r="X619">
        <f>N(X618)+IF(AND(V619&lt;&gt;"",T619&lt;&gt;""),IF(V619=MONAT!$AZ$3,1,0),0)</f>
        <v/>
      </c>
    </row>
    <row r="620">
      <c r="A620" s="19" t="n"/>
      <c r="B620" s="20">
        <f>IF(A620="","",CHOOSE(WEEKDAY(A620,2),"Mo","Di","Mi","Do","Fr","Sa","So"))</f>
        <v/>
      </c>
      <c r="C620" s="20">
        <f>IF(A620="","",INT((A620-DATE(YEAR(A620-WEEKDAY(A620-1)+4),1,3)+WEEKDAY(DATE(YEAR(A620-WEEKDAY(A620-1)+4),1,3))+5)/7))</f>
        <v/>
      </c>
      <c r="D620" s="21" t="n"/>
      <c r="E620" s="22" t="n"/>
      <c r="F620" s="23" t="n"/>
      <c r="G620" s="23" t="n"/>
      <c r="H620" s="23" t="n"/>
      <c r="I620" s="20">
        <f>IF(COUNT(F620:H620)=0,"",SUM(F620:H620))</f>
        <v/>
      </c>
      <c r="J620" s="23" t="n"/>
      <c r="K620" s="23" t="n"/>
      <c r="L620" s="23" t="n"/>
      <c r="M620" s="23" t="n"/>
      <c r="N620" s="23" t="n"/>
      <c r="O620" s="20">
        <f>IF(OR(I620="",COUNT(J620:N620)=0),"",IF(SUM(J620:N620)=I620,"✓","⚠ "&amp;SUM(J620:N620)&amp;" statt "&amp;I620))</f>
        <v/>
      </c>
      <c r="P620" s="21" t="n"/>
      <c r="Q620" s="21" t="n"/>
      <c r="R620" s="21" t="n"/>
      <c r="S620" s="24" t="n"/>
      <c r="T620" s="24" t="n"/>
      <c r="V620">
        <f>IF(A620="","",MONTH(A620))</f>
        <v/>
      </c>
      <c r="W620">
        <f>N(W619)+IF(AND(C620&lt;&gt;"",T620&lt;&gt;""),IF(C620=WOCHE!$B$3,1,0),0)</f>
        <v/>
      </c>
      <c r="X620">
        <f>N(X619)+IF(AND(V620&lt;&gt;"",T620&lt;&gt;""),IF(V620=MONAT!$AZ$3,1,0),0)</f>
        <v/>
      </c>
    </row>
    <row r="621">
      <c r="A621" s="19" t="n"/>
      <c r="B621" s="20">
        <f>IF(A621="","",CHOOSE(WEEKDAY(A621,2),"Mo","Di","Mi","Do","Fr","Sa","So"))</f>
        <v/>
      </c>
      <c r="C621" s="20">
        <f>IF(A621="","",INT((A621-DATE(YEAR(A621-WEEKDAY(A621-1)+4),1,3)+WEEKDAY(DATE(YEAR(A621-WEEKDAY(A621-1)+4),1,3))+5)/7))</f>
        <v/>
      </c>
      <c r="D621" s="21" t="n"/>
      <c r="E621" s="22" t="n"/>
      <c r="F621" s="23" t="n"/>
      <c r="G621" s="23" t="n"/>
      <c r="H621" s="23" t="n"/>
      <c r="I621" s="20">
        <f>IF(COUNT(F621:H621)=0,"",SUM(F621:H621))</f>
        <v/>
      </c>
      <c r="J621" s="23" t="n"/>
      <c r="K621" s="23" t="n"/>
      <c r="L621" s="23" t="n"/>
      <c r="M621" s="23" t="n"/>
      <c r="N621" s="23" t="n"/>
      <c r="O621" s="20">
        <f>IF(OR(I621="",COUNT(J621:N621)=0),"",IF(SUM(J621:N621)=I621,"✓","⚠ "&amp;SUM(J621:N621)&amp;" statt "&amp;I621))</f>
        <v/>
      </c>
      <c r="P621" s="21" t="n"/>
      <c r="Q621" s="21" t="n"/>
      <c r="R621" s="21" t="n"/>
      <c r="S621" s="24" t="n"/>
      <c r="T621" s="24" t="n"/>
      <c r="V621">
        <f>IF(A621="","",MONTH(A621))</f>
        <v/>
      </c>
      <c r="W621">
        <f>N(W620)+IF(AND(C621&lt;&gt;"",T621&lt;&gt;""),IF(C621=WOCHE!$B$3,1,0),0)</f>
        <v/>
      </c>
      <c r="X621">
        <f>N(X620)+IF(AND(V621&lt;&gt;"",T621&lt;&gt;""),IF(V621=MONAT!$AZ$3,1,0),0)</f>
        <v/>
      </c>
    </row>
    <row r="622">
      <c r="A622" s="19" t="n"/>
      <c r="B622" s="20">
        <f>IF(A622="","",CHOOSE(WEEKDAY(A622,2),"Mo","Di","Mi","Do","Fr","Sa","So"))</f>
        <v/>
      </c>
      <c r="C622" s="20">
        <f>IF(A622="","",INT((A622-DATE(YEAR(A622-WEEKDAY(A622-1)+4),1,3)+WEEKDAY(DATE(YEAR(A622-WEEKDAY(A622-1)+4),1,3))+5)/7))</f>
        <v/>
      </c>
      <c r="D622" s="21" t="n"/>
      <c r="E622" s="22" t="n"/>
      <c r="F622" s="23" t="n"/>
      <c r="G622" s="23" t="n"/>
      <c r="H622" s="23" t="n"/>
      <c r="I622" s="20">
        <f>IF(COUNT(F622:H622)=0,"",SUM(F622:H622))</f>
        <v/>
      </c>
      <c r="J622" s="23" t="n"/>
      <c r="K622" s="23" t="n"/>
      <c r="L622" s="23" t="n"/>
      <c r="M622" s="23" t="n"/>
      <c r="N622" s="23" t="n"/>
      <c r="O622" s="20">
        <f>IF(OR(I622="",COUNT(J622:N622)=0),"",IF(SUM(J622:N622)=I622,"✓","⚠ "&amp;SUM(J622:N622)&amp;" statt "&amp;I622))</f>
        <v/>
      </c>
      <c r="P622" s="21" t="n"/>
      <c r="Q622" s="21" t="n"/>
      <c r="R622" s="21" t="n"/>
      <c r="S622" s="24" t="n"/>
      <c r="T622" s="24" t="n"/>
      <c r="V622">
        <f>IF(A622="","",MONTH(A622))</f>
        <v/>
      </c>
      <c r="W622">
        <f>N(W621)+IF(AND(C622&lt;&gt;"",T622&lt;&gt;""),IF(C622=WOCHE!$B$3,1,0),0)</f>
        <v/>
      </c>
      <c r="X622">
        <f>N(X621)+IF(AND(V622&lt;&gt;"",T622&lt;&gt;""),IF(V622=MONAT!$AZ$3,1,0),0)</f>
        <v/>
      </c>
    </row>
    <row r="623">
      <c r="A623" s="19" t="n"/>
      <c r="B623" s="20">
        <f>IF(A623="","",CHOOSE(WEEKDAY(A623,2),"Mo","Di","Mi","Do","Fr","Sa","So"))</f>
        <v/>
      </c>
      <c r="C623" s="20">
        <f>IF(A623="","",INT((A623-DATE(YEAR(A623-WEEKDAY(A623-1)+4),1,3)+WEEKDAY(DATE(YEAR(A623-WEEKDAY(A623-1)+4),1,3))+5)/7))</f>
        <v/>
      </c>
      <c r="D623" s="21" t="n"/>
      <c r="E623" s="22" t="n"/>
      <c r="F623" s="23" t="n"/>
      <c r="G623" s="23" t="n"/>
      <c r="H623" s="23" t="n"/>
      <c r="I623" s="20">
        <f>IF(COUNT(F623:H623)=0,"",SUM(F623:H623))</f>
        <v/>
      </c>
      <c r="J623" s="23" t="n"/>
      <c r="K623" s="23" t="n"/>
      <c r="L623" s="23" t="n"/>
      <c r="M623" s="23" t="n"/>
      <c r="N623" s="23" t="n"/>
      <c r="O623" s="20">
        <f>IF(OR(I623="",COUNT(J623:N623)=0),"",IF(SUM(J623:N623)=I623,"✓","⚠ "&amp;SUM(J623:N623)&amp;" statt "&amp;I623))</f>
        <v/>
      </c>
      <c r="P623" s="21" t="n"/>
      <c r="Q623" s="21" t="n"/>
      <c r="R623" s="21" t="n"/>
      <c r="S623" s="24" t="n"/>
      <c r="T623" s="24" t="n"/>
      <c r="V623">
        <f>IF(A623="","",MONTH(A623))</f>
        <v/>
      </c>
      <c r="W623">
        <f>N(W622)+IF(AND(C623&lt;&gt;"",T623&lt;&gt;""),IF(C623=WOCHE!$B$3,1,0),0)</f>
        <v/>
      </c>
      <c r="X623">
        <f>N(X622)+IF(AND(V623&lt;&gt;"",T623&lt;&gt;""),IF(V623=MONAT!$AZ$3,1,0),0)</f>
        <v/>
      </c>
    </row>
    <row r="624">
      <c r="A624" s="19" t="n"/>
      <c r="B624" s="20">
        <f>IF(A624="","",CHOOSE(WEEKDAY(A624,2),"Mo","Di","Mi","Do","Fr","Sa","So"))</f>
        <v/>
      </c>
      <c r="C624" s="20">
        <f>IF(A624="","",INT((A624-DATE(YEAR(A624-WEEKDAY(A624-1)+4),1,3)+WEEKDAY(DATE(YEAR(A624-WEEKDAY(A624-1)+4),1,3))+5)/7))</f>
        <v/>
      </c>
      <c r="D624" s="21" t="n"/>
      <c r="E624" s="22" t="n"/>
      <c r="F624" s="23" t="n"/>
      <c r="G624" s="23" t="n"/>
      <c r="H624" s="23" t="n"/>
      <c r="I624" s="20">
        <f>IF(COUNT(F624:H624)=0,"",SUM(F624:H624))</f>
        <v/>
      </c>
      <c r="J624" s="23" t="n"/>
      <c r="K624" s="23" t="n"/>
      <c r="L624" s="23" t="n"/>
      <c r="M624" s="23" t="n"/>
      <c r="N624" s="23" t="n"/>
      <c r="O624" s="20">
        <f>IF(OR(I624="",COUNT(J624:N624)=0),"",IF(SUM(J624:N624)=I624,"✓","⚠ "&amp;SUM(J624:N624)&amp;" statt "&amp;I624))</f>
        <v/>
      </c>
      <c r="P624" s="21" t="n"/>
      <c r="Q624" s="21" t="n"/>
      <c r="R624" s="21" t="n"/>
      <c r="S624" s="24" t="n"/>
      <c r="T624" s="24" t="n"/>
      <c r="V624">
        <f>IF(A624="","",MONTH(A624))</f>
        <v/>
      </c>
      <c r="W624">
        <f>N(W623)+IF(AND(C624&lt;&gt;"",T624&lt;&gt;""),IF(C624=WOCHE!$B$3,1,0),0)</f>
        <v/>
      </c>
      <c r="X624">
        <f>N(X623)+IF(AND(V624&lt;&gt;"",T624&lt;&gt;""),IF(V624=MONAT!$AZ$3,1,0),0)</f>
        <v/>
      </c>
    </row>
    <row r="625">
      <c r="A625" s="19" t="n"/>
      <c r="B625" s="20">
        <f>IF(A625="","",CHOOSE(WEEKDAY(A625,2),"Mo","Di","Mi","Do","Fr","Sa","So"))</f>
        <v/>
      </c>
      <c r="C625" s="20">
        <f>IF(A625="","",INT((A625-DATE(YEAR(A625-WEEKDAY(A625-1)+4),1,3)+WEEKDAY(DATE(YEAR(A625-WEEKDAY(A625-1)+4),1,3))+5)/7))</f>
        <v/>
      </c>
      <c r="D625" s="21" t="n"/>
      <c r="E625" s="22" t="n"/>
      <c r="F625" s="23" t="n"/>
      <c r="G625" s="23" t="n"/>
      <c r="H625" s="23" t="n"/>
      <c r="I625" s="20">
        <f>IF(COUNT(F625:H625)=0,"",SUM(F625:H625))</f>
        <v/>
      </c>
      <c r="J625" s="23" t="n"/>
      <c r="K625" s="23" t="n"/>
      <c r="L625" s="23" t="n"/>
      <c r="M625" s="23" t="n"/>
      <c r="N625" s="23" t="n"/>
      <c r="O625" s="20">
        <f>IF(OR(I625="",COUNT(J625:N625)=0),"",IF(SUM(J625:N625)=I625,"✓","⚠ "&amp;SUM(J625:N625)&amp;" statt "&amp;I625))</f>
        <v/>
      </c>
      <c r="P625" s="21" t="n"/>
      <c r="Q625" s="21" t="n"/>
      <c r="R625" s="21" t="n"/>
      <c r="S625" s="24" t="n"/>
      <c r="T625" s="24" t="n"/>
      <c r="V625">
        <f>IF(A625="","",MONTH(A625))</f>
        <v/>
      </c>
      <c r="W625">
        <f>N(W624)+IF(AND(C625&lt;&gt;"",T625&lt;&gt;""),IF(C625=WOCHE!$B$3,1,0),0)</f>
        <v/>
      </c>
      <c r="X625">
        <f>N(X624)+IF(AND(V625&lt;&gt;"",T625&lt;&gt;""),IF(V625=MONAT!$AZ$3,1,0),0)</f>
        <v/>
      </c>
    </row>
    <row r="626">
      <c r="A626" s="19" t="n"/>
      <c r="B626" s="20">
        <f>IF(A626="","",CHOOSE(WEEKDAY(A626,2),"Mo","Di","Mi","Do","Fr","Sa","So"))</f>
        <v/>
      </c>
      <c r="C626" s="20">
        <f>IF(A626="","",INT((A626-DATE(YEAR(A626-WEEKDAY(A626-1)+4),1,3)+WEEKDAY(DATE(YEAR(A626-WEEKDAY(A626-1)+4),1,3))+5)/7))</f>
        <v/>
      </c>
      <c r="D626" s="21" t="n"/>
      <c r="E626" s="22" t="n"/>
      <c r="F626" s="23" t="n"/>
      <c r="G626" s="23" t="n"/>
      <c r="H626" s="23" t="n"/>
      <c r="I626" s="20">
        <f>IF(COUNT(F626:H626)=0,"",SUM(F626:H626))</f>
        <v/>
      </c>
      <c r="J626" s="23" t="n"/>
      <c r="K626" s="23" t="n"/>
      <c r="L626" s="23" t="n"/>
      <c r="M626" s="23" t="n"/>
      <c r="N626" s="23" t="n"/>
      <c r="O626" s="20">
        <f>IF(OR(I626="",COUNT(J626:N626)=0),"",IF(SUM(J626:N626)=I626,"✓","⚠ "&amp;SUM(J626:N626)&amp;" statt "&amp;I626))</f>
        <v/>
      </c>
      <c r="P626" s="21" t="n"/>
      <c r="Q626" s="21" t="n"/>
      <c r="R626" s="21" t="n"/>
      <c r="S626" s="24" t="n"/>
      <c r="T626" s="24" t="n"/>
      <c r="V626">
        <f>IF(A626="","",MONTH(A626))</f>
        <v/>
      </c>
      <c r="W626">
        <f>N(W625)+IF(AND(C626&lt;&gt;"",T626&lt;&gt;""),IF(C626=WOCHE!$B$3,1,0),0)</f>
        <v/>
      </c>
      <c r="X626">
        <f>N(X625)+IF(AND(V626&lt;&gt;"",T626&lt;&gt;""),IF(V626=MONAT!$AZ$3,1,0),0)</f>
        <v/>
      </c>
    </row>
    <row r="627">
      <c r="A627" s="19" t="n"/>
      <c r="B627" s="20">
        <f>IF(A627="","",CHOOSE(WEEKDAY(A627,2),"Mo","Di","Mi","Do","Fr","Sa","So"))</f>
        <v/>
      </c>
      <c r="C627" s="20">
        <f>IF(A627="","",INT((A627-DATE(YEAR(A627-WEEKDAY(A627-1)+4),1,3)+WEEKDAY(DATE(YEAR(A627-WEEKDAY(A627-1)+4),1,3))+5)/7))</f>
        <v/>
      </c>
      <c r="D627" s="21" t="n"/>
      <c r="E627" s="22" t="n"/>
      <c r="F627" s="23" t="n"/>
      <c r="G627" s="23" t="n"/>
      <c r="H627" s="23" t="n"/>
      <c r="I627" s="20">
        <f>IF(COUNT(F627:H627)=0,"",SUM(F627:H627))</f>
        <v/>
      </c>
      <c r="J627" s="23" t="n"/>
      <c r="K627" s="23" t="n"/>
      <c r="L627" s="23" t="n"/>
      <c r="M627" s="23" t="n"/>
      <c r="N627" s="23" t="n"/>
      <c r="O627" s="20">
        <f>IF(OR(I627="",COUNT(J627:N627)=0),"",IF(SUM(J627:N627)=I627,"✓","⚠ "&amp;SUM(J627:N627)&amp;" statt "&amp;I627))</f>
        <v/>
      </c>
      <c r="P627" s="21" t="n"/>
      <c r="Q627" s="21" t="n"/>
      <c r="R627" s="21" t="n"/>
      <c r="S627" s="24" t="n"/>
      <c r="T627" s="24" t="n"/>
      <c r="V627">
        <f>IF(A627="","",MONTH(A627))</f>
        <v/>
      </c>
      <c r="W627">
        <f>N(W626)+IF(AND(C627&lt;&gt;"",T627&lt;&gt;""),IF(C627=WOCHE!$B$3,1,0),0)</f>
        <v/>
      </c>
      <c r="X627">
        <f>N(X626)+IF(AND(V627&lt;&gt;"",T627&lt;&gt;""),IF(V627=MONAT!$AZ$3,1,0),0)</f>
        <v/>
      </c>
    </row>
    <row r="628">
      <c r="A628" s="19" t="n"/>
      <c r="B628" s="20">
        <f>IF(A628="","",CHOOSE(WEEKDAY(A628,2),"Mo","Di","Mi","Do","Fr","Sa","So"))</f>
        <v/>
      </c>
      <c r="C628" s="20">
        <f>IF(A628="","",INT((A628-DATE(YEAR(A628-WEEKDAY(A628-1)+4),1,3)+WEEKDAY(DATE(YEAR(A628-WEEKDAY(A628-1)+4),1,3))+5)/7))</f>
        <v/>
      </c>
      <c r="D628" s="21" t="n"/>
      <c r="E628" s="22" t="n"/>
      <c r="F628" s="23" t="n"/>
      <c r="G628" s="23" t="n"/>
      <c r="H628" s="23" t="n"/>
      <c r="I628" s="20">
        <f>IF(COUNT(F628:H628)=0,"",SUM(F628:H628))</f>
        <v/>
      </c>
      <c r="J628" s="23" t="n"/>
      <c r="K628" s="23" t="n"/>
      <c r="L628" s="23" t="n"/>
      <c r="M628" s="23" t="n"/>
      <c r="N628" s="23" t="n"/>
      <c r="O628" s="20">
        <f>IF(OR(I628="",COUNT(J628:N628)=0),"",IF(SUM(J628:N628)=I628,"✓","⚠ "&amp;SUM(J628:N628)&amp;" statt "&amp;I628))</f>
        <v/>
      </c>
      <c r="P628" s="21" t="n"/>
      <c r="Q628" s="21" t="n"/>
      <c r="R628" s="21" t="n"/>
      <c r="S628" s="24" t="n"/>
      <c r="T628" s="24" t="n"/>
      <c r="V628">
        <f>IF(A628="","",MONTH(A628))</f>
        <v/>
      </c>
      <c r="W628">
        <f>N(W627)+IF(AND(C628&lt;&gt;"",T628&lt;&gt;""),IF(C628=WOCHE!$B$3,1,0),0)</f>
        <v/>
      </c>
      <c r="X628">
        <f>N(X627)+IF(AND(V628&lt;&gt;"",T628&lt;&gt;""),IF(V628=MONAT!$AZ$3,1,0),0)</f>
        <v/>
      </c>
    </row>
    <row r="629">
      <c r="A629" s="19" t="n"/>
      <c r="B629" s="20">
        <f>IF(A629="","",CHOOSE(WEEKDAY(A629,2),"Mo","Di","Mi","Do","Fr","Sa","So"))</f>
        <v/>
      </c>
      <c r="C629" s="20">
        <f>IF(A629="","",INT((A629-DATE(YEAR(A629-WEEKDAY(A629-1)+4),1,3)+WEEKDAY(DATE(YEAR(A629-WEEKDAY(A629-1)+4),1,3))+5)/7))</f>
        <v/>
      </c>
      <c r="D629" s="21" t="n"/>
      <c r="E629" s="22" t="n"/>
      <c r="F629" s="23" t="n"/>
      <c r="G629" s="23" t="n"/>
      <c r="H629" s="23" t="n"/>
      <c r="I629" s="20">
        <f>IF(COUNT(F629:H629)=0,"",SUM(F629:H629))</f>
        <v/>
      </c>
      <c r="J629" s="23" t="n"/>
      <c r="K629" s="23" t="n"/>
      <c r="L629" s="23" t="n"/>
      <c r="M629" s="23" t="n"/>
      <c r="N629" s="23" t="n"/>
      <c r="O629" s="20">
        <f>IF(OR(I629="",COUNT(J629:N629)=0),"",IF(SUM(J629:N629)=I629,"✓","⚠ "&amp;SUM(J629:N629)&amp;" statt "&amp;I629))</f>
        <v/>
      </c>
      <c r="P629" s="21" t="n"/>
      <c r="Q629" s="21" t="n"/>
      <c r="R629" s="21" t="n"/>
      <c r="S629" s="24" t="n"/>
      <c r="T629" s="24" t="n"/>
      <c r="V629">
        <f>IF(A629="","",MONTH(A629))</f>
        <v/>
      </c>
      <c r="W629">
        <f>N(W628)+IF(AND(C629&lt;&gt;"",T629&lt;&gt;""),IF(C629=WOCHE!$B$3,1,0),0)</f>
        <v/>
      </c>
      <c r="X629">
        <f>N(X628)+IF(AND(V629&lt;&gt;"",T629&lt;&gt;""),IF(V629=MONAT!$AZ$3,1,0),0)</f>
        <v/>
      </c>
    </row>
    <row r="630">
      <c r="A630" s="19" t="n"/>
      <c r="B630" s="20">
        <f>IF(A630="","",CHOOSE(WEEKDAY(A630,2),"Mo","Di","Mi","Do","Fr","Sa","So"))</f>
        <v/>
      </c>
      <c r="C630" s="20">
        <f>IF(A630="","",INT((A630-DATE(YEAR(A630-WEEKDAY(A630-1)+4),1,3)+WEEKDAY(DATE(YEAR(A630-WEEKDAY(A630-1)+4),1,3))+5)/7))</f>
        <v/>
      </c>
      <c r="D630" s="21" t="n"/>
      <c r="E630" s="22" t="n"/>
      <c r="F630" s="23" t="n"/>
      <c r="G630" s="23" t="n"/>
      <c r="H630" s="23" t="n"/>
      <c r="I630" s="20">
        <f>IF(COUNT(F630:H630)=0,"",SUM(F630:H630))</f>
        <v/>
      </c>
      <c r="J630" s="23" t="n"/>
      <c r="K630" s="23" t="n"/>
      <c r="L630" s="23" t="n"/>
      <c r="M630" s="23" t="n"/>
      <c r="N630" s="23" t="n"/>
      <c r="O630" s="20">
        <f>IF(OR(I630="",COUNT(J630:N630)=0),"",IF(SUM(J630:N630)=I630,"✓","⚠ "&amp;SUM(J630:N630)&amp;" statt "&amp;I630))</f>
        <v/>
      </c>
      <c r="P630" s="21" t="n"/>
      <c r="Q630" s="21" t="n"/>
      <c r="R630" s="21" t="n"/>
      <c r="S630" s="24" t="n"/>
      <c r="T630" s="24" t="n"/>
      <c r="V630">
        <f>IF(A630="","",MONTH(A630))</f>
        <v/>
      </c>
      <c r="W630">
        <f>N(W629)+IF(AND(C630&lt;&gt;"",T630&lt;&gt;""),IF(C630=WOCHE!$B$3,1,0),0)</f>
        <v/>
      </c>
      <c r="X630">
        <f>N(X629)+IF(AND(V630&lt;&gt;"",T630&lt;&gt;""),IF(V630=MONAT!$AZ$3,1,0),0)</f>
        <v/>
      </c>
    </row>
    <row r="631">
      <c r="A631" s="19" t="n"/>
      <c r="B631" s="20">
        <f>IF(A631="","",CHOOSE(WEEKDAY(A631,2),"Mo","Di","Mi","Do","Fr","Sa","So"))</f>
        <v/>
      </c>
      <c r="C631" s="20">
        <f>IF(A631="","",INT((A631-DATE(YEAR(A631-WEEKDAY(A631-1)+4),1,3)+WEEKDAY(DATE(YEAR(A631-WEEKDAY(A631-1)+4),1,3))+5)/7))</f>
        <v/>
      </c>
      <c r="D631" s="21" t="n"/>
      <c r="E631" s="22" t="n"/>
      <c r="F631" s="23" t="n"/>
      <c r="G631" s="23" t="n"/>
      <c r="H631" s="23" t="n"/>
      <c r="I631" s="20">
        <f>IF(COUNT(F631:H631)=0,"",SUM(F631:H631))</f>
        <v/>
      </c>
      <c r="J631" s="23" t="n"/>
      <c r="K631" s="23" t="n"/>
      <c r="L631" s="23" t="n"/>
      <c r="M631" s="23" t="n"/>
      <c r="N631" s="23" t="n"/>
      <c r="O631" s="20">
        <f>IF(OR(I631="",COUNT(J631:N631)=0),"",IF(SUM(J631:N631)=I631,"✓","⚠ "&amp;SUM(J631:N631)&amp;" statt "&amp;I631))</f>
        <v/>
      </c>
      <c r="P631" s="21" t="n"/>
      <c r="Q631" s="21" t="n"/>
      <c r="R631" s="21" t="n"/>
      <c r="S631" s="24" t="n"/>
      <c r="T631" s="24" t="n"/>
      <c r="V631">
        <f>IF(A631="","",MONTH(A631))</f>
        <v/>
      </c>
      <c r="W631">
        <f>N(W630)+IF(AND(C631&lt;&gt;"",T631&lt;&gt;""),IF(C631=WOCHE!$B$3,1,0),0)</f>
        <v/>
      </c>
      <c r="X631">
        <f>N(X630)+IF(AND(V631&lt;&gt;"",T631&lt;&gt;""),IF(V631=MONAT!$AZ$3,1,0),0)</f>
        <v/>
      </c>
    </row>
    <row r="632">
      <c r="A632" s="19" t="n"/>
      <c r="B632" s="20">
        <f>IF(A632="","",CHOOSE(WEEKDAY(A632,2),"Mo","Di","Mi","Do","Fr","Sa","So"))</f>
        <v/>
      </c>
      <c r="C632" s="20">
        <f>IF(A632="","",INT((A632-DATE(YEAR(A632-WEEKDAY(A632-1)+4),1,3)+WEEKDAY(DATE(YEAR(A632-WEEKDAY(A632-1)+4),1,3))+5)/7))</f>
        <v/>
      </c>
      <c r="D632" s="21" t="n"/>
      <c r="E632" s="22" t="n"/>
      <c r="F632" s="23" t="n"/>
      <c r="G632" s="23" t="n"/>
      <c r="H632" s="23" t="n"/>
      <c r="I632" s="20">
        <f>IF(COUNT(F632:H632)=0,"",SUM(F632:H632))</f>
        <v/>
      </c>
      <c r="J632" s="23" t="n"/>
      <c r="K632" s="23" t="n"/>
      <c r="L632" s="23" t="n"/>
      <c r="M632" s="23" t="n"/>
      <c r="N632" s="23" t="n"/>
      <c r="O632" s="20">
        <f>IF(OR(I632="",COUNT(J632:N632)=0),"",IF(SUM(J632:N632)=I632,"✓","⚠ "&amp;SUM(J632:N632)&amp;" statt "&amp;I632))</f>
        <v/>
      </c>
      <c r="P632" s="21" t="n"/>
      <c r="Q632" s="21" t="n"/>
      <c r="R632" s="21" t="n"/>
      <c r="S632" s="24" t="n"/>
      <c r="T632" s="24" t="n"/>
      <c r="V632">
        <f>IF(A632="","",MONTH(A632))</f>
        <v/>
      </c>
      <c r="W632">
        <f>N(W631)+IF(AND(C632&lt;&gt;"",T632&lt;&gt;""),IF(C632=WOCHE!$B$3,1,0),0)</f>
        <v/>
      </c>
      <c r="X632">
        <f>N(X631)+IF(AND(V632&lt;&gt;"",T632&lt;&gt;""),IF(V632=MONAT!$AZ$3,1,0),0)</f>
        <v/>
      </c>
    </row>
    <row r="633">
      <c r="A633" s="19" t="n"/>
      <c r="B633" s="20">
        <f>IF(A633="","",CHOOSE(WEEKDAY(A633,2),"Mo","Di","Mi","Do","Fr","Sa","So"))</f>
        <v/>
      </c>
      <c r="C633" s="20">
        <f>IF(A633="","",INT((A633-DATE(YEAR(A633-WEEKDAY(A633-1)+4),1,3)+WEEKDAY(DATE(YEAR(A633-WEEKDAY(A633-1)+4),1,3))+5)/7))</f>
        <v/>
      </c>
      <c r="D633" s="21" t="n"/>
      <c r="E633" s="22" t="n"/>
      <c r="F633" s="23" t="n"/>
      <c r="G633" s="23" t="n"/>
      <c r="H633" s="23" t="n"/>
      <c r="I633" s="20">
        <f>IF(COUNT(F633:H633)=0,"",SUM(F633:H633))</f>
        <v/>
      </c>
      <c r="J633" s="23" t="n"/>
      <c r="K633" s="23" t="n"/>
      <c r="L633" s="23" t="n"/>
      <c r="M633" s="23" t="n"/>
      <c r="N633" s="23" t="n"/>
      <c r="O633" s="20">
        <f>IF(OR(I633="",COUNT(J633:N633)=0),"",IF(SUM(J633:N633)=I633,"✓","⚠ "&amp;SUM(J633:N633)&amp;" statt "&amp;I633))</f>
        <v/>
      </c>
      <c r="P633" s="21" t="n"/>
      <c r="Q633" s="21" t="n"/>
      <c r="R633" s="21" t="n"/>
      <c r="S633" s="24" t="n"/>
      <c r="T633" s="24" t="n"/>
      <c r="V633">
        <f>IF(A633="","",MONTH(A633))</f>
        <v/>
      </c>
      <c r="W633">
        <f>N(W632)+IF(AND(C633&lt;&gt;"",T633&lt;&gt;""),IF(C633=WOCHE!$B$3,1,0),0)</f>
        <v/>
      </c>
      <c r="X633">
        <f>N(X632)+IF(AND(V633&lt;&gt;"",T633&lt;&gt;""),IF(V633=MONAT!$AZ$3,1,0),0)</f>
        <v/>
      </c>
    </row>
    <row r="634">
      <c r="A634" s="19" t="n"/>
      <c r="B634" s="20">
        <f>IF(A634="","",CHOOSE(WEEKDAY(A634,2),"Mo","Di","Mi","Do","Fr","Sa","So"))</f>
        <v/>
      </c>
      <c r="C634" s="20">
        <f>IF(A634="","",INT((A634-DATE(YEAR(A634-WEEKDAY(A634-1)+4),1,3)+WEEKDAY(DATE(YEAR(A634-WEEKDAY(A634-1)+4),1,3))+5)/7))</f>
        <v/>
      </c>
      <c r="D634" s="21" t="n"/>
      <c r="E634" s="22" t="n"/>
      <c r="F634" s="23" t="n"/>
      <c r="G634" s="23" t="n"/>
      <c r="H634" s="23" t="n"/>
      <c r="I634" s="20">
        <f>IF(COUNT(F634:H634)=0,"",SUM(F634:H634))</f>
        <v/>
      </c>
      <c r="J634" s="23" t="n"/>
      <c r="K634" s="23" t="n"/>
      <c r="L634" s="23" t="n"/>
      <c r="M634" s="23" t="n"/>
      <c r="N634" s="23" t="n"/>
      <c r="O634" s="20">
        <f>IF(OR(I634="",COUNT(J634:N634)=0),"",IF(SUM(J634:N634)=I634,"✓","⚠ "&amp;SUM(J634:N634)&amp;" statt "&amp;I634))</f>
        <v/>
      </c>
      <c r="P634" s="21" t="n"/>
      <c r="Q634" s="21" t="n"/>
      <c r="R634" s="21" t="n"/>
      <c r="S634" s="24" t="n"/>
      <c r="T634" s="24" t="n"/>
      <c r="V634">
        <f>IF(A634="","",MONTH(A634))</f>
        <v/>
      </c>
      <c r="W634">
        <f>N(W633)+IF(AND(C634&lt;&gt;"",T634&lt;&gt;""),IF(C634=WOCHE!$B$3,1,0),0)</f>
        <v/>
      </c>
      <c r="X634">
        <f>N(X633)+IF(AND(V634&lt;&gt;"",T634&lt;&gt;""),IF(V634=MONAT!$AZ$3,1,0),0)</f>
        <v/>
      </c>
    </row>
    <row r="635">
      <c r="A635" s="19" t="n"/>
      <c r="B635" s="20">
        <f>IF(A635="","",CHOOSE(WEEKDAY(A635,2),"Mo","Di","Mi","Do","Fr","Sa","So"))</f>
        <v/>
      </c>
      <c r="C635" s="20">
        <f>IF(A635="","",INT((A635-DATE(YEAR(A635-WEEKDAY(A635-1)+4),1,3)+WEEKDAY(DATE(YEAR(A635-WEEKDAY(A635-1)+4),1,3))+5)/7))</f>
        <v/>
      </c>
      <c r="D635" s="21" t="n"/>
      <c r="E635" s="22" t="n"/>
      <c r="F635" s="23" t="n"/>
      <c r="G635" s="23" t="n"/>
      <c r="H635" s="23" t="n"/>
      <c r="I635" s="20">
        <f>IF(COUNT(F635:H635)=0,"",SUM(F635:H635))</f>
        <v/>
      </c>
      <c r="J635" s="23" t="n"/>
      <c r="K635" s="23" t="n"/>
      <c r="L635" s="23" t="n"/>
      <c r="M635" s="23" t="n"/>
      <c r="N635" s="23" t="n"/>
      <c r="O635" s="20">
        <f>IF(OR(I635="",COUNT(J635:N635)=0),"",IF(SUM(J635:N635)=I635,"✓","⚠ "&amp;SUM(J635:N635)&amp;" statt "&amp;I635))</f>
        <v/>
      </c>
      <c r="P635" s="21" t="n"/>
      <c r="Q635" s="21" t="n"/>
      <c r="R635" s="21" t="n"/>
      <c r="S635" s="24" t="n"/>
      <c r="T635" s="24" t="n"/>
      <c r="V635">
        <f>IF(A635="","",MONTH(A635))</f>
        <v/>
      </c>
      <c r="W635">
        <f>N(W634)+IF(AND(C635&lt;&gt;"",T635&lt;&gt;""),IF(C635=WOCHE!$B$3,1,0),0)</f>
        <v/>
      </c>
      <c r="X635">
        <f>N(X634)+IF(AND(V635&lt;&gt;"",T635&lt;&gt;""),IF(V635=MONAT!$AZ$3,1,0),0)</f>
        <v/>
      </c>
    </row>
    <row r="636">
      <c r="A636" s="19" t="n"/>
      <c r="B636" s="20">
        <f>IF(A636="","",CHOOSE(WEEKDAY(A636,2),"Mo","Di","Mi","Do","Fr","Sa","So"))</f>
        <v/>
      </c>
      <c r="C636" s="20">
        <f>IF(A636="","",INT((A636-DATE(YEAR(A636-WEEKDAY(A636-1)+4),1,3)+WEEKDAY(DATE(YEAR(A636-WEEKDAY(A636-1)+4),1,3))+5)/7))</f>
        <v/>
      </c>
      <c r="D636" s="21" t="n"/>
      <c r="E636" s="22" t="n"/>
      <c r="F636" s="23" t="n"/>
      <c r="G636" s="23" t="n"/>
      <c r="H636" s="23" t="n"/>
      <c r="I636" s="20">
        <f>IF(COUNT(F636:H636)=0,"",SUM(F636:H636))</f>
        <v/>
      </c>
      <c r="J636" s="23" t="n"/>
      <c r="K636" s="23" t="n"/>
      <c r="L636" s="23" t="n"/>
      <c r="M636" s="23" t="n"/>
      <c r="N636" s="23" t="n"/>
      <c r="O636" s="20">
        <f>IF(OR(I636="",COUNT(J636:N636)=0),"",IF(SUM(J636:N636)=I636,"✓","⚠ "&amp;SUM(J636:N636)&amp;" statt "&amp;I636))</f>
        <v/>
      </c>
      <c r="P636" s="21" t="n"/>
      <c r="Q636" s="21" t="n"/>
      <c r="R636" s="21" t="n"/>
      <c r="S636" s="24" t="n"/>
      <c r="T636" s="24" t="n"/>
      <c r="V636">
        <f>IF(A636="","",MONTH(A636))</f>
        <v/>
      </c>
      <c r="W636">
        <f>N(W635)+IF(AND(C636&lt;&gt;"",T636&lt;&gt;""),IF(C636=WOCHE!$B$3,1,0),0)</f>
        <v/>
      </c>
      <c r="X636">
        <f>N(X635)+IF(AND(V636&lt;&gt;"",T636&lt;&gt;""),IF(V636=MONAT!$AZ$3,1,0),0)</f>
        <v/>
      </c>
    </row>
    <row r="637">
      <c r="A637" s="19" t="n"/>
      <c r="B637" s="20">
        <f>IF(A637="","",CHOOSE(WEEKDAY(A637,2),"Mo","Di","Mi","Do","Fr","Sa","So"))</f>
        <v/>
      </c>
      <c r="C637" s="20">
        <f>IF(A637="","",INT((A637-DATE(YEAR(A637-WEEKDAY(A637-1)+4),1,3)+WEEKDAY(DATE(YEAR(A637-WEEKDAY(A637-1)+4),1,3))+5)/7))</f>
        <v/>
      </c>
      <c r="D637" s="21" t="n"/>
      <c r="E637" s="22" t="n"/>
      <c r="F637" s="23" t="n"/>
      <c r="G637" s="23" t="n"/>
      <c r="H637" s="23" t="n"/>
      <c r="I637" s="20">
        <f>IF(COUNT(F637:H637)=0,"",SUM(F637:H637))</f>
        <v/>
      </c>
      <c r="J637" s="23" t="n"/>
      <c r="K637" s="23" t="n"/>
      <c r="L637" s="23" t="n"/>
      <c r="M637" s="23" t="n"/>
      <c r="N637" s="23" t="n"/>
      <c r="O637" s="20">
        <f>IF(OR(I637="",COUNT(J637:N637)=0),"",IF(SUM(J637:N637)=I637,"✓","⚠ "&amp;SUM(J637:N637)&amp;" statt "&amp;I637))</f>
        <v/>
      </c>
      <c r="P637" s="21" t="n"/>
      <c r="Q637" s="21" t="n"/>
      <c r="R637" s="21" t="n"/>
      <c r="S637" s="24" t="n"/>
      <c r="T637" s="24" t="n"/>
      <c r="V637">
        <f>IF(A637="","",MONTH(A637))</f>
        <v/>
      </c>
      <c r="W637">
        <f>N(W636)+IF(AND(C637&lt;&gt;"",T637&lt;&gt;""),IF(C637=WOCHE!$B$3,1,0),0)</f>
        <v/>
      </c>
      <c r="X637">
        <f>N(X636)+IF(AND(V637&lt;&gt;"",T637&lt;&gt;""),IF(V637=MONAT!$AZ$3,1,0),0)</f>
        <v/>
      </c>
    </row>
    <row r="638">
      <c r="A638" s="19" t="n"/>
      <c r="B638" s="20">
        <f>IF(A638="","",CHOOSE(WEEKDAY(A638,2),"Mo","Di","Mi","Do","Fr","Sa","So"))</f>
        <v/>
      </c>
      <c r="C638" s="20">
        <f>IF(A638="","",INT((A638-DATE(YEAR(A638-WEEKDAY(A638-1)+4),1,3)+WEEKDAY(DATE(YEAR(A638-WEEKDAY(A638-1)+4),1,3))+5)/7))</f>
        <v/>
      </c>
      <c r="D638" s="21" t="n"/>
      <c r="E638" s="22" t="n"/>
      <c r="F638" s="23" t="n"/>
      <c r="G638" s="23" t="n"/>
      <c r="H638" s="23" t="n"/>
      <c r="I638" s="20">
        <f>IF(COUNT(F638:H638)=0,"",SUM(F638:H638))</f>
        <v/>
      </c>
      <c r="J638" s="23" t="n"/>
      <c r="K638" s="23" t="n"/>
      <c r="L638" s="23" t="n"/>
      <c r="M638" s="23" t="n"/>
      <c r="N638" s="23" t="n"/>
      <c r="O638" s="20">
        <f>IF(OR(I638="",COUNT(J638:N638)=0),"",IF(SUM(J638:N638)=I638,"✓","⚠ "&amp;SUM(J638:N638)&amp;" statt "&amp;I638))</f>
        <v/>
      </c>
      <c r="P638" s="21" t="n"/>
      <c r="Q638" s="21" t="n"/>
      <c r="R638" s="21" t="n"/>
      <c r="S638" s="24" t="n"/>
      <c r="T638" s="24" t="n"/>
      <c r="V638">
        <f>IF(A638="","",MONTH(A638))</f>
        <v/>
      </c>
      <c r="W638">
        <f>N(W637)+IF(AND(C638&lt;&gt;"",T638&lt;&gt;""),IF(C638=WOCHE!$B$3,1,0),0)</f>
        <v/>
      </c>
      <c r="X638">
        <f>N(X637)+IF(AND(V638&lt;&gt;"",T638&lt;&gt;""),IF(V638=MONAT!$AZ$3,1,0),0)</f>
        <v/>
      </c>
    </row>
    <row r="639">
      <c r="A639" s="19" t="n"/>
      <c r="B639" s="20">
        <f>IF(A639="","",CHOOSE(WEEKDAY(A639,2),"Mo","Di","Mi","Do","Fr","Sa","So"))</f>
        <v/>
      </c>
      <c r="C639" s="20">
        <f>IF(A639="","",INT((A639-DATE(YEAR(A639-WEEKDAY(A639-1)+4),1,3)+WEEKDAY(DATE(YEAR(A639-WEEKDAY(A639-1)+4),1,3))+5)/7))</f>
        <v/>
      </c>
      <c r="D639" s="21" t="n"/>
      <c r="E639" s="22" t="n"/>
      <c r="F639" s="23" t="n"/>
      <c r="G639" s="23" t="n"/>
      <c r="H639" s="23" t="n"/>
      <c r="I639" s="20">
        <f>IF(COUNT(F639:H639)=0,"",SUM(F639:H639))</f>
        <v/>
      </c>
      <c r="J639" s="23" t="n"/>
      <c r="K639" s="23" t="n"/>
      <c r="L639" s="23" t="n"/>
      <c r="M639" s="23" t="n"/>
      <c r="N639" s="23" t="n"/>
      <c r="O639" s="20">
        <f>IF(OR(I639="",COUNT(J639:N639)=0),"",IF(SUM(J639:N639)=I639,"✓","⚠ "&amp;SUM(J639:N639)&amp;" statt "&amp;I639))</f>
        <v/>
      </c>
      <c r="P639" s="21" t="n"/>
      <c r="Q639" s="21" t="n"/>
      <c r="R639" s="21" t="n"/>
      <c r="S639" s="24" t="n"/>
      <c r="T639" s="24" t="n"/>
      <c r="V639">
        <f>IF(A639="","",MONTH(A639))</f>
        <v/>
      </c>
      <c r="W639">
        <f>N(W638)+IF(AND(C639&lt;&gt;"",T639&lt;&gt;""),IF(C639=WOCHE!$B$3,1,0),0)</f>
        <v/>
      </c>
      <c r="X639">
        <f>N(X638)+IF(AND(V639&lt;&gt;"",T639&lt;&gt;""),IF(V639=MONAT!$AZ$3,1,0),0)</f>
        <v/>
      </c>
    </row>
    <row r="640">
      <c r="A640" s="19" t="n"/>
      <c r="B640" s="20">
        <f>IF(A640="","",CHOOSE(WEEKDAY(A640,2),"Mo","Di","Mi","Do","Fr","Sa","So"))</f>
        <v/>
      </c>
      <c r="C640" s="20">
        <f>IF(A640="","",INT((A640-DATE(YEAR(A640-WEEKDAY(A640-1)+4),1,3)+WEEKDAY(DATE(YEAR(A640-WEEKDAY(A640-1)+4),1,3))+5)/7))</f>
        <v/>
      </c>
      <c r="D640" s="21" t="n"/>
      <c r="E640" s="22" t="n"/>
      <c r="F640" s="23" t="n"/>
      <c r="G640" s="23" t="n"/>
      <c r="H640" s="23" t="n"/>
      <c r="I640" s="20">
        <f>IF(COUNT(F640:H640)=0,"",SUM(F640:H640))</f>
        <v/>
      </c>
      <c r="J640" s="23" t="n"/>
      <c r="K640" s="23" t="n"/>
      <c r="L640" s="23" t="n"/>
      <c r="M640" s="23" t="n"/>
      <c r="N640" s="23" t="n"/>
      <c r="O640" s="20">
        <f>IF(OR(I640="",COUNT(J640:N640)=0),"",IF(SUM(J640:N640)=I640,"✓","⚠ "&amp;SUM(J640:N640)&amp;" statt "&amp;I640))</f>
        <v/>
      </c>
      <c r="P640" s="21" t="n"/>
      <c r="Q640" s="21" t="n"/>
      <c r="R640" s="21" t="n"/>
      <c r="S640" s="24" t="n"/>
      <c r="T640" s="24" t="n"/>
      <c r="V640">
        <f>IF(A640="","",MONTH(A640))</f>
        <v/>
      </c>
      <c r="W640">
        <f>N(W639)+IF(AND(C640&lt;&gt;"",T640&lt;&gt;""),IF(C640=WOCHE!$B$3,1,0),0)</f>
        <v/>
      </c>
      <c r="X640">
        <f>N(X639)+IF(AND(V640&lt;&gt;"",T640&lt;&gt;""),IF(V640=MONAT!$AZ$3,1,0),0)</f>
        <v/>
      </c>
    </row>
    <row r="641">
      <c r="A641" s="19" t="n"/>
      <c r="B641" s="20">
        <f>IF(A641="","",CHOOSE(WEEKDAY(A641,2),"Mo","Di","Mi","Do","Fr","Sa","So"))</f>
        <v/>
      </c>
      <c r="C641" s="20">
        <f>IF(A641="","",INT((A641-DATE(YEAR(A641-WEEKDAY(A641-1)+4),1,3)+WEEKDAY(DATE(YEAR(A641-WEEKDAY(A641-1)+4),1,3))+5)/7))</f>
        <v/>
      </c>
      <c r="D641" s="21" t="n"/>
      <c r="E641" s="22" t="n"/>
      <c r="F641" s="23" t="n"/>
      <c r="G641" s="23" t="n"/>
      <c r="H641" s="23" t="n"/>
      <c r="I641" s="20">
        <f>IF(COUNT(F641:H641)=0,"",SUM(F641:H641))</f>
        <v/>
      </c>
      <c r="J641" s="23" t="n"/>
      <c r="K641" s="23" t="n"/>
      <c r="L641" s="23" t="n"/>
      <c r="M641" s="23" t="n"/>
      <c r="N641" s="23" t="n"/>
      <c r="O641" s="20">
        <f>IF(OR(I641="",COUNT(J641:N641)=0),"",IF(SUM(J641:N641)=I641,"✓","⚠ "&amp;SUM(J641:N641)&amp;" statt "&amp;I641))</f>
        <v/>
      </c>
      <c r="P641" s="21" t="n"/>
      <c r="Q641" s="21" t="n"/>
      <c r="R641" s="21" t="n"/>
      <c r="S641" s="24" t="n"/>
      <c r="T641" s="24" t="n"/>
      <c r="V641">
        <f>IF(A641="","",MONTH(A641))</f>
        <v/>
      </c>
      <c r="W641">
        <f>N(W640)+IF(AND(C641&lt;&gt;"",T641&lt;&gt;""),IF(C641=WOCHE!$B$3,1,0),0)</f>
        <v/>
      </c>
      <c r="X641">
        <f>N(X640)+IF(AND(V641&lt;&gt;"",T641&lt;&gt;""),IF(V641=MONAT!$AZ$3,1,0),0)</f>
        <v/>
      </c>
    </row>
    <row r="642">
      <c r="A642" s="19" t="n"/>
      <c r="B642" s="20">
        <f>IF(A642="","",CHOOSE(WEEKDAY(A642,2),"Mo","Di","Mi","Do","Fr","Sa","So"))</f>
        <v/>
      </c>
      <c r="C642" s="20">
        <f>IF(A642="","",INT((A642-DATE(YEAR(A642-WEEKDAY(A642-1)+4),1,3)+WEEKDAY(DATE(YEAR(A642-WEEKDAY(A642-1)+4),1,3))+5)/7))</f>
        <v/>
      </c>
      <c r="D642" s="21" t="n"/>
      <c r="E642" s="22" t="n"/>
      <c r="F642" s="23" t="n"/>
      <c r="G642" s="23" t="n"/>
      <c r="H642" s="23" t="n"/>
      <c r="I642" s="20">
        <f>IF(COUNT(F642:H642)=0,"",SUM(F642:H642))</f>
        <v/>
      </c>
      <c r="J642" s="23" t="n"/>
      <c r="K642" s="23" t="n"/>
      <c r="L642" s="23" t="n"/>
      <c r="M642" s="23" t="n"/>
      <c r="N642" s="23" t="n"/>
      <c r="O642" s="20">
        <f>IF(OR(I642="",COUNT(J642:N642)=0),"",IF(SUM(J642:N642)=I642,"✓","⚠ "&amp;SUM(J642:N642)&amp;" statt "&amp;I642))</f>
        <v/>
      </c>
      <c r="P642" s="21" t="n"/>
      <c r="Q642" s="21" t="n"/>
      <c r="R642" s="21" t="n"/>
      <c r="S642" s="24" t="n"/>
      <c r="T642" s="24" t="n"/>
      <c r="V642">
        <f>IF(A642="","",MONTH(A642))</f>
        <v/>
      </c>
      <c r="W642">
        <f>N(W641)+IF(AND(C642&lt;&gt;"",T642&lt;&gt;""),IF(C642=WOCHE!$B$3,1,0),0)</f>
        <v/>
      </c>
      <c r="X642">
        <f>N(X641)+IF(AND(V642&lt;&gt;"",T642&lt;&gt;""),IF(V642=MONAT!$AZ$3,1,0),0)</f>
        <v/>
      </c>
    </row>
    <row r="643">
      <c r="A643" s="19" t="n"/>
      <c r="B643" s="20">
        <f>IF(A643="","",CHOOSE(WEEKDAY(A643,2),"Mo","Di","Mi","Do","Fr","Sa","So"))</f>
        <v/>
      </c>
      <c r="C643" s="20">
        <f>IF(A643="","",INT((A643-DATE(YEAR(A643-WEEKDAY(A643-1)+4),1,3)+WEEKDAY(DATE(YEAR(A643-WEEKDAY(A643-1)+4),1,3))+5)/7))</f>
        <v/>
      </c>
      <c r="D643" s="21" t="n"/>
      <c r="E643" s="22" t="n"/>
      <c r="F643" s="23" t="n"/>
      <c r="G643" s="23" t="n"/>
      <c r="H643" s="23" t="n"/>
      <c r="I643" s="20">
        <f>IF(COUNT(F643:H643)=0,"",SUM(F643:H643))</f>
        <v/>
      </c>
      <c r="J643" s="23" t="n"/>
      <c r="K643" s="23" t="n"/>
      <c r="L643" s="23" t="n"/>
      <c r="M643" s="23" t="n"/>
      <c r="N643" s="23" t="n"/>
      <c r="O643" s="20">
        <f>IF(OR(I643="",COUNT(J643:N643)=0),"",IF(SUM(J643:N643)=I643,"✓","⚠ "&amp;SUM(J643:N643)&amp;" statt "&amp;I643))</f>
        <v/>
      </c>
      <c r="P643" s="21" t="n"/>
      <c r="Q643" s="21" t="n"/>
      <c r="R643" s="21" t="n"/>
      <c r="S643" s="24" t="n"/>
      <c r="T643" s="24" t="n"/>
      <c r="V643">
        <f>IF(A643="","",MONTH(A643))</f>
        <v/>
      </c>
      <c r="W643">
        <f>N(W642)+IF(AND(C643&lt;&gt;"",T643&lt;&gt;""),IF(C643=WOCHE!$B$3,1,0),0)</f>
        <v/>
      </c>
      <c r="X643">
        <f>N(X642)+IF(AND(V643&lt;&gt;"",T643&lt;&gt;""),IF(V643=MONAT!$AZ$3,1,0),0)</f>
        <v/>
      </c>
    </row>
    <row r="644">
      <c r="A644" s="19" t="n"/>
      <c r="B644" s="20">
        <f>IF(A644="","",CHOOSE(WEEKDAY(A644,2),"Mo","Di","Mi","Do","Fr","Sa","So"))</f>
        <v/>
      </c>
      <c r="C644" s="20">
        <f>IF(A644="","",INT((A644-DATE(YEAR(A644-WEEKDAY(A644-1)+4),1,3)+WEEKDAY(DATE(YEAR(A644-WEEKDAY(A644-1)+4),1,3))+5)/7))</f>
        <v/>
      </c>
      <c r="D644" s="21" t="n"/>
      <c r="E644" s="22" t="n"/>
      <c r="F644" s="23" t="n"/>
      <c r="G644" s="23" t="n"/>
      <c r="H644" s="23" t="n"/>
      <c r="I644" s="20">
        <f>IF(COUNT(F644:H644)=0,"",SUM(F644:H644))</f>
        <v/>
      </c>
      <c r="J644" s="23" t="n"/>
      <c r="K644" s="23" t="n"/>
      <c r="L644" s="23" t="n"/>
      <c r="M644" s="23" t="n"/>
      <c r="N644" s="23" t="n"/>
      <c r="O644" s="20">
        <f>IF(OR(I644="",COUNT(J644:N644)=0),"",IF(SUM(J644:N644)=I644,"✓","⚠ "&amp;SUM(J644:N644)&amp;" statt "&amp;I644))</f>
        <v/>
      </c>
      <c r="P644" s="21" t="n"/>
      <c r="Q644" s="21" t="n"/>
      <c r="R644" s="21" t="n"/>
      <c r="S644" s="24" t="n"/>
      <c r="T644" s="24" t="n"/>
      <c r="V644">
        <f>IF(A644="","",MONTH(A644))</f>
        <v/>
      </c>
      <c r="W644">
        <f>N(W643)+IF(AND(C644&lt;&gt;"",T644&lt;&gt;""),IF(C644=WOCHE!$B$3,1,0),0)</f>
        <v/>
      </c>
      <c r="X644">
        <f>N(X643)+IF(AND(V644&lt;&gt;"",T644&lt;&gt;""),IF(V644=MONAT!$AZ$3,1,0),0)</f>
        <v/>
      </c>
    </row>
    <row r="645">
      <c r="A645" s="19" t="n"/>
      <c r="B645" s="20">
        <f>IF(A645="","",CHOOSE(WEEKDAY(A645,2),"Mo","Di","Mi","Do","Fr","Sa","So"))</f>
        <v/>
      </c>
      <c r="C645" s="20">
        <f>IF(A645="","",INT((A645-DATE(YEAR(A645-WEEKDAY(A645-1)+4),1,3)+WEEKDAY(DATE(YEAR(A645-WEEKDAY(A645-1)+4),1,3))+5)/7))</f>
        <v/>
      </c>
      <c r="D645" s="21" t="n"/>
      <c r="E645" s="22" t="n"/>
      <c r="F645" s="23" t="n"/>
      <c r="G645" s="23" t="n"/>
      <c r="H645" s="23" t="n"/>
      <c r="I645" s="20">
        <f>IF(COUNT(F645:H645)=0,"",SUM(F645:H645))</f>
        <v/>
      </c>
      <c r="J645" s="23" t="n"/>
      <c r="K645" s="23" t="n"/>
      <c r="L645" s="23" t="n"/>
      <c r="M645" s="23" t="n"/>
      <c r="N645" s="23" t="n"/>
      <c r="O645" s="20">
        <f>IF(OR(I645="",COUNT(J645:N645)=0),"",IF(SUM(J645:N645)=I645,"✓","⚠ "&amp;SUM(J645:N645)&amp;" statt "&amp;I645))</f>
        <v/>
      </c>
      <c r="P645" s="21" t="n"/>
      <c r="Q645" s="21" t="n"/>
      <c r="R645" s="21" t="n"/>
      <c r="S645" s="24" t="n"/>
      <c r="T645" s="24" t="n"/>
      <c r="V645">
        <f>IF(A645="","",MONTH(A645))</f>
        <v/>
      </c>
      <c r="W645">
        <f>N(W644)+IF(AND(C645&lt;&gt;"",T645&lt;&gt;""),IF(C645=WOCHE!$B$3,1,0),0)</f>
        <v/>
      </c>
      <c r="X645">
        <f>N(X644)+IF(AND(V645&lt;&gt;"",T645&lt;&gt;""),IF(V645=MONAT!$AZ$3,1,0),0)</f>
        <v/>
      </c>
    </row>
    <row r="646">
      <c r="A646" s="19" t="n"/>
      <c r="B646" s="20">
        <f>IF(A646="","",CHOOSE(WEEKDAY(A646,2),"Mo","Di","Mi","Do","Fr","Sa","So"))</f>
        <v/>
      </c>
      <c r="C646" s="20">
        <f>IF(A646="","",INT((A646-DATE(YEAR(A646-WEEKDAY(A646-1)+4),1,3)+WEEKDAY(DATE(YEAR(A646-WEEKDAY(A646-1)+4),1,3))+5)/7))</f>
        <v/>
      </c>
      <c r="D646" s="21" t="n"/>
      <c r="E646" s="22" t="n"/>
      <c r="F646" s="23" t="n"/>
      <c r="G646" s="23" t="n"/>
      <c r="H646" s="23" t="n"/>
      <c r="I646" s="20">
        <f>IF(COUNT(F646:H646)=0,"",SUM(F646:H646))</f>
        <v/>
      </c>
      <c r="J646" s="23" t="n"/>
      <c r="K646" s="23" t="n"/>
      <c r="L646" s="23" t="n"/>
      <c r="M646" s="23" t="n"/>
      <c r="N646" s="23" t="n"/>
      <c r="O646" s="20">
        <f>IF(OR(I646="",COUNT(J646:N646)=0),"",IF(SUM(J646:N646)=I646,"✓","⚠ "&amp;SUM(J646:N646)&amp;" statt "&amp;I646))</f>
        <v/>
      </c>
      <c r="P646" s="21" t="n"/>
      <c r="Q646" s="21" t="n"/>
      <c r="R646" s="21" t="n"/>
      <c r="S646" s="24" t="n"/>
      <c r="T646" s="24" t="n"/>
      <c r="V646">
        <f>IF(A646="","",MONTH(A646))</f>
        <v/>
      </c>
      <c r="W646">
        <f>N(W645)+IF(AND(C646&lt;&gt;"",T646&lt;&gt;""),IF(C646=WOCHE!$B$3,1,0),0)</f>
        <v/>
      </c>
      <c r="X646">
        <f>N(X645)+IF(AND(V646&lt;&gt;"",T646&lt;&gt;""),IF(V646=MONAT!$AZ$3,1,0),0)</f>
        <v/>
      </c>
    </row>
    <row r="647">
      <c r="A647" s="19" t="n"/>
      <c r="B647" s="20">
        <f>IF(A647="","",CHOOSE(WEEKDAY(A647,2),"Mo","Di","Mi","Do","Fr","Sa","So"))</f>
        <v/>
      </c>
      <c r="C647" s="20">
        <f>IF(A647="","",INT((A647-DATE(YEAR(A647-WEEKDAY(A647-1)+4),1,3)+WEEKDAY(DATE(YEAR(A647-WEEKDAY(A647-1)+4),1,3))+5)/7))</f>
        <v/>
      </c>
      <c r="D647" s="21" t="n"/>
      <c r="E647" s="22" t="n"/>
      <c r="F647" s="23" t="n"/>
      <c r="G647" s="23" t="n"/>
      <c r="H647" s="23" t="n"/>
      <c r="I647" s="20">
        <f>IF(COUNT(F647:H647)=0,"",SUM(F647:H647))</f>
        <v/>
      </c>
      <c r="J647" s="23" t="n"/>
      <c r="K647" s="23" t="n"/>
      <c r="L647" s="23" t="n"/>
      <c r="M647" s="23" t="n"/>
      <c r="N647" s="23" t="n"/>
      <c r="O647" s="20">
        <f>IF(OR(I647="",COUNT(J647:N647)=0),"",IF(SUM(J647:N647)=I647,"✓","⚠ "&amp;SUM(J647:N647)&amp;" statt "&amp;I647))</f>
        <v/>
      </c>
      <c r="P647" s="21" t="n"/>
      <c r="Q647" s="21" t="n"/>
      <c r="R647" s="21" t="n"/>
      <c r="S647" s="24" t="n"/>
      <c r="T647" s="24" t="n"/>
      <c r="V647">
        <f>IF(A647="","",MONTH(A647))</f>
        <v/>
      </c>
      <c r="W647">
        <f>N(W646)+IF(AND(C647&lt;&gt;"",T647&lt;&gt;""),IF(C647=WOCHE!$B$3,1,0),0)</f>
        <v/>
      </c>
      <c r="X647">
        <f>N(X646)+IF(AND(V647&lt;&gt;"",T647&lt;&gt;""),IF(V647=MONAT!$AZ$3,1,0),0)</f>
        <v/>
      </c>
    </row>
    <row r="648">
      <c r="A648" s="19" t="n"/>
      <c r="B648" s="20">
        <f>IF(A648="","",CHOOSE(WEEKDAY(A648,2),"Mo","Di","Mi","Do","Fr","Sa","So"))</f>
        <v/>
      </c>
      <c r="C648" s="20">
        <f>IF(A648="","",INT((A648-DATE(YEAR(A648-WEEKDAY(A648-1)+4),1,3)+WEEKDAY(DATE(YEAR(A648-WEEKDAY(A648-1)+4),1,3))+5)/7))</f>
        <v/>
      </c>
      <c r="D648" s="21" t="n"/>
      <c r="E648" s="22" t="n"/>
      <c r="F648" s="23" t="n"/>
      <c r="G648" s="23" t="n"/>
      <c r="H648" s="23" t="n"/>
      <c r="I648" s="20">
        <f>IF(COUNT(F648:H648)=0,"",SUM(F648:H648))</f>
        <v/>
      </c>
      <c r="J648" s="23" t="n"/>
      <c r="K648" s="23" t="n"/>
      <c r="L648" s="23" t="n"/>
      <c r="M648" s="23" t="n"/>
      <c r="N648" s="23" t="n"/>
      <c r="O648" s="20">
        <f>IF(OR(I648="",COUNT(J648:N648)=0),"",IF(SUM(J648:N648)=I648,"✓","⚠ "&amp;SUM(J648:N648)&amp;" statt "&amp;I648))</f>
        <v/>
      </c>
      <c r="P648" s="21" t="n"/>
      <c r="Q648" s="21" t="n"/>
      <c r="R648" s="21" t="n"/>
      <c r="S648" s="24" t="n"/>
      <c r="T648" s="24" t="n"/>
      <c r="V648">
        <f>IF(A648="","",MONTH(A648))</f>
        <v/>
      </c>
      <c r="W648">
        <f>N(W647)+IF(AND(C648&lt;&gt;"",T648&lt;&gt;""),IF(C648=WOCHE!$B$3,1,0),0)</f>
        <v/>
      </c>
      <c r="X648">
        <f>N(X647)+IF(AND(V648&lt;&gt;"",T648&lt;&gt;""),IF(V648=MONAT!$AZ$3,1,0),0)</f>
        <v/>
      </c>
    </row>
    <row r="649">
      <c r="A649" s="19" t="n"/>
      <c r="B649" s="20">
        <f>IF(A649="","",CHOOSE(WEEKDAY(A649,2),"Mo","Di","Mi","Do","Fr","Sa","So"))</f>
        <v/>
      </c>
      <c r="C649" s="20">
        <f>IF(A649="","",INT((A649-DATE(YEAR(A649-WEEKDAY(A649-1)+4),1,3)+WEEKDAY(DATE(YEAR(A649-WEEKDAY(A649-1)+4),1,3))+5)/7))</f>
        <v/>
      </c>
      <c r="D649" s="21" t="n"/>
      <c r="E649" s="22" t="n"/>
      <c r="F649" s="23" t="n"/>
      <c r="G649" s="23" t="n"/>
      <c r="H649" s="23" t="n"/>
      <c r="I649" s="20">
        <f>IF(COUNT(F649:H649)=0,"",SUM(F649:H649))</f>
        <v/>
      </c>
      <c r="J649" s="23" t="n"/>
      <c r="K649" s="23" t="n"/>
      <c r="L649" s="23" t="n"/>
      <c r="M649" s="23" t="n"/>
      <c r="N649" s="23" t="n"/>
      <c r="O649" s="20">
        <f>IF(OR(I649="",COUNT(J649:N649)=0),"",IF(SUM(J649:N649)=I649,"✓","⚠ "&amp;SUM(J649:N649)&amp;" statt "&amp;I649))</f>
        <v/>
      </c>
      <c r="P649" s="21" t="n"/>
      <c r="Q649" s="21" t="n"/>
      <c r="R649" s="21" t="n"/>
      <c r="S649" s="24" t="n"/>
      <c r="T649" s="24" t="n"/>
      <c r="V649">
        <f>IF(A649="","",MONTH(A649))</f>
        <v/>
      </c>
      <c r="W649">
        <f>N(W648)+IF(AND(C649&lt;&gt;"",T649&lt;&gt;""),IF(C649=WOCHE!$B$3,1,0),0)</f>
        <v/>
      </c>
      <c r="X649">
        <f>N(X648)+IF(AND(V649&lt;&gt;"",T649&lt;&gt;""),IF(V649=MONAT!$AZ$3,1,0),0)</f>
        <v/>
      </c>
    </row>
    <row r="650">
      <c r="A650" s="19" t="n"/>
      <c r="B650" s="20">
        <f>IF(A650="","",CHOOSE(WEEKDAY(A650,2),"Mo","Di","Mi","Do","Fr","Sa","So"))</f>
        <v/>
      </c>
      <c r="C650" s="20">
        <f>IF(A650="","",INT((A650-DATE(YEAR(A650-WEEKDAY(A650-1)+4),1,3)+WEEKDAY(DATE(YEAR(A650-WEEKDAY(A650-1)+4),1,3))+5)/7))</f>
        <v/>
      </c>
      <c r="D650" s="21" t="n"/>
      <c r="E650" s="22" t="n"/>
      <c r="F650" s="23" t="n"/>
      <c r="G650" s="23" t="n"/>
      <c r="H650" s="23" t="n"/>
      <c r="I650" s="20">
        <f>IF(COUNT(F650:H650)=0,"",SUM(F650:H650))</f>
        <v/>
      </c>
      <c r="J650" s="23" t="n"/>
      <c r="K650" s="23" t="n"/>
      <c r="L650" s="23" t="n"/>
      <c r="M650" s="23" t="n"/>
      <c r="N650" s="23" t="n"/>
      <c r="O650" s="20">
        <f>IF(OR(I650="",COUNT(J650:N650)=0),"",IF(SUM(J650:N650)=I650,"✓","⚠ "&amp;SUM(J650:N650)&amp;" statt "&amp;I650))</f>
        <v/>
      </c>
      <c r="P650" s="21" t="n"/>
      <c r="Q650" s="21" t="n"/>
      <c r="R650" s="21" t="n"/>
      <c r="S650" s="24" t="n"/>
      <c r="T650" s="24" t="n"/>
      <c r="V650">
        <f>IF(A650="","",MONTH(A650))</f>
        <v/>
      </c>
      <c r="W650">
        <f>N(W649)+IF(AND(C650&lt;&gt;"",T650&lt;&gt;""),IF(C650=WOCHE!$B$3,1,0),0)</f>
        <v/>
      </c>
      <c r="X650">
        <f>N(X649)+IF(AND(V650&lt;&gt;"",T650&lt;&gt;""),IF(V650=MONAT!$AZ$3,1,0),0)</f>
        <v/>
      </c>
    </row>
    <row r="651">
      <c r="A651" s="19" t="n"/>
      <c r="B651" s="20">
        <f>IF(A651="","",CHOOSE(WEEKDAY(A651,2),"Mo","Di","Mi","Do","Fr","Sa","So"))</f>
        <v/>
      </c>
      <c r="C651" s="20">
        <f>IF(A651="","",INT((A651-DATE(YEAR(A651-WEEKDAY(A651-1)+4),1,3)+WEEKDAY(DATE(YEAR(A651-WEEKDAY(A651-1)+4),1,3))+5)/7))</f>
        <v/>
      </c>
      <c r="D651" s="21" t="n"/>
      <c r="E651" s="22" t="n"/>
      <c r="F651" s="23" t="n"/>
      <c r="G651" s="23" t="n"/>
      <c r="H651" s="23" t="n"/>
      <c r="I651" s="20">
        <f>IF(COUNT(F651:H651)=0,"",SUM(F651:H651))</f>
        <v/>
      </c>
      <c r="J651" s="23" t="n"/>
      <c r="K651" s="23" t="n"/>
      <c r="L651" s="23" t="n"/>
      <c r="M651" s="23" t="n"/>
      <c r="N651" s="23" t="n"/>
      <c r="O651" s="20">
        <f>IF(OR(I651="",COUNT(J651:N651)=0),"",IF(SUM(J651:N651)=I651,"✓","⚠ "&amp;SUM(J651:N651)&amp;" statt "&amp;I651))</f>
        <v/>
      </c>
      <c r="P651" s="21" t="n"/>
      <c r="Q651" s="21" t="n"/>
      <c r="R651" s="21" t="n"/>
      <c r="S651" s="24" t="n"/>
      <c r="T651" s="24" t="n"/>
      <c r="V651">
        <f>IF(A651="","",MONTH(A651))</f>
        <v/>
      </c>
      <c r="W651">
        <f>N(W650)+IF(AND(C651&lt;&gt;"",T651&lt;&gt;""),IF(C651=WOCHE!$B$3,1,0),0)</f>
        <v/>
      </c>
      <c r="X651">
        <f>N(X650)+IF(AND(V651&lt;&gt;"",T651&lt;&gt;""),IF(V651=MONAT!$AZ$3,1,0),0)</f>
        <v/>
      </c>
    </row>
    <row r="652">
      <c r="A652" s="19" t="n"/>
      <c r="B652" s="20">
        <f>IF(A652="","",CHOOSE(WEEKDAY(A652,2),"Mo","Di","Mi","Do","Fr","Sa","So"))</f>
        <v/>
      </c>
      <c r="C652" s="20">
        <f>IF(A652="","",INT((A652-DATE(YEAR(A652-WEEKDAY(A652-1)+4),1,3)+WEEKDAY(DATE(YEAR(A652-WEEKDAY(A652-1)+4),1,3))+5)/7))</f>
        <v/>
      </c>
      <c r="D652" s="21" t="n"/>
      <c r="E652" s="22" t="n"/>
      <c r="F652" s="23" t="n"/>
      <c r="G652" s="23" t="n"/>
      <c r="H652" s="23" t="n"/>
      <c r="I652" s="20">
        <f>IF(COUNT(F652:H652)=0,"",SUM(F652:H652))</f>
        <v/>
      </c>
      <c r="J652" s="23" t="n"/>
      <c r="K652" s="23" t="n"/>
      <c r="L652" s="23" t="n"/>
      <c r="M652" s="23" t="n"/>
      <c r="N652" s="23" t="n"/>
      <c r="O652" s="20">
        <f>IF(OR(I652="",COUNT(J652:N652)=0),"",IF(SUM(J652:N652)=I652,"✓","⚠ "&amp;SUM(J652:N652)&amp;" statt "&amp;I652))</f>
        <v/>
      </c>
      <c r="P652" s="21" t="n"/>
      <c r="Q652" s="21" t="n"/>
      <c r="R652" s="21" t="n"/>
      <c r="S652" s="24" t="n"/>
      <c r="T652" s="24" t="n"/>
      <c r="V652">
        <f>IF(A652="","",MONTH(A652))</f>
        <v/>
      </c>
      <c r="W652">
        <f>N(W651)+IF(AND(C652&lt;&gt;"",T652&lt;&gt;""),IF(C652=WOCHE!$B$3,1,0),0)</f>
        <v/>
      </c>
      <c r="X652">
        <f>N(X651)+IF(AND(V652&lt;&gt;"",T652&lt;&gt;""),IF(V652=MONAT!$AZ$3,1,0),0)</f>
        <v/>
      </c>
    </row>
    <row r="653">
      <c r="A653" s="19" t="n"/>
      <c r="B653" s="20">
        <f>IF(A653="","",CHOOSE(WEEKDAY(A653,2),"Mo","Di","Mi","Do","Fr","Sa","So"))</f>
        <v/>
      </c>
      <c r="C653" s="20">
        <f>IF(A653="","",INT((A653-DATE(YEAR(A653-WEEKDAY(A653-1)+4),1,3)+WEEKDAY(DATE(YEAR(A653-WEEKDAY(A653-1)+4),1,3))+5)/7))</f>
        <v/>
      </c>
      <c r="D653" s="21" t="n"/>
      <c r="E653" s="22" t="n"/>
      <c r="F653" s="23" t="n"/>
      <c r="G653" s="23" t="n"/>
      <c r="H653" s="23" t="n"/>
      <c r="I653" s="20">
        <f>IF(COUNT(F653:H653)=0,"",SUM(F653:H653))</f>
        <v/>
      </c>
      <c r="J653" s="23" t="n"/>
      <c r="K653" s="23" t="n"/>
      <c r="L653" s="23" t="n"/>
      <c r="M653" s="23" t="n"/>
      <c r="N653" s="23" t="n"/>
      <c r="O653" s="20">
        <f>IF(OR(I653="",COUNT(J653:N653)=0),"",IF(SUM(J653:N653)=I653,"✓","⚠ "&amp;SUM(J653:N653)&amp;" statt "&amp;I653))</f>
        <v/>
      </c>
      <c r="P653" s="21" t="n"/>
      <c r="Q653" s="21" t="n"/>
      <c r="R653" s="21" t="n"/>
      <c r="S653" s="24" t="n"/>
      <c r="T653" s="24" t="n"/>
      <c r="V653">
        <f>IF(A653="","",MONTH(A653))</f>
        <v/>
      </c>
      <c r="W653">
        <f>N(W652)+IF(AND(C653&lt;&gt;"",T653&lt;&gt;""),IF(C653=WOCHE!$B$3,1,0),0)</f>
        <v/>
      </c>
      <c r="X653">
        <f>N(X652)+IF(AND(V653&lt;&gt;"",T653&lt;&gt;""),IF(V653=MONAT!$AZ$3,1,0),0)</f>
        <v/>
      </c>
    </row>
    <row r="654">
      <c r="A654" s="19" t="n"/>
      <c r="B654" s="20">
        <f>IF(A654="","",CHOOSE(WEEKDAY(A654,2),"Mo","Di","Mi","Do","Fr","Sa","So"))</f>
        <v/>
      </c>
      <c r="C654" s="20">
        <f>IF(A654="","",INT((A654-DATE(YEAR(A654-WEEKDAY(A654-1)+4),1,3)+WEEKDAY(DATE(YEAR(A654-WEEKDAY(A654-1)+4),1,3))+5)/7))</f>
        <v/>
      </c>
      <c r="D654" s="21" t="n"/>
      <c r="E654" s="22" t="n"/>
      <c r="F654" s="23" t="n"/>
      <c r="G654" s="23" t="n"/>
      <c r="H654" s="23" t="n"/>
      <c r="I654" s="20">
        <f>IF(COUNT(F654:H654)=0,"",SUM(F654:H654))</f>
        <v/>
      </c>
      <c r="J654" s="23" t="n"/>
      <c r="K654" s="23" t="n"/>
      <c r="L654" s="23" t="n"/>
      <c r="M654" s="23" t="n"/>
      <c r="N654" s="23" t="n"/>
      <c r="O654" s="20">
        <f>IF(OR(I654="",COUNT(J654:N654)=0),"",IF(SUM(J654:N654)=I654,"✓","⚠ "&amp;SUM(J654:N654)&amp;" statt "&amp;I654))</f>
        <v/>
      </c>
      <c r="P654" s="21" t="n"/>
      <c r="Q654" s="21" t="n"/>
      <c r="R654" s="21" t="n"/>
      <c r="S654" s="24" t="n"/>
      <c r="T654" s="24" t="n"/>
      <c r="V654">
        <f>IF(A654="","",MONTH(A654))</f>
        <v/>
      </c>
      <c r="W654">
        <f>N(W653)+IF(AND(C654&lt;&gt;"",T654&lt;&gt;""),IF(C654=WOCHE!$B$3,1,0),0)</f>
        <v/>
      </c>
      <c r="X654">
        <f>N(X653)+IF(AND(V654&lt;&gt;"",T654&lt;&gt;""),IF(V654=MONAT!$AZ$3,1,0),0)</f>
        <v/>
      </c>
    </row>
    <row r="655">
      <c r="A655" s="19" t="n"/>
      <c r="B655" s="20">
        <f>IF(A655="","",CHOOSE(WEEKDAY(A655,2),"Mo","Di","Mi","Do","Fr","Sa","So"))</f>
        <v/>
      </c>
      <c r="C655" s="20">
        <f>IF(A655="","",INT((A655-DATE(YEAR(A655-WEEKDAY(A655-1)+4),1,3)+WEEKDAY(DATE(YEAR(A655-WEEKDAY(A655-1)+4),1,3))+5)/7))</f>
        <v/>
      </c>
      <c r="D655" s="21" t="n"/>
      <c r="E655" s="22" t="n"/>
      <c r="F655" s="23" t="n"/>
      <c r="G655" s="23" t="n"/>
      <c r="H655" s="23" t="n"/>
      <c r="I655" s="20">
        <f>IF(COUNT(F655:H655)=0,"",SUM(F655:H655))</f>
        <v/>
      </c>
      <c r="J655" s="23" t="n"/>
      <c r="K655" s="23" t="n"/>
      <c r="L655" s="23" t="n"/>
      <c r="M655" s="23" t="n"/>
      <c r="N655" s="23" t="n"/>
      <c r="O655" s="20">
        <f>IF(OR(I655="",COUNT(J655:N655)=0),"",IF(SUM(J655:N655)=I655,"✓","⚠ "&amp;SUM(J655:N655)&amp;" statt "&amp;I655))</f>
        <v/>
      </c>
      <c r="P655" s="21" t="n"/>
      <c r="Q655" s="21" t="n"/>
      <c r="R655" s="21" t="n"/>
      <c r="S655" s="24" t="n"/>
      <c r="T655" s="24" t="n"/>
      <c r="V655">
        <f>IF(A655="","",MONTH(A655))</f>
        <v/>
      </c>
      <c r="W655">
        <f>N(W654)+IF(AND(C655&lt;&gt;"",T655&lt;&gt;""),IF(C655=WOCHE!$B$3,1,0),0)</f>
        <v/>
      </c>
      <c r="X655">
        <f>N(X654)+IF(AND(V655&lt;&gt;"",T655&lt;&gt;""),IF(V655=MONAT!$AZ$3,1,0),0)</f>
        <v/>
      </c>
    </row>
    <row r="656">
      <c r="A656" s="19" t="n"/>
      <c r="B656" s="20">
        <f>IF(A656="","",CHOOSE(WEEKDAY(A656,2),"Mo","Di","Mi","Do","Fr","Sa","So"))</f>
        <v/>
      </c>
      <c r="C656" s="20">
        <f>IF(A656="","",INT((A656-DATE(YEAR(A656-WEEKDAY(A656-1)+4),1,3)+WEEKDAY(DATE(YEAR(A656-WEEKDAY(A656-1)+4),1,3))+5)/7))</f>
        <v/>
      </c>
      <c r="D656" s="21" t="n"/>
      <c r="E656" s="22" t="n"/>
      <c r="F656" s="23" t="n"/>
      <c r="G656" s="23" t="n"/>
      <c r="H656" s="23" t="n"/>
      <c r="I656" s="20">
        <f>IF(COUNT(F656:H656)=0,"",SUM(F656:H656))</f>
        <v/>
      </c>
      <c r="J656" s="23" t="n"/>
      <c r="K656" s="23" t="n"/>
      <c r="L656" s="23" t="n"/>
      <c r="M656" s="23" t="n"/>
      <c r="N656" s="23" t="n"/>
      <c r="O656" s="20">
        <f>IF(OR(I656="",COUNT(J656:N656)=0),"",IF(SUM(J656:N656)=I656,"✓","⚠ "&amp;SUM(J656:N656)&amp;" statt "&amp;I656))</f>
        <v/>
      </c>
      <c r="P656" s="21" t="n"/>
      <c r="Q656" s="21" t="n"/>
      <c r="R656" s="21" t="n"/>
      <c r="S656" s="24" t="n"/>
      <c r="T656" s="24" t="n"/>
      <c r="V656">
        <f>IF(A656="","",MONTH(A656))</f>
        <v/>
      </c>
      <c r="W656">
        <f>N(W655)+IF(AND(C656&lt;&gt;"",T656&lt;&gt;""),IF(C656=WOCHE!$B$3,1,0),0)</f>
        <v/>
      </c>
      <c r="X656">
        <f>N(X655)+IF(AND(V656&lt;&gt;"",T656&lt;&gt;""),IF(V656=MONAT!$AZ$3,1,0),0)</f>
        <v/>
      </c>
    </row>
    <row r="657">
      <c r="A657" s="19" t="n"/>
      <c r="B657" s="20">
        <f>IF(A657="","",CHOOSE(WEEKDAY(A657,2),"Mo","Di","Mi","Do","Fr","Sa","So"))</f>
        <v/>
      </c>
      <c r="C657" s="20">
        <f>IF(A657="","",INT((A657-DATE(YEAR(A657-WEEKDAY(A657-1)+4),1,3)+WEEKDAY(DATE(YEAR(A657-WEEKDAY(A657-1)+4),1,3))+5)/7))</f>
        <v/>
      </c>
      <c r="D657" s="21" t="n"/>
      <c r="E657" s="22" t="n"/>
      <c r="F657" s="23" t="n"/>
      <c r="G657" s="23" t="n"/>
      <c r="H657" s="23" t="n"/>
      <c r="I657" s="20">
        <f>IF(COUNT(F657:H657)=0,"",SUM(F657:H657))</f>
        <v/>
      </c>
      <c r="J657" s="23" t="n"/>
      <c r="K657" s="23" t="n"/>
      <c r="L657" s="23" t="n"/>
      <c r="M657" s="23" t="n"/>
      <c r="N657" s="23" t="n"/>
      <c r="O657" s="20">
        <f>IF(OR(I657="",COUNT(J657:N657)=0),"",IF(SUM(J657:N657)=I657,"✓","⚠ "&amp;SUM(J657:N657)&amp;" statt "&amp;I657))</f>
        <v/>
      </c>
      <c r="P657" s="21" t="n"/>
      <c r="Q657" s="21" t="n"/>
      <c r="R657" s="21" t="n"/>
      <c r="S657" s="24" t="n"/>
      <c r="T657" s="24" t="n"/>
      <c r="V657">
        <f>IF(A657="","",MONTH(A657))</f>
        <v/>
      </c>
      <c r="W657">
        <f>N(W656)+IF(AND(C657&lt;&gt;"",T657&lt;&gt;""),IF(C657=WOCHE!$B$3,1,0),0)</f>
        <v/>
      </c>
      <c r="X657">
        <f>N(X656)+IF(AND(V657&lt;&gt;"",T657&lt;&gt;""),IF(V657=MONAT!$AZ$3,1,0),0)</f>
        <v/>
      </c>
    </row>
    <row r="658">
      <c r="A658" s="19" t="n"/>
      <c r="B658" s="20">
        <f>IF(A658="","",CHOOSE(WEEKDAY(A658,2),"Mo","Di","Mi","Do","Fr","Sa","So"))</f>
        <v/>
      </c>
      <c r="C658" s="20">
        <f>IF(A658="","",INT((A658-DATE(YEAR(A658-WEEKDAY(A658-1)+4),1,3)+WEEKDAY(DATE(YEAR(A658-WEEKDAY(A658-1)+4),1,3))+5)/7))</f>
        <v/>
      </c>
      <c r="D658" s="21" t="n"/>
      <c r="E658" s="22" t="n"/>
      <c r="F658" s="23" t="n"/>
      <c r="G658" s="23" t="n"/>
      <c r="H658" s="23" t="n"/>
      <c r="I658" s="20">
        <f>IF(COUNT(F658:H658)=0,"",SUM(F658:H658))</f>
        <v/>
      </c>
      <c r="J658" s="23" t="n"/>
      <c r="K658" s="23" t="n"/>
      <c r="L658" s="23" t="n"/>
      <c r="M658" s="23" t="n"/>
      <c r="N658" s="23" t="n"/>
      <c r="O658" s="20">
        <f>IF(OR(I658="",COUNT(J658:N658)=0),"",IF(SUM(J658:N658)=I658,"✓","⚠ "&amp;SUM(J658:N658)&amp;" statt "&amp;I658))</f>
        <v/>
      </c>
      <c r="P658" s="21" t="n"/>
      <c r="Q658" s="21" t="n"/>
      <c r="R658" s="21" t="n"/>
      <c r="S658" s="24" t="n"/>
      <c r="T658" s="24" t="n"/>
      <c r="V658">
        <f>IF(A658="","",MONTH(A658))</f>
        <v/>
      </c>
      <c r="W658">
        <f>N(W657)+IF(AND(C658&lt;&gt;"",T658&lt;&gt;""),IF(C658=WOCHE!$B$3,1,0),0)</f>
        <v/>
      </c>
      <c r="X658">
        <f>N(X657)+IF(AND(V658&lt;&gt;"",T658&lt;&gt;""),IF(V658=MONAT!$AZ$3,1,0),0)</f>
        <v/>
      </c>
    </row>
    <row r="659">
      <c r="A659" s="19" t="n"/>
      <c r="B659" s="20">
        <f>IF(A659="","",CHOOSE(WEEKDAY(A659,2),"Mo","Di","Mi","Do","Fr","Sa","So"))</f>
        <v/>
      </c>
      <c r="C659" s="20">
        <f>IF(A659="","",INT((A659-DATE(YEAR(A659-WEEKDAY(A659-1)+4),1,3)+WEEKDAY(DATE(YEAR(A659-WEEKDAY(A659-1)+4),1,3))+5)/7))</f>
        <v/>
      </c>
      <c r="D659" s="21" t="n"/>
      <c r="E659" s="22" t="n"/>
      <c r="F659" s="23" t="n"/>
      <c r="G659" s="23" t="n"/>
      <c r="H659" s="23" t="n"/>
      <c r="I659" s="20">
        <f>IF(COUNT(F659:H659)=0,"",SUM(F659:H659))</f>
        <v/>
      </c>
      <c r="J659" s="23" t="n"/>
      <c r="K659" s="23" t="n"/>
      <c r="L659" s="23" t="n"/>
      <c r="M659" s="23" t="n"/>
      <c r="N659" s="23" t="n"/>
      <c r="O659" s="20">
        <f>IF(OR(I659="",COUNT(J659:N659)=0),"",IF(SUM(J659:N659)=I659,"✓","⚠ "&amp;SUM(J659:N659)&amp;" statt "&amp;I659))</f>
        <v/>
      </c>
      <c r="P659" s="21" t="n"/>
      <c r="Q659" s="21" t="n"/>
      <c r="R659" s="21" t="n"/>
      <c r="S659" s="24" t="n"/>
      <c r="T659" s="24" t="n"/>
      <c r="V659">
        <f>IF(A659="","",MONTH(A659))</f>
        <v/>
      </c>
      <c r="W659">
        <f>N(W658)+IF(AND(C659&lt;&gt;"",T659&lt;&gt;""),IF(C659=WOCHE!$B$3,1,0),0)</f>
        <v/>
      </c>
      <c r="X659">
        <f>N(X658)+IF(AND(V659&lt;&gt;"",T659&lt;&gt;""),IF(V659=MONAT!$AZ$3,1,0),0)</f>
        <v/>
      </c>
    </row>
    <row r="660">
      <c r="A660" s="19" t="n"/>
      <c r="B660" s="20">
        <f>IF(A660="","",CHOOSE(WEEKDAY(A660,2),"Mo","Di","Mi","Do","Fr","Sa","So"))</f>
        <v/>
      </c>
      <c r="C660" s="20">
        <f>IF(A660="","",INT((A660-DATE(YEAR(A660-WEEKDAY(A660-1)+4),1,3)+WEEKDAY(DATE(YEAR(A660-WEEKDAY(A660-1)+4),1,3))+5)/7))</f>
        <v/>
      </c>
      <c r="D660" s="21" t="n"/>
      <c r="E660" s="22" t="n"/>
      <c r="F660" s="23" t="n"/>
      <c r="G660" s="23" t="n"/>
      <c r="H660" s="23" t="n"/>
      <c r="I660" s="20">
        <f>IF(COUNT(F660:H660)=0,"",SUM(F660:H660))</f>
        <v/>
      </c>
      <c r="J660" s="23" t="n"/>
      <c r="K660" s="23" t="n"/>
      <c r="L660" s="23" t="n"/>
      <c r="M660" s="23" t="n"/>
      <c r="N660" s="23" t="n"/>
      <c r="O660" s="20">
        <f>IF(OR(I660="",COUNT(J660:N660)=0),"",IF(SUM(J660:N660)=I660,"✓","⚠ "&amp;SUM(J660:N660)&amp;" statt "&amp;I660))</f>
        <v/>
      </c>
      <c r="P660" s="21" t="n"/>
      <c r="Q660" s="21" t="n"/>
      <c r="R660" s="21" t="n"/>
      <c r="S660" s="24" t="n"/>
      <c r="T660" s="24" t="n"/>
      <c r="V660">
        <f>IF(A660="","",MONTH(A660))</f>
        <v/>
      </c>
      <c r="W660">
        <f>N(W659)+IF(AND(C660&lt;&gt;"",T660&lt;&gt;""),IF(C660=WOCHE!$B$3,1,0),0)</f>
        <v/>
      </c>
      <c r="X660">
        <f>N(X659)+IF(AND(V660&lt;&gt;"",T660&lt;&gt;""),IF(V660=MONAT!$AZ$3,1,0),0)</f>
        <v/>
      </c>
    </row>
    <row r="661">
      <c r="A661" s="19" t="n"/>
      <c r="B661" s="20">
        <f>IF(A661="","",CHOOSE(WEEKDAY(A661,2),"Mo","Di","Mi","Do","Fr","Sa","So"))</f>
        <v/>
      </c>
      <c r="C661" s="20">
        <f>IF(A661="","",INT((A661-DATE(YEAR(A661-WEEKDAY(A661-1)+4),1,3)+WEEKDAY(DATE(YEAR(A661-WEEKDAY(A661-1)+4),1,3))+5)/7))</f>
        <v/>
      </c>
      <c r="D661" s="21" t="n"/>
      <c r="E661" s="22" t="n"/>
      <c r="F661" s="23" t="n"/>
      <c r="G661" s="23" t="n"/>
      <c r="H661" s="23" t="n"/>
      <c r="I661" s="20">
        <f>IF(COUNT(F661:H661)=0,"",SUM(F661:H661))</f>
        <v/>
      </c>
      <c r="J661" s="23" t="n"/>
      <c r="K661" s="23" t="n"/>
      <c r="L661" s="23" t="n"/>
      <c r="M661" s="23" t="n"/>
      <c r="N661" s="23" t="n"/>
      <c r="O661" s="20">
        <f>IF(OR(I661="",COUNT(J661:N661)=0),"",IF(SUM(J661:N661)=I661,"✓","⚠ "&amp;SUM(J661:N661)&amp;" statt "&amp;I661))</f>
        <v/>
      </c>
      <c r="P661" s="21" t="n"/>
      <c r="Q661" s="21" t="n"/>
      <c r="R661" s="21" t="n"/>
      <c r="S661" s="24" t="n"/>
      <c r="T661" s="24" t="n"/>
      <c r="V661">
        <f>IF(A661="","",MONTH(A661))</f>
        <v/>
      </c>
      <c r="W661">
        <f>N(W660)+IF(AND(C661&lt;&gt;"",T661&lt;&gt;""),IF(C661=WOCHE!$B$3,1,0),0)</f>
        <v/>
      </c>
      <c r="X661">
        <f>N(X660)+IF(AND(V661&lt;&gt;"",T661&lt;&gt;""),IF(V661=MONAT!$AZ$3,1,0),0)</f>
        <v/>
      </c>
    </row>
    <row r="662">
      <c r="A662" s="19" t="n"/>
      <c r="B662" s="20">
        <f>IF(A662="","",CHOOSE(WEEKDAY(A662,2),"Mo","Di","Mi","Do","Fr","Sa","So"))</f>
        <v/>
      </c>
      <c r="C662" s="20">
        <f>IF(A662="","",INT((A662-DATE(YEAR(A662-WEEKDAY(A662-1)+4),1,3)+WEEKDAY(DATE(YEAR(A662-WEEKDAY(A662-1)+4),1,3))+5)/7))</f>
        <v/>
      </c>
      <c r="D662" s="21" t="n"/>
      <c r="E662" s="22" t="n"/>
      <c r="F662" s="23" t="n"/>
      <c r="G662" s="23" t="n"/>
      <c r="H662" s="23" t="n"/>
      <c r="I662" s="20">
        <f>IF(COUNT(F662:H662)=0,"",SUM(F662:H662))</f>
        <v/>
      </c>
      <c r="J662" s="23" t="n"/>
      <c r="K662" s="23" t="n"/>
      <c r="L662" s="23" t="n"/>
      <c r="M662" s="23" t="n"/>
      <c r="N662" s="23" t="n"/>
      <c r="O662" s="20">
        <f>IF(OR(I662="",COUNT(J662:N662)=0),"",IF(SUM(J662:N662)=I662,"✓","⚠ "&amp;SUM(J662:N662)&amp;" statt "&amp;I662))</f>
        <v/>
      </c>
      <c r="P662" s="21" t="n"/>
      <c r="Q662" s="21" t="n"/>
      <c r="R662" s="21" t="n"/>
      <c r="S662" s="24" t="n"/>
      <c r="T662" s="24" t="n"/>
      <c r="V662">
        <f>IF(A662="","",MONTH(A662))</f>
        <v/>
      </c>
      <c r="W662">
        <f>N(W661)+IF(AND(C662&lt;&gt;"",T662&lt;&gt;""),IF(C662=WOCHE!$B$3,1,0),0)</f>
        <v/>
      </c>
      <c r="X662">
        <f>N(X661)+IF(AND(V662&lt;&gt;"",T662&lt;&gt;""),IF(V662=MONAT!$AZ$3,1,0),0)</f>
        <v/>
      </c>
    </row>
    <row r="663">
      <c r="A663" s="19" t="n"/>
      <c r="B663" s="20">
        <f>IF(A663="","",CHOOSE(WEEKDAY(A663,2),"Mo","Di","Mi","Do","Fr","Sa","So"))</f>
        <v/>
      </c>
      <c r="C663" s="20">
        <f>IF(A663="","",INT((A663-DATE(YEAR(A663-WEEKDAY(A663-1)+4),1,3)+WEEKDAY(DATE(YEAR(A663-WEEKDAY(A663-1)+4),1,3))+5)/7))</f>
        <v/>
      </c>
      <c r="D663" s="21" t="n"/>
      <c r="E663" s="22" t="n"/>
      <c r="F663" s="23" t="n"/>
      <c r="G663" s="23" t="n"/>
      <c r="H663" s="23" t="n"/>
      <c r="I663" s="20">
        <f>IF(COUNT(F663:H663)=0,"",SUM(F663:H663))</f>
        <v/>
      </c>
      <c r="J663" s="23" t="n"/>
      <c r="K663" s="23" t="n"/>
      <c r="L663" s="23" t="n"/>
      <c r="M663" s="23" t="n"/>
      <c r="N663" s="23" t="n"/>
      <c r="O663" s="20">
        <f>IF(OR(I663="",COUNT(J663:N663)=0),"",IF(SUM(J663:N663)=I663,"✓","⚠ "&amp;SUM(J663:N663)&amp;" statt "&amp;I663))</f>
        <v/>
      </c>
      <c r="P663" s="21" t="n"/>
      <c r="Q663" s="21" t="n"/>
      <c r="R663" s="21" t="n"/>
      <c r="S663" s="24" t="n"/>
      <c r="T663" s="24" t="n"/>
      <c r="V663">
        <f>IF(A663="","",MONTH(A663))</f>
        <v/>
      </c>
      <c r="W663">
        <f>N(W662)+IF(AND(C663&lt;&gt;"",T663&lt;&gt;""),IF(C663=WOCHE!$B$3,1,0),0)</f>
        <v/>
      </c>
      <c r="X663">
        <f>N(X662)+IF(AND(V663&lt;&gt;"",T663&lt;&gt;""),IF(V663=MONAT!$AZ$3,1,0),0)</f>
        <v/>
      </c>
    </row>
    <row r="664">
      <c r="A664" s="19" t="n"/>
      <c r="B664" s="20">
        <f>IF(A664="","",CHOOSE(WEEKDAY(A664,2),"Mo","Di","Mi","Do","Fr","Sa","So"))</f>
        <v/>
      </c>
      <c r="C664" s="20">
        <f>IF(A664="","",INT((A664-DATE(YEAR(A664-WEEKDAY(A664-1)+4),1,3)+WEEKDAY(DATE(YEAR(A664-WEEKDAY(A664-1)+4),1,3))+5)/7))</f>
        <v/>
      </c>
      <c r="D664" s="21" t="n"/>
      <c r="E664" s="22" t="n"/>
      <c r="F664" s="23" t="n"/>
      <c r="G664" s="23" t="n"/>
      <c r="H664" s="23" t="n"/>
      <c r="I664" s="20">
        <f>IF(COUNT(F664:H664)=0,"",SUM(F664:H664))</f>
        <v/>
      </c>
      <c r="J664" s="23" t="n"/>
      <c r="K664" s="23" t="n"/>
      <c r="L664" s="23" t="n"/>
      <c r="M664" s="23" t="n"/>
      <c r="N664" s="23" t="n"/>
      <c r="O664" s="20">
        <f>IF(OR(I664="",COUNT(J664:N664)=0),"",IF(SUM(J664:N664)=I664,"✓","⚠ "&amp;SUM(J664:N664)&amp;" statt "&amp;I664))</f>
        <v/>
      </c>
      <c r="P664" s="21" t="n"/>
      <c r="Q664" s="21" t="n"/>
      <c r="R664" s="21" t="n"/>
      <c r="S664" s="24" t="n"/>
      <c r="T664" s="24" t="n"/>
      <c r="V664">
        <f>IF(A664="","",MONTH(A664))</f>
        <v/>
      </c>
      <c r="W664">
        <f>N(W663)+IF(AND(C664&lt;&gt;"",T664&lt;&gt;""),IF(C664=WOCHE!$B$3,1,0),0)</f>
        <v/>
      </c>
      <c r="X664">
        <f>N(X663)+IF(AND(V664&lt;&gt;"",T664&lt;&gt;""),IF(V664=MONAT!$AZ$3,1,0),0)</f>
        <v/>
      </c>
    </row>
    <row r="665">
      <c r="A665" s="19" t="n"/>
      <c r="B665" s="20">
        <f>IF(A665="","",CHOOSE(WEEKDAY(A665,2),"Mo","Di","Mi","Do","Fr","Sa","So"))</f>
        <v/>
      </c>
      <c r="C665" s="20">
        <f>IF(A665="","",INT((A665-DATE(YEAR(A665-WEEKDAY(A665-1)+4),1,3)+WEEKDAY(DATE(YEAR(A665-WEEKDAY(A665-1)+4),1,3))+5)/7))</f>
        <v/>
      </c>
      <c r="D665" s="21" t="n"/>
      <c r="E665" s="22" t="n"/>
      <c r="F665" s="23" t="n"/>
      <c r="G665" s="23" t="n"/>
      <c r="H665" s="23" t="n"/>
      <c r="I665" s="20">
        <f>IF(COUNT(F665:H665)=0,"",SUM(F665:H665))</f>
        <v/>
      </c>
      <c r="J665" s="23" t="n"/>
      <c r="K665" s="23" t="n"/>
      <c r="L665" s="23" t="n"/>
      <c r="M665" s="23" t="n"/>
      <c r="N665" s="23" t="n"/>
      <c r="O665" s="20">
        <f>IF(OR(I665="",COUNT(J665:N665)=0),"",IF(SUM(J665:N665)=I665,"✓","⚠ "&amp;SUM(J665:N665)&amp;" statt "&amp;I665))</f>
        <v/>
      </c>
      <c r="P665" s="21" t="n"/>
      <c r="Q665" s="21" t="n"/>
      <c r="R665" s="21" t="n"/>
      <c r="S665" s="24" t="n"/>
      <c r="T665" s="24" t="n"/>
      <c r="V665">
        <f>IF(A665="","",MONTH(A665))</f>
        <v/>
      </c>
      <c r="W665">
        <f>N(W664)+IF(AND(C665&lt;&gt;"",T665&lt;&gt;""),IF(C665=WOCHE!$B$3,1,0),0)</f>
        <v/>
      </c>
      <c r="X665">
        <f>N(X664)+IF(AND(V665&lt;&gt;"",T665&lt;&gt;""),IF(V665=MONAT!$AZ$3,1,0),0)</f>
        <v/>
      </c>
    </row>
    <row r="666">
      <c r="A666" s="19" t="n"/>
      <c r="B666" s="20">
        <f>IF(A666="","",CHOOSE(WEEKDAY(A666,2),"Mo","Di","Mi","Do","Fr","Sa","So"))</f>
        <v/>
      </c>
      <c r="C666" s="20">
        <f>IF(A666="","",INT((A666-DATE(YEAR(A666-WEEKDAY(A666-1)+4),1,3)+WEEKDAY(DATE(YEAR(A666-WEEKDAY(A666-1)+4),1,3))+5)/7))</f>
        <v/>
      </c>
      <c r="D666" s="21" t="n"/>
      <c r="E666" s="22" t="n"/>
      <c r="F666" s="23" t="n"/>
      <c r="G666" s="23" t="n"/>
      <c r="H666" s="23" t="n"/>
      <c r="I666" s="20">
        <f>IF(COUNT(F666:H666)=0,"",SUM(F666:H666))</f>
        <v/>
      </c>
      <c r="J666" s="23" t="n"/>
      <c r="K666" s="23" t="n"/>
      <c r="L666" s="23" t="n"/>
      <c r="M666" s="23" t="n"/>
      <c r="N666" s="23" t="n"/>
      <c r="O666" s="20">
        <f>IF(OR(I666="",COUNT(J666:N666)=0),"",IF(SUM(J666:N666)=I666,"✓","⚠ "&amp;SUM(J666:N666)&amp;" statt "&amp;I666))</f>
        <v/>
      </c>
      <c r="P666" s="21" t="n"/>
      <c r="Q666" s="21" t="n"/>
      <c r="R666" s="21" t="n"/>
      <c r="S666" s="24" t="n"/>
      <c r="T666" s="24" t="n"/>
      <c r="V666">
        <f>IF(A666="","",MONTH(A666))</f>
        <v/>
      </c>
      <c r="W666">
        <f>N(W665)+IF(AND(C666&lt;&gt;"",T666&lt;&gt;""),IF(C666=WOCHE!$B$3,1,0),0)</f>
        <v/>
      </c>
      <c r="X666">
        <f>N(X665)+IF(AND(V666&lt;&gt;"",T666&lt;&gt;""),IF(V666=MONAT!$AZ$3,1,0),0)</f>
        <v/>
      </c>
    </row>
    <row r="667">
      <c r="A667" s="19" t="n"/>
      <c r="B667" s="20">
        <f>IF(A667="","",CHOOSE(WEEKDAY(A667,2),"Mo","Di","Mi","Do","Fr","Sa","So"))</f>
        <v/>
      </c>
      <c r="C667" s="20">
        <f>IF(A667="","",INT((A667-DATE(YEAR(A667-WEEKDAY(A667-1)+4),1,3)+WEEKDAY(DATE(YEAR(A667-WEEKDAY(A667-1)+4),1,3))+5)/7))</f>
        <v/>
      </c>
      <c r="D667" s="21" t="n"/>
      <c r="E667" s="22" t="n"/>
      <c r="F667" s="23" t="n"/>
      <c r="G667" s="23" t="n"/>
      <c r="H667" s="23" t="n"/>
      <c r="I667" s="20">
        <f>IF(COUNT(F667:H667)=0,"",SUM(F667:H667))</f>
        <v/>
      </c>
      <c r="J667" s="23" t="n"/>
      <c r="K667" s="23" t="n"/>
      <c r="L667" s="23" t="n"/>
      <c r="M667" s="23" t="n"/>
      <c r="N667" s="23" t="n"/>
      <c r="O667" s="20">
        <f>IF(OR(I667="",COUNT(J667:N667)=0),"",IF(SUM(J667:N667)=I667,"✓","⚠ "&amp;SUM(J667:N667)&amp;" statt "&amp;I667))</f>
        <v/>
      </c>
      <c r="P667" s="21" t="n"/>
      <c r="Q667" s="21" t="n"/>
      <c r="R667" s="21" t="n"/>
      <c r="S667" s="24" t="n"/>
      <c r="T667" s="24" t="n"/>
      <c r="V667">
        <f>IF(A667="","",MONTH(A667))</f>
        <v/>
      </c>
      <c r="W667">
        <f>N(W666)+IF(AND(C667&lt;&gt;"",T667&lt;&gt;""),IF(C667=WOCHE!$B$3,1,0),0)</f>
        <v/>
      </c>
      <c r="X667">
        <f>N(X666)+IF(AND(V667&lt;&gt;"",T667&lt;&gt;""),IF(V667=MONAT!$AZ$3,1,0),0)</f>
        <v/>
      </c>
    </row>
    <row r="668">
      <c r="A668" s="19" t="n"/>
      <c r="B668" s="20">
        <f>IF(A668="","",CHOOSE(WEEKDAY(A668,2),"Mo","Di","Mi","Do","Fr","Sa","So"))</f>
        <v/>
      </c>
      <c r="C668" s="20">
        <f>IF(A668="","",INT((A668-DATE(YEAR(A668-WEEKDAY(A668-1)+4),1,3)+WEEKDAY(DATE(YEAR(A668-WEEKDAY(A668-1)+4),1,3))+5)/7))</f>
        <v/>
      </c>
      <c r="D668" s="21" t="n"/>
      <c r="E668" s="22" t="n"/>
      <c r="F668" s="23" t="n"/>
      <c r="G668" s="23" t="n"/>
      <c r="H668" s="23" t="n"/>
      <c r="I668" s="20">
        <f>IF(COUNT(F668:H668)=0,"",SUM(F668:H668))</f>
        <v/>
      </c>
      <c r="J668" s="23" t="n"/>
      <c r="K668" s="23" t="n"/>
      <c r="L668" s="23" t="n"/>
      <c r="M668" s="23" t="n"/>
      <c r="N668" s="23" t="n"/>
      <c r="O668" s="20">
        <f>IF(OR(I668="",COUNT(J668:N668)=0),"",IF(SUM(J668:N668)=I668,"✓","⚠ "&amp;SUM(J668:N668)&amp;" statt "&amp;I668))</f>
        <v/>
      </c>
      <c r="P668" s="21" t="n"/>
      <c r="Q668" s="21" t="n"/>
      <c r="R668" s="21" t="n"/>
      <c r="S668" s="24" t="n"/>
      <c r="T668" s="24" t="n"/>
      <c r="V668">
        <f>IF(A668="","",MONTH(A668))</f>
        <v/>
      </c>
      <c r="W668">
        <f>N(W667)+IF(AND(C668&lt;&gt;"",T668&lt;&gt;""),IF(C668=WOCHE!$B$3,1,0),0)</f>
        <v/>
      </c>
      <c r="X668">
        <f>N(X667)+IF(AND(V668&lt;&gt;"",T668&lt;&gt;""),IF(V668=MONAT!$AZ$3,1,0),0)</f>
        <v/>
      </c>
    </row>
    <row r="669">
      <c r="A669" s="19" t="n"/>
      <c r="B669" s="20">
        <f>IF(A669="","",CHOOSE(WEEKDAY(A669,2),"Mo","Di","Mi","Do","Fr","Sa","So"))</f>
        <v/>
      </c>
      <c r="C669" s="20">
        <f>IF(A669="","",INT((A669-DATE(YEAR(A669-WEEKDAY(A669-1)+4),1,3)+WEEKDAY(DATE(YEAR(A669-WEEKDAY(A669-1)+4),1,3))+5)/7))</f>
        <v/>
      </c>
      <c r="D669" s="21" t="n"/>
      <c r="E669" s="22" t="n"/>
      <c r="F669" s="23" t="n"/>
      <c r="G669" s="23" t="n"/>
      <c r="H669" s="23" t="n"/>
      <c r="I669" s="20">
        <f>IF(COUNT(F669:H669)=0,"",SUM(F669:H669))</f>
        <v/>
      </c>
      <c r="J669" s="23" t="n"/>
      <c r="K669" s="23" t="n"/>
      <c r="L669" s="23" t="n"/>
      <c r="M669" s="23" t="n"/>
      <c r="N669" s="23" t="n"/>
      <c r="O669" s="20">
        <f>IF(OR(I669="",COUNT(J669:N669)=0),"",IF(SUM(J669:N669)=I669,"✓","⚠ "&amp;SUM(J669:N669)&amp;" statt "&amp;I669))</f>
        <v/>
      </c>
      <c r="P669" s="21" t="n"/>
      <c r="Q669" s="21" t="n"/>
      <c r="R669" s="21" t="n"/>
      <c r="S669" s="24" t="n"/>
      <c r="T669" s="24" t="n"/>
      <c r="V669">
        <f>IF(A669="","",MONTH(A669))</f>
        <v/>
      </c>
      <c r="W669">
        <f>N(W668)+IF(AND(C669&lt;&gt;"",T669&lt;&gt;""),IF(C669=WOCHE!$B$3,1,0),0)</f>
        <v/>
      </c>
      <c r="X669">
        <f>N(X668)+IF(AND(V669&lt;&gt;"",T669&lt;&gt;""),IF(V669=MONAT!$AZ$3,1,0),0)</f>
        <v/>
      </c>
    </row>
    <row r="670">
      <c r="A670" s="19" t="n"/>
      <c r="B670" s="20">
        <f>IF(A670="","",CHOOSE(WEEKDAY(A670,2),"Mo","Di","Mi","Do","Fr","Sa","So"))</f>
        <v/>
      </c>
      <c r="C670" s="20">
        <f>IF(A670="","",INT((A670-DATE(YEAR(A670-WEEKDAY(A670-1)+4),1,3)+WEEKDAY(DATE(YEAR(A670-WEEKDAY(A670-1)+4),1,3))+5)/7))</f>
        <v/>
      </c>
      <c r="D670" s="21" t="n"/>
      <c r="E670" s="22" t="n"/>
      <c r="F670" s="23" t="n"/>
      <c r="G670" s="23" t="n"/>
      <c r="H670" s="23" t="n"/>
      <c r="I670" s="20">
        <f>IF(COUNT(F670:H670)=0,"",SUM(F670:H670))</f>
        <v/>
      </c>
      <c r="J670" s="23" t="n"/>
      <c r="K670" s="23" t="n"/>
      <c r="L670" s="23" t="n"/>
      <c r="M670" s="23" t="n"/>
      <c r="N670" s="23" t="n"/>
      <c r="O670" s="20">
        <f>IF(OR(I670="",COUNT(J670:N670)=0),"",IF(SUM(J670:N670)=I670,"✓","⚠ "&amp;SUM(J670:N670)&amp;" statt "&amp;I670))</f>
        <v/>
      </c>
      <c r="P670" s="21" t="n"/>
      <c r="Q670" s="21" t="n"/>
      <c r="R670" s="21" t="n"/>
      <c r="S670" s="24" t="n"/>
      <c r="T670" s="24" t="n"/>
      <c r="V670">
        <f>IF(A670="","",MONTH(A670))</f>
        <v/>
      </c>
      <c r="W670">
        <f>N(W669)+IF(AND(C670&lt;&gt;"",T670&lt;&gt;""),IF(C670=WOCHE!$B$3,1,0),0)</f>
        <v/>
      </c>
      <c r="X670">
        <f>N(X669)+IF(AND(V670&lt;&gt;"",T670&lt;&gt;""),IF(V670=MONAT!$AZ$3,1,0),0)</f>
        <v/>
      </c>
    </row>
    <row r="671">
      <c r="A671" s="19" t="n"/>
      <c r="B671" s="20">
        <f>IF(A671="","",CHOOSE(WEEKDAY(A671,2),"Mo","Di","Mi","Do","Fr","Sa","So"))</f>
        <v/>
      </c>
      <c r="C671" s="20">
        <f>IF(A671="","",INT((A671-DATE(YEAR(A671-WEEKDAY(A671-1)+4),1,3)+WEEKDAY(DATE(YEAR(A671-WEEKDAY(A671-1)+4),1,3))+5)/7))</f>
        <v/>
      </c>
      <c r="D671" s="21" t="n"/>
      <c r="E671" s="22" t="n"/>
      <c r="F671" s="23" t="n"/>
      <c r="G671" s="23" t="n"/>
      <c r="H671" s="23" t="n"/>
      <c r="I671" s="20">
        <f>IF(COUNT(F671:H671)=0,"",SUM(F671:H671))</f>
        <v/>
      </c>
      <c r="J671" s="23" t="n"/>
      <c r="K671" s="23" t="n"/>
      <c r="L671" s="23" t="n"/>
      <c r="M671" s="23" t="n"/>
      <c r="N671" s="23" t="n"/>
      <c r="O671" s="20">
        <f>IF(OR(I671="",COUNT(J671:N671)=0),"",IF(SUM(J671:N671)=I671,"✓","⚠ "&amp;SUM(J671:N671)&amp;" statt "&amp;I671))</f>
        <v/>
      </c>
      <c r="P671" s="21" t="n"/>
      <c r="Q671" s="21" t="n"/>
      <c r="R671" s="21" t="n"/>
      <c r="S671" s="24" t="n"/>
      <c r="T671" s="24" t="n"/>
      <c r="V671">
        <f>IF(A671="","",MONTH(A671))</f>
        <v/>
      </c>
      <c r="W671">
        <f>N(W670)+IF(AND(C671&lt;&gt;"",T671&lt;&gt;""),IF(C671=WOCHE!$B$3,1,0),0)</f>
        <v/>
      </c>
      <c r="X671">
        <f>N(X670)+IF(AND(V671&lt;&gt;"",T671&lt;&gt;""),IF(V671=MONAT!$AZ$3,1,0),0)</f>
        <v/>
      </c>
    </row>
    <row r="672">
      <c r="A672" s="19" t="n"/>
      <c r="B672" s="20">
        <f>IF(A672="","",CHOOSE(WEEKDAY(A672,2),"Mo","Di","Mi","Do","Fr","Sa","So"))</f>
        <v/>
      </c>
      <c r="C672" s="20">
        <f>IF(A672="","",INT((A672-DATE(YEAR(A672-WEEKDAY(A672-1)+4),1,3)+WEEKDAY(DATE(YEAR(A672-WEEKDAY(A672-1)+4),1,3))+5)/7))</f>
        <v/>
      </c>
      <c r="D672" s="21" t="n"/>
      <c r="E672" s="22" t="n"/>
      <c r="F672" s="23" t="n"/>
      <c r="G672" s="23" t="n"/>
      <c r="H672" s="23" t="n"/>
      <c r="I672" s="20">
        <f>IF(COUNT(F672:H672)=0,"",SUM(F672:H672))</f>
        <v/>
      </c>
      <c r="J672" s="23" t="n"/>
      <c r="K672" s="23" t="n"/>
      <c r="L672" s="23" t="n"/>
      <c r="M672" s="23" t="n"/>
      <c r="N672" s="23" t="n"/>
      <c r="O672" s="20">
        <f>IF(OR(I672="",COUNT(J672:N672)=0),"",IF(SUM(J672:N672)=I672,"✓","⚠ "&amp;SUM(J672:N672)&amp;" statt "&amp;I672))</f>
        <v/>
      </c>
      <c r="P672" s="21" t="n"/>
      <c r="Q672" s="21" t="n"/>
      <c r="R672" s="21" t="n"/>
      <c r="S672" s="24" t="n"/>
      <c r="T672" s="24" t="n"/>
      <c r="V672">
        <f>IF(A672="","",MONTH(A672))</f>
        <v/>
      </c>
      <c r="W672">
        <f>N(W671)+IF(AND(C672&lt;&gt;"",T672&lt;&gt;""),IF(C672=WOCHE!$B$3,1,0),0)</f>
        <v/>
      </c>
      <c r="X672">
        <f>N(X671)+IF(AND(V672&lt;&gt;"",T672&lt;&gt;""),IF(V672=MONAT!$AZ$3,1,0),0)</f>
        <v/>
      </c>
    </row>
    <row r="673">
      <c r="A673" s="19" t="n"/>
      <c r="B673" s="20">
        <f>IF(A673="","",CHOOSE(WEEKDAY(A673,2),"Mo","Di","Mi","Do","Fr","Sa","So"))</f>
        <v/>
      </c>
      <c r="C673" s="20">
        <f>IF(A673="","",INT((A673-DATE(YEAR(A673-WEEKDAY(A673-1)+4),1,3)+WEEKDAY(DATE(YEAR(A673-WEEKDAY(A673-1)+4),1,3))+5)/7))</f>
        <v/>
      </c>
      <c r="D673" s="21" t="n"/>
      <c r="E673" s="22" t="n"/>
      <c r="F673" s="23" t="n"/>
      <c r="G673" s="23" t="n"/>
      <c r="H673" s="23" t="n"/>
      <c r="I673" s="20">
        <f>IF(COUNT(F673:H673)=0,"",SUM(F673:H673))</f>
        <v/>
      </c>
      <c r="J673" s="23" t="n"/>
      <c r="K673" s="23" t="n"/>
      <c r="L673" s="23" t="n"/>
      <c r="M673" s="23" t="n"/>
      <c r="N673" s="23" t="n"/>
      <c r="O673" s="20">
        <f>IF(OR(I673="",COUNT(J673:N673)=0),"",IF(SUM(J673:N673)=I673,"✓","⚠ "&amp;SUM(J673:N673)&amp;" statt "&amp;I673))</f>
        <v/>
      </c>
      <c r="P673" s="21" t="n"/>
      <c r="Q673" s="21" t="n"/>
      <c r="R673" s="21" t="n"/>
      <c r="S673" s="24" t="n"/>
      <c r="T673" s="24" t="n"/>
      <c r="V673">
        <f>IF(A673="","",MONTH(A673))</f>
        <v/>
      </c>
      <c r="W673">
        <f>N(W672)+IF(AND(C673&lt;&gt;"",T673&lt;&gt;""),IF(C673=WOCHE!$B$3,1,0),0)</f>
        <v/>
      </c>
      <c r="X673">
        <f>N(X672)+IF(AND(V673&lt;&gt;"",T673&lt;&gt;""),IF(V673=MONAT!$AZ$3,1,0),0)</f>
        <v/>
      </c>
    </row>
    <row r="674">
      <c r="A674" s="19" t="n"/>
      <c r="B674" s="20">
        <f>IF(A674="","",CHOOSE(WEEKDAY(A674,2),"Mo","Di","Mi","Do","Fr","Sa","So"))</f>
        <v/>
      </c>
      <c r="C674" s="20">
        <f>IF(A674="","",INT((A674-DATE(YEAR(A674-WEEKDAY(A674-1)+4),1,3)+WEEKDAY(DATE(YEAR(A674-WEEKDAY(A674-1)+4),1,3))+5)/7))</f>
        <v/>
      </c>
      <c r="D674" s="21" t="n"/>
      <c r="E674" s="22" t="n"/>
      <c r="F674" s="23" t="n"/>
      <c r="G674" s="23" t="n"/>
      <c r="H674" s="23" t="n"/>
      <c r="I674" s="20">
        <f>IF(COUNT(F674:H674)=0,"",SUM(F674:H674))</f>
        <v/>
      </c>
      <c r="J674" s="23" t="n"/>
      <c r="K674" s="23" t="n"/>
      <c r="L674" s="23" t="n"/>
      <c r="M674" s="23" t="n"/>
      <c r="N674" s="23" t="n"/>
      <c r="O674" s="20">
        <f>IF(OR(I674="",COUNT(J674:N674)=0),"",IF(SUM(J674:N674)=I674,"✓","⚠ "&amp;SUM(J674:N674)&amp;" statt "&amp;I674))</f>
        <v/>
      </c>
      <c r="P674" s="21" t="n"/>
      <c r="Q674" s="21" t="n"/>
      <c r="R674" s="21" t="n"/>
      <c r="S674" s="24" t="n"/>
      <c r="T674" s="24" t="n"/>
      <c r="V674">
        <f>IF(A674="","",MONTH(A674))</f>
        <v/>
      </c>
      <c r="W674">
        <f>N(W673)+IF(AND(C674&lt;&gt;"",T674&lt;&gt;""),IF(C674=WOCHE!$B$3,1,0),0)</f>
        <v/>
      </c>
      <c r="X674">
        <f>N(X673)+IF(AND(V674&lt;&gt;"",T674&lt;&gt;""),IF(V674=MONAT!$AZ$3,1,0),0)</f>
        <v/>
      </c>
    </row>
    <row r="675">
      <c r="A675" s="19" t="n"/>
      <c r="B675" s="20">
        <f>IF(A675="","",CHOOSE(WEEKDAY(A675,2),"Mo","Di","Mi","Do","Fr","Sa","So"))</f>
        <v/>
      </c>
      <c r="C675" s="20">
        <f>IF(A675="","",INT((A675-DATE(YEAR(A675-WEEKDAY(A675-1)+4),1,3)+WEEKDAY(DATE(YEAR(A675-WEEKDAY(A675-1)+4),1,3))+5)/7))</f>
        <v/>
      </c>
      <c r="D675" s="21" t="n"/>
      <c r="E675" s="22" t="n"/>
      <c r="F675" s="23" t="n"/>
      <c r="G675" s="23" t="n"/>
      <c r="H675" s="23" t="n"/>
      <c r="I675" s="20">
        <f>IF(COUNT(F675:H675)=0,"",SUM(F675:H675))</f>
        <v/>
      </c>
      <c r="J675" s="23" t="n"/>
      <c r="K675" s="23" t="n"/>
      <c r="L675" s="23" t="n"/>
      <c r="M675" s="23" t="n"/>
      <c r="N675" s="23" t="n"/>
      <c r="O675" s="20">
        <f>IF(OR(I675="",COUNT(J675:N675)=0),"",IF(SUM(J675:N675)=I675,"✓","⚠ "&amp;SUM(J675:N675)&amp;" statt "&amp;I675))</f>
        <v/>
      </c>
      <c r="P675" s="21" t="n"/>
      <c r="Q675" s="21" t="n"/>
      <c r="R675" s="21" t="n"/>
      <c r="S675" s="24" t="n"/>
      <c r="T675" s="24" t="n"/>
      <c r="V675">
        <f>IF(A675="","",MONTH(A675))</f>
        <v/>
      </c>
      <c r="W675">
        <f>N(W674)+IF(AND(C675&lt;&gt;"",T675&lt;&gt;""),IF(C675=WOCHE!$B$3,1,0),0)</f>
        <v/>
      </c>
      <c r="X675">
        <f>N(X674)+IF(AND(V675&lt;&gt;"",T675&lt;&gt;""),IF(V675=MONAT!$AZ$3,1,0),0)</f>
        <v/>
      </c>
    </row>
    <row r="676">
      <c r="A676" s="19" t="n"/>
      <c r="B676" s="20">
        <f>IF(A676="","",CHOOSE(WEEKDAY(A676,2),"Mo","Di","Mi","Do","Fr","Sa","So"))</f>
        <v/>
      </c>
      <c r="C676" s="20">
        <f>IF(A676="","",INT((A676-DATE(YEAR(A676-WEEKDAY(A676-1)+4),1,3)+WEEKDAY(DATE(YEAR(A676-WEEKDAY(A676-1)+4),1,3))+5)/7))</f>
        <v/>
      </c>
      <c r="D676" s="21" t="n"/>
      <c r="E676" s="22" t="n"/>
      <c r="F676" s="23" t="n"/>
      <c r="G676" s="23" t="n"/>
      <c r="H676" s="23" t="n"/>
      <c r="I676" s="20">
        <f>IF(COUNT(F676:H676)=0,"",SUM(F676:H676))</f>
        <v/>
      </c>
      <c r="J676" s="23" t="n"/>
      <c r="K676" s="23" t="n"/>
      <c r="L676" s="23" t="n"/>
      <c r="M676" s="23" t="n"/>
      <c r="N676" s="23" t="n"/>
      <c r="O676" s="20">
        <f>IF(OR(I676="",COUNT(J676:N676)=0),"",IF(SUM(J676:N676)=I676,"✓","⚠ "&amp;SUM(J676:N676)&amp;" statt "&amp;I676))</f>
        <v/>
      </c>
      <c r="P676" s="21" t="n"/>
      <c r="Q676" s="21" t="n"/>
      <c r="R676" s="21" t="n"/>
      <c r="S676" s="24" t="n"/>
      <c r="T676" s="24" t="n"/>
      <c r="V676">
        <f>IF(A676="","",MONTH(A676))</f>
        <v/>
      </c>
      <c r="W676">
        <f>N(W675)+IF(AND(C676&lt;&gt;"",T676&lt;&gt;""),IF(C676=WOCHE!$B$3,1,0),0)</f>
        <v/>
      </c>
      <c r="X676">
        <f>N(X675)+IF(AND(V676&lt;&gt;"",T676&lt;&gt;""),IF(V676=MONAT!$AZ$3,1,0),0)</f>
        <v/>
      </c>
    </row>
    <row r="677">
      <c r="A677" s="19" t="n"/>
      <c r="B677" s="20">
        <f>IF(A677="","",CHOOSE(WEEKDAY(A677,2),"Mo","Di","Mi","Do","Fr","Sa","So"))</f>
        <v/>
      </c>
      <c r="C677" s="20">
        <f>IF(A677="","",INT((A677-DATE(YEAR(A677-WEEKDAY(A677-1)+4),1,3)+WEEKDAY(DATE(YEAR(A677-WEEKDAY(A677-1)+4),1,3))+5)/7))</f>
        <v/>
      </c>
      <c r="D677" s="21" t="n"/>
      <c r="E677" s="22" t="n"/>
      <c r="F677" s="23" t="n"/>
      <c r="G677" s="23" t="n"/>
      <c r="H677" s="23" t="n"/>
      <c r="I677" s="20">
        <f>IF(COUNT(F677:H677)=0,"",SUM(F677:H677))</f>
        <v/>
      </c>
      <c r="J677" s="23" t="n"/>
      <c r="K677" s="23" t="n"/>
      <c r="L677" s="23" t="n"/>
      <c r="M677" s="23" t="n"/>
      <c r="N677" s="23" t="n"/>
      <c r="O677" s="20">
        <f>IF(OR(I677="",COUNT(J677:N677)=0),"",IF(SUM(J677:N677)=I677,"✓","⚠ "&amp;SUM(J677:N677)&amp;" statt "&amp;I677))</f>
        <v/>
      </c>
      <c r="P677" s="21" t="n"/>
      <c r="Q677" s="21" t="n"/>
      <c r="R677" s="21" t="n"/>
      <c r="S677" s="24" t="n"/>
      <c r="T677" s="24" t="n"/>
      <c r="V677">
        <f>IF(A677="","",MONTH(A677))</f>
        <v/>
      </c>
      <c r="W677">
        <f>N(W676)+IF(AND(C677&lt;&gt;"",T677&lt;&gt;""),IF(C677=WOCHE!$B$3,1,0),0)</f>
        <v/>
      </c>
      <c r="X677">
        <f>N(X676)+IF(AND(V677&lt;&gt;"",T677&lt;&gt;""),IF(V677=MONAT!$AZ$3,1,0),0)</f>
        <v/>
      </c>
    </row>
    <row r="678">
      <c r="A678" s="19" t="n"/>
      <c r="B678" s="20">
        <f>IF(A678="","",CHOOSE(WEEKDAY(A678,2),"Mo","Di","Mi","Do","Fr","Sa","So"))</f>
        <v/>
      </c>
      <c r="C678" s="20">
        <f>IF(A678="","",INT((A678-DATE(YEAR(A678-WEEKDAY(A678-1)+4),1,3)+WEEKDAY(DATE(YEAR(A678-WEEKDAY(A678-1)+4),1,3))+5)/7))</f>
        <v/>
      </c>
      <c r="D678" s="21" t="n"/>
      <c r="E678" s="22" t="n"/>
      <c r="F678" s="23" t="n"/>
      <c r="G678" s="23" t="n"/>
      <c r="H678" s="23" t="n"/>
      <c r="I678" s="20">
        <f>IF(COUNT(F678:H678)=0,"",SUM(F678:H678))</f>
        <v/>
      </c>
      <c r="J678" s="23" t="n"/>
      <c r="K678" s="23" t="n"/>
      <c r="L678" s="23" t="n"/>
      <c r="M678" s="23" t="n"/>
      <c r="N678" s="23" t="n"/>
      <c r="O678" s="20">
        <f>IF(OR(I678="",COUNT(J678:N678)=0),"",IF(SUM(J678:N678)=I678,"✓","⚠ "&amp;SUM(J678:N678)&amp;" statt "&amp;I678))</f>
        <v/>
      </c>
      <c r="P678" s="21" t="n"/>
      <c r="Q678" s="21" t="n"/>
      <c r="R678" s="21" t="n"/>
      <c r="S678" s="24" t="n"/>
      <c r="T678" s="24" t="n"/>
      <c r="V678">
        <f>IF(A678="","",MONTH(A678))</f>
        <v/>
      </c>
      <c r="W678">
        <f>N(W677)+IF(AND(C678&lt;&gt;"",T678&lt;&gt;""),IF(C678=WOCHE!$B$3,1,0),0)</f>
        <v/>
      </c>
      <c r="X678">
        <f>N(X677)+IF(AND(V678&lt;&gt;"",T678&lt;&gt;""),IF(V678=MONAT!$AZ$3,1,0),0)</f>
        <v/>
      </c>
    </row>
    <row r="679">
      <c r="A679" s="19" t="n"/>
      <c r="B679" s="20">
        <f>IF(A679="","",CHOOSE(WEEKDAY(A679,2),"Mo","Di","Mi","Do","Fr","Sa","So"))</f>
        <v/>
      </c>
      <c r="C679" s="20">
        <f>IF(A679="","",INT((A679-DATE(YEAR(A679-WEEKDAY(A679-1)+4),1,3)+WEEKDAY(DATE(YEAR(A679-WEEKDAY(A679-1)+4),1,3))+5)/7))</f>
        <v/>
      </c>
      <c r="D679" s="21" t="n"/>
      <c r="E679" s="22" t="n"/>
      <c r="F679" s="23" t="n"/>
      <c r="G679" s="23" t="n"/>
      <c r="H679" s="23" t="n"/>
      <c r="I679" s="20">
        <f>IF(COUNT(F679:H679)=0,"",SUM(F679:H679))</f>
        <v/>
      </c>
      <c r="J679" s="23" t="n"/>
      <c r="K679" s="23" t="n"/>
      <c r="L679" s="23" t="n"/>
      <c r="M679" s="23" t="n"/>
      <c r="N679" s="23" t="n"/>
      <c r="O679" s="20">
        <f>IF(OR(I679="",COUNT(J679:N679)=0),"",IF(SUM(J679:N679)=I679,"✓","⚠ "&amp;SUM(J679:N679)&amp;" statt "&amp;I679))</f>
        <v/>
      </c>
      <c r="P679" s="21" t="n"/>
      <c r="Q679" s="21" t="n"/>
      <c r="R679" s="21" t="n"/>
      <c r="S679" s="24" t="n"/>
      <c r="T679" s="24" t="n"/>
      <c r="V679">
        <f>IF(A679="","",MONTH(A679))</f>
        <v/>
      </c>
      <c r="W679">
        <f>N(W678)+IF(AND(C679&lt;&gt;"",T679&lt;&gt;""),IF(C679=WOCHE!$B$3,1,0),0)</f>
        <v/>
      </c>
      <c r="X679">
        <f>N(X678)+IF(AND(V679&lt;&gt;"",T679&lt;&gt;""),IF(V679=MONAT!$AZ$3,1,0),0)</f>
        <v/>
      </c>
    </row>
    <row r="680">
      <c r="A680" s="19" t="n"/>
      <c r="B680" s="20">
        <f>IF(A680="","",CHOOSE(WEEKDAY(A680,2),"Mo","Di","Mi","Do","Fr","Sa","So"))</f>
        <v/>
      </c>
      <c r="C680" s="20">
        <f>IF(A680="","",INT((A680-DATE(YEAR(A680-WEEKDAY(A680-1)+4),1,3)+WEEKDAY(DATE(YEAR(A680-WEEKDAY(A680-1)+4),1,3))+5)/7))</f>
        <v/>
      </c>
      <c r="D680" s="21" t="n"/>
      <c r="E680" s="22" t="n"/>
      <c r="F680" s="23" t="n"/>
      <c r="G680" s="23" t="n"/>
      <c r="H680" s="23" t="n"/>
      <c r="I680" s="20">
        <f>IF(COUNT(F680:H680)=0,"",SUM(F680:H680))</f>
        <v/>
      </c>
      <c r="J680" s="23" t="n"/>
      <c r="K680" s="23" t="n"/>
      <c r="L680" s="23" t="n"/>
      <c r="M680" s="23" t="n"/>
      <c r="N680" s="23" t="n"/>
      <c r="O680" s="20">
        <f>IF(OR(I680="",COUNT(J680:N680)=0),"",IF(SUM(J680:N680)=I680,"✓","⚠ "&amp;SUM(J680:N680)&amp;" statt "&amp;I680))</f>
        <v/>
      </c>
      <c r="P680" s="21" t="n"/>
      <c r="Q680" s="21" t="n"/>
      <c r="R680" s="21" t="n"/>
      <c r="S680" s="24" t="n"/>
      <c r="T680" s="24" t="n"/>
      <c r="V680">
        <f>IF(A680="","",MONTH(A680))</f>
        <v/>
      </c>
      <c r="W680">
        <f>N(W679)+IF(AND(C680&lt;&gt;"",T680&lt;&gt;""),IF(C680=WOCHE!$B$3,1,0),0)</f>
        <v/>
      </c>
      <c r="X680">
        <f>N(X679)+IF(AND(V680&lt;&gt;"",T680&lt;&gt;""),IF(V680=MONAT!$AZ$3,1,0),0)</f>
        <v/>
      </c>
    </row>
    <row r="681">
      <c r="A681" s="19" t="n"/>
      <c r="B681" s="20">
        <f>IF(A681="","",CHOOSE(WEEKDAY(A681,2),"Mo","Di","Mi","Do","Fr","Sa","So"))</f>
        <v/>
      </c>
      <c r="C681" s="20">
        <f>IF(A681="","",INT((A681-DATE(YEAR(A681-WEEKDAY(A681-1)+4),1,3)+WEEKDAY(DATE(YEAR(A681-WEEKDAY(A681-1)+4),1,3))+5)/7))</f>
        <v/>
      </c>
      <c r="D681" s="21" t="n"/>
      <c r="E681" s="22" t="n"/>
      <c r="F681" s="23" t="n"/>
      <c r="G681" s="23" t="n"/>
      <c r="H681" s="23" t="n"/>
      <c r="I681" s="20">
        <f>IF(COUNT(F681:H681)=0,"",SUM(F681:H681))</f>
        <v/>
      </c>
      <c r="J681" s="23" t="n"/>
      <c r="K681" s="23" t="n"/>
      <c r="L681" s="23" t="n"/>
      <c r="M681" s="23" t="n"/>
      <c r="N681" s="23" t="n"/>
      <c r="O681" s="20">
        <f>IF(OR(I681="",COUNT(J681:N681)=0),"",IF(SUM(J681:N681)=I681,"✓","⚠ "&amp;SUM(J681:N681)&amp;" statt "&amp;I681))</f>
        <v/>
      </c>
      <c r="P681" s="21" t="n"/>
      <c r="Q681" s="21" t="n"/>
      <c r="R681" s="21" t="n"/>
      <c r="S681" s="24" t="n"/>
      <c r="T681" s="24" t="n"/>
      <c r="V681">
        <f>IF(A681="","",MONTH(A681))</f>
        <v/>
      </c>
      <c r="W681">
        <f>N(W680)+IF(AND(C681&lt;&gt;"",T681&lt;&gt;""),IF(C681=WOCHE!$B$3,1,0),0)</f>
        <v/>
      </c>
      <c r="X681">
        <f>N(X680)+IF(AND(V681&lt;&gt;"",T681&lt;&gt;""),IF(V681=MONAT!$AZ$3,1,0),0)</f>
        <v/>
      </c>
    </row>
    <row r="682">
      <c r="A682" s="19" t="n"/>
      <c r="B682" s="20">
        <f>IF(A682="","",CHOOSE(WEEKDAY(A682,2),"Mo","Di","Mi","Do","Fr","Sa","So"))</f>
        <v/>
      </c>
      <c r="C682" s="20">
        <f>IF(A682="","",INT((A682-DATE(YEAR(A682-WEEKDAY(A682-1)+4),1,3)+WEEKDAY(DATE(YEAR(A682-WEEKDAY(A682-1)+4),1,3))+5)/7))</f>
        <v/>
      </c>
      <c r="D682" s="21" t="n"/>
      <c r="E682" s="22" t="n"/>
      <c r="F682" s="23" t="n"/>
      <c r="G682" s="23" t="n"/>
      <c r="H682" s="23" t="n"/>
      <c r="I682" s="20">
        <f>IF(COUNT(F682:H682)=0,"",SUM(F682:H682))</f>
        <v/>
      </c>
      <c r="J682" s="23" t="n"/>
      <c r="K682" s="23" t="n"/>
      <c r="L682" s="23" t="n"/>
      <c r="M682" s="23" t="n"/>
      <c r="N682" s="23" t="n"/>
      <c r="O682" s="20">
        <f>IF(OR(I682="",COUNT(J682:N682)=0),"",IF(SUM(J682:N682)=I682,"✓","⚠ "&amp;SUM(J682:N682)&amp;" statt "&amp;I682))</f>
        <v/>
      </c>
      <c r="P682" s="21" t="n"/>
      <c r="Q682" s="21" t="n"/>
      <c r="R682" s="21" t="n"/>
      <c r="S682" s="24" t="n"/>
      <c r="T682" s="24" t="n"/>
      <c r="V682">
        <f>IF(A682="","",MONTH(A682))</f>
        <v/>
      </c>
      <c r="W682">
        <f>N(W681)+IF(AND(C682&lt;&gt;"",T682&lt;&gt;""),IF(C682=WOCHE!$B$3,1,0),0)</f>
        <v/>
      </c>
      <c r="X682">
        <f>N(X681)+IF(AND(V682&lt;&gt;"",T682&lt;&gt;""),IF(V682=MONAT!$AZ$3,1,0),0)</f>
        <v/>
      </c>
    </row>
    <row r="683">
      <c r="A683" s="19" t="n"/>
      <c r="B683" s="20">
        <f>IF(A683="","",CHOOSE(WEEKDAY(A683,2),"Mo","Di","Mi","Do","Fr","Sa","So"))</f>
        <v/>
      </c>
      <c r="C683" s="20">
        <f>IF(A683="","",INT((A683-DATE(YEAR(A683-WEEKDAY(A683-1)+4),1,3)+WEEKDAY(DATE(YEAR(A683-WEEKDAY(A683-1)+4),1,3))+5)/7))</f>
        <v/>
      </c>
      <c r="D683" s="21" t="n"/>
      <c r="E683" s="22" t="n"/>
      <c r="F683" s="23" t="n"/>
      <c r="G683" s="23" t="n"/>
      <c r="H683" s="23" t="n"/>
      <c r="I683" s="20">
        <f>IF(COUNT(F683:H683)=0,"",SUM(F683:H683))</f>
        <v/>
      </c>
      <c r="J683" s="23" t="n"/>
      <c r="K683" s="23" t="n"/>
      <c r="L683" s="23" t="n"/>
      <c r="M683" s="23" t="n"/>
      <c r="N683" s="23" t="n"/>
      <c r="O683" s="20">
        <f>IF(OR(I683="",COUNT(J683:N683)=0),"",IF(SUM(J683:N683)=I683,"✓","⚠ "&amp;SUM(J683:N683)&amp;" statt "&amp;I683))</f>
        <v/>
      </c>
      <c r="P683" s="21" t="n"/>
      <c r="Q683" s="21" t="n"/>
      <c r="R683" s="21" t="n"/>
      <c r="S683" s="24" t="n"/>
      <c r="T683" s="24" t="n"/>
      <c r="V683">
        <f>IF(A683="","",MONTH(A683))</f>
        <v/>
      </c>
      <c r="W683">
        <f>N(W682)+IF(AND(C683&lt;&gt;"",T683&lt;&gt;""),IF(C683=WOCHE!$B$3,1,0),0)</f>
        <v/>
      </c>
      <c r="X683">
        <f>N(X682)+IF(AND(V683&lt;&gt;"",T683&lt;&gt;""),IF(V683=MONAT!$AZ$3,1,0),0)</f>
        <v/>
      </c>
    </row>
    <row r="684">
      <c r="A684" s="19" t="n"/>
      <c r="B684" s="20">
        <f>IF(A684="","",CHOOSE(WEEKDAY(A684,2),"Mo","Di","Mi","Do","Fr","Sa","So"))</f>
        <v/>
      </c>
      <c r="C684" s="20">
        <f>IF(A684="","",INT((A684-DATE(YEAR(A684-WEEKDAY(A684-1)+4),1,3)+WEEKDAY(DATE(YEAR(A684-WEEKDAY(A684-1)+4),1,3))+5)/7))</f>
        <v/>
      </c>
      <c r="D684" s="21" t="n"/>
      <c r="E684" s="22" t="n"/>
      <c r="F684" s="23" t="n"/>
      <c r="G684" s="23" t="n"/>
      <c r="H684" s="23" t="n"/>
      <c r="I684" s="20">
        <f>IF(COUNT(F684:H684)=0,"",SUM(F684:H684))</f>
        <v/>
      </c>
      <c r="J684" s="23" t="n"/>
      <c r="K684" s="23" t="n"/>
      <c r="L684" s="23" t="n"/>
      <c r="M684" s="23" t="n"/>
      <c r="N684" s="23" t="n"/>
      <c r="O684" s="20">
        <f>IF(OR(I684="",COUNT(J684:N684)=0),"",IF(SUM(J684:N684)=I684,"✓","⚠ "&amp;SUM(J684:N684)&amp;" statt "&amp;I684))</f>
        <v/>
      </c>
      <c r="P684" s="21" t="n"/>
      <c r="Q684" s="21" t="n"/>
      <c r="R684" s="21" t="n"/>
      <c r="S684" s="24" t="n"/>
      <c r="T684" s="24" t="n"/>
      <c r="V684">
        <f>IF(A684="","",MONTH(A684))</f>
        <v/>
      </c>
      <c r="W684">
        <f>N(W683)+IF(AND(C684&lt;&gt;"",T684&lt;&gt;""),IF(C684=WOCHE!$B$3,1,0),0)</f>
        <v/>
      </c>
      <c r="X684">
        <f>N(X683)+IF(AND(V684&lt;&gt;"",T684&lt;&gt;""),IF(V684=MONAT!$AZ$3,1,0),0)</f>
        <v/>
      </c>
    </row>
    <row r="685">
      <c r="A685" s="19" t="n"/>
      <c r="B685" s="20">
        <f>IF(A685="","",CHOOSE(WEEKDAY(A685,2),"Mo","Di","Mi","Do","Fr","Sa","So"))</f>
        <v/>
      </c>
      <c r="C685" s="20">
        <f>IF(A685="","",INT((A685-DATE(YEAR(A685-WEEKDAY(A685-1)+4),1,3)+WEEKDAY(DATE(YEAR(A685-WEEKDAY(A685-1)+4),1,3))+5)/7))</f>
        <v/>
      </c>
      <c r="D685" s="21" t="n"/>
      <c r="E685" s="22" t="n"/>
      <c r="F685" s="23" t="n"/>
      <c r="G685" s="23" t="n"/>
      <c r="H685" s="23" t="n"/>
      <c r="I685" s="20">
        <f>IF(COUNT(F685:H685)=0,"",SUM(F685:H685))</f>
        <v/>
      </c>
      <c r="J685" s="23" t="n"/>
      <c r="K685" s="23" t="n"/>
      <c r="L685" s="23" t="n"/>
      <c r="M685" s="23" t="n"/>
      <c r="N685" s="23" t="n"/>
      <c r="O685" s="20">
        <f>IF(OR(I685="",COUNT(J685:N685)=0),"",IF(SUM(J685:N685)=I685,"✓","⚠ "&amp;SUM(J685:N685)&amp;" statt "&amp;I685))</f>
        <v/>
      </c>
      <c r="P685" s="21" t="n"/>
      <c r="Q685" s="21" t="n"/>
      <c r="R685" s="21" t="n"/>
      <c r="S685" s="24" t="n"/>
      <c r="T685" s="24" t="n"/>
      <c r="V685">
        <f>IF(A685="","",MONTH(A685))</f>
        <v/>
      </c>
      <c r="W685">
        <f>N(W684)+IF(AND(C685&lt;&gt;"",T685&lt;&gt;""),IF(C685=WOCHE!$B$3,1,0),0)</f>
        <v/>
      </c>
      <c r="X685">
        <f>N(X684)+IF(AND(V685&lt;&gt;"",T685&lt;&gt;""),IF(V685=MONAT!$AZ$3,1,0),0)</f>
        <v/>
      </c>
    </row>
    <row r="686">
      <c r="A686" s="19" t="n"/>
      <c r="B686" s="20">
        <f>IF(A686="","",CHOOSE(WEEKDAY(A686,2),"Mo","Di","Mi","Do","Fr","Sa","So"))</f>
        <v/>
      </c>
      <c r="C686" s="20">
        <f>IF(A686="","",INT((A686-DATE(YEAR(A686-WEEKDAY(A686-1)+4),1,3)+WEEKDAY(DATE(YEAR(A686-WEEKDAY(A686-1)+4),1,3))+5)/7))</f>
        <v/>
      </c>
      <c r="D686" s="21" t="n"/>
      <c r="E686" s="22" t="n"/>
      <c r="F686" s="23" t="n"/>
      <c r="G686" s="23" t="n"/>
      <c r="H686" s="23" t="n"/>
      <c r="I686" s="20">
        <f>IF(COUNT(F686:H686)=0,"",SUM(F686:H686))</f>
        <v/>
      </c>
      <c r="J686" s="23" t="n"/>
      <c r="K686" s="23" t="n"/>
      <c r="L686" s="23" t="n"/>
      <c r="M686" s="23" t="n"/>
      <c r="N686" s="23" t="n"/>
      <c r="O686" s="20">
        <f>IF(OR(I686="",COUNT(J686:N686)=0),"",IF(SUM(J686:N686)=I686,"✓","⚠ "&amp;SUM(J686:N686)&amp;" statt "&amp;I686))</f>
        <v/>
      </c>
      <c r="P686" s="21" t="n"/>
      <c r="Q686" s="21" t="n"/>
      <c r="R686" s="21" t="n"/>
      <c r="S686" s="24" t="n"/>
      <c r="T686" s="24" t="n"/>
      <c r="V686">
        <f>IF(A686="","",MONTH(A686))</f>
        <v/>
      </c>
      <c r="W686">
        <f>N(W685)+IF(AND(C686&lt;&gt;"",T686&lt;&gt;""),IF(C686=WOCHE!$B$3,1,0),0)</f>
        <v/>
      </c>
      <c r="X686">
        <f>N(X685)+IF(AND(V686&lt;&gt;"",T686&lt;&gt;""),IF(V686=MONAT!$AZ$3,1,0),0)</f>
        <v/>
      </c>
    </row>
    <row r="687">
      <c r="A687" s="19" t="n"/>
      <c r="B687" s="20">
        <f>IF(A687="","",CHOOSE(WEEKDAY(A687,2),"Mo","Di","Mi","Do","Fr","Sa","So"))</f>
        <v/>
      </c>
      <c r="C687" s="20">
        <f>IF(A687="","",INT((A687-DATE(YEAR(A687-WEEKDAY(A687-1)+4),1,3)+WEEKDAY(DATE(YEAR(A687-WEEKDAY(A687-1)+4),1,3))+5)/7))</f>
        <v/>
      </c>
      <c r="D687" s="21" t="n"/>
      <c r="E687" s="22" t="n"/>
      <c r="F687" s="23" t="n"/>
      <c r="G687" s="23" t="n"/>
      <c r="H687" s="23" t="n"/>
      <c r="I687" s="20">
        <f>IF(COUNT(F687:H687)=0,"",SUM(F687:H687))</f>
        <v/>
      </c>
      <c r="J687" s="23" t="n"/>
      <c r="K687" s="23" t="n"/>
      <c r="L687" s="23" t="n"/>
      <c r="M687" s="23" t="n"/>
      <c r="N687" s="23" t="n"/>
      <c r="O687" s="20">
        <f>IF(OR(I687="",COUNT(J687:N687)=0),"",IF(SUM(J687:N687)=I687,"✓","⚠ "&amp;SUM(J687:N687)&amp;" statt "&amp;I687))</f>
        <v/>
      </c>
      <c r="P687" s="21" t="n"/>
      <c r="Q687" s="21" t="n"/>
      <c r="R687" s="21" t="n"/>
      <c r="S687" s="24" t="n"/>
      <c r="T687" s="24" t="n"/>
      <c r="V687">
        <f>IF(A687="","",MONTH(A687))</f>
        <v/>
      </c>
      <c r="W687">
        <f>N(W686)+IF(AND(C687&lt;&gt;"",T687&lt;&gt;""),IF(C687=WOCHE!$B$3,1,0),0)</f>
        <v/>
      </c>
      <c r="X687">
        <f>N(X686)+IF(AND(V687&lt;&gt;"",T687&lt;&gt;""),IF(V687=MONAT!$AZ$3,1,0),0)</f>
        <v/>
      </c>
    </row>
    <row r="688">
      <c r="A688" s="19" t="n"/>
      <c r="B688" s="20">
        <f>IF(A688="","",CHOOSE(WEEKDAY(A688,2),"Mo","Di","Mi","Do","Fr","Sa","So"))</f>
        <v/>
      </c>
      <c r="C688" s="20">
        <f>IF(A688="","",INT((A688-DATE(YEAR(A688-WEEKDAY(A688-1)+4),1,3)+WEEKDAY(DATE(YEAR(A688-WEEKDAY(A688-1)+4),1,3))+5)/7))</f>
        <v/>
      </c>
      <c r="D688" s="21" t="n"/>
      <c r="E688" s="22" t="n"/>
      <c r="F688" s="23" t="n"/>
      <c r="G688" s="23" t="n"/>
      <c r="H688" s="23" t="n"/>
      <c r="I688" s="20">
        <f>IF(COUNT(F688:H688)=0,"",SUM(F688:H688))</f>
        <v/>
      </c>
      <c r="J688" s="23" t="n"/>
      <c r="K688" s="23" t="n"/>
      <c r="L688" s="23" t="n"/>
      <c r="M688" s="23" t="n"/>
      <c r="N688" s="23" t="n"/>
      <c r="O688" s="20">
        <f>IF(OR(I688="",COUNT(J688:N688)=0),"",IF(SUM(J688:N688)=I688,"✓","⚠ "&amp;SUM(J688:N688)&amp;" statt "&amp;I688))</f>
        <v/>
      </c>
      <c r="P688" s="21" t="n"/>
      <c r="Q688" s="21" t="n"/>
      <c r="R688" s="21" t="n"/>
      <c r="S688" s="24" t="n"/>
      <c r="T688" s="24" t="n"/>
      <c r="V688">
        <f>IF(A688="","",MONTH(A688))</f>
        <v/>
      </c>
      <c r="W688">
        <f>N(W687)+IF(AND(C688&lt;&gt;"",T688&lt;&gt;""),IF(C688=WOCHE!$B$3,1,0),0)</f>
        <v/>
      </c>
      <c r="X688">
        <f>N(X687)+IF(AND(V688&lt;&gt;"",T688&lt;&gt;""),IF(V688=MONAT!$AZ$3,1,0),0)</f>
        <v/>
      </c>
    </row>
    <row r="689">
      <c r="A689" s="19" t="n"/>
      <c r="B689" s="20">
        <f>IF(A689="","",CHOOSE(WEEKDAY(A689,2),"Mo","Di","Mi","Do","Fr","Sa","So"))</f>
        <v/>
      </c>
      <c r="C689" s="20">
        <f>IF(A689="","",INT((A689-DATE(YEAR(A689-WEEKDAY(A689-1)+4),1,3)+WEEKDAY(DATE(YEAR(A689-WEEKDAY(A689-1)+4),1,3))+5)/7))</f>
        <v/>
      </c>
      <c r="D689" s="21" t="n"/>
      <c r="E689" s="22" t="n"/>
      <c r="F689" s="23" t="n"/>
      <c r="G689" s="23" t="n"/>
      <c r="H689" s="23" t="n"/>
      <c r="I689" s="20">
        <f>IF(COUNT(F689:H689)=0,"",SUM(F689:H689))</f>
        <v/>
      </c>
      <c r="J689" s="23" t="n"/>
      <c r="K689" s="23" t="n"/>
      <c r="L689" s="23" t="n"/>
      <c r="M689" s="23" t="n"/>
      <c r="N689" s="23" t="n"/>
      <c r="O689" s="20">
        <f>IF(OR(I689="",COUNT(J689:N689)=0),"",IF(SUM(J689:N689)=I689,"✓","⚠ "&amp;SUM(J689:N689)&amp;" statt "&amp;I689))</f>
        <v/>
      </c>
      <c r="P689" s="21" t="n"/>
      <c r="Q689" s="21" t="n"/>
      <c r="R689" s="21" t="n"/>
      <c r="S689" s="24" t="n"/>
      <c r="T689" s="24" t="n"/>
      <c r="V689">
        <f>IF(A689="","",MONTH(A689))</f>
        <v/>
      </c>
      <c r="W689">
        <f>N(W688)+IF(AND(C689&lt;&gt;"",T689&lt;&gt;""),IF(C689=WOCHE!$B$3,1,0),0)</f>
        <v/>
      </c>
      <c r="X689">
        <f>N(X688)+IF(AND(V689&lt;&gt;"",T689&lt;&gt;""),IF(V689=MONAT!$AZ$3,1,0),0)</f>
        <v/>
      </c>
    </row>
    <row r="690">
      <c r="A690" s="19" t="n"/>
      <c r="B690" s="20">
        <f>IF(A690="","",CHOOSE(WEEKDAY(A690,2),"Mo","Di","Mi","Do","Fr","Sa","So"))</f>
        <v/>
      </c>
      <c r="C690" s="20">
        <f>IF(A690="","",INT((A690-DATE(YEAR(A690-WEEKDAY(A690-1)+4),1,3)+WEEKDAY(DATE(YEAR(A690-WEEKDAY(A690-1)+4),1,3))+5)/7))</f>
        <v/>
      </c>
      <c r="D690" s="21" t="n"/>
      <c r="E690" s="22" t="n"/>
      <c r="F690" s="23" t="n"/>
      <c r="G690" s="23" t="n"/>
      <c r="H690" s="23" t="n"/>
      <c r="I690" s="20">
        <f>IF(COUNT(F690:H690)=0,"",SUM(F690:H690))</f>
        <v/>
      </c>
      <c r="J690" s="23" t="n"/>
      <c r="K690" s="23" t="n"/>
      <c r="L690" s="23" t="n"/>
      <c r="M690" s="23" t="n"/>
      <c r="N690" s="23" t="n"/>
      <c r="O690" s="20">
        <f>IF(OR(I690="",COUNT(J690:N690)=0),"",IF(SUM(J690:N690)=I690,"✓","⚠ "&amp;SUM(J690:N690)&amp;" statt "&amp;I690))</f>
        <v/>
      </c>
      <c r="P690" s="21" t="n"/>
      <c r="Q690" s="21" t="n"/>
      <c r="R690" s="21" t="n"/>
      <c r="S690" s="24" t="n"/>
      <c r="T690" s="24" t="n"/>
      <c r="V690">
        <f>IF(A690="","",MONTH(A690))</f>
        <v/>
      </c>
      <c r="W690">
        <f>N(W689)+IF(AND(C690&lt;&gt;"",T690&lt;&gt;""),IF(C690=WOCHE!$B$3,1,0),0)</f>
        <v/>
      </c>
      <c r="X690">
        <f>N(X689)+IF(AND(V690&lt;&gt;"",T690&lt;&gt;""),IF(V690=MONAT!$AZ$3,1,0),0)</f>
        <v/>
      </c>
    </row>
    <row r="691">
      <c r="A691" s="19" t="n"/>
      <c r="B691" s="20">
        <f>IF(A691="","",CHOOSE(WEEKDAY(A691,2),"Mo","Di","Mi","Do","Fr","Sa","So"))</f>
        <v/>
      </c>
      <c r="C691" s="20">
        <f>IF(A691="","",INT((A691-DATE(YEAR(A691-WEEKDAY(A691-1)+4),1,3)+WEEKDAY(DATE(YEAR(A691-WEEKDAY(A691-1)+4),1,3))+5)/7))</f>
        <v/>
      </c>
      <c r="D691" s="21" t="n"/>
      <c r="E691" s="22" t="n"/>
      <c r="F691" s="23" t="n"/>
      <c r="G691" s="23" t="n"/>
      <c r="H691" s="23" t="n"/>
      <c r="I691" s="20">
        <f>IF(COUNT(F691:H691)=0,"",SUM(F691:H691))</f>
        <v/>
      </c>
      <c r="J691" s="23" t="n"/>
      <c r="K691" s="23" t="n"/>
      <c r="L691" s="23" t="n"/>
      <c r="M691" s="23" t="n"/>
      <c r="N691" s="23" t="n"/>
      <c r="O691" s="20">
        <f>IF(OR(I691="",COUNT(J691:N691)=0),"",IF(SUM(J691:N691)=I691,"✓","⚠ "&amp;SUM(J691:N691)&amp;" statt "&amp;I691))</f>
        <v/>
      </c>
      <c r="P691" s="21" t="n"/>
      <c r="Q691" s="21" t="n"/>
      <c r="R691" s="21" t="n"/>
      <c r="S691" s="24" t="n"/>
      <c r="T691" s="24" t="n"/>
      <c r="V691">
        <f>IF(A691="","",MONTH(A691))</f>
        <v/>
      </c>
      <c r="W691">
        <f>N(W690)+IF(AND(C691&lt;&gt;"",T691&lt;&gt;""),IF(C691=WOCHE!$B$3,1,0),0)</f>
        <v/>
      </c>
      <c r="X691">
        <f>N(X690)+IF(AND(V691&lt;&gt;"",T691&lt;&gt;""),IF(V691=MONAT!$AZ$3,1,0),0)</f>
        <v/>
      </c>
    </row>
    <row r="692">
      <c r="A692" s="19" t="n"/>
      <c r="B692" s="20">
        <f>IF(A692="","",CHOOSE(WEEKDAY(A692,2),"Mo","Di","Mi","Do","Fr","Sa","So"))</f>
        <v/>
      </c>
      <c r="C692" s="20">
        <f>IF(A692="","",INT((A692-DATE(YEAR(A692-WEEKDAY(A692-1)+4),1,3)+WEEKDAY(DATE(YEAR(A692-WEEKDAY(A692-1)+4),1,3))+5)/7))</f>
        <v/>
      </c>
      <c r="D692" s="21" t="n"/>
      <c r="E692" s="22" t="n"/>
      <c r="F692" s="23" t="n"/>
      <c r="G692" s="23" t="n"/>
      <c r="H692" s="23" t="n"/>
      <c r="I692" s="20">
        <f>IF(COUNT(F692:H692)=0,"",SUM(F692:H692))</f>
        <v/>
      </c>
      <c r="J692" s="23" t="n"/>
      <c r="K692" s="23" t="n"/>
      <c r="L692" s="23" t="n"/>
      <c r="M692" s="23" t="n"/>
      <c r="N692" s="23" t="n"/>
      <c r="O692" s="20">
        <f>IF(OR(I692="",COUNT(J692:N692)=0),"",IF(SUM(J692:N692)=I692,"✓","⚠ "&amp;SUM(J692:N692)&amp;" statt "&amp;I692))</f>
        <v/>
      </c>
      <c r="P692" s="21" t="n"/>
      <c r="Q692" s="21" t="n"/>
      <c r="R692" s="21" t="n"/>
      <c r="S692" s="24" t="n"/>
      <c r="T692" s="24" t="n"/>
      <c r="V692">
        <f>IF(A692="","",MONTH(A692))</f>
        <v/>
      </c>
      <c r="W692">
        <f>N(W691)+IF(AND(C692&lt;&gt;"",T692&lt;&gt;""),IF(C692=WOCHE!$B$3,1,0),0)</f>
        <v/>
      </c>
      <c r="X692">
        <f>N(X691)+IF(AND(V692&lt;&gt;"",T692&lt;&gt;""),IF(V692=MONAT!$AZ$3,1,0),0)</f>
        <v/>
      </c>
    </row>
    <row r="693">
      <c r="A693" s="19" t="n"/>
      <c r="B693" s="20">
        <f>IF(A693="","",CHOOSE(WEEKDAY(A693,2),"Mo","Di","Mi","Do","Fr","Sa","So"))</f>
        <v/>
      </c>
      <c r="C693" s="20">
        <f>IF(A693="","",INT((A693-DATE(YEAR(A693-WEEKDAY(A693-1)+4),1,3)+WEEKDAY(DATE(YEAR(A693-WEEKDAY(A693-1)+4),1,3))+5)/7))</f>
        <v/>
      </c>
      <c r="D693" s="21" t="n"/>
      <c r="E693" s="22" t="n"/>
      <c r="F693" s="23" t="n"/>
      <c r="G693" s="23" t="n"/>
      <c r="H693" s="23" t="n"/>
      <c r="I693" s="20">
        <f>IF(COUNT(F693:H693)=0,"",SUM(F693:H693))</f>
        <v/>
      </c>
      <c r="J693" s="23" t="n"/>
      <c r="K693" s="23" t="n"/>
      <c r="L693" s="23" t="n"/>
      <c r="M693" s="23" t="n"/>
      <c r="N693" s="23" t="n"/>
      <c r="O693" s="20">
        <f>IF(OR(I693="",COUNT(J693:N693)=0),"",IF(SUM(J693:N693)=I693,"✓","⚠ "&amp;SUM(J693:N693)&amp;" statt "&amp;I693))</f>
        <v/>
      </c>
      <c r="P693" s="21" t="n"/>
      <c r="Q693" s="21" t="n"/>
      <c r="R693" s="21" t="n"/>
      <c r="S693" s="24" t="n"/>
      <c r="T693" s="24" t="n"/>
      <c r="V693">
        <f>IF(A693="","",MONTH(A693))</f>
        <v/>
      </c>
      <c r="W693">
        <f>N(W692)+IF(AND(C693&lt;&gt;"",T693&lt;&gt;""),IF(C693=WOCHE!$B$3,1,0),0)</f>
        <v/>
      </c>
      <c r="X693">
        <f>N(X692)+IF(AND(V693&lt;&gt;"",T693&lt;&gt;""),IF(V693=MONAT!$AZ$3,1,0),0)</f>
        <v/>
      </c>
    </row>
    <row r="694">
      <c r="A694" s="19" t="n"/>
      <c r="B694" s="20">
        <f>IF(A694="","",CHOOSE(WEEKDAY(A694,2),"Mo","Di","Mi","Do","Fr","Sa","So"))</f>
        <v/>
      </c>
      <c r="C694" s="20">
        <f>IF(A694="","",INT((A694-DATE(YEAR(A694-WEEKDAY(A694-1)+4),1,3)+WEEKDAY(DATE(YEAR(A694-WEEKDAY(A694-1)+4),1,3))+5)/7))</f>
        <v/>
      </c>
      <c r="D694" s="21" t="n"/>
      <c r="E694" s="22" t="n"/>
      <c r="F694" s="23" t="n"/>
      <c r="G694" s="23" t="n"/>
      <c r="H694" s="23" t="n"/>
      <c r="I694" s="20">
        <f>IF(COUNT(F694:H694)=0,"",SUM(F694:H694))</f>
        <v/>
      </c>
      <c r="J694" s="23" t="n"/>
      <c r="K694" s="23" t="n"/>
      <c r="L694" s="23" t="n"/>
      <c r="M694" s="23" t="n"/>
      <c r="N694" s="23" t="n"/>
      <c r="O694" s="20">
        <f>IF(OR(I694="",COUNT(J694:N694)=0),"",IF(SUM(J694:N694)=I694,"✓","⚠ "&amp;SUM(J694:N694)&amp;" statt "&amp;I694))</f>
        <v/>
      </c>
      <c r="P694" s="21" t="n"/>
      <c r="Q694" s="21" t="n"/>
      <c r="R694" s="21" t="n"/>
      <c r="S694" s="24" t="n"/>
      <c r="T694" s="24" t="n"/>
      <c r="V694">
        <f>IF(A694="","",MONTH(A694))</f>
        <v/>
      </c>
      <c r="W694">
        <f>N(W693)+IF(AND(C694&lt;&gt;"",T694&lt;&gt;""),IF(C694=WOCHE!$B$3,1,0),0)</f>
        <v/>
      </c>
      <c r="X694">
        <f>N(X693)+IF(AND(V694&lt;&gt;"",T694&lt;&gt;""),IF(V694=MONAT!$AZ$3,1,0),0)</f>
        <v/>
      </c>
    </row>
    <row r="695">
      <c r="A695" s="19" t="n"/>
      <c r="B695" s="20">
        <f>IF(A695="","",CHOOSE(WEEKDAY(A695,2),"Mo","Di","Mi","Do","Fr","Sa","So"))</f>
        <v/>
      </c>
      <c r="C695" s="20">
        <f>IF(A695="","",INT((A695-DATE(YEAR(A695-WEEKDAY(A695-1)+4),1,3)+WEEKDAY(DATE(YEAR(A695-WEEKDAY(A695-1)+4),1,3))+5)/7))</f>
        <v/>
      </c>
      <c r="D695" s="21" t="n"/>
      <c r="E695" s="22" t="n"/>
      <c r="F695" s="23" t="n"/>
      <c r="G695" s="23" t="n"/>
      <c r="H695" s="23" t="n"/>
      <c r="I695" s="20">
        <f>IF(COUNT(F695:H695)=0,"",SUM(F695:H695))</f>
        <v/>
      </c>
      <c r="J695" s="23" t="n"/>
      <c r="K695" s="23" t="n"/>
      <c r="L695" s="23" t="n"/>
      <c r="M695" s="23" t="n"/>
      <c r="N695" s="23" t="n"/>
      <c r="O695" s="20">
        <f>IF(OR(I695="",COUNT(J695:N695)=0),"",IF(SUM(J695:N695)=I695,"✓","⚠ "&amp;SUM(J695:N695)&amp;" statt "&amp;I695))</f>
        <v/>
      </c>
      <c r="P695" s="21" t="n"/>
      <c r="Q695" s="21" t="n"/>
      <c r="R695" s="21" t="n"/>
      <c r="S695" s="24" t="n"/>
      <c r="T695" s="24" t="n"/>
      <c r="V695">
        <f>IF(A695="","",MONTH(A695))</f>
        <v/>
      </c>
      <c r="W695">
        <f>N(W694)+IF(AND(C695&lt;&gt;"",T695&lt;&gt;""),IF(C695=WOCHE!$B$3,1,0),0)</f>
        <v/>
      </c>
      <c r="X695">
        <f>N(X694)+IF(AND(V695&lt;&gt;"",T695&lt;&gt;""),IF(V695=MONAT!$AZ$3,1,0),0)</f>
        <v/>
      </c>
    </row>
    <row r="696">
      <c r="A696" s="19" t="n"/>
      <c r="B696" s="20">
        <f>IF(A696="","",CHOOSE(WEEKDAY(A696,2),"Mo","Di","Mi","Do","Fr","Sa","So"))</f>
        <v/>
      </c>
      <c r="C696" s="20">
        <f>IF(A696="","",INT((A696-DATE(YEAR(A696-WEEKDAY(A696-1)+4),1,3)+WEEKDAY(DATE(YEAR(A696-WEEKDAY(A696-1)+4),1,3))+5)/7))</f>
        <v/>
      </c>
      <c r="D696" s="21" t="n"/>
      <c r="E696" s="22" t="n"/>
      <c r="F696" s="23" t="n"/>
      <c r="G696" s="23" t="n"/>
      <c r="H696" s="23" t="n"/>
      <c r="I696" s="20">
        <f>IF(COUNT(F696:H696)=0,"",SUM(F696:H696))</f>
        <v/>
      </c>
      <c r="J696" s="23" t="n"/>
      <c r="K696" s="23" t="n"/>
      <c r="L696" s="23" t="n"/>
      <c r="M696" s="23" t="n"/>
      <c r="N696" s="23" t="n"/>
      <c r="O696" s="20">
        <f>IF(OR(I696="",COUNT(J696:N696)=0),"",IF(SUM(J696:N696)=I696,"✓","⚠ "&amp;SUM(J696:N696)&amp;" statt "&amp;I696))</f>
        <v/>
      </c>
      <c r="P696" s="21" t="n"/>
      <c r="Q696" s="21" t="n"/>
      <c r="R696" s="21" t="n"/>
      <c r="S696" s="24" t="n"/>
      <c r="T696" s="24" t="n"/>
      <c r="V696">
        <f>IF(A696="","",MONTH(A696))</f>
        <v/>
      </c>
      <c r="W696">
        <f>N(W695)+IF(AND(C696&lt;&gt;"",T696&lt;&gt;""),IF(C696=WOCHE!$B$3,1,0),0)</f>
        <v/>
      </c>
      <c r="X696">
        <f>N(X695)+IF(AND(V696&lt;&gt;"",T696&lt;&gt;""),IF(V696=MONAT!$AZ$3,1,0),0)</f>
        <v/>
      </c>
    </row>
    <row r="697">
      <c r="A697" s="19" t="n"/>
      <c r="B697" s="20">
        <f>IF(A697="","",CHOOSE(WEEKDAY(A697,2),"Mo","Di","Mi","Do","Fr","Sa","So"))</f>
        <v/>
      </c>
      <c r="C697" s="20">
        <f>IF(A697="","",INT((A697-DATE(YEAR(A697-WEEKDAY(A697-1)+4),1,3)+WEEKDAY(DATE(YEAR(A697-WEEKDAY(A697-1)+4),1,3))+5)/7))</f>
        <v/>
      </c>
      <c r="D697" s="21" t="n"/>
      <c r="E697" s="22" t="n"/>
      <c r="F697" s="23" t="n"/>
      <c r="G697" s="23" t="n"/>
      <c r="H697" s="23" t="n"/>
      <c r="I697" s="20">
        <f>IF(COUNT(F697:H697)=0,"",SUM(F697:H697))</f>
        <v/>
      </c>
      <c r="J697" s="23" t="n"/>
      <c r="K697" s="23" t="n"/>
      <c r="L697" s="23" t="n"/>
      <c r="M697" s="23" t="n"/>
      <c r="N697" s="23" t="n"/>
      <c r="O697" s="20">
        <f>IF(OR(I697="",COUNT(J697:N697)=0),"",IF(SUM(J697:N697)=I697,"✓","⚠ "&amp;SUM(J697:N697)&amp;" statt "&amp;I697))</f>
        <v/>
      </c>
      <c r="P697" s="21" t="n"/>
      <c r="Q697" s="21" t="n"/>
      <c r="R697" s="21" t="n"/>
      <c r="S697" s="24" t="n"/>
      <c r="T697" s="24" t="n"/>
      <c r="V697">
        <f>IF(A697="","",MONTH(A697))</f>
        <v/>
      </c>
      <c r="W697">
        <f>N(W696)+IF(AND(C697&lt;&gt;"",T697&lt;&gt;""),IF(C697=WOCHE!$B$3,1,0),0)</f>
        <v/>
      </c>
      <c r="X697">
        <f>N(X696)+IF(AND(V697&lt;&gt;"",T697&lt;&gt;""),IF(V697=MONAT!$AZ$3,1,0),0)</f>
        <v/>
      </c>
    </row>
    <row r="698">
      <c r="A698" s="19" t="n"/>
      <c r="B698" s="20">
        <f>IF(A698="","",CHOOSE(WEEKDAY(A698,2),"Mo","Di","Mi","Do","Fr","Sa","So"))</f>
        <v/>
      </c>
      <c r="C698" s="20">
        <f>IF(A698="","",INT((A698-DATE(YEAR(A698-WEEKDAY(A698-1)+4),1,3)+WEEKDAY(DATE(YEAR(A698-WEEKDAY(A698-1)+4),1,3))+5)/7))</f>
        <v/>
      </c>
      <c r="D698" s="21" t="n"/>
      <c r="E698" s="22" t="n"/>
      <c r="F698" s="23" t="n"/>
      <c r="G698" s="23" t="n"/>
      <c r="H698" s="23" t="n"/>
      <c r="I698" s="20">
        <f>IF(COUNT(F698:H698)=0,"",SUM(F698:H698))</f>
        <v/>
      </c>
      <c r="J698" s="23" t="n"/>
      <c r="K698" s="23" t="n"/>
      <c r="L698" s="23" t="n"/>
      <c r="M698" s="23" t="n"/>
      <c r="N698" s="23" t="n"/>
      <c r="O698" s="20">
        <f>IF(OR(I698="",COUNT(J698:N698)=0),"",IF(SUM(J698:N698)=I698,"✓","⚠ "&amp;SUM(J698:N698)&amp;" statt "&amp;I698))</f>
        <v/>
      </c>
      <c r="P698" s="21" t="n"/>
      <c r="Q698" s="21" t="n"/>
      <c r="R698" s="21" t="n"/>
      <c r="S698" s="24" t="n"/>
      <c r="T698" s="24" t="n"/>
      <c r="V698">
        <f>IF(A698="","",MONTH(A698))</f>
        <v/>
      </c>
      <c r="W698">
        <f>N(W697)+IF(AND(C698&lt;&gt;"",T698&lt;&gt;""),IF(C698=WOCHE!$B$3,1,0),0)</f>
        <v/>
      </c>
      <c r="X698">
        <f>N(X697)+IF(AND(V698&lt;&gt;"",T698&lt;&gt;""),IF(V698=MONAT!$AZ$3,1,0),0)</f>
        <v/>
      </c>
    </row>
    <row r="699">
      <c r="A699" s="19" t="n"/>
      <c r="B699" s="20">
        <f>IF(A699="","",CHOOSE(WEEKDAY(A699,2),"Mo","Di","Mi","Do","Fr","Sa","So"))</f>
        <v/>
      </c>
      <c r="C699" s="20">
        <f>IF(A699="","",INT((A699-DATE(YEAR(A699-WEEKDAY(A699-1)+4),1,3)+WEEKDAY(DATE(YEAR(A699-WEEKDAY(A699-1)+4),1,3))+5)/7))</f>
        <v/>
      </c>
      <c r="D699" s="21" t="n"/>
      <c r="E699" s="22" t="n"/>
      <c r="F699" s="23" t="n"/>
      <c r="G699" s="23" t="n"/>
      <c r="H699" s="23" t="n"/>
      <c r="I699" s="20">
        <f>IF(COUNT(F699:H699)=0,"",SUM(F699:H699))</f>
        <v/>
      </c>
      <c r="J699" s="23" t="n"/>
      <c r="K699" s="23" t="n"/>
      <c r="L699" s="23" t="n"/>
      <c r="M699" s="23" t="n"/>
      <c r="N699" s="23" t="n"/>
      <c r="O699" s="20">
        <f>IF(OR(I699="",COUNT(J699:N699)=0),"",IF(SUM(J699:N699)=I699,"✓","⚠ "&amp;SUM(J699:N699)&amp;" statt "&amp;I699))</f>
        <v/>
      </c>
      <c r="P699" s="21" t="n"/>
      <c r="Q699" s="21" t="n"/>
      <c r="R699" s="21" t="n"/>
      <c r="S699" s="24" t="n"/>
      <c r="T699" s="24" t="n"/>
      <c r="V699">
        <f>IF(A699="","",MONTH(A699))</f>
        <v/>
      </c>
      <c r="W699">
        <f>N(W698)+IF(AND(C699&lt;&gt;"",T699&lt;&gt;""),IF(C699=WOCHE!$B$3,1,0),0)</f>
        <v/>
      </c>
      <c r="X699">
        <f>N(X698)+IF(AND(V699&lt;&gt;"",T699&lt;&gt;""),IF(V699=MONAT!$AZ$3,1,0),0)</f>
        <v/>
      </c>
    </row>
    <row r="700">
      <c r="A700" s="19" t="n"/>
      <c r="B700" s="20">
        <f>IF(A700="","",CHOOSE(WEEKDAY(A700,2),"Mo","Di","Mi","Do","Fr","Sa","So"))</f>
        <v/>
      </c>
      <c r="C700" s="20">
        <f>IF(A700="","",INT((A700-DATE(YEAR(A700-WEEKDAY(A700-1)+4),1,3)+WEEKDAY(DATE(YEAR(A700-WEEKDAY(A700-1)+4),1,3))+5)/7))</f>
        <v/>
      </c>
      <c r="D700" s="21" t="n"/>
      <c r="E700" s="22" t="n"/>
      <c r="F700" s="23" t="n"/>
      <c r="G700" s="23" t="n"/>
      <c r="H700" s="23" t="n"/>
      <c r="I700" s="20">
        <f>IF(COUNT(F700:H700)=0,"",SUM(F700:H700))</f>
        <v/>
      </c>
      <c r="J700" s="23" t="n"/>
      <c r="K700" s="23" t="n"/>
      <c r="L700" s="23" t="n"/>
      <c r="M700" s="23" t="n"/>
      <c r="N700" s="23" t="n"/>
      <c r="O700" s="20">
        <f>IF(OR(I700="",COUNT(J700:N700)=0),"",IF(SUM(J700:N700)=I700,"✓","⚠ "&amp;SUM(J700:N700)&amp;" statt "&amp;I700))</f>
        <v/>
      </c>
      <c r="P700" s="21" t="n"/>
      <c r="Q700" s="21" t="n"/>
      <c r="R700" s="21" t="n"/>
      <c r="S700" s="24" t="n"/>
      <c r="T700" s="24" t="n"/>
      <c r="V700">
        <f>IF(A700="","",MONTH(A700))</f>
        <v/>
      </c>
      <c r="W700">
        <f>N(W699)+IF(AND(C700&lt;&gt;"",T700&lt;&gt;""),IF(C700=WOCHE!$B$3,1,0),0)</f>
        <v/>
      </c>
      <c r="X700">
        <f>N(X699)+IF(AND(V700&lt;&gt;"",T700&lt;&gt;""),IF(V700=MONAT!$AZ$3,1,0),0)</f>
        <v/>
      </c>
    </row>
    <row r="701">
      <c r="A701" s="19" t="n"/>
      <c r="B701" s="20">
        <f>IF(A701="","",CHOOSE(WEEKDAY(A701,2),"Mo","Di","Mi","Do","Fr","Sa","So"))</f>
        <v/>
      </c>
      <c r="C701" s="20">
        <f>IF(A701="","",INT((A701-DATE(YEAR(A701-WEEKDAY(A701-1)+4),1,3)+WEEKDAY(DATE(YEAR(A701-WEEKDAY(A701-1)+4),1,3))+5)/7))</f>
        <v/>
      </c>
      <c r="D701" s="21" t="n"/>
      <c r="E701" s="22" t="n"/>
      <c r="F701" s="23" t="n"/>
      <c r="G701" s="23" t="n"/>
      <c r="H701" s="23" t="n"/>
      <c r="I701" s="20">
        <f>IF(COUNT(F701:H701)=0,"",SUM(F701:H701))</f>
        <v/>
      </c>
      <c r="J701" s="23" t="n"/>
      <c r="K701" s="23" t="n"/>
      <c r="L701" s="23" t="n"/>
      <c r="M701" s="23" t="n"/>
      <c r="N701" s="23" t="n"/>
      <c r="O701" s="20">
        <f>IF(OR(I701="",COUNT(J701:N701)=0),"",IF(SUM(J701:N701)=I701,"✓","⚠ "&amp;SUM(J701:N701)&amp;" statt "&amp;I701))</f>
        <v/>
      </c>
      <c r="P701" s="21" t="n"/>
      <c r="Q701" s="21" t="n"/>
      <c r="R701" s="21" t="n"/>
      <c r="S701" s="24" t="n"/>
      <c r="T701" s="24" t="n"/>
      <c r="V701">
        <f>IF(A701="","",MONTH(A701))</f>
        <v/>
      </c>
      <c r="W701">
        <f>N(W700)+IF(AND(C701&lt;&gt;"",T701&lt;&gt;""),IF(C701=WOCHE!$B$3,1,0),0)</f>
        <v/>
      </c>
      <c r="X701">
        <f>N(X700)+IF(AND(V701&lt;&gt;"",T701&lt;&gt;""),IF(V701=MONAT!$AZ$3,1,0),0)</f>
        <v/>
      </c>
    </row>
    <row r="702">
      <c r="A702" s="19" t="n"/>
      <c r="B702" s="20">
        <f>IF(A702="","",CHOOSE(WEEKDAY(A702,2),"Mo","Di","Mi","Do","Fr","Sa","So"))</f>
        <v/>
      </c>
      <c r="C702" s="20">
        <f>IF(A702="","",INT((A702-DATE(YEAR(A702-WEEKDAY(A702-1)+4),1,3)+WEEKDAY(DATE(YEAR(A702-WEEKDAY(A702-1)+4),1,3))+5)/7))</f>
        <v/>
      </c>
      <c r="D702" s="21" t="n"/>
      <c r="E702" s="22" t="n"/>
      <c r="F702" s="23" t="n"/>
      <c r="G702" s="23" t="n"/>
      <c r="H702" s="23" t="n"/>
      <c r="I702" s="20">
        <f>IF(COUNT(F702:H702)=0,"",SUM(F702:H702))</f>
        <v/>
      </c>
      <c r="J702" s="23" t="n"/>
      <c r="K702" s="23" t="n"/>
      <c r="L702" s="23" t="n"/>
      <c r="M702" s="23" t="n"/>
      <c r="N702" s="23" t="n"/>
      <c r="O702" s="20">
        <f>IF(OR(I702="",COUNT(J702:N702)=0),"",IF(SUM(J702:N702)=I702,"✓","⚠ "&amp;SUM(J702:N702)&amp;" statt "&amp;I702))</f>
        <v/>
      </c>
      <c r="P702" s="21" t="n"/>
      <c r="Q702" s="21" t="n"/>
      <c r="R702" s="21" t="n"/>
      <c r="S702" s="24" t="n"/>
      <c r="T702" s="24" t="n"/>
      <c r="V702">
        <f>IF(A702="","",MONTH(A702))</f>
        <v/>
      </c>
      <c r="W702">
        <f>N(W701)+IF(AND(C702&lt;&gt;"",T702&lt;&gt;""),IF(C702=WOCHE!$B$3,1,0),0)</f>
        <v/>
      </c>
      <c r="X702">
        <f>N(X701)+IF(AND(V702&lt;&gt;"",T702&lt;&gt;""),IF(V702=MONAT!$AZ$3,1,0),0)</f>
        <v/>
      </c>
    </row>
    <row r="703">
      <c r="A703" s="19" t="n"/>
      <c r="B703" s="20">
        <f>IF(A703="","",CHOOSE(WEEKDAY(A703,2),"Mo","Di","Mi","Do","Fr","Sa","So"))</f>
        <v/>
      </c>
      <c r="C703" s="20">
        <f>IF(A703="","",INT((A703-DATE(YEAR(A703-WEEKDAY(A703-1)+4),1,3)+WEEKDAY(DATE(YEAR(A703-WEEKDAY(A703-1)+4),1,3))+5)/7))</f>
        <v/>
      </c>
      <c r="D703" s="21" t="n"/>
      <c r="E703" s="22" t="n"/>
      <c r="F703" s="23" t="n"/>
      <c r="G703" s="23" t="n"/>
      <c r="H703" s="23" t="n"/>
      <c r="I703" s="20">
        <f>IF(COUNT(F703:H703)=0,"",SUM(F703:H703))</f>
        <v/>
      </c>
      <c r="J703" s="23" t="n"/>
      <c r="K703" s="23" t="n"/>
      <c r="L703" s="23" t="n"/>
      <c r="M703" s="23" t="n"/>
      <c r="N703" s="23" t="n"/>
      <c r="O703" s="20">
        <f>IF(OR(I703="",COUNT(J703:N703)=0),"",IF(SUM(J703:N703)=I703,"✓","⚠ "&amp;SUM(J703:N703)&amp;" statt "&amp;I703))</f>
        <v/>
      </c>
      <c r="P703" s="21" t="n"/>
      <c r="Q703" s="21" t="n"/>
      <c r="R703" s="21" t="n"/>
      <c r="S703" s="24" t="n"/>
      <c r="T703" s="24" t="n"/>
      <c r="V703">
        <f>IF(A703="","",MONTH(A703))</f>
        <v/>
      </c>
      <c r="W703">
        <f>N(W702)+IF(AND(C703&lt;&gt;"",T703&lt;&gt;""),IF(C703=WOCHE!$B$3,1,0),0)</f>
        <v/>
      </c>
      <c r="X703">
        <f>N(X702)+IF(AND(V703&lt;&gt;"",T703&lt;&gt;""),IF(V703=MONAT!$AZ$3,1,0),0)</f>
        <v/>
      </c>
    </row>
    <row r="704">
      <c r="A704" s="19" t="n"/>
      <c r="B704" s="20">
        <f>IF(A704="","",CHOOSE(WEEKDAY(A704,2),"Mo","Di","Mi","Do","Fr","Sa","So"))</f>
        <v/>
      </c>
      <c r="C704" s="20">
        <f>IF(A704="","",INT((A704-DATE(YEAR(A704-WEEKDAY(A704-1)+4),1,3)+WEEKDAY(DATE(YEAR(A704-WEEKDAY(A704-1)+4),1,3))+5)/7))</f>
        <v/>
      </c>
      <c r="D704" s="21" t="n"/>
      <c r="E704" s="22" t="n"/>
      <c r="F704" s="23" t="n"/>
      <c r="G704" s="23" t="n"/>
      <c r="H704" s="23" t="n"/>
      <c r="I704" s="20">
        <f>IF(COUNT(F704:H704)=0,"",SUM(F704:H704))</f>
        <v/>
      </c>
      <c r="J704" s="23" t="n"/>
      <c r="K704" s="23" t="n"/>
      <c r="L704" s="23" t="n"/>
      <c r="M704" s="23" t="n"/>
      <c r="N704" s="23" t="n"/>
      <c r="O704" s="20">
        <f>IF(OR(I704="",COUNT(J704:N704)=0),"",IF(SUM(J704:N704)=I704,"✓","⚠ "&amp;SUM(J704:N704)&amp;" statt "&amp;I704))</f>
        <v/>
      </c>
      <c r="P704" s="21" t="n"/>
      <c r="Q704" s="21" t="n"/>
      <c r="R704" s="21" t="n"/>
      <c r="S704" s="24" t="n"/>
      <c r="T704" s="24" t="n"/>
      <c r="V704">
        <f>IF(A704="","",MONTH(A704))</f>
        <v/>
      </c>
      <c r="W704">
        <f>N(W703)+IF(AND(C704&lt;&gt;"",T704&lt;&gt;""),IF(C704=WOCHE!$B$3,1,0),0)</f>
        <v/>
      </c>
      <c r="X704">
        <f>N(X703)+IF(AND(V704&lt;&gt;"",T704&lt;&gt;""),IF(V704=MONAT!$AZ$3,1,0),0)</f>
        <v/>
      </c>
    </row>
    <row r="705">
      <c r="A705" s="19" t="n"/>
      <c r="B705" s="20">
        <f>IF(A705="","",CHOOSE(WEEKDAY(A705,2),"Mo","Di","Mi","Do","Fr","Sa","So"))</f>
        <v/>
      </c>
      <c r="C705" s="20">
        <f>IF(A705="","",INT((A705-DATE(YEAR(A705-WEEKDAY(A705-1)+4),1,3)+WEEKDAY(DATE(YEAR(A705-WEEKDAY(A705-1)+4),1,3))+5)/7))</f>
        <v/>
      </c>
      <c r="D705" s="21" t="n"/>
      <c r="E705" s="22" t="n"/>
      <c r="F705" s="23" t="n"/>
      <c r="G705" s="23" t="n"/>
      <c r="H705" s="23" t="n"/>
      <c r="I705" s="20">
        <f>IF(COUNT(F705:H705)=0,"",SUM(F705:H705))</f>
        <v/>
      </c>
      <c r="J705" s="23" t="n"/>
      <c r="K705" s="23" t="n"/>
      <c r="L705" s="23" t="n"/>
      <c r="M705" s="23" t="n"/>
      <c r="N705" s="23" t="n"/>
      <c r="O705" s="20">
        <f>IF(OR(I705="",COUNT(J705:N705)=0),"",IF(SUM(J705:N705)=I705,"✓","⚠ "&amp;SUM(J705:N705)&amp;" statt "&amp;I705))</f>
        <v/>
      </c>
      <c r="P705" s="21" t="n"/>
      <c r="Q705" s="21" t="n"/>
      <c r="R705" s="21" t="n"/>
      <c r="S705" s="24" t="n"/>
      <c r="T705" s="24" t="n"/>
      <c r="V705">
        <f>IF(A705="","",MONTH(A705))</f>
        <v/>
      </c>
      <c r="W705">
        <f>N(W704)+IF(AND(C705&lt;&gt;"",T705&lt;&gt;""),IF(C705=WOCHE!$B$3,1,0),0)</f>
        <v/>
      </c>
      <c r="X705">
        <f>N(X704)+IF(AND(V705&lt;&gt;"",T705&lt;&gt;""),IF(V705=MONAT!$AZ$3,1,0),0)</f>
        <v/>
      </c>
    </row>
    <row r="706">
      <c r="A706" s="19" t="n"/>
      <c r="B706" s="20">
        <f>IF(A706="","",CHOOSE(WEEKDAY(A706,2),"Mo","Di","Mi","Do","Fr","Sa","So"))</f>
        <v/>
      </c>
      <c r="C706" s="20">
        <f>IF(A706="","",INT((A706-DATE(YEAR(A706-WEEKDAY(A706-1)+4),1,3)+WEEKDAY(DATE(YEAR(A706-WEEKDAY(A706-1)+4),1,3))+5)/7))</f>
        <v/>
      </c>
      <c r="D706" s="21" t="n"/>
      <c r="E706" s="22" t="n"/>
      <c r="F706" s="23" t="n"/>
      <c r="G706" s="23" t="n"/>
      <c r="H706" s="23" t="n"/>
      <c r="I706" s="20">
        <f>IF(COUNT(F706:H706)=0,"",SUM(F706:H706))</f>
        <v/>
      </c>
      <c r="J706" s="23" t="n"/>
      <c r="K706" s="23" t="n"/>
      <c r="L706" s="23" t="n"/>
      <c r="M706" s="23" t="n"/>
      <c r="N706" s="23" t="n"/>
      <c r="O706" s="20">
        <f>IF(OR(I706="",COUNT(J706:N706)=0),"",IF(SUM(J706:N706)=I706,"✓","⚠ "&amp;SUM(J706:N706)&amp;" statt "&amp;I706))</f>
        <v/>
      </c>
      <c r="P706" s="21" t="n"/>
      <c r="Q706" s="21" t="n"/>
      <c r="R706" s="21" t="n"/>
      <c r="S706" s="24" t="n"/>
      <c r="T706" s="24" t="n"/>
      <c r="V706">
        <f>IF(A706="","",MONTH(A706))</f>
        <v/>
      </c>
      <c r="W706">
        <f>N(W705)+IF(AND(C706&lt;&gt;"",T706&lt;&gt;""),IF(C706=WOCHE!$B$3,1,0),0)</f>
        <v/>
      </c>
      <c r="X706">
        <f>N(X705)+IF(AND(V706&lt;&gt;"",T706&lt;&gt;""),IF(V706=MONAT!$AZ$3,1,0),0)</f>
        <v/>
      </c>
    </row>
    <row r="707">
      <c r="A707" s="19" t="n"/>
      <c r="B707" s="20">
        <f>IF(A707="","",CHOOSE(WEEKDAY(A707,2),"Mo","Di","Mi","Do","Fr","Sa","So"))</f>
        <v/>
      </c>
      <c r="C707" s="20">
        <f>IF(A707="","",INT((A707-DATE(YEAR(A707-WEEKDAY(A707-1)+4),1,3)+WEEKDAY(DATE(YEAR(A707-WEEKDAY(A707-1)+4),1,3))+5)/7))</f>
        <v/>
      </c>
      <c r="D707" s="21" t="n"/>
      <c r="E707" s="22" t="n"/>
      <c r="F707" s="23" t="n"/>
      <c r="G707" s="23" t="n"/>
      <c r="H707" s="23" t="n"/>
      <c r="I707" s="20">
        <f>IF(COUNT(F707:H707)=0,"",SUM(F707:H707))</f>
        <v/>
      </c>
      <c r="J707" s="23" t="n"/>
      <c r="K707" s="23" t="n"/>
      <c r="L707" s="23" t="n"/>
      <c r="M707" s="23" t="n"/>
      <c r="N707" s="23" t="n"/>
      <c r="O707" s="20">
        <f>IF(OR(I707="",COUNT(J707:N707)=0),"",IF(SUM(J707:N707)=I707,"✓","⚠ "&amp;SUM(J707:N707)&amp;" statt "&amp;I707))</f>
        <v/>
      </c>
      <c r="P707" s="21" t="n"/>
      <c r="Q707" s="21" t="n"/>
      <c r="R707" s="21" t="n"/>
      <c r="S707" s="24" t="n"/>
      <c r="T707" s="24" t="n"/>
      <c r="V707">
        <f>IF(A707="","",MONTH(A707))</f>
        <v/>
      </c>
      <c r="W707">
        <f>N(W706)+IF(AND(C707&lt;&gt;"",T707&lt;&gt;""),IF(C707=WOCHE!$B$3,1,0),0)</f>
        <v/>
      </c>
      <c r="X707">
        <f>N(X706)+IF(AND(V707&lt;&gt;"",T707&lt;&gt;""),IF(V707=MONAT!$AZ$3,1,0),0)</f>
        <v/>
      </c>
    </row>
    <row r="708">
      <c r="A708" s="19" t="n"/>
      <c r="B708" s="20">
        <f>IF(A708="","",CHOOSE(WEEKDAY(A708,2),"Mo","Di","Mi","Do","Fr","Sa","So"))</f>
        <v/>
      </c>
      <c r="C708" s="20">
        <f>IF(A708="","",INT((A708-DATE(YEAR(A708-WEEKDAY(A708-1)+4),1,3)+WEEKDAY(DATE(YEAR(A708-WEEKDAY(A708-1)+4),1,3))+5)/7))</f>
        <v/>
      </c>
      <c r="D708" s="21" t="n"/>
      <c r="E708" s="22" t="n"/>
      <c r="F708" s="23" t="n"/>
      <c r="G708" s="23" t="n"/>
      <c r="H708" s="23" t="n"/>
      <c r="I708" s="20">
        <f>IF(COUNT(F708:H708)=0,"",SUM(F708:H708))</f>
        <v/>
      </c>
      <c r="J708" s="23" t="n"/>
      <c r="K708" s="23" t="n"/>
      <c r="L708" s="23" t="n"/>
      <c r="M708" s="23" t="n"/>
      <c r="N708" s="23" t="n"/>
      <c r="O708" s="20">
        <f>IF(OR(I708="",COUNT(J708:N708)=0),"",IF(SUM(J708:N708)=I708,"✓","⚠ "&amp;SUM(J708:N708)&amp;" statt "&amp;I708))</f>
        <v/>
      </c>
      <c r="P708" s="21" t="n"/>
      <c r="Q708" s="21" t="n"/>
      <c r="R708" s="21" t="n"/>
      <c r="S708" s="24" t="n"/>
      <c r="T708" s="24" t="n"/>
      <c r="V708">
        <f>IF(A708="","",MONTH(A708))</f>
        <v/>
      </c>
      <c r="W708">
        <f>N(W707)+IF(AND(C708&lt;&gt;"",T708&lt;&gt;""),IF(C708=WOCHE!$B$3,1,0),0)</f>
        <v/>
      </c>
      <c r="X708">
        <f>N(X707)+IF(AND(V708&lt;&gt;"",T708&lt;&gt;""),IF(V708=MONAT!$AZ$3,1,0),0)</f>
        <v/>
      </c>
    </row>
    <row r="709">
      <c r="A709" s="19" t="n"/>
      <c r="B709" s="20">
        <f>IF(A709="","",CHOOSE(WEEKDAY(A709,2),"Mo","Di","Mi","Do","Fr","Sa","So"))</f>
        <v/>
      </c>
      <c r="C709" s="20">
        <f>IF(A709="","",INT((A709-DATE(YEAR(A709-WEEKDAY(A709-1)+4),1,3)+WEEKDAY(DATE(YEAR(A709-WEEKDAY(A709-1)+4),1,3))+5)/7))</f>
        <v/>
      </c>
      <c r="D709" s="21" t="n"/>
      <c r="E709" s="22" t="n"/>
      <c r="F709" s="23" t="n"/>
      <c r="G709" s="23" t="n"/>
      <c r="H709" s="23" t="n"/>
      <c r="I709" s="20">
        <f>IF(COUNT(F709:H709)=0,"",SUM(F709:H709))</f>
        <v/>
      </c>
      <c r="J709" s="23" t="n"/>
      <c r="K709" s="23" t="n"/>
      <c r="L709" s="23" t="n"/>
      <c r="M709" s="23" t="n"/>
      <c r="N709" s="23" t="n"/>
      <c r="O709" s="20">
        <f>IF(OR(I709="",COUNT(J709:N709)=0),"",IF(SUM(J709:N709)=I709,"✓","⚠ "&amp;SUM(J709:N709)&amp;" statt "&amp;I709))</f>
        <v/>
      </c>
      <c r="P709" s="21" t="n"/>
      <c r="Q709" s="21" t="n"/>
      <c r="R709" s="21" t="n"/>
      <c r="S709" s="24" t="n"/>
      <c r="T709" s="24" t="n"/>
      <c r="V709">
        <f>IF(A709="","",MONTH(A709))</f>
        <v/>
      </c>
      <c r="W709">
        <f>N(W708)+IF(AND(C709&lt;&gt;"",T709&lt;&gt;""),IF(C709=WOCHE!$B$3,1,0),0)</f>
        <v/>
      </c>
      <c r="X709">
        <f>N(X708)+IF(AND(V709&lt;&gt;"",T709&lt;&gt;""),IF(V709=MONAT!$AZ$3,1,0),0)</f>
        <v/>
      </c>
    </row>
    <row r="710">
      <c r="A710" s="19" t="n"/>
      <c r="B710" s="20">
        <f>IF(A710="","",CHOOSE(WEEKDAY(A710,2),"Mo","Di","Mi","Do","Fr","Sa","So"))</f>
        <v/>
      </c>
      <c r="C710" s="20">
        <f>IF(A710="","",INT((A710-DATE(YEAR(A710-WEEKDAY(A710-1)+4),1,3)+WEEKDAY(DATE(YEAR(A710-WEEKDAY(A710-1)+4),1,3))+5)/7))</f>
        <v/>
      </c>
      <c r="D710" s="21" t="n"/>
      <c r="E710" s="22" t="n"/>
      <c r="F710" s="23" t="n"/>
      <c r="G710" s="23" t="n"/>
      <c r="H710" s="23" t="n"/>
      <c r="I710" s="20">
        <f>IF(COUNT(F710:H710)=0,"",SUM(F710:H710))</f>
        <v/>
      </c>
      <c r="J710" s="23" t="n"/>
      <c r="K710" s="23" t="n"/>
      <c r="L710" s="23" t="n"/>
      <c r="M710" s="23" t="n"/>
      <c r="N710" s="23" t="n"/>
      <c r="O710" s="20">
        <f>IF(OR(I710="",COUNT(J710:N710)=0),"",IF(SUM(J710:N710)=I710,"✓","⚠ "&amp;SUM(J710:N710)&amp;" statt "&amp;I710))</f>
        <v/>
      </c>
      <c r="P710" s="21" t="n"/>
      <c r="Q710" s="21" t="n"/>
      <c r="R710" s="21" t="n"/>
      <c r="S710" s="24" t="n"/>
      <c r="T710" s="24" t="n"/>
      <c r="V710">
        <f>IF(A710="","",MONTH(A710))</f>
        <v/>
      </c>
      <c r="W710">
        <f>N(W709)+IF(AND(C710&lt;&gt;"",T710&lt;&gt;""),IF(C710=WOCHE!$B$3,1,0),0)</f>
        <v/>
      </c>
      <c r="X710">
        <f>N(X709)+IF(AND(V710&lt;&gt;"",T710&lt;&gt;""),IF(V710=MONAT!$AZ$3,1,0),0)</f>
        <v/>
      </c>
    </row>
    <row r="711">
      <c r="A711" s="19" t="n"/>
      <c r="B711" s="20">
        <f>IF(A711="","",CHOOSE(WEEKDAY(A711,2),"Mo","Di","Mi","Do","Fr","Sa","So"))</f>
        <v/>
      </c>
      <c r="C711" s="20">
        <f>IF(A711="","",INT((A711-DATE(YEAR(A711-WEEKDAY(A711-1)+4),1,3)+WEEKDAY(DATE(YEAR(A711-WEEKDAY(A711-1)+4),1,3))+5)/7))</f>
        <v/>
      </c>
      <c r="D711" s="21" t="n"/>
      <c r="E711" s="22" t="n"/>
      <c r="F711" s="23" t="n"/>
      <c r="G711" s="23" t="n"/>
      <c r="H711" s="23" t="n"/>
      <c r="I711" s="20">
        <f>IF(COUNT(F711:H711)=0,"",SUM(F711:H711))</f>
        <v/>
      </c>
      <c r="J711" s="23" t="n"/>
      <c r="K711" s="23" t="n"/>
      <c r="L711" s="23" t="n"/>
      <c r="M711" s="23" t="n"/>
      <c r="N711" s="23" t="n"/>
      <c r="O711" s="20">
        <f>IF(OR(I711="",COUNT(J711:N711)=0),"",IF(SUM(J711:N711)=I711,"✓","⚠ "&amp;SUM(J711:N711)&amp;" statt "&amp;I711))</f>
        <v/>
      </c>
      <c r="P711" s="21" t="n"/>
      <c r="Q711" s="21" t="n"/>
      <c r="R711" s="21" t="n"/>
      <c r="S711" s="24" t="n"/>
      <c r="T711" s="24" t="n"/>
      <c r="V711">
        <f>IF(A711="","",MONTH(A711))</f>
        <v/>
      </c>
      <c r="W711">
        <f>N(W710)+IF(AND(C711&lt;&gt;"",T711&lt;&gt;""),IF(C711=WOCHE!$B$3,1,0),0)</f>
        <v/>
      </c>
      <c r="X711">
        <f>N(X710)+IF(AND(V711&lt;&gt;"",T711&lt;&gt;""),IF(V711=MONAT!$AZ$3,1,0),0)</f>
        <v/>
      </c>
    </row>
    <row r="712">
      <c r="A712" s="19" t="n"/>
      <c r="B712" s="20">
        <f>IF(A712="","",CHOOSE(WEEKDAY(A712,2),"Mo","Di","Mi","Do","Fr","Sa","So"))</f>
        <v/>
      </c>
      <c r="C712" s="20">
        <f>IF(A712="","",INT((A712-DATE(YEAR(A712-WEEKDAY(A712-1)+4),1,3)+WEEKDAY(DATE(YEAR(A712-WEEKDAY(A712-1)+4),1,3))+5)/7))</f>
        <v/>
      </c>
      <c r="D712" s="21" t="n"/>
      <c r="E712" s="22" t="n"/>
      <c r="F712" s="23" t="n"/>
      <c r="G712" s="23" t="n"/>
      <c r="H712" s="23" t="n"/>
      <c r="I712" s="20">
        <f>IF(COUNT(F712:H712)=0,"",SUM(F712:H712))</f>
        <v/>
      </c>
      <c r="J712" s="23" t="n"/>
      <c r="K712" s="23" t="n"/>
      <c r="L712" s="23" t="n"/>
      <c r="M712" s="23" t="n"/>
      <c r="N712" s="23" t="n"/>
      <c r="O712" s="20">
        <f>IF(OR(I712="",COUNT(J712:N712)=0),"",IF(SUM(J712:N712)=I712,"✓","⚠ "&amp;SUM(J712:N712)&amp;" statt "&amp;I712))</f>
        <v/>
      </c>
      <c r="P712" s="21" t="n"/>
      <c r="Q712" s="21" t="n"/>
      <c r="R712" s="21" t="n"/>
      <c r="S712" s="24" t="n"/>
      <c r="T712" s="24" t="n"/>
      <c r="V712">
        <f>IF(A712="","",MONTH(A712))</f>
        <v/>
      </c>
      <c r="W712">
        <f>N(W711)+IF(AND(C712&lt;&gt;"",T712&lt;&gt;""),IF(C712=WOCHE!$B$3,1,0),0)</f>
        <v/>
      </c>
      <c r="X712">
        <f>N(X711)+IF(AND(V712&lt;&gt;"",T712&lt;&gt;""),IF(V712=MONAT!$AZ$3,1,0),0)</f>
        <v/>
      </c>
    </row>
    <row r="713">
      <c r="A713" s="19" t="n"/>
      <c r="B713" s="20">
        <f>IF(A713="","",CHOOSE(WEEKDAY(A713,2),"Mo","Di","Mi","Do","Fr","Sa","So"))</f>
        <v/>
      </c>
      <c r="C713" s="20">
        <f>IF(A713="","",INT((A713-DATE(YEAR(A713-WEEKDAY(A713-1)+4),1,3)+WEEKDAY(DATE(YEAR(A713-WEEKDAY(A713-1)+4),1,3))+5)/7))</f>
        <v/>
      </c>
      <c r="D713" s="21" t="n"/>
      <c r="E713" s="22" t="n"/>
      <c r="F713" s="23" t="n"/>
      <c r="G713" s="23" t="n"/>
      <c r="H713" s="23" t="n"/>
      <c r="I713" s="20">
        <f>IF(COUNT(F713:H713)=0,"",SUM(F713:H713))</f>
        <v/>
      </c>
      <c r="J713" s="23" t="n"/>
      <c r="K713" s="23" t="n"/>
      <c r="L713" s="23" t="n"/>
      <c r="M713" s="23" t="n"/>
      <c r="N713" s="23" t="n"/>
      <c r="O713" s="20">
        <f>IF(OR(I713="",COUNT(J713:N713)=0),"",IF(SUM(J713:N713)=I713,"✓","⚠ "&amp;SUM(J713:N713)&amp;" statt "&amp;I713))</f>
        <v/>
      </c>
      <c r="P713" s="21" t="n"/>
      <c r="Q713" s="21" t="n"/>
      <c r="R713" s="21" t="n"/>
      <c r="S713" s="24" t="n"/>
      <c r="T713" s="24" t="n"/>
      <c r="V713">
        <f>IF(A713="","",MONTH(A713))</f>
        <v/>
      </c>
      <c r="W713">
        <f>N(W712)+IF(AND(C713&lt;&gt;"",T713&lt;&gt;""),IF(C713=WOCHE!$B$3,1,0),0)</f>
        <v/>
      </c>
      <c r="X713">
        <f>N(X712)+IF(AND(V713&lt;&gt;"",T713&lt;&gt;""),IF(V713=MONAT!$AZ$3,1,0),0)</f>
        <v/>
      </c>
    </row>
    <row r="714">
      <c r="A714" s="19" t="n"/>
      <c r="B714" s="20">
        <f>IF(A714="","",CHOOSE(WEEKDAY(A714,2),"Mo","Di","Mi","Do","Fr","Sa","So"))</f>
        <v/>
      </c>
      <c r="C714" s="20">
        <f>IF(A714="","",INT((A714-DATE(YEAR(A714-WEEKDAY(A714-1)+4),1,3)+WEEKDAY(DATE(YEAR(A714-WEEKDAY(A714-1)+4),1,3))+5)/7))</f>
        <v/>
      </c>
      <c r="D714" s="21" t="n"/>
      <c r="E714" s="22" t="n"/>
      <c r="F714" s="23" t="n"/>
      <c r="G714" s="23" t="n"/>
      <c r="H714" s="23" t="n"/>
      <c r="I714" s="20">
        <f>IF(COUNT(F714:H714)=0,"",SUM(F714:H714))</f>
        <v/>
      </c>
      <c r="J714" s="23" t="n"/>
      <c r="K714" s="23" t="n"/>
      <c r="L714" s="23" t="n"/>
      <c r="M714" s="23" t="n"/>
      <c r="N714" s="23" t="n"/>
      <c r="O714" s="20">
        <f>IF(OR(I714="",COUNT(J714:N714)=0),"",IF(SUM(J714:N714)=I714,"✓","⚠ "&amp;SUM(J714:N714)&amp;" statt "&amp;I714))</f>
        <v/>
      </c>
      <c r="P714" s="21" t="n"/>
      <c r="Q714" s="21" t="n"/>
      <c r="R714" s="21" t="n"/>
      <c r="S714" s="24" t="n"/>
      <c r="T714" s="24" t="n"/>
      <c r="V714">
        <f>IF(A714="","",MONTH(A714))</f>
        <v/>
      </c>
      <c r="W714">
        <f>N(W713)+IF(AND(C714&lt;&gt;"",T714&lt;&gt;""),IF(C714=WOCHE!$B$3,1,0),0)</f>
        <v/>
      </c>
      <c r="X714">
        <f>N(X713)+IF(AND(V714&lt;&gt;"",T714&lt;&gt;""),IF(V714=MONAT!$AZ$3,1,0),0)</f>
        <v/>
      </c>
    </row>
    <row r="715">
      <c r="A715" s="19" t="n"/>
      <c r="B715" s="20">
        <f>IF(A715="","",CHOOSE(WEEKDAY(A715,2),"Mo","Di","Mi","Do","Fr","Sa","So"))</f>
        <v/>
      </c>
      <c r="C715" s="20">
        <f>IF(A715="","",INT((A715-DATE(YEAR(A715-WEEKDAY(A715-1)+4),1,3)+WEEKDAY(DATE(YEAR(A715-WEEKDAY(A715-1)+4),1,3))+5)/7))</f>
        <v/>
      </c>
      <c r="D715" s="21" t="n"/>
      <c r="E715" s="22" t="n"/>
      <c r="F715" s="23" t="n"/>
      <c r="G715" s="23" t="n"/>
      <c r="H715" s="23" t="n"/>
      <c r="I715" s="20">
        <f>IF(COUNT(F715:H715)=0,"",SUM(F715:H715))</f>
        <v/>
      </c>
      <c r="J715" s="23" t="n"/>
      <c r="K715" s="23" t="n"/>
      <c r="L715" s="23" t="n"/>
      <c r="M715" s="23" t="n"/>
      <c r="N715" s="23" t="n"/>
      <c r="O715" s="20">
        <f>IF(OR(I715="",COUNT(J715:N715)=0),"",IF(SUM(J715:N715)=I715,"✓","⚠ "&amp;SUM(J715:N715)&amp;" statt "&amp;I715))</f>
        <v/>
      </c>
      <c r="P715" s="21" t="n"/>
      <c r="Q715" s="21" t="n"/>
      <c r="R715" s="21" t="n"/>
      <c r="S715" s="24" t="n"/>
      <c r="T715" s="24" t="n"/>
      <c r="V715">
        <f>IF(A715="","",MONTH(A715))</f>
        <v/>
      </c>
      <c r="W715">
        <f>N(W714)+IF(AND(C715&lt;&gt;"",T715&lt;&gt;""),IF(C715=WOCHE!$B$3,1,0),0)</f>
        <v/>
      </c>
      <c r="X715">
        <f>N(X714)+IF(AND(V715&lt;&gt;"",T715&lt;&gt;""),IF(V715=MONAT!$AZ$3,1,0),0)</f>
        <v/>
      </c>
    </row>
    <row r="716">
      <c r="A716" s="19" t="n"/>
      <c r="B716" s="20">
        <f>IF(A716="","",CHOOSE(WEEKDAY(A716,2),"Mo","Di","Mi","Do","Fr","Sa","So"))</f>
        <v/>
      </c>
      <c r="C716" s="20">
        <f>IF(A716="","",INT((A716-DATE(YEAR(A716-WEEKDAY(A716-1)+4),1,3)+WEEKDAY(DATE(YEAR(A716-WEEKDAY(A716-1)+4),1,3))+5)/7))</f>
        <v/>
      </c>
      <c r="D716" s="21" t="n"/>
      <c r="E716" s="22" t="n"/>
      <c r="F716" s="23" t="n"/>
      <c r="G716" s="23" t="n"/>
      <c r="H716" s="23" t="n"/>
      <c r="I716" s="20">
        <f>IF(COUNT(F716:H716)=0,"",SUM(F716:H716))</f>
        <v/>
      </c>
      <c r="J716" s="23" t="n"/>
      <c r="K716" s="23" t="n"/>
      <c r="L716" s="23" t="n"/>
      <c r="M716" s="23" t="n"/>
      <c r="N716" s="23" t="n"/>
      <c r="O716" s="20">
        <f>IF(OR(I716="",COUNT(J716:N716)=0),"",IF(SUM(J716:N716)=I716,"✓","⚠ "&amp;SUM(J716:N716)&amp;" statt "&amp;I716))</f>
        <v/>
      </c>
      <c r="P716" s="21" t="n"/>
      <c r="Q716" s="21" t="n"/>
      <c r="R716" s="21" t="n"/>
      <c r="S716" s="24" t="n"/>
      <c r="T716" s="24" t="n"/>
      <c r="V716">
        <f>IF(A716="","",MONTH(A716))</f>
        <v/>
      </c>
      <c r="W716">
        <f>N(W715)+IF(AND(C716&lt;&gt;"",T716&lt;&gt;""),IF(C716=WOCHE!$B$3,1,0),0)</f>
        <v/>
      </c>
      <c r="X716">
        <f>N(X715)+IF(AND(V716&lt;&gt;"",T716&lt;&gt;""),IF(V716=MONAT!$AZ$3,1,0),0)</f>
        <v/>
      </c>
    </row>
    <row r="717">
      <c r="A717" s="19" t="n"/>
      <c r="B717" s="20">
        <f>IF(A717="","",CHOOSE(WEEKDAY(A717,2),"Mo","Di","Mi","Do","Fr","Sa","So"))</f>
        <v/>
      </c>
      <c r="C717" s="20">
        <f>IF(A717="","",INT((A717-DATE(YEAR(A717-WEEKDAY(A717-1)+4),1,3)+WEEKDAY(DATE(YEAR(A717-WEEKDAY(A717-1)+4),1,3))+5)/7))</f>
        <v/>
      </c>
      <c r="D717" s="21" t="n"/>
      <c r="E717" s="22" t="n"/>
      <c r="F717" s="23" t="n"/>
      <c r="G717" s="23" t="n"/>
      <c r="H717" s="23" t="n"/>
      <c r="I717" s="20">
        <f>IF(COUNT(F717:H717)=0,"",SUM(F717:H717))</f>
        <v/>
      </c>
      <c r="J717" s="23" t="n"/>
      <c r="K717" s="23" t="n"/>
      <c r="L717" s="23" t="n"/>
      <c r="M717" s="23" t="n"/>
      <c r="N717" s="23" t="n"/>
      <c r="O717" s="20">
        <f>IF(OR(I717="",COUNT(J717:N717)=0),"",IF(SUM(J717:N717)=I717,"✓","⚠ "&amp;SUM(J717:N717)&amp;" statt "&amp;I717))</f>
        <v/>
      </c>
      <c r="P717" s="21" t="n"/>
      <c r="Q717" s="21" t="n"/>
      <c r="R717" s="21" t="n"/>
      <c r="S717" s="24" t="n"/>
      <c r="T717" s="24" t="n"/>
      <c r="V717">
        <f>IF(A717="","",MONTH(A717))</f>
        <v/>
      </c>
      <c r="W717">
        <f>N(W716)+IF(AND(C717&lt;&gt;"",T717&lt;&gt;""),IF(C717=WOCHE!$B$3,1,0),0)</f>
        <v/>
      </c>
      <c r="X717">
        <f>N(X716)+IF(AND(V717&lt;&gt;"",T717&lt;&gt;""),IF(V717=MONAT!$AZ$3,1,0),0)</f>
        <v/>
      </c>
    </row>
    <row r="718">
      <c r="A718" s="19" t="n"/>
      <c r="B718" s="20">
        <f>IF(A718="","",CHOOSE(WEEKDAY(A718,2),"Mo","Di","Mi","Do","Fr","Sa","So"))</f>
        <v/>
      </c>
      <c r="C718" s="20">
        <f>IF(A718="","",INT((A718-DATE(YEAR(A718-WEEKDAY(A718-1)+4),1,3)+WEEKDAY(DATE(YEAR(A718-WEEKDAY(A718-1)+4),1,3))+5)/7))</f>
        <v/>
      </c>
      <c r="D718" s="21" t="n"/>
      <c r="E718" s="22" t="n"/>
      <c r="F718" s="23" t="n"/>
      <c r="G718" s="23" t="n"/>
      <c r="H718" s="23" t="n"/>
      <c r="I718" s="20">
        <f>IF(COUNT(F718:H718)=0,"",SUM(F718:H718))</f>
        <v/>
      </c>
      <c r="J718" s="23" t="n"/>
      <c r="K718" s="23" t="n"/>
      <c r="L718" s="23" t="n"/>
      <c r="M718" s="23" t="n"/>
      <c r="N718" s="23" t="n"/>
      <c r="O718" s="20">
        <f>IF(OR(I718="",COUNT(J718:N718)=0),"",IF(SUM(J718:N718)=I718,"✓","⚠ "&amp;SUM(J718:N718)&amp;" statt "&amp;I718))</f>
        <v/>
      </c>
      <c r="P718" s="21" t="n"/>
      <c r="Q718" s="21" t="n"/>
      <c r="R718" s="21" t="n"/>
      <c r="S718" s="24" t="n"/>
      <c r="T718" s="24" t="n"/>
      <c r="V718">
        <f>IF(A718="","",MONTH(A718))</f>
        <v/>
      </c>
      <c r="W718">
        <f>N(W717)+IF(AND(C718&lt;&gt;"",T718&lt;&gt;""),IF(C718=WOCHE!$B$3,1,0),0)</f>
        <v/>
      </c>
      <c r="X718">
        <f>N(X717)+IF(AND(V718&lt;&gt;"",T718&lt;&gt;""),IF(V718=MONAT!$AZ$3,1,0),0)</f>
        <v/>
      </c>
    </row>
    <row r="719">
      <c r="A719" s="19" t="n"/>
      <c r="B719" s="20">
        <f>IF(A719="","",CHOOSE(WEEKDAY(A719,2),"Mo","Di","Mi","Do","Fr","Sa","So"))</f>
        <v/>
      </c>
      <c r="C719" s="20">
        <f>IF(A719="","",INT((A719-DATE(YEAR(A719-WEEKDAY(A719-1)+4),1,3)+WEEKDAY(DATE(YEAR(A719-WEEKDAY(A719-1)+4),1,3))+5)/7))</f>
        <v/>
      </c>
      <c r="D719" s="21" t="n"/>
      <c r="E719" s="22" t="n"/>
      <c r="F719" s="23" t="n"/>
      <c r="G719" s="23" t="n"/>
      <c r="H719" s="23" t="n"/>
      <c r="I719" s="20">
        <f>IF(COUNT(F719:H719)=0,"",SUM(F719:H719))</f>
        <v/>
      </c>
      <c r="J719" s="23" t="n"/>
      <c r="K719" s="23" t="n"/>
      <c r="L719" s="23" t="n"/>
      <c r="M719" s="23" t="n"/>
      <c r="N719" s="23" t="n"/>
      <c r="O719" s="20">
        <f>IF(OR(I719="",COUNT(J719:N719)=0),"",IF(SUM(J719:N719)=I719,"✓","⚠ "&amp;SUM(J719:N719)&amp;" statt "&amp;I719))</f>
        <v/>
      </c>
      <c r="P719" s="21" t="n"/>
      <c r="Q719" s="21" t="n"/>
      <c r="R719" s="21" t="n"/>
      <c r="S719" s="24" t="n"/>
      <c r="T719" s="24" t="n"/>
      <c r="V719">
        <f>IF(A719="","",MONTH(A719))</f>
        <v/>
      </c>
      <c r="W719">
        <f>N(W718)+IF(AND(C719&lt;&gt;"",T719&lt;&gt;""),IF(C719=WOCHE!$B$3,1,0),0)</f>
        <v/>
      </c>
      <c r="X719">
        <f>N(X718)+IF(AND(V719&lt;&gt;"",T719&lt;&gt;""),IF(V719=MONAT!$AZ$3,1,0),0)</f>
        <v/>
      </c>
    </row>
    <row r="720">
      <c r="A720" s="19" t="n"/>
      <c r="B720" s="20">
        <f>IF(A720="","",CHOOSE(WEEKDAY(A720,2),"Mo","Di","Mi","Do","Fr","Sa","So"))</f>
        <v/>
      </c>
      <c r="C720" s="20">
        <f>IF(A720="","",INT((A720-DATE(YEAR(A720-WEEKDAY(A720-1)+4),1,3)+WEEKDAY(DATE(YEAR(A720-WEEKDAY(A720-1)+4),1,3))+5)/7))</f>
        <v/>
      </c>
      <c r="D720" s="21" t="n"/>
      <c r="E720" s="22" t="n"/>
      <c r="F720" s="23" t="n"/>
      <c r="G720" s="23" t="n"/>
      <c r="H720" s="23" t="n"/>
      <c r="I720" s="20">
        <f>IF(COUNT(F720:H720)=0,"",SUM(F720:H720))</f>
        <v/>
      </c>
      <c r="J720" s="23" t="n"/>
      <c r="K720" s="23" t="n"/>
      <c r="L720" s="23" t="n"/>
      <c r="M720" s="23" t="n"/>
      <c r="N720" s="23" t="n"/>
      <c r="O720" s="20">
        <f>IF(OR(I720="",COUNT(J720:N720)=0),"",IF(SUM(J720:N720)=I720,"✓","⚠ "&amp;SUM(J720:N720)&amp;" statt "&amp;I720))</f>
        <v/>
      </c>
      <c r="P720" s="21" t="n"/>
      <c r="Q720" s="21" t="n"/>
      <c r="R720" s="21" t="n"/>
      <c r="S720" s="24" t="n"/>
      <c r="T720" s="24" t="n"/>
      <c r="V720">
        <f>IF(A720="","",MONTH(A720))</f>
        <v/>
      </c>
      <c r="W720">
        <f>N(W719)+IF(AND(C720&lt;&gt;"",T720&lt;&gt;""),IF(C720=WOCHE!$B$3,1,0),0)</f>
        <v/>
      </c>
      <c r="X720">
        <f>N(X719)+IF(AND(V720&lt;&gt;"",T720&lt;&gt;""),IF(V720=MONAT!$AZ$3,1,0),0)</f>
        <v/>
      </c>
    </row>
    <row r="721">
      <c r="A721" s="19" t="n"/>
      <c r="B721" s="20">
        <f>IF(A721="","",CHOOSE(WEEKDAY(A721,2),"Mo","Di","Mi","Do","Fr","Sa","So"))</f>
        <v/>
      </c>
      <c r="C721" s="20">
        <f>IF(A721="","",INT((A721-DATE(YEAR(A721-WEEKDAY(A721-1)+4),1,3)+WEEKDAY(DATE(YEAR(A721-WEEKDAY(A721-1)+4),1,3))+5)/7))</f>
        <v/>
      </c>
      <c r="D721" s="21" t="n"/>
      <c r="E721" s="22" t="n"/>
      <c r="F721" s="23" t="n"/>
      <c r="G721" s="23" t="n"/>
      <c r="H721" s="23" t="n"/>
      <c r="I721" s="20">
        <f>IF(COUNT(F721:H721)=0,"",SUM(F721:H721))</f>
        <v/>
      </c>
      <c r="J721" s="23" t="n"/>
      <c r="K721" s="23" t="n"/>
      <c r="L721" s="23" t="n"/>
      <c r="M721" s="23" t="n"/>
      <c r="N721" s="23" t="n"/>
      <c r="O721" s="20">
        <f>IF(OR(I721="",COUNT(J721:N721)=0),"",IF(SUM(J721:N721)=I721,"✓","⚠ "&amp;SUM(J721:N721)&amp;" statt "&amp;I721))</f>
        <v/>
      </c>
      <c r="P721" s="21" t="n"/>
      <c r="Q721" s="21" t="n"/>
      <c r="R721" s="21" t="n"/>
      <c r="S721" s="24" t="n"/>
      <c r="T721" s="24" t="n"/>
      <c r="V721">
        <f>IF(A721="","",MONTH(A721))</f>
        <v/>
      </c>
      <c r="W721">
        <f>N(W720)+IF(AND(C721&lt;&gt;"",T721&lt;&gt;""),IF(C721=WOCHE!$B$3,1,0),0)</f>
        <v/>
      </c>
      <c r="X721">
        <f>N(X720)+IF(AND(V721&lt;&gt;"",T721&lt;&gt;""),IF(V721=MONAT!$AZ$3,1,0),0)</f>
        <v/>
      </c>
    </row>
    <row r="722">
      <c r="A722" s="19" t="n"/>
      <c r="B722" s="20">
        <f>IF(A722="","",CHOOSE(WEEKDAY(A722,2),"Mo","Di","Mi","Do","Fr","Sa","So"))</f>
        <v/>
      </c>
      <c r="C722" s="20">
        <f>IF(A722="","",INT((A722-DATE(YEAR(A722-WEEKDAY(A722-1)+4),1,3)+WEEKDAY(DATE(YEAR(A722-WEEKDAY(A722-1)+4),1,3))+5)/7))</f>
        <v/>
      </c>
      <c r="D722" s="21" t="n"/>
      <c r="E722" s="22" t="n"/>
      <c r="F722" s="23" t="n"/>
      <c r="G722" s="23" t="n"/>
      <c r="H722" s="23" t="n"/>
      <c r="I722" s="20">
        <f>IF(COUNT(F722:H722)=0,"",SUM(F722:H722))</f>
        <v/>
      </c>
      <c r="J722" s="23" t="n"/>
      <c r="K722" s="23" t="n"/>
      <c r="L722" s="23" t="n"/>
      <c r="M722" s="23" t="n"/>
      <c r="N722" s="23" t="n"/>
      <c r="O722" s="20">
        <f>IF(OR(I722="",COUNT(J722:N722)=0),"",IF(SUM(J722:N722)=I722,"✓","⚠ "&amp;SUM(J722:N722)&amp;" statt "&amp;I722))</f>
        <v/>
      </c>
      <c r="P722" s="21" t="n"/>
      <c r="Q722" s="21" t="n"/>
      <c r="R722" s="21" t="n"/>
      <c r="S722" s="24" t="n"/>
      <c r="T722" s="24" t="n"/>
      <c r="V722">
        <f>IF(A722="","",MONTH(A722))</f>
        <v/>
      </c>
      <c r="W722">
        <f>N(W721)+IF(AND(C722&lt;&gt;"",T722&lt;&gt;""),IF(C722=WOCHE!$B$3,1,0),0)</f>
        <v/>
      </c>
      <c r="X722">
        <f>N(X721)+IF(AND(V722&lt;&gt;"",T722&lt;&gt;""),IF(V722=MONAT!$AZ$3,1,0),0)</f>
        <v/>
      </c>
    </row>
    <row r="723">
      <c r="A723" s="19" t="n"/>
      <c r="B723" s="20">
        <f>IF(A723="","",CHOOSE(WEEKDAY(A723,2),"Mo","Di","Mi","Do","Fr","Sa","So"))</f>
        <v/>
      </c>
      <c r="C723" s="20">
        <f>IF(A723="","",INT((A723-DATE(YEAR(A723-WEEKDAY(A723-1)+4),1,3)+WEEKDAY(DATE(YEAR(A723-WEEKDAY(A723-1)+4),1,3))+5)/7))</f>
        <v/>
      </c>
      <c r="D723" s="21" t="n"/>
      <c r="E723" s="22" t="n"/>
      <c r="F723" s="23" t="n"/>
      <c r="G723" s="23" t="n"/>
      <c r="H723" s="23" t="n"/>
      <c r="I723" s="20">
        <f>IF(COUNT(F723:H723)=0,"",SUM(F723:H723))</f>
        <v/>
      </c>
      <c r="J723" s="23" t="n"/>
      <c r="K723" s="23" t="n"/>
      <c r="L723" s="23" t="n"/>
      <c r="M723" s="23" t="n"/>
      <c r="N723" s="23" t="n"/>
      <c r="O723" s="20">
        <f>IF(OR(I723="",COUNT(J723:N723)=0),"",IF(SUM(J723:N723)=I723,"✓","⚠ "&amp;SUM(J723:N723)&amp;" statt "&amp;I723))</f>
        <v/>
      </c>
      <c r="P723" s="21" t="n"/>
      <c r="Q723" s="21" t="n"/>
      <c r="R723" s="21" t="n"/>
      <c r="S723" s="24" t="n"/>
      <c r="T723" s="24" t="n"/>
      <c r="V723">
        <f>IF(A723="","",MONTH(A723))</f>
        <v/>
      </c>
      <c r="W723">
        <f>N(W722)+IF(AND(C723&lt;&gt;"",T723&lt;&gt;""),IF(C723=WOCHE!$B$3,1,0),0)</f>
        <v/>
      </c>
      <c r="X723">
        <f>N(X722)+IF(AND(V723&lt;&gt;"",T723&lt;&gt;""),IF(V723=MONAT!$AZ$3,1,0),0)</f>
        <v/>
      </c>
    </row>
    <row r="724">
      <c r="A724" s="19" t="n"/>
      <c r="B724" s="20">
        <f>IF(A724="","",CHOOSE(WEEKDAY(A724,2),"Mo","Di","Mi","Do","Fr","Sa","So"))</f>
        <v/>
      </c>
      <c r="C724" s="20">
        <f>IF(A724="","",INT((A724-DATE(YEAR(A724-WEEKDAY(A724-1)+4),1,3)+WEEKDAY(DATE(YEAR(A724-WEEKDAY(A724-1)+4),1,3))+5)/7))</f>
        <v/>
      </c>
      <c r="D724" s="21" t="n"/>
      <c r="E724" s="22" t="n"/>
      <c r="F724" s="23" t="n"/>
      <c r="G724" s="23" t="n"/>
      <c r="H724" s="23" t="n"/>
      <c r="I724" s="20">
        <f>IF(COUNT(F724:H724)=0,"",SUM(F724:H724))</f>
        <v/>
      </c>
      <c r="J724" s="23" t="n"/>
      <c r="K724" s="23" t="n"/>
      <c r="L724" s="23" t="n"/>
      <c r="M724" s="23" t="n"/>
      <c r="N724" s="23" t="n"/>
      <c r="O724" s="20">
        <f>IF(OR(I724="",COUNT(J724:N724)=0),"",IF(SUM(J724:N724)=I724,"✓","⚠ "&amp;SUM(J724:N724)&amp;" statt "&amp;I724))</f>
        <v/>
      </c>
      <c r="P724" s="21" t="n"/>
      <c r="Q724" s="21" t="n"/>
      <c r="R724" s="21" t="n"/>
      <c r="S724" s="24" t="n"/>
      <c r="T724" s="24" t="n"/>
      <c r="V724">
        <f>IF(A724="","",MONTH(A724))</f>
        <v/>
      </c>
      <c r="W724">
        <f>N(W723)+IF(AND(C724&lt;&gt;"",T724&lt;&gt;""),IF(C724=WOCHE!$B$3,1,0),0)</f>
        <v/>
      </c>
      <c r="X724">
        <f>N(X723)+IF(AND(V724&lt;&gt;"",T724&lt;&gt;""),IF(V724=MONAT!$AZ$3,1,0),0)</f>
        <v/>
      </c>
    </row>
    <row r="725">
      <c r="A725" s="19" t="n"/>
      <c r="B725" s="20">
        <f>IF(A725="","",CHOOSE(WEEKDAY(A725,2),"Mo","Di","Mi","Do","Fr","Sa","So"))</f>
        <v/>
      </c>
      <c r="C725" s="20">
        <f>IF(A725="","",INT((A725-DATE(YEAR(A725-WEEKDAY(A725-1)+4),1,3)+WEEKDAY(DATE(YEAR(A725-WEEKDAY(A725-1)+4),1,3))+5)/7))</f>
        <v/>
      </c>
      <c r="D725" s="21" t="n"/>
      <c r="E725" s="22" t="n"/>
      <c r="F725" s="23" t="n"/>
      <c r="G725" s="23" t="n"/>
      <c r="H725" s="23" t="n"/>
      <c r="I725" s="20">
        <f>IF(COUNT(F725:H725)=0,"",SUM(F725:H725))</f>
        <v/>
      </c>
      <c r="J725" s="23" t="n"/>
      <c r="K725" s="23" t="n"/>
      <c r="L725" s="23" t="n"/>
      <c r="M725" s="23" t="n"/>
      <c r="N725" s="23" t="n"/>
      <c r="O725" s="20">
        <f>IF(OR(I725="",COUNT(J725:N725)=0),"",IF(SUM(J725:N725)=I725,"✓","⚠ "&amp;SUM(J725:N725)&amp;" statt "&amp;I725))</f>
        <v/>
      </c>
      <c r="P725" s="21" t="n"/>
      <c r="Q725" s="21" t="n"/>
      <c r="R725" s="21" t="n"/>
      <c r="S725" s="24" t="n"/>
      <c r="T725" s="24" t="n"/>
      <c r="V725">
        <f>IF(A725="","",MONTH(A725))</f>
        <v/>
      </c>
      <c r="W725">
        <f>N(W724)+IF(AND(C725&lt;&gt;"",T725&lt;&gt;""),IF(C725=WOCHE!$B$3,1,0),0)</f>
        <v/>
      </c>
      <c r="X725">
        <f>N(X724)+IF(AND(V725&lt;&gt;"",T725&lt;&gt;""),IF(V725=MONAT!$AZ$3,1,0),0)</f>
        <v/>
      </c>
    </row>
    <row r="726">
      <c r="A726" s="19" t="n"/>
      <c r="B726" s="20">
        <f>IF(A726="","",CHOOSE(WEEKDAY(A726,2),"Mo","Di","Mi","Do","Fr","Sa","So"))</f>
        <v/>
      </c>
      <c r="C726" s="20">
        <f>IF(A726="","",INT((A726-DATE(YEAR(A726-WEEKDAY(A726-1)+4),1,3)+WEEKDAY(DATE(YEAR(A726-WEEKDAY(A726-1)+4),1,3))+5)/7))</f>
        <v/>
      </c>
      <c r="D726" s="21" t="n"/>
      <c r="E726" s="22" t="n"/>
      <c r="F726" s="23" t="n"/>
      <c r="G726" s="23" t="n"/>
      <c r="H726" s="23" t="n"/>
      <c r="I726" s="20">
        <f>IF(COUNT(F726:H726)=0,"",SUM(F726:H726))</f>
        <v/>
      </c>
      <c r="J726" s="23" t="n"/>
      <c r="K726" s="23" t="n"/>
      <c r="L726" s="23" t="n"/>
      <c r="M726" s="23" t="n"/>
      <c r="N726" s="23" t="n"/>
      <c r="O726" s="20">
        <f>IF(OR(I726="",COUNT(J726:N726)=0),"",IF(SUM(J726:N726)=I726,"✓","⚠ "&amp;SUM(J726:N726)&amp;" statt "&amp;I726))</f>
        <v/>
      </c>
      <c r="P726" s="21" t="n"/>
      <c r="Q726" s="21" t="n"/>
      <c r="R726" s="21" t="n"/>
      <c r="S726" s="24" t="n"/>
      <c r="T726" s="24" t="n"/>
      <c r="V726">
        <f>IF(A726="","",MONTH(A726))</f>
        <v/>
      </c>
      <c r="W726">
        <f>N(W725)+IF(AND(C726&lt;&gt;"",T726&lt;&gt;""),IF(C726=WOCHE!$B$3,1,0),0)</f>
        <v/>
      </c>
      <c r="X726">
        <f>N(X725)+IF(AND(V726&lt;&gt;"",T726&lt;&gt;""),IF(V726=MONAT!$AZ$3,1,0),0)</f>
        <v/>
      </c>
    </row>
    <row r="727">
      <c r="A727" s="19" t="n"/>
      <c r="B727" s="20">
        <f>IF(A727="","",CHOOSE(WEEKDAY(A727,2),"Mo","Di","Mi","Do","Fr","Sa","So"))</f>
        <v/>
      </c>
      <c r="C727" s="20">
        <f>IF(A727="","",INT((A727-DATE(YEAR(A727-WEEKDAY(A727-1)+4),1,3)+WEEKDAY(DATE(YEAR(A727-WEEKDAY(A727-1)+4),1,3))+5)/7))</f>
        <v/>
      </c>
      <c r="D727" s="21" t="n"/>
      <c r="E727" s="22" t="n"/>
      <c r="F727" s="23" t="n"/>
      <c r="G727" s="23" t="n"/>
      <c r="H727" s="23" t="n"/>
      <c r="I727" s="20">
        <f>IF(COUNT(F727:H727)=0,"",SUM(F727:H727))</f>
        <v/>
      </c>
      <c r="J727" s="23" t="n"/>
      <c r="K727" s="23" t="n"/>
      <c r="L727" s="23" t="n"/>
      <c r="M727" s="23" t="n"/>
      <c r="N727" s="23" t="n"/>
      <c r="O727" s="20">
        <f>IF(OR(I727="",COUNT(J727:N727)=0),"",IF(SUM(J727:N727)=I727,"✓","⚠ "&amp;SUM(J727:N727)&amp;" statt "&amp;I727))</f>
        <v/>
      </c>
      <c r="P727" s="21" t="n"/>
      <c r="Q727" s="21" t="n"/>
      <c r="R727" s="21" t="n"/>
      <c r="S727" s="24" t="n"/>
      <c r="T727" s="24" t="n"/>
      <c r="V727">
        <f>IF(A727="","",MONTH(A727))</f>
        <v/>
      </c>
      <c r="W727">
        <f>N(W726)+IF(AND(C727&lt;&gt;"",T727&lt;&gt;""),IF(C727=WOCHE!$B$3,1,0),0)</f>
        <v/>
      </c>
      <c r="X727">
        <f>N(X726)+IF(AND(V727&lt;&gt;"",T727&lt;&gt;""),IF(V727=MONAT!$AZ$3,1,0),0)</f>
        <v/>
      </c>
    </row>
    <row r="728">
      <c r="A728" s="19" t="n"/>
      <c r="B728" s="20">
        <f>IF(A728="","",CHOOSE(WEEKDAY(A728,2),"Mo","Di","Mi","Do","Fr","Sa","So"))</f>
        <v/>
      </c>
      <c r="C728" s="20">
        <f>IF(A728="","",INT((A728-DATE(YEAR(A728-WEEKDAY(A728-1)+4),1,3)+WEEKDAY(DATE(YEAR(A728-WEEKDAY(A728-1)+4),1,3))+5)/7))</f>
        <v/>
      </c>
      <c r="D728" s="21" t="n"/>
      <c r="E728" s="22" t="n"/>
      <c r="F728" s="23" t="n"/>
      <c r="G728" s="23" t="n"/>
      <c r="H728" s="23" t="n"/>
      <c r="I728" s="20">
        <f>IF(COUNT(F728:H728)=0,"",SUM(F728:H728))</f>
        <v/>
      </c>
      <c r="J728" s="23" t="n"/>
      <c r="K728" s="23" t="n"/>
      <c r="L728" s="23" t="n"/>
      <c r="M728" s="23" t="n"/>
      <c r="N728" s="23" t="n"/>
      <c r="O728" s="20">
        <f>IF(OR(I728="",COUNT(J728:N728)=0),"",IF(SUM(J728:N728)=I728,"✓","⚠ "&amp;SUM(J728:N728)&amp;" statt "&amp;I728))</f>
        <v/>
      </c>
      <c r="P728" s="21" t="n"/>
      <c r="Q728" s="21" t="n"/>
      <c r="R728" s="21" t="n"/>
      <c r="S728" s="24" t="n"/>
      <c r="T728" s="24" t="n"/>
      <c r="V728">
        <f>IF(A728="","",MONTH(A728))</f>
        <v/>
      </c>
      <c r="W728">
        <f>N(W727)+IF(AND(C728&lt;&gt;"",T728&lt;&gt;""),IF(C728=WOCHE!$B$3,1,0),0)</f>
        <v/>
      </c>
      <c r="X728">
        <f>N(X727)+IF(AND(V728&lt;&gt;"",T728&lt;&gt;""),IF(V728=MONAT!$AZ$3,1,0),0)</f>
        <v/>
      </c>
    </row>
    <row r="729">
      <c r="A729" s="19" t="n"/>
      <c r="B729" s="20">
        <f>IF(A729="","",CHOOSE(WEEKDAY(A729,2),"Mo","Di","Mi","Do","Fr","Sa","So"))</f>
        <v/>
      </c>
      <c r="C729" s="20">
        <f>IF(A729="","",INT((A729-DATE(YEAR(A729-WEEKDAY(A729-1)+4),1,3)+WEEKDAY(DATE(YEAR(A729-WEEKDAY(A729-1)+4),1,3))+5)/7))</f>
        <v/>
      </c>
      <c r="D729" s="21" t="n"/>
      <c r="E729" s="22" t="n"/>
      <c r="F729" s="23" t="n"/>
      <c r="G729" s="23" t="n"/>
      <c r="H729" s="23" t="n"/>
      <c r="I729" s="20">
        <f>IF(COUNT(F729:H729)=0,"",SUM(F729:H729))</f>
        <v/>
      </c>
      <c r="J729" s="23" t="n"/>
      <c r="K729" s="23" t="n"/>
      <c r="L729" s="23" t="n"/>
      <c r="M729" s="23" t="n"/>
      <c r="N729" s="23" t="n"/>
      <c r="O729" s="20">
        <f>IF(OR(I729="",COUNT(J729:N729)=0),"",IF(SUM(J729:N729)=I729,"✓","⚠ "&amp;SUM(J729:N729)&amp;" statt "&amp;I729))</f>
        <v/>
      </c>
      <c r="P729" s="21" t="n"/>
      <c r="Q729" s="21" t="n"/>
      <c r="R729" s="21" t="n"/>
      <c r="S729" s="24" t="n"/>
      <c r="T729" s="24" t="n"/>
      <c r="V729">
        <f>IF(A729="","",MONTH(A729))</f>
        <v/>
      </c>
      <c r="W729">
        <f>N(W728)+IF(AND(C729&lt;&gt;"",T729&lt;&gt;""),IF(C729=WOCHE!$B$3,1,0),0)</f>
        <v/>
      </c>
      <c r="X729">
        <f>N(X728)+IF(AND(V729&lt;&gt;"",T729&lt;&gt;""),IF(V729=MONAT!$AZ$3,1,0),0)</f>
        <v/>
      </c>
    </row>
    <row r="730">
      <c r="A730" s="19" t="n"/>
      <c r="B730" s="20">
        <f>IF(A730="","",CHOOSE(WEEKDAY(A730,2),"Mo","Di","Mi","Do","Fr","Sa","So"))</f>
        <v/>
      </c>
      <c r="C730" s="20">
        <f>IF(A730="","",INT((A730-DATE(YEAR(A730-WEEKDAY(A730-1)+4),1,3)+WEEKDAY(DATE(YEAR(A730-WEEKDAY(A730-1)+4),1,3))+5)/7))</f>
        <v/>
      </c>
      <c r="D730" s="21" t="n"/>
      <c r="E730" s="22" t="n"/>
      <c r="F730" s="23" t="n"/>
      <c r="G730" s="23" t="n"/>
      <c r="H730" s="23" t="n"/>
      <c r="I730" s="20">
        <f>IF(COUNT(F730:H730)=0,"",SUM(F730:H730))</f>
        <v/>
      </c>
      <c r="J730" s="23" t="n"/>
      <c r="K730" s="23" t="n"/>
      <c r="L730" s="23" t="n"/>
      <c r="M730" s="23" t="n"/>
      <c r="N730" s="23" t="n"/>
      <c r="O730" s="20">
        <f>IF(OR(I730="",COUNT(J730:N730)=0),"",IF(SUM(J730:N730)=I730,"✓","⚠ "&amp;SUM(J730:N730)&amp;" statt "&amp;I730))</f>
        <v/>
      </c>
      <c r="P730" s="21" t="n"/>
      <c r="Q730" s="21" t="n"/>
      <c r="R730" s="21" t="n"/>
      <c r="S730" s="24" t="n"/>
      <c r="T730" s="24" t="n"/>
      <c r="V730">
        <f>IF(A730="","",MONTH(A730))</f>
        <v/>
      </c>
      <c r="W730">
        <f>N(W729)+IF(AND(C730&lt;&gt;"",T730&lt;&gt;""),IF(C730=WOCHE!$B$3,1,0),0)</f>
        <v/>
      </c>
      <c r="X730">
        <f>N(X729)+IF(AND(V730&lt;&gt;"",T730&lt;&gt;""),IF(V730=MONAT!$AZ$3,1,0),0)</f>
        <v/>
      </c>
    </row>
    <row r="731">
      <c r="A731" s="19" t="n"/>
      <c r="B731" s="20">
        <f>IF(A731="","",CHOOSE(WEEKDAY(A731,2),"Mo","Di","Mi","Do","Fr","Sa","So"))</f>
        <v/>
      </c>
      <c r="C731" s="20">
        <f>IF(A731="","",INT((A731-DATE(YEAR(A731-WEEKDAY(A731-1)+4),1,3)+WEEKDAY(DATE(YEAR(A731-WEEKDAY(A731-1)+4),1,3))+5)/7))</f>
        <v/>
      </c>
      <c r="D731" s="21" t="n"/>
      <c r="E731" s="22" t="n"/>
      <c r="F731" s="23" t="n"/>
      <c r="G731" s="23" t="n"/>
      <c r="H731" s="23" t="n"/>
      <c r="I731" s="20">
        <f>IF(COUNT(F731:H731)=0,"",SUM(F731:H731))</f>
        <v/>
      </c>
      <c r="J731" s="23" t="n"/>
      <c r="K731" s="23" t="n"/>
      <c r="L731" s="23" t="n"/>
      <c r="M731" s="23" t="n"/>
      <c r="N731" s="23" t="n"/>
      <c r="O731" s="20">
        <f>IF(OR(I731="",COUNT(J731:N731)=0),"",IF(SUM(J731:N731)=I731,"✓","⚠ "&amp;SUM(J731:N731)&amp;" statt "&amp;I731))</f>
        <v/>
      </c>
      <c r="P731" s="21" t="n"/>
      <c r="Q731" s="21" t="n"/>
      <c r="R731" s="21" t="n"/>
      <c r="S731" s="24" t="n"/>
      <c r="T731" s="24" t="n"/>
      <c r="V731">
        <f>IF(A731="","",MONTH(A731))</f>
        <v/>
      </c>
      <c r="W731">
        <f>N(W730)+IF(AND(C731&lt;&gt;"",T731&lt;&gt;""),IF(C731=WOCHE!$B$3,1,0),0)</f>
        <v/>
      </c>
      <c r="X731">
        <f>N(X730)+IF(AND(V731&lt;&gt;"",T731&lt;&gt;""),IF(V731=MONAT!$AZ$3,1,0),0)</f>
        <v/>
      </c>
    </row>
    <row r="732">
      <c r="A732" s="19" t="n"/>
      <c r="B732" s="20">
        <f>IF(A732="","",CHOOSE(WEEKDAY(A732,2),"Mo","Di","Mi","Do","Fr","Sa","So"))</f>
        <v/>
      </c>
      <c r="C732" s="20">
        <f>IF(A732="","",INT((A732-DATE(YEAR(A732-WEEKDAY(A732-1)+4),1,3)+WEEKDAY(DATE(YEAR(A732-WEEKDAY(A732-1)+4),1,3))+5)/7))</f>
        <v/>
      </c>
      <c r="D732" s="21" t="n"/>
      <c r="E732" s="22" t="n"/>
      <c r="F732" s="23" t="n"/>
      <c r="G732" s="23" t="n"/>
      <c r="H732" s="23" t="n"/>
      <c r="I732" s="20">
        <f>IF(COUNT(F732:H732)=0,"",SUM(F732:H732))</f>
        <v/>
      </c>
      <c r="J732" s="23" t="n"/>
      <c r="K732" s="23" t="n"/>
      <c r="L732" s="23" t="n"/>
      <c r="M732" s="23" t="n"/>
      <c r="N732" s="23" t="n"/>
      <c r="O732" s="20">
        <f>IF(OR(I732="",COUNT(J732:N732)=0),"",IF(SUM(J732:N732)=I732,"✓","⚠ "&amp;SUM(J732:N732)&amp;" statt "&amp;I732))</f>
        <v/>
      </c>
      <c r="P732" s="21" t="n"/>
      <c r="Q732" s="21" t="n"/>
      <c r="R732" s="21" t="n"/>
      <c r="S732" s="24" t="n"/>
      <c r="T732" s="24" t="n"/>
      <c r="V732">
        <f>IF(A732="","",MONTH(A732))</f>
        <v/>
      </c>
      <c r="W732">
        <f>N(W731)+IF(AND(C732&lt;&gt;"",T732&lt;&gt;""),IF(C732=WOCHE!$B$3,1,0),0)</f>
        <v/>
      </c>
      <c r="X732">
        <f>N(X731)+IF(AND(V732&lt;&gt;"",T732&lt;&gt;""),IF(V732=MONAT!$AZ$3,1,0),0)</f>
        <v/>
      </c>
    </row>
    <row r="733">
      <c r="A733" s="19" t="n"/>
      <c r="B733" s="20">
        <f>IF(A733="","",CHOOSE(WEEKDAY(A733,2),"Mo","Di","Mi","Do","Fr","Sa","So"))</f>
        <v/>
      </c>
      <c r="C733" s="20">
        <f>IF(A733="","",INT((A733-DATE(YEAR(A733-WEEKDAY(A733-1)+4),1,3)+WEEKDAY(DATE(YEAR(A733-WEEKDAY(A733-1)+4),1,3))+5)/7))</f>
        <v/>
      </c>
      <c r="D733" s="21" t="n"/>
      <c r="E733" s="22" t="n"/>
      <c r="F733" s="23" t="n"/>
      <c r="G733" s="23" t="n"/>
      <c r="H733" s="23" t="n"/>
      <c r="I733" s="20">
        <f>IF(COUNT(F733:H733)=0,"",SUM(F733:H733))</f>
        <v/>
      </c>
      <c r="J733" s="23" t="n"/>
      <c r="K733" s="23" t="n"/>
      <c r="L733" s="23" t="n"/>
      <c r="M733" s="23" t="n"/>
      <c r="N733" s="23" t="n"/>
      <c r="O733" s="20">
        <f>IF(OR(I733="",COUNT(J733:N733)=0),"",IF(SUM(J733:N733)=I733,"✓","⚠ "&amp;SUM(J733:N733)&amp;" statt "&amp;I733))</f>
        <v/>
      </c>
      <c r="P733" s="21" t="n"/>
      <c r="Q733" s="21" t="n"/>
      <c r="R733" s="21" t="n"/>
      <c r="S733" s="24" t="n"/>
      <c r="T733" s="24" t="n"/>
      <c r="V733">
        <f>IF(A733="","",MONTH(A733))</f>
        <v/>
      </c>
      <c r="W733">
        <f>N(W732)+IF(AND(C733&lt;&gt;"",T733&lt;&gt;""),IF(C733=WOCHE!$B$3,1,0),0)</f>
        <v/>
      </c>
      <c r="X733">
        <f>N(X732)+IF(AND(V733&lt;&gt;"",T733&lt;&gt;""),IF(V733=MONAT!$AZ$3,1,0),0)</f>
        <v/>
      </c>
    </row>
    <row r="734">
      <c r="A734" s="19" t="n"/>
      <c r="B734" s="20">
        <f>IF(A734="","",CHOOSE(WEEKDAY(A734,2),"Mo","Di","Mi","Do","Fr","Sa","So"))</f>
        <v/>
      </c>
      <c r="C734" s="20">
        <f>IF(A734="","",INT((A734-DATE(YEAR(A734-WEEKDAY(A734-1)+4),1,3)+WEEKDAY(DATE(YEAR(A734-WEEKDAY(A734-1)+4),1,3))+5)/7))</f>
        <v/>
      </c>
      <c r="D734" s="21" t="n"/>
      <c r="E734" s="22" t="n"/>
      <c r="F734" s="23" t="n"/>
      <c r="G734" s="23" t="n"/>
      <c r="H734" s="23" t="n"/>
      <c r="I734" s="20">
        <f>IF(COUNT(F734:H734)=0,"",SUM(F734:H734))</f>
        <v/>
      </c>
      <c r="J734" s="23" t="n"/>
      <c r="K734" s="23" t="n"/>
      <c r="L734" s="23" t="n"/>
      <c r="M734" s="23" t="n"/>
      <c r="N734" s="23" t="n"/>
      <c r="O734" s="20">
        <f>IF(OR(I734="",COUNT(J734:N734)=0),"",IF(SUM(J734:N734)=I734,"✓","⚠ "&amp;SUM(J734:N734)&amp;" statt "&amp;I734))</f>
        <v/>
      </c>
      <c r="P734" s="21" t="n"/>
      <c r="Q734" s="21" t="n"/>
      <c r="R734" s="21" t="n"/>
      <c r="S734" s="24" t="n"/>
      <c r="T734" s="24" t="n"/>
      <c r="V734">
        <f>IF(A734="","",MONTH(A734))</f>
        <v/>
      </c>
      <c r="W734">
        <f>N(W733)+IF(AND(C734&lt;&gt;"",T734&lt;&gt;""),IF(C734=WOCHE!$B$3,1,0),0)</f>
        <v/>
      </c>
      <c r="X734">
        <f>N(X733)+IF(AND(V734&lt;&gt;"",T734&lt;&gt;""),IF(V734=MONAT!$AZ$3,1,0),0)</f>
        <v/>
      </c>
    </row>
    <row r="735">
      <c r="A735" s="19" t="n"/>
      <c r="B735" s="20">
        <f>IF(A735="","",CHOOSE(WEEKDAY(A735,2),"Mo","Di","Mi","Do","Fr","Sa","So"))</f>
        <v/>
      </c>
      <c r="C735" s="20">
        <f>IF(A735="","",INT((A735-DATE(YEAR(A735-WEEKDAY(A735-1)+4),1,3)+WEEKDAY(DATE(YEAR(A735-WEEKDAY(A735-1)+4),1,3))+5)/7))</f>
        <v/>
      </c>
      <c r="D735" s="21" t="n"/>
      <c r="E735" s="22" t="n"/>
      <c r="F735" s="23" t="n"/>
      <c r="G735" s="23" t="n"/>
      <c r="H735" s="23" t="n"/>
      <c r="I735" s="20">
        <f>IF(COUNT(F735:H735)=0,"",SUM(F735:H735))</f>
        <v/>
      </c>
      <c r="J735" s="23" t="n"/>
      <c r="K735" s="23" t="n"/>
      <c r="L735" s="23" t="n"/>
      <c r="M735" s="23" t="n"/>
      <c r="N735" s="23" t="n"/>
      <c r="O735" s="20">
        <f>IF(OR(I735="",COUNT(J735:N735)=0),"",IF(SUM(J735:N735)=I735,"✓","⚠ "&amp;SUM(J735:N735)&amp;" statt "&amp;I735))</f>
        <v/>
      </c>
      <c r="P735" s="21" t="n"/>
      <c r="Q735" s="21" t="n"/>
      <c r="R735" s="21" t="n"/>
      <c r="S735" s="24" t="n"/>
      <c r="T735" s="24" t="n"/>
      <c r="V735">
        <f>IF(A735="","",MONTH(A735))</f>
        <v/>
      </c>
      <c r="W735">
        <f>N(W734)+IF(AND(C735&lt;&gt;"",T735&lt;&gt;""),IF(C735=WOCHE!$B$3,1,0),0)</f>
        <v/>
      </c>
      <c r="X735">
        <f>N(X734)+IF(AND(V735&lt;&gt;"",T735&lt;&gt;""),IF(V735=MONAT!$AZ$3,1,0),0)</f>
        <v/>
      </c>
    </row>
    <row r="736">
      <c r="A736" s="19" t="n"/>
      <c r="B736" s="20">
        <f>IF(A736="","",CHOOSE(WEEKDAY(A736,2),"Mo","Di","Mi","Do","Fr","Sa","So"))</f>
        <v/>
      </c>
      <c r="C736" s="20">
        <f>IF(A736="","",INT((A736-DATE(YEAR(A736-WEEKDAY(A736-1)+4),1,3)+WEEKDAY(DATE(YEAR(A736-WEEKDAY(A736-1)+4),1,3))+5)/7))</f>
        <v/>
      </c>
      <c r="D736" s="21" t="n"/>
      <c r="E736" s="22" t="n"/>
      <c r="F736" s="23" t="n"/>
      <c r="G736" s="23" t="n"/>
      <c r="H736" s="23" t="n"/>
      <c r="I736" s="20">
        <f>IF(COUNT(F736:H736)=0,"",SUM(F736:H736))</f>
        <v/>
      </c>
      <c r="J736" s="23" t="n"/>
      <c r="K736" s="23" t="n"/>
      <c r="L736" s="23" t="n"/>
      <c r="M736" s="23" t="n"/>
      <c r="N736" s="23" t="n"/>
      <c r="O736" s="20">
        <f>IF(OR(I736="",COUNT(J736:N736)=0),"",IF(SUM(J736:N736)=I736,"✓","⚠ "&amp;SUM(J736:N736)&amp;" statt "&amp;I736))</f>
        <v/>
      </c>
      <c r="P736" s="21" t="n"/>
      <c r="Q736" s="21" t="n"/>
      <c r="R736" s="21" t="n"/>
      <c r="S736" s="24" t="n"/>
      <c r="T736" s="24" t="n"/>
      <c r="V736">
        <f>IF(A736="","",MONTH(A736))</f>
        <v/>
      </c>
      <c r="W736">
        <f>N(W735)+IF(AND(C736&lt;&gt;"",T736&lt;&gt;""),IF(C736=WOCHE!$B$3,1,0),0)</f>
        <v/>
      </c>
      <c r="X736">
        <f>N(X735)+IF(AND(V736&lt;&gt;"",T736&lt;&gt;""),IF(V736=MONAT!$AZ$3,1,0),0)</f>
        <v/>
      </c>
    </row>
    <row r="737">
      <c r="A737" s="19" t="n"/>
      <c r="B737" s="20">
        <f>IF(A737="","",CHOOSE(WEEKDAY(A737,2),"Mo","Di","Mi","Do","Fr","Sa","So"))</f>
        <v/>
      </c>
      <c r="C737" s="20">
        <f>IF(A737="","",INT((A737-DATE(YEAR(A737-WEEKDAY(A737-1)+4),1,3)+WEEKDAY(DATE(YEAR(A737-WEEKDAY(A737-1)+4),1,3))+5)/7))</f>
        <v/>
      </c>
      <c r="D737" s="21" t="n"/>
      <c r="E737" s="22" t="n"/>
      <c r="F737" s="23" t="n"/>
      <c r="G737" s="23" t="n"/>
      <c r="H737" s="23" t="n"/>
      <c r="I737" s="20">
        <f>IF(COUNT(F737:H737)=0,"",SUM(F737:H737))</f>
        <v/>
      </c>
      <c r="J737" s="23" t="n"/>
      <c r="K737" s="23" t="n"/>
      <c r="L737" s="23" t="n"/>
      <c r="M737" s="23" t="n"/>
      <c r="N737" s="23" t="n"/>
      <c r="O737" s="20">
        <f>IF(OR(I737="",COUNT(J737:N737)=0),"",IF(SUM(J737:N737)=I737,"✓","⚠ "&amp;SUM(J737:N737)&amp;" statt "&amp;I737))</f>
        <v/>
      </c>
      <c r="P737" s="21" t="n"/>
      <c r="Q737" s="21" t="n"/>
      <c r="R737" s="21" t="n"/>
      <c r="S737" s="24" t="n"/>
      <c r="T737" s="24" t="n"/>
      <c r="V737">
        <f>IF(A737="","",MONTH(A737))</f>
        <v/>
      </c>
      <c r="W737">
        <f>N(W736)+IF(AND(C737&lt;&gt;"",T737&lt;&gt;""),IF(C737=WOCHE!$B$3,1,0),0)</f>
        <v/>
      </c>
      <c r="X737">
        <f>N(X736)+IF(AND(V737&lt;&gt;"",T737&lt;&gt;""),IF(V737=MONAT!$AZ$3,1,0),0)</f>
        <v/>
      </c>
    </row>
    <row r="738">
      <c r="A738" s="19" t="n"/>
      <c r="B738" s="20">
        <f>IF(A738="","",CHOOSE(WEEKDAY(A738,2),"Mo","Di","Mi","Do","Fr","Sa","So"))</f>
        <v/>
      </c>
      <c r="C738" s="20">
        <f>IF(A738="","",INT((A738-DATE(YEAR(A738-WEEKDAY(A738-1)+4),1,3)+WEEKDAY(DATE(YEAR(A738-WEEKDAY(A738-1)+4),1,3))+5)/7))</f>
        <v/>
      </c>
      <c r="D738" s="21" t="n"/>
      <c r="E738" s="22" t="n"/>
      <c r="F738" s="23" t="n"/>
      <c r="G738" s="23" t="n"/>
      <c r="H738" s="23" t="n"/>
      <c r="I738" s="20">
        <f>IF(COUNT(F738:H738)=0,"",SUM(F738:H738))</f>
        <v/>
      </c>
      <c r="J738" s="23" t="n"/>
      <c r="K738" s="23" t="n"/>
      <c r="L738" s="23" t="n"/>
      <c r="M738" s="23" t="n"/>
      <c r="N738" s="23" t="n"/>
      <c r="O738" s="20">
        <f>IF(OR(I738="",COUNT(J738:N738)=0),"",IF(SUM(J738:N738)=I738,"✓","⚠ "&amp;SUM(J738:N738)&amp;" statt "&amp;I738))</f>
        <v/>
      </c>
      <c r="P738" s="21" t="n"/>
      <c r="Q738" s="21" t="n"/>
      <c r="R738" s="21" t="n"/>
      <c r="S738" s="24" t="n"/>
      <c r="T738" s="24" t="n"/>
      <c r="V738">
        <f>IF(A738="","",MONTH(A738))</f>
        <v/>
      </c>
      <c r="W738">
        <f>N(W737)+IF(AND(C738&lt;&gt;"",T738&lt;&gt;""),IF(C738=WOCHE!$B$3,1,0),0)</f>
        <v/>
      </c>
      <c r="X738">
        <f>N(X737)+IF(AND(V738&lt;&gt;"",T738&lt;&gt;""),IF(V738=MONAT!$AZ$3,1,0),0)</f>
        <v/>
      </c>
    </row>
    <row r="739">
      <c r="A739" s="19" t="n"/>
      <c r="B739" s="20">
        <f>IF(A739="","",CHOOSE(WEEKDAY(A739,2),"Mo","Di","Mi","Do","Fr","Sa","So"))</f>
        <v/>
      </c>
      <c r="C739" s="20">
        <f>IF(A739="","",INT((A739-DATE(YEAR(A739-WEEKDAY(A739-1)+4),1,3)+WEEKDAY(DATE(YEAR(A739-WEEKDAY(A739-1)+4),1,3))+5)/7))</f>
        <v/>
      </c>
      <c r="D739" s="21" t="n"/>
      <c r="E739" s="22" t="n"/>
      <c r="F739" s="23" t="n"/>
      <c r="G739" s="23" t="n"/>
      <c r="H739" s="23" t="n"/>
      <c r="I739" s="20">
        <f>IF(COUNT(F739:H739)=0,"",SUM(F739:H739))</f>
        <v/>
      </c>
      <c r="J739" s="23" t="n"/>
      <c r="K739" s="23" t="n"/>
      <c r="L739" s="23" t="n"/>
      <c r="M739" s="23" t="n"/>
      <c r="N739" s="23" t="n"/>
      <c r="O739" s="20">
        <f>IF(OR(I739="",COUNT(J739:N739)=0),"",IF(SUM(J739:N739)=I739,"✓","⚠ "&amp;SUM(J739:N739)&amp;" statt "&amp;I739))</f>
        <v/>
      </c>
      <c r="P739" s="21" t="n"/>
      <c r="Q739" s="21" t="n"/>
      <c r="R739" s="21" t="n"/>
      <c r="S739" s="24" t="n"/>
      <c r="T739" s="24" t="n"/>
      <c r="V739">
        <f>IF(A739="","",MONTH(A739))</f>
        <v/>
      </c>
      <c r="W739">
        <f>N(W738)+IF(AND(C739&lt;&gt;"",T739&lt;&gt;""),IF(C739=WOCHE!$B$3,1,0),0)</f>
        <v/>
      </c>
      <c r="X739">
        <f>N(X738)+IF(AND(V739&lt;&gt;"",T739&lt;&gt;""),IF(V739=MONAT!$AZ$3,1,0),0)</f>
        <v/>
      </c>
    </row>
    <row r="740">
      <c r="A740" s="19" t="n"/>
      <c r="B740" s="20">
        <f>IF(A740="","",CHOOSE(WEEKDAY(A740,2),"Mo","Di","Mi","Do","Fr","Sa","So"))</f>
        <v/>
      </c>
      <c r="C740" s="20">
        <f>IF(A740="","",INT((A740-DATE(YEAR(A740-WEEKDAY(A740-1)+4),1,3)+WEEKDAY(DATE(YEAR(A740-WEEKDAY(A740-1)+4),1,3))+5)/7))</f>
        <v/>
      </c>
      <c r="D740" s="21" t="n"/>
      <c r="E740" s="22" t="n"/>
      <c r="F740" s="23" t="n"/>
      <c r="G740" s="23" t="n"/>
      <c r="H740" s="23" t="n"/>
      <c r="I740" s="20">
        <f>IF(COUNT(F740:H740)=0,"",SUM(F740:H740))</f>
        <v/>
      </c>
      <c r="J740" s="23" t="n"/>
      <c r="K740" s="23" t="n"/>
      <c r="L740" s="23" t="n"/>
      <c r="M740" s="23" t="n"/>
      <c r="N740" s="23" t="n"/>
      <c r="O740" s="20">
        <f>IF(OR(I740="",COUNT(J740:N740)=0),"",IF(SUM(J740:N740)=I740,"✓","⚠ "&amp;SUM(J740:N740)&amp;" statt "&amp;I740))</f>
        <v/>
      </c>
      <c r="P740" s="21" t="n"/>
      <c r="Q740" s="21" t="n"/>
      <c r="R740" s="21" t="n"/>
      <c r="S740" s="24" t="n"/>
      <c r="T740" s="24" t="n"/>
      <c r="V740">
        <f>IF(A740="","",MONTH(A740))</f>
        <v/>
      </c>
      <c r="W740">
        <f>N(W739)+IF(AND(C740&lt;&gt;"",T740&lt;&gt;""),IF(C740=WOCHE!$B$3,1,0),0)</f>
        <v/>
      </c>
      <c r="X740">
        <f>N(X739)+IF(AND(V740&lt;&gt;"",T740&lt;&gt;""),IF(V740=MONAT!$AZ$3,1,0),0)</f>
        <v/>
      </c>
    </row>
    <row r="741">
      <c r="A741" s="19" t="n"/>
      <c r="B741" s="20">
        <f>IF(A741="","",CHOOSE(WEEKDAY(A741,2),"Mo","Di","Mi","Do","Fr","Sa","So"))</f>
        <v/>
      </c>
      <c r="C741" s="20">
        <f>IF(A741="","",INT((A741-DATE(YEAR(A741-WEEKDAY(A741-1)+4),1,3)+WEEKDAY(DATE(YEAR(A741-WEEKDAY(A741-1)+4),1,3))+5)/7))</f>
        <v/>
      </c>
      <c r="D741" s="21" t="n"/>
      <c r="E741" s="22" t="n"/>
      <c r="F741" s="23" t="n"/>
      <c r="G741" s="23" t="n"/>
      <c r="H741" s="23" t="n"/>
      <c r="I741" s="20">
        <f>IF(COUNT(F741:H741)=0,"",SUM(F741:H741))</f>
        <v/>
      </c>
      <c r="J741" s="23" t="n"/>
      <c r="K741" s="23" t="n"/>
      <c r="L741" s="23" t="n"/>
      <c r="M741" s="23" t="n"/>
      <c r="N741" s="23" t="n"/>
      <c r="O741" s="20">
        <f>IF(OR(I741="",COUNT(J741:N741)=0),"",IF(SUM(J741:N741)=I741,"✓","⚠ "&amp;SUM(J741:N741)&amp;" statt "&amp;I741))</f>
        <v/>
      </c>
      <c r="P741" s="21" t="n"/>
      <c r="Q741" s="21" t="n"/>
      <c r="R741" s="21" t="n"/>
      <c r="S741" s="24" t="n"/>
      <c r="T741" s="24" t="n"/>
      <c r="V741">
        <f>IF(A741="","",MONTH(A741))</f>
        <v/>
      </c>
      <c r="W741">
        <f>N(W740)+IF(AND(C741&lt;&gt;"",T741&lt;&gt;""),IF(C741=WOCHE!$B$3,1,0),0)</f>
        <v/>
      </c>
      <c r="X741">
        <f>N(X740)+IF(AND(V741&lt;&gt;"",T741&lt;&gt;""),IF(V741=MONAT!$AZ$3,1,0),0)</f>
        <v/>
      </c>
    </row>
    <row r="742">
      <c r="A742" s="19" t="n"/>
      <c r="B742" s="20">
        <f>IF(A742="","",CHOOSE(WEEKDAY(A742,2),"Mo","Di","Mi","Do","Fr","Sa","So"))</f>
        <v/>
      </c>
      <c r="C742" s="20">
        <f>IF(A742="","",INT((A742-DATE(YEAR(A742-WEEKDAY(A742-1)+4),1,3)+WEEKDAY(DATE(YEAR(A742-WEEKDAY(A742-1)+4),1,3))+5)/7))</f>
        <v/>
      </c>
      <c r="D742" s="21" t="n"/>
      <c r="E742" s="22" t="n"/>
      <c r="F742" s="23" t="n"/>
      <c r="G742" s="23" t="n"/>
      <c r="H742" s="23" t="n"/>
      <c r="I742" s="20">
        <f>IF(COUNT(F742:H742)=0,"",SUM(F742:H742))</f>
        <v/>
      </c>
      <c r="J742" s="23" t="n"/>
      <c r="K742" s="23" t="n"/>
      <c r="L742" s="23" t="n"/>
      <c r="M742" s="23" t="n"/>
      <c r="N742" s="23" t="n"/>
      <c r="O742" s="20">
        <f>IF(OR(I742="",COUNT(J742:N742)=0),"",IF(SUM(J742:N742)=I742,"✓","⚠ "&amp;SUM(J742:N742)&amp;" statt "&amp;I742))</f>
        <v/>
      </c>
      <c r="P742" s="21" t="n"/>
      <c r="Q742" s="21" t="n"/>
      <c r="R742" s="21" t="n"/>
      <c r="S742" s="24" t="n"/>
      <c r="T742" s="24" t="n"/>
      <c r="V742">
        <f>IF(A742="","",MONTH(A742))</f>
        <v/>
      </c>
      <c r="W742">
        <f>N(W741)+IF(AND(C742&lt;&gt;"",T742&lt;&gt;""),IF(C742=WOCHE!$B$3,1,0),0)</f>
        <v/>
      </c>
      <c r="X742">
        <f>N(X741)+IF(AND(V742&lt;&gt;"",T742&lt;&gt;""),IF(V742=MONAT!$AZ$3,1,0),0)</f>
        <v/>
      </c>
    </row>
    <row r="743">
      <c r="A743" s="19" t="n"/>
      <c r="B743" s="20">
        <f>IF(A743="","",CHOOSE(WEEKDAY(A743,2),"Mo","Di","Mi","Do","Fr","Sa","So"))</f>
        <v/>
      </c>
      <c r="C743" s="20">
        <f>IF(A743="","",INT((A743-DATE(YEAR(A743-WEEKDAY(A743-1)+4),1,3)+WEEKDAY(DATE(YEAR(A743-WEEKDAY(A743-1)+4),1,3))+5)/7))</f>
        <v/>
      </c>
      <c r="D743" s="21" t="n"/>
      <c r="E743" s="22" t="n"/>
      <c r="F743" s="23" t="n"/>
      <c r="G743" s="23" t="n"/>
      <c r="H743" s="23" t="n"/>
      <c r="I743" s="20">
        <f>IF(COUNT(F743:H743)=0,"",SUM(F743:H743))</f>
        <v/>
      </c>
      <c r="J743" s="23" t="n"/>
      <c r="K743" s="23" t="n"/>
      <c r="L743" s="23" t="n"/>
      <c r="M743" s="23" t="n"/>
      <c r="N743" s="23" t="n"/>
      <c r="O743" s="20">
        <f>IF(OR(I743="",COUNT(J743:N743)=0),"",IF(SUM(J743:N743)=I743,"✓","⚠ "&amp;SUM(J743:N743)&amp;" statt "&amp;I743))</f>
        <v/>
      </c>
      <c r="P743" s="21" t="n"/>
      <c r="Q743" s="21" t="n"/>
      <c r="R743" s="21" t="n"/>
      <c r="S743" s="24" t="n"/>
      <c r="T743" s="24" t="n"/>
      <c r="V743">
        <f>IF(A743="","",MONTH(A743))</f>
        <v/>
      </c>
      <c r="W743">
        <f>N(W742)+IF(AND(C743&lt;&gt;"",T743&lt;&gt;""),IF(C743=WOCHE!$B$3,1,0),0)</f>
        <v/>
      </c>
      <c r="X743">
        <f>N(X742)+IF(AND(V743&lt;&gt;"",T743&lt;&gt;""),IF(V743=MONAT!$AZ$3,1,0),0)</f>
        <v/>
      </c>
    </row>
    <row r="744">
      <c r="A744" s="19" t="n"/>
      <c r="B744" s="20">
        <f>IF(A744="","",CHOOSE(WEEKDAY(A744,2),"Mo","Di","Mi","Do","Fr","Sa","So"))</f>
        <v/>
      </c>
      <c r="C744" s="20">
        <f>IF(A744="","",INT((A744-DATE(YEAR(A744-WEEKDAY(A744-1)+4),1,3)+WEEKDAY(DATE(YEAR(A744-WEEKDAY(A744-1)+4),1,3))+5)/7))</f>
        <v/>
      </c>
      <c r="D744" s="21" t="n"/>
      <c r="E744" s="22" t="n"/>
      <c r="F744" s="23" t="n"/>
      <c r="G744" s="23" t="n"/>
      <c r="H744" s="23" t="n"/>
      <c r="I744" s="20">
        <f>IF(COUNT(F744:H744)=0,"",SUM(F744:H744))</f>
        <v/>
      </c>
      <c r="J744" s="23" t="n"/>
      <c r="K744" s="23" t="n"/>
      <c r="L744" s="23" t="n"/>
      <c r="M744" s="23" t="n"/>
      <c r="N744" s="23" t="n"/>
      <c r="O744" s="20">
        <f>IF(OR(I744="",COUNT(J744:N744)=0),"",IF(SUM(J744:N744)=I744,"✓","⚠ "&amp;SUM(J744:N744)&amp;" statt "&amp;I744))</f>
        <v/>
      </c>
      <c r="P744" s="21" t="n"/>
      <c r="Q744" s="21" t="n"/>
      <c r="R744" s="21" t="n"/>
      <c r="S744" s="24" t="n"/>
      <c r="T744" s="24" t="n"/>
      <c r="V744">
        <f>IF(A744="","",MONTH(A744))</f>
        <v/>
      </c>
      <c r="W744">
        <f>N(W743)+IF(AND(C744&lt;&gt;"",T744&lt;&gt;""),IF(C744=WOCHE!$B$3,1,0),0)</f>
        <v/>
      </c>
      <c r="X744">
        <f>N(X743)+IF(AND(V744&lt;&gt;"",T744&lt;&gt;""),IF(V744=MONAT!$AZ$3,1,0),0)</f>
        <v/>
      </c>
    </row>
    <row r="745">
      <c r="A745" s="19" t="n"/>
      <c r="B745" s="20">
        <f>IF(A745="","",CHOOSE(WEEKDAY(A745,2),"Mo","Di","Mi","Do","Fr","Sa","So"))</f>
        <v/>
      </c>
      <c r="C745" s="20">
        <f>IF(A745="","",INT((A745-DATE(YEAR(A745-WEEKDAY(A745-1)+4),1,3)+WEEKDAY(DATE(YEAR(A745-WEEKDAY(A745-1)+4),1,3))+5)/7))</f>
        <v/>
      </c>
      <c r="D745" s="21" t="n"/>
      <c r="E745" s="22" t="n"/>
      <c r="F745" s="23" t="n"/>
      <c r="G745" s="23" t="n"/>
      <c r="H745" s="23" t="n"/>
      <c r="I745" s="20">
        <f>IF(COUNT(F745:H745)=0,"",SUM(F745:H745))</f>
        <v/>
      </c>
      <c r="J745" s="23" t="n"/>
      <c r="K745" s="23" t="n"/>
      <c r="L745" s="23" t="n"/>
      <c r="M745" s="23" t="n"/>
      <c r="N745" s="23" t="n"/>
      <c r="O745" s="20">
        <f>IF(OR(I745="",COUNT(J745:N745)=0),"",IF(SUM(J745:N745)=I745,"✓","⚠ "&amp;SUM(J745:N745)&amp;" statt "&amp;I745))</f>
        <v/>
      </c>
      <c r="P745" s="21" t="n"/>
      <c r="Q745" s="21" t="n"/>
      <c r="R745" s="21" t="n"/>
      <c r="S745" s="24" t="n"/>
      <c r="T745" s="24" t="n"/>
      <c r="V745">
        <f>IF(A745="","",MONTH(A745))</f>
        <v/>
      </c>
      <c r="W745">
        <f>N(W744)+IF(AND(C745&lt;&gt;"",T745&lt;&gt;""),IF(C745=WOCHE!$B$3,1,0),0)</f>
        <v/>
      </c>
      <c r="X745">
        <f>N(X744)+IF(AND(V745&lt;&gt;"",T745&lt;&gt;""),IF(V745=MONAT!$AZ$3,1,0),0)</f>
        <v/>
      </c>
    </row>
    <row r="746">
      <c r="A746" s="19" t="n"/>
      <c r="B746" s="20">
        <f>IF(A746="","",CHOOSE(WEEKDAY(A746,2),"Mo","Di","Mi","Do","Fr","Sa","So"))</f>
        <v/>
      </c>
      <c r="C746" s="20">
        <f>IF(A746="","",INT((A746-DATE(YEAR(A746-WEEKDAY(A746-1)+4),1,3)+WEEKDAY(DATE(YEAR(A746-WEEKDAY(A746-1)+4),1,3))+5)/7))</f>
        <v/>
      </c>
      <c r="D746" s="21" t="n"/>
      <c r="E746" s="22" t="n"/>
      <c r="F746" s="23" t="n"/>
      <c r="G746" s="23" t="n"/>
      <c r="H746" s="23" t="n"/>
      <c r="I746" s="20">
        <f>IF(COUNT(F746:H746)=0,"",SUM(F746:H746))</f>
        <v/>
      </c>
      <c r="J746" s="23" t="n"/>
      <c r="K746" s="23" t="n"/>
      <c r="L746" s="23" t="n"/>
      <c r="M746" s="23" t="n"/>
      <c r="N746" s="23" t="n"/>
      <c r="O746" s="20">
        <f>IF(OR(I746="",COUNT(J746:N746)=0),"",IF(SUM(J746:N746)=I746,"✓","⚠ "&amp;SUM(J746:N746)&amp;" statt "&amp;I746))</f>
        <v/>
      </c>
      <c r="P746" s="21" t="n"/>
      <c r="Q746" s="21" t="n"/>
      <c r="R746" s="21" t="n"/>
      <c r="S746" s="24" t="n"/>
      <c r="T746" s="24" t="n"/>
      <c r="V746">
        <f>IF(A746="","",MONTH(A746))</f>
        <v/>
      </c>
      <c r="W746">
        <f>N(W745)+IF(AND(C746&lt;&gt;"",T746&lt;&gt;""),IF(C746=WOCHE!$B$3,1,0),0)</f>
        <v/>
      </c>
      <c r="X746">
        <f>N(X745)+IF(AND(V746&lt;&gt;"",T746&lt;&gt;""),IF(V746=MONAT!$AZ$3,1,0),0)</f>
        <v/>
      </c>
    </row>
    <row r="747">
      <c r="A747" s="19" t="n"/>
      <c r="B747" s="20">
        <f>IF(A747="","",CHOOSE(WEEKDAY(A747,2),"Mo","Di","Mi","Do","Fr","Sa","So"))</f>
        <v/>
      </c>
      <c r="C747" s="20">
        <f>IF(A747="","",INT((A747-DATE(YEAR(A747-WEEKDAY(A747-1)+4),1,3)+WEEKDAY(DATE(YEAR(A747-WEEKDAY(A747-1)+4),1,3))+5)/7))</f>
        <v/>
      </c>
      <c r="D747" s="21" t="n"/>
      <c r="E747" s="22" t="n"/>
      <c r="F747" s="23" t="n"/>
      <c r="G747" s="23" t="n"/>
      <c r="H747" s="23" t="n"/>
      <c r="I747" s="20">
        <f>IF(COUNT(F747:H747)=0,"",SUM(F747:H747))</f>
        <v/>
      </c>
      <c r="J747" s="23" t="n"/>
      <c r="K747" s="23" t="n"/>
      <c r="L747" s="23" t="n"/>
      <c r="M747" s="23" t="n"/>
      <c r="N747" s="23" t="n"/>
      <c r="O747" s="20">
        <f>IF(OR(I747="",COUNT(J747:N747)=0),"",IF(SUM(J747:N747)=I747,"✓","⚠ "&amp;SUM(J747:N747)&amp;" statt "&amp;I747))</f>
        <v/>
      </c>
      <c r="P747" s="21" t="n"/>
      <c r="Q747" s="21" t="n"/>
      <c r="R747" s="21" t="n"/>
      <c r="S747" s="24" t="n"/>
      <c r="T747" s="24" t="n"/>
      <c r="V747">
        <f>IF(A747="","",MONTH(A747))</f>
        <v/>
      </c>
      <c r="W747">
        <f>N(W746)+IF(AND(C747&lt;&gt;"",T747&lt;&gt;""),IF(C747=WOCHE!$B$3,1,0),0)</f>
        <v/>
      </c>
      <c r="X747">
        <f>N(X746)+IF(AND(V747&lt;&gt;"",T747&lt;&gt;""),IF(V747=MONAT!$AZ$3,1,0),0)</f>
        <v/>
      </c>
    </row>
    <row r="748">
      <c r="A748" s="19" t="n"/>
      <c r="B748" s="20">
        <f>IF(A748="","",CHOOSE(WEEKDAY(A748,2),"Mo","Di","Mi","Do","Fr","Sa","So"))</f>
        <v/>
      </c>
      <c r="C748" s="20">
        <f>IF(A748="","",INT((A748-DATE(YEAR(A748-WEEKDAY(A748-1)+4),1,3)+WEEKDAY(DATE(YEAR(A748-WEEKDAY(A748-1)+4),1,3))+5)/7))</f>
        <v/>
      </c>
      <c r="D748" s="21" t="n"/>
      <c r="E748" s="22" t="n"/>
      <c r="F748" s="23" t="n"/>
      <c r="G748" s="23" t="n"/>
      <c r="H748" s="23" t="n"/>
      <c r="I748" s="20">
        <f>IF(COUNT(F748:H748)=0,"",SUM(F748:H748))</f>
        <v/>
      </c>
      <c r="J748" s="23" t="n"/>
      <c r="K748" s="23" t="n"/>
      <c r="L748" s="23" t="n"/>
      <c r="M748" s="23" t="n"/>
      <c r="N748" s="23" t="n"/>
      <c r="O748" s="20">
        <f>IF(OR(I748="",COUNT(J748:N748)=0),"",IF(SUM(J748:N748)=I748,"✓","⚠ "&amp;SUM(J748:N748)&amp;" statt "&amp;I748))</f>
        <v/>
      </c>
      <c r="P748" s="21" t="n"/>
      <c r="Q748" s="21" t="n"/>
      <c r="R748" s="21" t="n"/>
      <c r="S748" s="24" t="n"/>
      <c r="T748" s="24" t="n"/>
      <c r="V748">
        <f>IF(A748="","",MONTH(A748))</f>
        <v/>
      </c>
      <c r="W748">
        <f>N(W747)+IF(AND(C748&lt;&gt;"",T748&lt;&gt;""),IF(C748=WOCHE!$B$3,1,0),0)</f>
        <v/>
      </c>
      <c r="X748">
        <f>N(X747)+IF(AND(V748&lt;&gt;"",T748&lt;&gt;""),IF(V748=MONAT!$AZ$3,1,0),0)</f>
        <v/>
      </c>
    </row>
    <row r="749">
      <c r="A749" s="19" t="n"/>
      <c r="B749" s="20">
        <f>IF(A749="","",CHOOSE(WEEKDAY(A749,2),"Mo","Di","Mi","Do","Fr","Sa","So"))</f>
        <v/>
      </c>
      <c r="C749" s="20">
        <f>IF(A749="","",INT((A749-DATE(YEAR(A749-WEEKDAY(A749-1)+4),1,3)+WEEKDAY(DATE(YEAR(A749-WEEKDAY(A749-1)+4),1,3))+5)/7))</f>
        <v/>
      </c>
      <c r="D749" s="21" t="n"/>
      <c r="E749" s="22" t="n"/>
      <c r="F749" s="23" t="n"/>
      <c r="G749" s="23" t="n"/>
      <c r="H749" s="23" t="n"/>
      <c r="I749" s="20">
        <f>IF(COUNT(F749:H749)=0,"",SUM(F749:H749))</f>
        <v/>
      </c>
      <c r="J749" s="23" t="n"/>
      <c r="K749" s="23" t="n"/>
      <c r="L749" s="23" t="n"/>
      <c r="M749" s="23" t="n"/>
      <c r="N749" s="23" t="n"/>
      <c r="O749" s="20">
        <f>IF(OR(I749="",COUNT(J749:N749)=0),"",IF(SUM(J749:N749)=I749,"✓","⚠ "&amp;SUM(J749:N749)&amp;" statt "&amp;I749))</f>
        <v/>
      </c>
      <c r="P749" s="21" t="n"/>
      <c r="Q749" s="21" t="n"/>
      <c r="R749" s="21" t="n"/>
      <c r="S749" s="24" t="n"/>
      <c r="T749" s="24" t="n"/>
      <c r="V749">
        <f>IF(A749="","",MONTH(A749))</f>
        <v/>
      </c>
      <c r="W749">
        <f>N(W748)+IF(AND(C749&lt;&gt;"",T749&lt;&gt;""),IF(C749=WOCHE!$B$3,1,0),0)</f>
        <v/>
      </c>
      <c r="X749">
        <f>N(X748)+IF(AND(V749&lt;&gt;"",T749&lt;&gt;""),IF(V749=MONAT!$AZ$3,1,0),0)</f>
        <v/>
      </c>
    </row>
    <row r="750">
      <c r="A750" s="19" t="n"/>
      <c r="B750" s="20">
        <f>IF(A750="","",CHOOSE(WEEKDAY(A750,2),"Mo","Di","Mi","Do","Fr","Sa","So"))</f>
        <v/>
      </c>
      <c r="C750" s="20">
        <f>IF(A750="","",INT((A750-DATE(YEAR(A750-WEEKDAY(A750-1)+4),1,3)+WEEKDAY(DATE(YEAR(A750-WEEKDAY(A750-1)+4),1,3))+5)/7))</f>
        <v/>
      </c>
      <c r="D750" s="21" t="n"/>
      <c r="E750" s="22" t="n"/>
      <c r="F750" s="23" t="n"/>
      <c r="G750" s="23" t="n"/>
      <c r="H750" s="23" t="n"/>
      <c r="I750" s="20">
        <f>IF(COUNT(F750:H750)=0,"",SUM(F750:H750))</f>
        <v/>
      </c>
      <c r="J750" s="23" t="n"/>
      <c r="K750" s="23" t="n"/>
      <c r="L750" s="23" t="n"/>
      <c r="M750" s="23" t="n"/>
      <c r="N750" s="23" t="n"/>
      <c r="O750" s="20">
        <f>IF(OR(I750="",COUNT(J750:N750)=0),"",IF(SUM(J750:N750)=I750,"✓","⚠ "&amp;SUM(J750:N750)&amp;" statt "&amp;I750))</f>
        <v/>
      </c>
      <c r="P750" s="21" t="n"/>
      <c r="Q750" s="21" t="n"/>
      <c r="R750" s="21" t="n"/>
      <c r="S750" s="24" t="n"/>
      <c r="T750" s="24" t="n"/>
      <c r="V750">
        <f>IF(A750="","",MONTH(A750))</f>
        <v/>
      </c>
      <c r="W750">
        <f>N(W749)+IF(AND(C750&lt;&gt;"",T750&lt;&gt;""),IF(C750=WOCHE!$B$3,1,0),0)</f>
        <v/>
      </c>
      <c r="X750">
        <f>N(X749)+IF(AND(V750&lt;&gt;"",T750&lt;&gt;""),IF(V750=MONAT!$AZ$3,1,0),0)</f>
        <v/>
      </c>
    </row>
    <row r="751">
      <c r="A751" s="19" t="n"/>
      <c r="B751" s="20">
        <f>IF(A751="","",CHOOSE(WEEKDAY(A751,2),"Mo","Di","Mi","Do","Fr","Sa","So"))</f>
        <v/>
      </c>
      <c r="C751" s="20">
        <f>IF(A751="","",INT((A751-DATE(YEAR(A751-WEEKDAY(A751-1)+4),1,3)+WEEKDAY(DATE(YEAR(A751-WEEKDAY(A751-1)+4),1,3))+5)/7))</f>
        <v/>
      </c>
      <c r="D751" s="21" t="n"/>
      <c r="E751" s="22" t="n"/>
      <c r="F751" s="23" t="n"/>
      <c r="G751" s="23" t="n"/>
      <c r="H751" s="23" t="n"/>
      <c r="I751" s="20">
        <f>IF(COUNT(F751:H751)=0,"",SUM(F751:H751))</f>
        <v/>
      </c>
      <c r="J751" s="23" t="n"/>
      <c r="K751" s="23" t="n"/>
      <c r="L751" s="23" t="n"/>
      <c r="M751" s="23" t="n"/>
      <c r="N751" s="23" t="n"/>
      <c r="O751" s="20">
        <f>IF(OR(I751="",COUNT(J751:N751)=0),"",IF(SUM(J751:N751)=I751,"✓","⚠ "&amp;SUM(J751:N751)&amp;" statt "&amp;I751))</f>
        <v/>
      </c>
      <c r="P751" s="21" t="n"/>
      <c r="Q751" s="21" t="n"/>
      <c r="R751" s="21" t="n"/>
      <c r="S751" s="24" t="n"/>
      <c r="T751" s="24" t="n"/>
      <c r="V751">
        <f>IF(A751="","",MONTH(A751))</f>
        <v/>
      </c>
      <c r="W751">
        <f>N(W750)+IF(AND(C751&lt;&gt;"",T751&lt;&gt;""),IF(C751=WOCHE!$B$3,1,0),0)</f>
        <v/>
      </c>
      <c r="X751">
        <f>N(X750)+IF(AND(V751&lt;&gt;"",T751&lt;&gt;""),IF(V751=MONAT!$AZ$3,1,0),0)</f>
        <v/>
      </c>
    </row>
    <row r="752">
      <c r="A752" s="19" t="n"/>
      <c r="B752" s="20">
        <f>IF(A752="","",CHOOSE(WEEKDAY(A752,2),"Mo","Di","Mi","Do","Fr","Sa","So"))</f>
        <v/>
      </c>
      <c r="C752" s="20">
        <f>IF(A752="","",INT((A752-DATE(YEAR(A752-WEEKDAY(A752-1)+4),1,3)+WEEKDAY(DATE(YEAR(A752-WEEKDAY(A752-1)+4),1,3))+5)/7))</f>
        <v/>
      </c>
      <c r="D752" s="21" t="n"/>
      <c r="E752" s="22" t="n"/>
      <c r="F752" s="23" t="n"/>
      <c r="G752" s="23" t="n"/>
      <c r="H752" s="23" t="n"/>
      <c r="I752" s="20">
        <f>IF(COUNT(F752:H752)=0,"",SUM(F752:H752))</f>
        <v/>
      </c>
      <c r="J752" s="23" t="n"/>
      <c r="K752" s="23" t="n"/>
      <c r="L752" s="23" t="n"/>
      <c r="M752" s="23" t="n"/>
      <c r="N752" s="23" t="n"/>
      <c r="O752" s="20">
        <f>IF(OR(I752="",COUNT(J752:N752)=0),"",IF(SUM(J752:N752)=I752,"✓","⚠ "&amp;SUM(J752:N752)&amp;" statt "&amp;I752))</f>
        <v/>
      </c>
      <c r="P752" s="21" t="n"/>
      <c r="Q752" s="21" t="n"/>
      <c r="R752" s="21" t="n"/>
      <c r="S752" s="24" t="n"/>
      <c r="T752" s="24" t="n"/>
      <c r="V752">
        <f>IF(A752="","",MONTH(A752))</f>
        <v/>
      </c>
      <c r="W752">
        <f>N(W751)+IF(AND(C752&lt;&gt;"",T752&lt;&gt;""),IF(C752=WOCHE!$B$3,1,0),0)</f>
        <v/>
      </c>
      <c r="X752">
        <f>N(X751)+IF(AND(V752&lt;&gt;"",T752&lt;&gt;""),IF(V752=MONAT!$AZ$3,1,0),0)</f>
        <v/>
      </c>
    </row>
    <row r="753">
      <c r="A753" s="19" t="n"/>
      <c r="B753" s="20">
        <f>IF(A753="","",CHOOSE(WEEKDAY(A753,2),"Mo","Di","Mi","Do","Fr","Sa","So"))</f>
        <v/>
      </c>
      <c r="C753" s="20">
        <f>IF(A753="","",INT((A753-DATE(YEAR(A753-WEEKDAY(A753-1)+4),1,3)+WEEKDAY(DATE(YEAR(A753-WEEKDAY(A753-1)+4),1,3))+5)/7))</f>
        <v/>
      </c>
      <c r="D753" s="21" t="n"/>
      <c r="E753" s="22" t="n"/>
      <c r="F753" s="23" t="n"/>
      <c r="G753" s="23" t="n"/>
      <c r="H753" s="23" t="n"/>
      <c r="I753" s="20">
        <f>IF(COUNT(F753:H753)=0,"",SUM(F753:H753))</f>
        <v/>
      </c>
      <c r="J753" s="23" t="n"/>
      <c r="K753" s="23" t="n"/>
      <c r="L753" s="23" t="n"/>
      <c r="M753" s="23" t="n"/>
      <c r="N753" s="23" t="n"/>
      <c r="O753" s="20">
        <f>IF(OR(I753="",COUNT(J753:N753)=0),"",IF(SUM(J753:N753)=I753,"✓","⚠ "&amp;SUM(J753:N753)&amp;" statt "&amp;I753))</f>
        <v/>
      </c>
      <c r="P753" s="21" t="n"/>
      <c r="Q753" s="21" t="n"/>
      <c r="R753" s="21" t="n"/>
      <c r="S753" s="24" t="n"/>
      <c r="T753" s="24" t="n"/>
      <c r="V753">
        <f>IF(A753="","",MONTH(A753))</f>
        <v/>
      </c>
      <c r="W753">
        <f>N(W752)+IF(AND(C753&lt;&gt;"",T753&lt;&gt;""),IF(C753=WOCHE!$B$3,1,0),0)</f>
        <v/>
      </c>
      <c r="X753">
        <f>N(X752)+IF(AND(V753&lt;&gt;"",T753&lt;&gt;""),IF(V753=MONAT!$AZ$3,1,0),0)</f>
        <v/>
      </c>
    </row>
    <row r="754">
      <c r="A754" s="19" t="n"/>
      <c r="B754" s="20">
        <f>IF(A754="","",CHOOSE(WEEKDAY(A754,2),"Mo","Di","Mi","Do","Fr","Sa","So"))</f>
        <v/>
      </c>
      <c r="C754" s="20">
        <f>IF(A754="","",INT((A754-DATE(YEAR(A754-WEEKDAY(A754-1)+4),1,3)+WEEKDAY(DATE(YEAR(A754-WEEKDAY(A754-1)+4),1,3))+5)/7))</f>
        <v/>
      </c>
      <c r="D754" s="21" t="n"/>
      <c r="E754" s="22" t="n"/>
      <c r="F754" s="23" t="n"/>
      <c r="G754" s="23" t="n"/>
      <c r="H754" s="23" t="n"/>
      <c r="I754" s="20">
        <f>IF(COUNT(F754:H754)=0,"",SUM(F754:H754))</f>
        <v/>
      </c>
      <c r="J754" s="23" t="n"/>
      <c r="K754" s="23" t="n"/>
      <c r="L754" s="23" t="n"/>
      <c r="M754" s="23" t="n"/>
      <c r="N754" s="23" t="n"/>
      <c r="O754" s="20">
        <f>IF(OR(I754="",COUNT(J754:N754)=0),"",IF(SUM(J754:N754)=I754,"✓","⚠ "&amp;SUM(J754:N754)&amp;" statt "&amp;I754))</f>
        <v/>
      </c>
      <c r="P754" s="21" t="n"/>
      <c r="Q754" s="21" t="n"/>
      <c r="R754" s="21" t="n"/>
      <c r="S754" s="24" t="n"/>
      <c r="T754" s="24" t="n"/>
      <c r="V754">
        <f>IF(A754="","",MONTH(A754))</f>
        <v/>
      </c>
      <c r="W754">
        <f>N(W753)+IF(AND(C754&lt;&gt;"",T754&lt;&gt;""),IF(C754=WOCHE!$B$3,1,0),0)</f>
        <v/>
      </c>
      <c r="X754">
        <f>N(X753)+IF(AND(V754&lt;&gt;"",T754&lt;&gt;""),IF(V754=MONAT!$AZ$3,1,0),0)</f>
        <v/>
      </c>
    </row>
    <row r="755">
      <c r="A755" s="19" t="n"/>
      <c r="B755" s="20">
        <f>IF(A755="","",CHOOSE(WEEKDAY(A755,2),"Mo","Di","Mi","Do","Fr","Sa","So"))</f>
        <v/>
      </c>
      <c r="C755" s="20">
        <f>IF(A755="","",INT((A755-DATE(YEAR(A755-WEEKDAY(A755-1)+4),1,3)+WEEKDAY(DATE(YEAR(A755-WEEKDAY(A755-1)+4),1,3))+5)/7))</f>
        <v/>
      </c>
      <c r="D755" s="21" t="n"/>
      <c r="E755" s="22" t="n"/>
      <c r="F755" s="23" t="n"/>
      <c r="G755" s="23" t="n"/>
      <c r="H755" s="23" t="n"/>
      <c r="I755" s="20">
        <f>IF(COUNT(F755:H755)=0,"",SUM(F755:H755))</f>
        <v/>
      </c>
      <c r="J755" s="23" t="n"/>
      <c r="K755" s="23" t="n"/>
      <c r="L755" s="23" t="n"/>
      <c r="M755" s="23" t="n"/>
      <c r="N755" s="23" t="n"/>
      <c r="O755" s="20">
        <f>IF(OR(I755="",COUNT(J755:N755)=0),"",IF(SUM(J755:N755)=I755,"✓","⚠ "&amp;SUM(J755:N755)&amp;" statt "&amp;I755))</f>
        <v/>
      </c>
      <c r="P755" s="21" t="n"/>
      <c r="Q755" s="21" t="n"/>
      <c r="R755" s="21" t="n"/>
      <c r="S755" s="24" t="n"/>
      <c r="T755" s="24" t="n"/>
      <c r="V755">
        <f>IF(A755="","",MONTH(A755))</f>
        <v/>
      </c>
      <c r="W755">
        <f>N(W754)+IF(AND(C755&lt;&gt;"",T755&lt;&gt;""),IF(C755=WOCHE!$B$3,1,0),0)</f>
        <v/>
      </c>
      <c r="X755">
        <f>N(X754)+IF(AND(V755&lt;&gt;"",T755&lt;&gt;""),IF(V755=MONAT!$AZ$3,1,0),0)</f>
        <v/>
      </c>
    </row>
    <row r="756">
      <c r="A756" s="19" t="n"/>
      <c r="B756" s="20">
        <f>IF(A756="","",CHOOSE(WEEKDAY(A756,2),"Mo","Di","Mi","Do","Fr","Sa","So"))</f>
        <v/>
      </c>
      <c r="C756" s="20">
        <f>IF(A756="","",INT((A756-DATE(YEAR(A756-WEEKDAY(A756-1)+4),1,3)+WEEKDAY(DATE(YEAR(A756-WEEKDAY(A756-1)+4),1,3))+5)/7))</f>
        <v/>
      </c>
      <c r="D756" s="21" t="n"/>
      <c r="E756" s="22" t="n"/>
      <c r="F756" s="23" t="n"/>
      <c r="G756" s="23" t="n"/>
      <c r="H756" s="23" t="n"/>
      <c r="I756" s="20">
        <f>IF(COUNT(F756:H756)=0,"",SUM(F756:H756))</f>
        <v/>
      </c>
      <c r="J756" s="23" t="n"/>
      <c r="K756" s="23" t="n"/>
      <c r="L756" s="23" t="n"/>
      <c r="M756" s="23" t="n"/>
      <c r="N756" s="23" t="n"/>
      <c r="O756" s="20">
        <f>IF(OR(I756="",COUNT(J756:N756)=0),"",IF(SUM(J756:N756)=I756,"✓","⚠ "&amp;SUM(J756:N756)&amp;" statt "&amp;I756))</f>
        <v/>
      </c>
      <c r="P756" s="21" t="n"/>
      <c r="Q756" s="21" t="n"/>
      <c r="R756" s="21" t="n"/>
      <c r="S756" s="24" t="n"/>
      <c r="T756" s="24" t="n"/>
      <c r="V756">
        <f>IF(A756="","",MONTH(A756))</f>
        <v/>
      </c>
      <c r="W756">
        <f>N(W755)+IF(AND(C756&lt;&gt;"",T756&lt;&gt;""),IF(C756=WOCHE!$B$3,1,0),0)</f>
        <v/>
      </c>
      <c r="X756">
        <f>N(X755)+IF(AND(V756&lt;&gt;"",T756&lt;&gt;""),IF(V756=MONAT!$AZ$3,1,0),0)</f>
        <v/>
      </c>
    </row>
    <row r="757">
      <c r="A757" s="19" t="n"/>
      <c r="B757" s="20">
        <f>IF(A757="","",CHOOSE(WEEKDAY(A757,2),"Mo","Di","Mi","Do","Fr","Sa","So"))</f>
        <v/>
      </c>
      <c r="C757" s="20">
        <f>IF(A757="","",INT((A757-DATE(YEAR(A757-WEEKDAY(A757-1)+4),1,3)+WEEKDAY(DATE(YEAR(A757-WEEKDAY(A757-1)+4),1,3))+5)/7))</f>
        <v/>
      </c>
      <c r="D757" s="21" t="n"/>
      <c r="E757" s="22" t="n"/>
      <c r="F757" s="23" t="n"/>
      <c r="G757" s="23" t="n"/>
      <c r="H757" s="23" t="n"/>
      <c r="I757" s="20">
        <f>IF(COUNT(F757:H757)=0,"",SUM(F757:H757))</f>
        <v/>
      </c>
      <c r="J757" s="23" t="n"/>
      <c r="K757" s="23" t="n"/>
      <c r="L757" s="23" t="n"/>
      <c r="M757" s="23" t="n"/>
      <c r="N757" s="23" t="n"/>
      <c r="O757" s="20">
        <f>IF(OR(I757="",COUNT(J757:N757)=0),"",IF(SUM(J757:N757)=I757,"✓","⚠ "&amp;SUM(J757:N757)&amp;" statt "&amp;I757))</f>
        <v/>
      </c>
      <c r="P757" s="21" t="n"/>
      <c r="Q757" s="21" t="n"/>
      <c r="R757" s="21" t="n"/>
      <c r="S757" s="24" t="n"/>
      <c r="T757" s="24" t="n"/>
      <c r="V757">
        <f>IF(A757="","",MONTH(A757))</f>
        <v/>
      </c>
      <c r="W757">
        <f>N(W756)+IF(AND(C757&lt;&gt;"",T757&lt;&gt;""),IF(C757=WOCHE!$B$3,1,0),0)</f>
        <v/>
      </c>
      <c r="X757">
        <f>N(X756)+IF(AND(V757&lt;&gt;"",T757&lt;&gt;""),IF(V757=MONAT!$AZ$3,1,0),0)</f>
        <v/>
      </c>
    </row>
    <row r="758">
      <c r="A758" s="19" t="n"/>
      <c r="B758" s="20">
        <f>IF(A758="","",CHOOSE(WEEKDAY(A758,2),"Mo","Di","Mi","Do","Fr","Sa","So"))</f>
        <v/>
      </c>
      <c r="C758" s="20">
        <f>IF(A758="","",INT((A758-DATE(YEAR(A758-WEEKDAY(A758-1)+4),1,3)+WEEKDAY(DATE(YEAR(A758-WEEKDAY(A758-1)+4),1,3))+5)/7))</f>
        <v/>
      </c>
      <c r="D758" s="21" t="n"/>
      <c r="E758" s="22" t="n"/>
      <c r="F758" s="23" t="n"/>
      <c r="G758" s="23" t="n"/>
      <c r="H758" s="23" t="n"/>
      <c r="I758" s="20">
        <f>IF(COUNT(F758:H758)=0,"",SUM(F758:H758))</f>
        <v/>
      </c>
      <c r="J758" s="23" t="n"/>
      <c r="K758" s="23" t="n"/>
      <c r="L758" s="23" t="n"/>
      <c r="M758" s="23" t="n"/>
      <c r="N758" s="23" t="n"/>
      <c r="O758" s="20">
        <f>IF(OR(I758="",COUNT(J758:N758)=0),"",IF(SUM(J758:N758)=I758,"✓","⚠ "&amp;SUM(J758:N758)&amp;" statt "&amp;I758))</f>
        <v/>
      </c>
      <c r="P758" s="21" t="n"/>
      <c r="Q758" s="21" t="n"/>
      <c r="R758" s="21" t="n"/>
      <c r="S758" s="24" t="n"/>
      <c r="T758" s="24" t="n"/>
      <c r="V758">
        <f>IF(A758="","",MONTH(A758))</f>
        <v/>
      </c>
      <c r="W758">
        <f>N(W757)+IF(AND(C758&lt;&gt;"",T758&lt;&gt;""),IF(C758=WOCHE!$B$3,1,0),0)</f>
        <v/>
      </c>
      <c r="X758">
        <f>N(X757)+IF(AND(V758&lt;&gt;"",T758&lt;&gt;""),IF(V758=MONAT!$AZ$3,1,0),0)</f>
        <v/>
      </c>
    </row>
    <row r="759">
      <c r="A759" s="19" t="n"/>
      <c r="B759" s="20">
        <f>IF(A759="","",CHOOSE(WEEKDAY(A759,2),"Mo","Di","Mi","Do","Fr","Sa","So"))</f>
        <v/>
      </c>
      <c r="C759" s="20">
        <f>IF(A759="","",INT((A759-DATE(YEAR(A759-WEEKDAY(A759-1)+4),1,3)+WEEKDAY(DATE(YEAR(A759-WEEKDAY(A759-1)+4),1,3))+5)/7))</f>
        <v/>
      </c>
      <c r="D759" s="21" t="n"/>
      <c r="E759" s="22" t="n"/>
      <c r="F759" s="23" t="n"/>
      <c r="G759" s="23" t="n"/>
      <c r="H759" s="23" t="n"/>
      <c r="I759" s="20">
        <f>IF(COUNT(F759:H759)=0,"",SUM(F759:H759))</f>
        <v/>
      </c>
      <c r="J759" s="23" t="n"/>
      <c r="K759" s="23" t="n"/>
      <c r="L759" s="23" t="n"/>
      <c r="M759" s="23" t="n"/>
      <c r="N759" s="23" t="n"/>
      <c r="O759" s="20">
        <f>IF(OR(I759="",COUNT(J759:N759)=0),"",IF(SUM(J759:N759)=I759,"✓","⚠ "&amp;SUM(J759:N759)&amp;" statt "&amp;I759))</f>
        <v/>
      </c>
      <c r="P759" s="21" t="n"/>
      <c r="Q759" s="21" t="n"/>
      <c r="R759" s="21" t="n"/>
      <c r="S759" s="24" t="n"/>
      <c r="T759" s="24" t="n"/>
      <c r="V759">
        <f>IF(A759="","",MONTH(A759))</f>
        <v/>
      </c>
      <c r="W759">
        <f>N(W758)+IF(AND(C759&lt;&gt;"",T759&lt;&gt;""),IF(C759=WOCHE!$B$3,1,0),0)</f>
        <v/>
      </c>
      <c r="X759">
        <f>N(X758)+IF(AND(V759&lt;&gt;"",T759&lt;&gt;""),IF(V759=MONAT!$AZ$3,1,0),0)</f>
        <v/>
      </c>
    </row>
    <row r="760">
      <c r="A760" s="19" t="n"/>
      <c r="B760" s="20">
        <f>IF(A760="","",CHOOSE(WEEKDAY(A760,2),"Mo","Di","Mi","Do","Fr","Sa","So"))</f>
        <v/>
      </c>
      <c r="C760" s="20">
        <f>IF(A760="","",INT((A760-DATE(YEAR(A760-WEEKDAY(A760-1)+4),1,3)+WEEKDAY(DATE(YEAR(A760-WEEKDAY(A760-1)+4),1,3))+5)/7))</f>
        <v/>
      </c>
      <c r="D760" s="21" t="n"/>
      <c r="E760" s="22" t="n"/>
      <c r="F760" s="23" t="n"/>
      <c r="G760" s="23" t="n"/>
      <c r="H760" s="23" t="n"/>
      <c r="I760" s="20">
        <f>IF(COUNT(F760:H760)=0,"",SUM(F760:H760))</f>
        <v/>
      </c>
      <c r="J760" s="23" t="n"/>
      <c r="K760" s="23" t="n"/>
      <c r="L760" s="23" t="n"/>
      <c r="M760" s="23" t="n"/>
      <c r="N760" s="23" t="n"/>
      <c r="O760" s="20">
        <f>IF(OR(I760="",COUNT(J760:N760)=0),"",IF(SUM(J760:N760)=I760,"✓","⚠ "&amp;SUM(J760:N760)&amp;" statt "&amp;I760))</f>
        <v/>
      </c>
      <c r="P760" s="21" t="n"/>
      <c r="Q760" s="21" t="n"/>
      <c r="R760" s="21" t="n"/>
      <c r="S760" s="24" t="n"/>
      <c r="T760" s="24" t="n"/>
      <c r="V760">
        <f>IF(A760="","",MONTH(A760))</f>
        <v/>
      </c>
      <c r="W760">
        <f>N(W759)+IF(AND(C760&lt;&gt;"",T760&lt;&gt;""),IF(C760=WOCHE!$B$3,1,0),0)</f>
        <v/>
      </c>
      <c r="X760">
        <f>N(X759)+IF(AND(V760&lt;&gt;"",T760&lt;&gt;""),IF(V760=MONAT!$AZ$3,1,0),0)</f>
        <v/>
      </c>
    </row>
    <row r="761">
      <c r="A761" s="19" t="n"/>
      <c r="B761" s="20">
        <f>IF(A761="","",CHOOSE(WEEKDAY(A761,2),"Mo","Di","Mi","Do","Fr","Sa","So"))</f>
        <v/>
      </c>
      <c r="C761" s="20">
        <f>IF(A761="","",INT((A761-DATE(YEAR(A761-WEEKDAY(A761-1)+4),1,3)+WEEKDAY(DATE(YEAR(A761-WEEKDAY(A761-1)+4),1,3))+5)/7))</f>
        <v/>
      </c>
      <c r="D761" s="21" t="n"/>
      <c r="E761" s="22" t="n"/>
      <c r="F761" s="23" t="n"/>
      <c r="G761" s="23" t="n"/>
      <c r="H761" s="23" t="n"/>
      <c r="I761" s="20">
        <f>IF(COUNT(F761:H761)=0,"",SUM(F761:H761))</f>
        <v/>
      </c>
      <c r="J761" s="23" t="n"/>
      <c r="K761" s="23" t="n"/>
      <c r="L761" s="23" t="n"/>
      <c r="M761" s="23" t="n"/>
      <c r="N761" s="23" t="n"/>
      <c r="O761" s="20">
        <f>IF(OR(I761="",COUNT(J761:N761)=0),"",IF(SUM(J761:N761)=I761,"✓","⚠ "&amp;SUM(J761:N761)&amp;" statt "&amp;I761))</f>
        <v/>
      </c>
      <c r="P761" s="21" t="n"/>
      <c r="Q761" s="21" t="n"/>
      <c r="R761" s="21" t="n"/>
      <c r="S761" s="24" t="n"/>
      <c r="T761" s="24" t="n"/>
      <c r="V761">
        <f>IF(A761="","",MONTH(A761))</f>
        <v/>
      </c>
      <c r="W761">
        <f>N(W760)+IF(AND(C761&lt;&gt;"",T761&lt;&gt;""),IF(C761=WOCHE!$B$3,1,0),0)</f>
        <v/>
      </c>
      <c r="X761">
        <f>N(X760)+IF(AND(V761&lt;&gt;"",T761&lt;&gt;""),IF(V761=MONAT!$AZ$3,1,0),0)</f>
        <v/>
      </c>
    </row>
    <row r="762">
      <c r="A762" s="19" t="n"/>
      <c r="B762" s="20">
        <f>IF(A762="","",CHOOSE(WEEKDAY(A762,2),"Mo","Di","Mi","Do","Fr","Sa","So"))</f>
        <v/>
      </c>
      <c r="C762" s="20">
        <f>IF(A762="","",INT((A762-DATE(YEAR(A762-WEEKDAY(A762-1)+4),1,3)+WEEKDAY(DATE(YEAR(A762-WEEKDAY(A762-1)+4),1,3))+5)/7))</f>
        <v/>
      </c>
      <c r="D762" s="21" t="n"/>
      <c r="E762" s="22" t="n"/>
      <c r="F762" s="23" t="n"/>
      <c r="G762" s="23" t="n"/>
      <c r="H762" s="23" t="n"/>
      <c r="I762" s="20">
        <f>IF(COUNT(F762:H762)=0,"",SUM(F762:H762))</f>
        <v/>
      </c>
      <c r="J762" s="23" t="n"/>
      <c r="K762" s="23" t="n"/>
      <c r="L762" s="23" t="n"/>
      <c r="M762" s="23" t="n"/>
      <c r="N762" s="23" t="n"/>
      <c r="O762" s="20">
        <f>IF(OR(I762="",COUNT(J762:N762)=0),"",IF(SUM(J762:N762)=I762,"✓","⚠ "&amp;SUM(J762:N762)&amp;" statt "&amp;I762))</f>
        <v/>
      </c>
      <c r="P762" s="21" t="n"/>
      <c r="Q762" s="21" t="n"/>
      <c r="R762" s="21" t="n"/>
      <c r="S762" s="24" t="n"/>
      <c r="T762" s="24" t="n"/>
      <c r="V762">
        <f>IF(A762="","",MONTH(A762))</f>
        <v/>
      </c>
      <c r="W762">
        <f>N(W761)+IF(AND(C762&lt;&gt;"",T762&lt;&gt;""),IF(C762=WOCHE!$B$3,1,0),0)</f>
        <v/>
      </c>
      <c r="X762">
        <f>N(X761)+IF(AND(V762&lt;&gt;"",T762&lt;&gt;""),IF(V762=MONAT!$AZ$3,1,0),0)</f>
        <v/>
      </c>
    </row>
    <row r="763">
      <c r="A763" s="19" t="n"/>
      <c r="B763" s="20">
        <f>IF(A763="","",CHOOSE(WEEKDAY(A763,2),"Mo","Di","Mi","Do","Fr","Sa","So"))</f>
        <v/>
      </c>
      <c r="C763" s="20">
        <f>IF(A763="","",INT((A763-DATE(YEAR(A763-WEEKDAY(A763-1)+4),1,3)+WEEKDAY(DATE(YEAR(A763-WEEKDAY(A763-1)+4),1,3))+5)/7))</f>
        <v/>
      </c>
      <c r="D763" s="21" t="n"/>
      <c r="E763" s="22" t="n"/>
      <c r="F763" s="23" t="n"/>
      <c r="G763" s="23" t="n"/>
      <c r="H763" s="23" t="n"/>
      <c r="I763" s="20">
        <f>IF(COUNT(F763:H763)=0,"",SUM(F763:H763))</f>
        <v/>
      </c>
      <c r="J763" s="23" t="n"/>
      <c r="K763" s="23" t="n"/>
      <c r="L763" s="23" t="n"/>
      <c r="M763" s="23" t="n"/>
      <c r="N763" s="23" t="n"/>
      <c r="O763" s="20">
        <f>IF(OR(I763="",COUNT(J763:N763)=0),"",IF(SUM(J763:N763)=I763,"✓","⚠ "&amp;SUM(J763:N763)&amp;" statt "&amp;I763))</f>
        <v/>
      </c>
      <c r="P763" s="21" t="n"/>
      <c r="Q763" s="21" t="n"/>
      <c r="R763" s="21" t="n"/>
      <c r="S763" s="24" t="n"/>
      <c r="T763" s="24" t="n"/>
      <c r="V763">
        <f>IF(A763="","",MONTH(A763))</f>
        <v/>
      </c>
      <c r="W763">
        <f>N(W762)+IF(AND(C763&lt;&gt;"",T763&lt;&gt;""),IF(C763=WOCHE!$B$3,1,0),0)</f>
        <v/>
      </c>
      <c r="X763">
        <f>N(X762)+IF(AND(V763&lt;&gt;"",T763&lt;&gt;""),IF(V763=MONAT!$AZ$3,1,0),0)</f>
        <v/>
      </c>
    </row>
    <row r="764">
      <c r="A764" s="19" t="n"/>
      <c r="B764" s="20">
        <f>IF(A764="","",CHOOSE(WEEKDAY(A764,2),"Mo","Di","Mi","Do","Fr","Sa","So"))</f>
        <v/>
      </c>
      <c r="C764" s="20">
        <f>IF(A764="","",INT((A764-DATE(YEAR(A764-WEEKDAY(A764-1)+4),1,3)+WEEKDAY(DATE(YEAR(A764-WEEKDAY(A764-1)+4),1,3))+5)/7))</f>
        <v/>
      </c>
      <c r="D764" s="21" t="n"/>
      <c r="E764" s="22" t="n"/>
      <c r="F764" s="23" t="n"/>
      <c r="G764" s="23" t="n"/>
      <c r="H764" s="23" t="n"/>
      <c r="I764" s="20">
        <f>IF(COUNT(F764:H764)=0,"",SUM(F764:H764))</f>
        <v/>
      </c>
      <c r="J764" s="23" t="n"/>
      <c r="K764" s="23" t="n"/>
      <c r="L764" s="23" t="n"/>
      <c r="M764" s="23" t="n"/>
      <c r="N764" s="23" t="n"/>
      <c r="O764" s="20">
        <f>IF(OR(I764="",COUNT(J764:N764)=0),"",IF(SUM(J764:N764)=I764,"✓","⚠ "&amp;SUM(J764:N764)&amp;" statt "&amp;I764))</f>
        <v/>
      </c>
      <c r="P764" s="21" t="n"/>
      <c r="Q764" s="21" t="n"/>
      <c r="R764" s="21" t="n"/>
      <c r="S764" s="24" t="n"/>
      <c r="T764" s="24" t="n"/>
      <c r="V764">
        <f>IF(A764="","",MONTH(A764))</f>
        <v/>
      </c>
      <c r="W764">
        <f>N(W763)+IF(AND(C764&lt;&gt;"",T764&lt;&gt;""),IF(C764=WOCHE!$B$3,1,0),0)</f>
        <v/>
      </c>
      <c r="X764">
        <f>N(X763)+IF(AND(V764&lt;&gt;"",T764&lt;&gt;""),IF(V764=MONAT!$AZ$3,1,0),0)</f>
        <v/>
      </c>
    </row>
    <row r="765">
      <c r="A765" s="19" t="n"/>
      <c r="B765" s="20">
        <f>IF(A765="","",CHOOSE(WEEKDAY(A765,2),"Mo","Di","Mi","Do","Fr","Sa","So"))</f>
        <v/>
      </c>
      <c r="C765" s="20">
        <f>IF(A765="","",INT((A765-DATE(YEAR(A765-WEEKDAY(A765-1)+4),1,3)+WEEKDAY(DATE(YEAR(A765-WEEKDAY(A765-1)+4),1,3))+5)/7))</f>
        <v/>
      </c>
      <c r="D765" s="21" t="n"/>
      <c r="E765" s="22" t="n"/>
      <c r="F765" s="23" t="n"/>
      <c r="G765" s="23" t="n"/>
      <c r="H765" s="23" t="n"/>
      <c r="I765" s="20">
        <f>IF(COUNT(F765:H765)=0,"",SUM(F765:H765))</f>
        <v/>
      </c>
      <c r="J765" s="23" t="n"/>
      <c r="K765" s="23" t="n"/>
      <c r="L765" s="23" t="n"/>
      <c r="M765" s="23" t="n"/>
      <c r="N765" s="23" t="n"/>
      <c r="O765" s="20">
        <f>IF(OR(I765="",COUNT(J765:N765)=0),"",IF(SUM(J765:N765)=I765,"✓","⚠ "&amp;SUM(J765:N765)&amp;" statt "&amp;I765))</f>
        <v/>
      </c>
      <c r="P765" s="21" t="n"/>
      <c r="Q765" s="21" t="n"/>
      <c r="R765" s="21" t="n"/>
      <c r="S765" s="24" t="n"/>
      <c r="T765" s="24" t="n"/>
      <c r="V765">
        <f>IF(A765="","",MONTH(A765))</f>
        <v/>
      </c>
      <c r="W765">
        <f>N(W764)+IF(AND(C765&lt;&gt;"",T765&lt;&gt;""),IF(C765=WOCHE!$B$3,1,0),0)</f>
        <v/>
      </c>
      <c r="X765">
        <f>N(X764)+IF(AND(V765&lt;&gt;"",T765&lt;&gt;""),IF(V765=MONAT!$AZ$3,1,0),0)</f>
        <v/>
      </c>
    </row>
    <row r="766">
      <c r="A766" s="19" t="n"/>
      <c r="B766" s="20">
        <f>IF(A766="","",CHOOSE(WEEKDAY(A766,2),"Mo","Di","Mi","Do","Fr","Sa","So"))</f>
        <v/>
      </c>
      <c r="C766" s="20">
        <f>IF(A766="","",INT((A766-DATE(YEAR(A766-WEEKDAY(A766-1)+4),1,3)+WEEKDAY(DATE(YEAR(A766-WEEKDAY(A766-1)+4),1,3))+5)/7))</f>
        <v/>
      </c>
      <c r="D766" s="21" t="n"/>
      <c r="E766" s="22" t="n"/>
      <c r="F766" s="23" t="n"/>
      <c r="G766" s="23" t="n"/>
      <c r="H766" s="23" t="n"/>
      <c r="I766" s="20">
        <f>IF(COUNT(F766:H766)=0,"",SUM(F766:H766))</f>
        <v/>
      </c>
      <c r="J766" s="23" t="n"/>
      <c r="K766" s="23" t="n"/>
      <c r="L766" s="23" t="n"/>
      <c r="M766" s="23" t="n"/>
      <c r="N766" s="23" t="n"/>
      <c r="O766" s="20">
        <f>IF(OR(I766="",COUNT(J766:N766)=0),"",IF(SUM(J766:N766)=I766,"✓","⚠ "&amp;SUM(J766:N766)&amp;" statt "&amp;I766))</f>
        <v/>
      </c>
      <c r="P766" s="21" t="n"/>
      <c r="Q766" s="21" t="n"/>
      <c r="R766" s="21" t="n"/>
      <c r="S766" s="24" t="n"/>
      <c r="T766" s="24" t="n"/>
      <c r="V766">
        <f>IF(A766="","",MONTH(A766))</f>
        <v/>
      </c>
      <c r="W766">
        <f>N(W765)+IF(AND(C766&lt;&gt;"",T766&lt;&gt;""),IF(C766=WOCHE!$B$3,1,0),0)</f>
        <v/>
      </c>
      <c r="X766">
        <f>N(X765)+IF(AND(V766&lt;&gt;"",T766&lt;&gt;""),IF(V766=MONAT!$AZ$3,1,0),0)</f>
        <v/>
      </c>
    </row>
    <row r="767">
      <c r="A767" s="19" t="n"/>
      <c r="B767" s="20">
        <f>IF(A767="","",CHOOSE(WEEKDAY(A767,2),"Mo","Di","Mi","Do","Fr","Sa","So"))</f>
        <v/>
      </c>
      <c r="C767" s="20">
        <f>IF(A767="","",INT((A767-DATE(YEAR(A767-WEEKDAY(A767-1)+4),1,3)+WEEKDAY(DATE(YEAR(A767-WEEKDAY(A767-1)+4),1,3))+5)/7))</f>
        <v/>
      </c>
      <c r="D767" s="21" t="n"/>
      <c r="E767" s="22" t="n"/>
      <c r="F767" s="23" t="n"/>
      <c r="G767" s="23" t="n"/>
      <c r="H767" s="23" t="n"/>
      <c r="I767" s="20">
        <f>IF(COUNT(F767:H767)=0,"",SUM(F767:H767))</f>
        <v/>
      </c>
      <c r="J767" s="23" t="n"/>
      <c r="K767" s="23" t="n"/>
      <c r="L767" s="23" t="n"/>
      <c r="M767" s="23" t="n"/>
      <c r="N767" s="23" t="n"/>
      <c r="O767" s="20">
        <f>IF(OR(I767="",COUNT(J767:N767)=0),"",IF(SUM(J767:N767)=I767,"✓","⚠ "&amp;SUM(J767:N767)&amp;" statt "&amp;I767))</f>
        <v/>
      </c>
      <c r="P767" s="21" t="n"/>
      <c r="Q767" s="21" t="n"/>
      <c r="R767" s="21" t="n"/>
      <c r="S767" s="24" t="n"/>
      <c r="T767" s="24" t="n"/>
      <c r="V767">
        <f>IF(A767="","",MONTH(A767))</f>
        <v/>
      </c>
      <c r="W767">
        <f>N(W766)+IF(AND(C767&lt;&gt;"",T767&lt;&gt;""),IF(C767=WOCHE!$B$3,1,0),0)</f>
        <v/>
      </c>
      <c r="X767">
        <f>N(X766)+IF(AND(V767&lt;&gt;"",T767&lt;&gt;""),IF(V767=MONAT!$AZ$3,1,0),0)</f>
        <v/>
      </c>
    </row>
    <row r="768">
      <c r="A768" s="19" t="n"/>
      <c r="B768" s="20">
        <f>IF(A768="","",CHOOSE(WEEKDAY(A768,2),"Mo","Di","Mi","Do","Fr","Sa","So"))</f>
        <v/>
      </c>
      <c r="C768" s="20">
        <f>IF(A768="","",INT((A768-DATE(YEAR(A768-WEEKDAY(A768-1)+4),1,3)+WEEKDAY(DATE(YEAR(A768-WEEKDAY(A768-1)+4),1,3))+5)/7))</f>
        <v/>
      </c>
      <c r="D768" s="21" t="n"/>
      <c r="E768" s="22" t="n"/>
      <c r="F768" s="23" t="n"/>
      <c r="G768" s="23" t="n"/>
      <c r="H768" s="23" t="n"/>
      <c r="I768" s="20">
        <f>IF(COUNT(F768:H768)=0,"",SUM(F768:H768))</f>
        <v/>
      </c>
      <c r="J768" s="23" t="n"/>
      <c r="K768" s="23" t="n"/>
      <c r="L768" s="23" t="n"/>
      <c r="M768" s="23" t="n"/>
      <c r="N768" s="23" t="n"/>
      <c r="O768" s="20">
        <f>IF(OR(I768="",COUNT(J768:N768)=0),"",IF(SUM(J768:N768)=I768,"✓","⚠ "&amp;SUM(J768:N768)&amp;" statt "&amp;I768))</f>
        <v/>
      </c>
      <c r="P768" s="21" t="n"/>
      <c r="Q768" s="21" t="n"/>
      <c r="R768" s="21" t="n"/>
      <c r="S768" s="24" t="n"/>
      <c r="T768" s="24" t="n"/>
      <c r="V768">
        <f>IF(A768="","",MONTH(A768))</f>
        <v/>
      </c>
      <c r="W768">
        <f>N(W767)+IF(AND(C768&lt;&gt;"",T768&lt;&gt;""),IF(C768=WOCHE!$B$3,1,0),0)</f>
        <v/>
      </c>
      <c r="X768">
        <f>N(X767)+IF(AND(V768&lt;&gt;"",T768&lt;&gt;""),IF(V768=MONAT!$AZ$3,1,0),0)</f>
        <v/>
      </c>
    </row>
    <row r="769">
      <c r="A769" s="19" t="n"/>
      <c r="B769" s="20">
        <f>IF(A769="","",CHOOSE(WEEKDAY(A769,2),"Mo","Di","Mi","Do","Fr","Sa","So"))</f>
        <v/>
      </c>
      <c r="C769" s="20">
        <f>IF(A769="","",INT((A769-DATE(YEAR(A769-WEEKDAY(A769-1)+4),1,3)+WEEKDAY(DATE(YEAR(A769-WEEKDAY(A769-1)+4),1,3))+5)/7))</f>
        <v/>
      </c>
      <c r="D769" s="21" t="n"/>
      <c r="E769" s="22" t="n"/>
      <c r="F769" s="23" t="n"/>
      <c r="G769" s="23" t="n"/>
      <c r="H769" s="23" t="n"/>
      <c r="I769" s="20">
        <f>IF(COUNT(F769:H769)=0,"",SUM(F769:H769))</f>
        <v/>
      </c>
      <c r="J769" s="23" t="n"/>
      <c r="K769" s="23" t="n"/>
      <c r="L769" s="23" t="n"/>
      <c r="M769" s="23" t="n"/>
      <c r="N769" s="23" t="n"/>
      <c r="O769" s="20">
        <f>IF(OR(I769="",COUNT(J769:N769)=0),"",IF(SUM(J769:N769)=I769,"✓","⚠ "&amp;SUM(J769:N769)&amp;" statt "&amp;I769))</f>
        <v/>
      </c>
      <c r="P769" s="21" t="n"/>
      <c r="Q769" s="21" t="n"/>
      <c r="R769" s="21" t="n"/>
      <c r="S769" s="24" t="n"/>
      <c r="T769" s="24" t="n"/>
      <c r="V769">
        <f>IF(A769="","",MONTH(A769))</f>
        <v/>
      </c>
      <c r="W769">
        <f>N(W768)+IF(AND(C769&lt;&gt;"",T769&lt;&gt;""),IF(C769=WOCHE!$B$3,1,0),0)</f>
        <v/>
      </c>
      <c r="X769">
        <f>N(X768)+IF(AND(V769&lt;&gt;"",T769&lt;&gt;""),IF(V769=MONAT!$AZ$3,1,0),0)</f>
        <v/>
      </c>
    </row>
    <row r="770">
      <c r="A770" s="19" t="n"/>
      <c r="B770" s="20">
        <f>IF(A770="","",CHOOSE(WEEKDAY(A770,2),"Mo","Di","Mi","Do","Fr","Sa","So"))</f>
        <v/>
      </c>
      <c r="C770" s="20">
        <f>IF(A770="","",INT((A770-DATE(YEAR(A770-WEEKDAY(A770-1)+4),1,3)+WEEKDAY(DATE(YEAR(A770-WEEKDAY(A770-1)+4),1,3))+5)/7))</f>
        <v/>
      </c>
      <c r="D770" s="21" t="n"/>
      <c r="E770" s="22" t="n"/>
      <c r="F770" s="23" t="n"/>
      <c r="G770" s="23" t="n"/>
      <c r="H770" s="23" t="n"/>
      <c r="I770" s="20">
        <f>IF(COUNT(F770:H770)=0,"",SUM(F770:H770))</f>
        <v/>
      </c>
      <c r="J770" s="23" t="n"/>
      <c r="K770" s="23" t="n"/>
      <c r="L770" s="23" t="n"/>
      <c r="M770" s="23" t="n"/>
      <c r="N770" s="23" t="n"/>
      <c r="O770" s="20">
        <f>IF(OR(I770="",COUNT(J770:N770)=0),"",IF(SUM(J770:N770)=I770,"✓","⚠ "&amp;SUM(J770:N770)&amp;" statt "&amp;I770))</f>
        <v/>
      </c>
      <c r="P770" s="21" t="n"/>
      <c r="Q770" s="21" t="n"/>
      <c r="R770" s="21" t="n"/>
      <c r="S770" s="24" t="n"/>
      <c r="T770" s="24" t="n"/>
      <c r="V770">
        <f>IF(A770="","",MONTH(A770))</f>
        <v/>
      </c>
      <c r="W770">
        <f>N(W769)+IF(AND(C770&lt;&gt;"",T770&lt;&gt;""),IF(C770=WOCHE!$B$3,1,0),0)</f>
        <v/>
      </c>
      <c r="X770">
        <f>N(X769)+IF(AND(V770&lt;&gt;"",T770&lt;&gt;""),IF(V770=MONAT!$AZ$3,1,0),0)</f>
        <v/>
      </c>
    </row>
    <row r="771">
      <c r="A771" s="19" t="n"/>
      <c r="B771" s="20">
        <f>IF(A771="","",CHOOSE(WEEKDAY(A771,2),"Mo","Di","Mi","Do","Fr","Sa","So"))</f>
        <v/>
      </c>
      <c r="C771" s="20">
        <f>IF(A771="","",INT((A771-DATE(YEAR(A771-WEEKDAY(A771-1)+4),1,3)+WEEKDAY(DATE(YEAR(A771-WEEKDAY(A771-1)+4),1,3))+5)/7))</f>
        <v/>
      </c>
      <c r="D771" s="21" t="n"/>
      <c r="E771" s="22" t="n"/>
      <c r="F771" s="23" t="n"/>
      <c r="G771" s="23" t="n"/>
      <c r="H771" s="23" t="n"/>
      <c r="I771" s="20">
        <f>IF(COUNT(F771:H771)=0,"",SUM(F771:H771))</f>
        <v/>
      </c>
      <c r="J771" s="23" t="n"/>
      <c r="K771" s="23" t="n"/>
      <c r="L771" s="23" t="n"/>
      <c r="M771" s="23" t="n"/>
      <c r="N771" s="23" t="n"/>
      <c r="O771" s="20">
        <f>IF(OR(I771="",COUNT(J771:N771)=0),"",IF(SUM(J771:N771)=I771,"✓","⚠ "&amp;SUM(J771:N771)&amp;" statt "&amp;I771))</f>
        <v/>
      </c>
      <c r="P771" s="21" t="n"/>
      <c r="Q771" s="21" t="n"/>
      <c r="R771" s="21" t="n"/>
      <c r="S771" s="24" t="n"/>
      <c r="T771" s="24" t="n"/>
      <c r="V771">
        <f>IF(A771="","",MONTH(A771))</f>
        <v/>
      </c>
      <c r="W771">
        <f>N(W770)+IF(AND(C771&lt;&gt;"",T771&lt;&gt;""),IF(C771=WOCHE!$B$3,1,0),0)</f>
        <v/>
      </c>
      <c r="X771">
        <f>N(X770)+IF(AND(V771&lt;&gt;"",T771&lt;&gt;""),IF(V771=MONAT!$AZ$3,1,0),0)</f>
        <v/>
      </c>
    </row>
    <row r="772">
      <c r="A772" s="19" t="n"/>
      <c r="B772" s="20">
        <f>IF(A772="","",CHOOSE(WEEKDAY(A772,2),"Mo","Di","Mi","Do","Fr","Sa","So"))</f>
        <v/>
      </c>
      <c r="C772" s="20">
        <f>IF(A772="","",INT((A772-DATE(YEAR(A772-WEEKDAY(A772-1)+4),1,3)+WEEKDAY(DATE(YEAR(A772-WEEKDAY(A772-1)+4),1,3))+5)/7))</f>
        <v/>
      </c>
      <c r="D772" s="21" t="n"/>
      <c r="E772" s="22" t="n"/>
      <c r="F772" s="23" t="n"/>
      <c r="G772" s="23" t="n"/>
      <c r="H772" s="23" t="n"/>
      <c r="I772" s="20">
        <f>IF(COUNT(F772:H772)=0,"",SUM(F772:H772))</f>
        <v/>
      </c>
      <c r="J772" s="23" t="n"/>
      <c r="K772" s="23" t="n"/>
      <c r="L772" s="23" t="n"/>
      <c r="M772" s="23" t="n"/>
      <c r="N772" s="23" t="n"/>
      <c r="O772" s="20">
        <f>IF(OR(I772="",COUNT(J772:N772)=0),"",IF(SUM(J772:N772)=I772,"✓","⚠ "&amp;SUM(J772:N772)&amp;" statt "&amp;I772))</f>
        <v/>
      </c>
      <c r="P772" s="21" t="n"/>
      <c r="Q772" s="21" t="n"/>
      <c r="R772" s="21" t="n"/>
      <c r="S772" s="24" t="n"/>
      <c r="T772" s="24" t="n"/>
      <c r="V772">
        <f>IF(A772="","",MONTH(A772))</f>
        <v/>
      </c>
      <c r="W772">
        <f>N(W771)+IF(AND(C772&lt;&gt;"",T772&lt;&gt;""),IF(C772=WOCHE!$B$3,1,0),0)</f>
        <v/>
      </c>
      <c r="X772">
        <f>N(X771)+IF(AND(V772&lt;&gt;"",T772&lt;&gt;""),IF(V772=MONAT!$AZ$3,1,0),0)</f>
        <v/>
      </c>
    </row>
    <row r="773">
      <c r="A773" s="19" t="n"/>
      <c r="B773" s="20">
        <f>IF(A773="","",CHOOSE(WEEKDAY(A773,2),"Mo","Di","Mi","Do","Fr","Sa","So"))</f>
        <v/>
      </c>
      <c r="C773" s="20">
        <f>IF(A773="","",INT((A773-DATE(YEAR(A773-WEEKDAY(A773-1)+4),1,3)+WEEKDAY(DATE(YEAR(A773-WEEKDAY(A773-1)+4),1,3))+5)/7))</f>
        <v/>
      </c>
      <c r="D773" s="21" t="n"/>
      <c r="E773" s="22" t="n"/>
      <c r="F773" s="23" t="n"/>
      <c r="G773" s="23" t="n"/>
      <c r="H773" s="23" t="n"/>
      <c r="I773" s="20">
        <f>IF(COUNT(F773:H773)=0,"",SUM(F773:H773))</f>
        <v/>
      </c>
      <c r="J773" s="23" t="n"/>
      <c r="K773" s="23" t="n"/>
      <c r="L773" s="23" t="n"/>
      <c r="M773" s="23" t="n"/>
      <c r="N773" s="23" t="n"/>
      <c r="O773" s="20">
        <f>IF(OR(I773="",COUNT(J773:N773)=0),"",IF(SUM(J773:N773)=I773,"✓","⚠ "&amp;SUM(J773:N773)&amp;" statt "&amp;I773))</f>
        <v/>
      </c>
      <c r="P773" s="21" t="n"/>
      <c r="Q773" s="21" t="n"/>
      <c r="R773" s="21" t="n"/>
      <c r="S773" s="24" t="n"/>
      <c r="T773" s="24" t="n"/>
      <c r="V773">
        <f>IF(A773="","",MONTH(A773))</f>
        <v/>
      </c>
      <c r="W773">
        <f>N(W772)+IF(AND(C773&lt;&gt;"",T773&lt;&gt;""),IF(C773=WOCHE!$B$3,1,0),0)</f>
        <v/>
      </c>
      <c r="X773">
        <f>N(X772)+IF(AND(V773&lt;&gt;"",T773&lt;&gt;""),IF(V773=MONAT!$AZ$3,1,0),0)</f>
        <v/>
      </c>
    </row>
    <row r="774">
      <c r="A774" s="19" t="n"/>
      <c r="B774" s="20">
        <f>IF(A774="","",CHOOSE(WEEKDAY(A774,2),"Mo","Di","Mi","Do","Fr","Sa","So"))</f>
        <v/>
      </c>
      <c r="C774" s="20">
        <f>IF(A774="","",INT((A774-DATE(YEAR(A774-WEEKDAY(A774-1)+4),1,3)+WEEKDAY(DATE(YEAR(A774-WEEKDAY(A774-1)+4),1,3))+5)/7))</f>
        <v/>
      </c>
      <c r="D774" s="21" t="n"/>
      <c r="E774" s="22" t="n"/>
      <c r="F774" s="23" t="n"/>
      <c r="G774" s="23" t="n"/>
      <c r="H774" s="23" t="n"/>
      <c r="I774" s="20">
        <f>IF(COUNT(F774:H774)=0,"",SUM(F774:H774))</f>
        <v/>
      </c>
      <c r="J774" s="23" t="n"/>
      <c r="K774" s="23" t="n"/>
      <c r="L774" s="23" t="n"/>
      <c r="M774" s="23" t="n"/>
      <c r="N774" s="23" t="n"/>
      <c r="O774" s="20">
        <f>IF(OR(I774="",COUNT(J774:N774)=0),"",IF(SUM(J774:N774)=I774,"✓","⚠ "&amp;SUM(J774:N774)&amp;" statt "&amp;I774))</f>
        <v/>
      </c>
      <c r="P774" s="21" t="n"/>
      <c r="Q774" s="21" t="n"/>
      <c r="R774" s="21" t="n"/>
      <c r="S774" s="24" t="n"/>
      <c r="T774" s="24" t="n"/>
      <c r="V774">
        <f>IF(A774="","",MONTH(A774))</f>
        <v/>
      </c>
      <c r="W774">
        <f>N(W773)+IF(AND(C774&lt;&gt;"",T774&lt;&gt;""),IF(C774=WOCHE!$B$3,1,0),0)</f>
        <v/>
      </c>
      <c r="X774">
        <f>N(X773)+IF(AND(V774&lt;&gt;"",T774&lt;&gt;""),IF(V774=MONAT!$AZ$3,1,0),0)</f>
        <v/>
      </c>
    </row>
    <row r="775">
      <c r="A775" s="19" t="n"/>
      <c r="B775" s="20">
        <f>IF(A775="","",CHOOSE(WEEKDAY(A775,2),"Mo","Di","Mi","Do","Fr","Sa","So"))</f>
        <v/>
      </c>
      <c r="C775" s="20">
        <f>IF(A775="","",INT((A775-DATE(YEAR(A775-WEEKDAY(A775-1)+4),1,3)+WEEKDAY(DATE(YEAR(A775-WEEKDAY(A775-1)+4),1,3))+5)/7))</f>
        <v/>
      </c>
      <c r="D775" s="21" t="n"/>
      <c r="E775" s="22" t="n"/>
      <c r="F775" s="23" t="n"/>
      <c r="G775" s="23" t="n"/>
      <c r="H775" s="23" t="n"/>
      <c r="I775" s="20">
        <f>IF(COUNT(F775:H775)=0,"",SUM(F775:H775))</f>
        <v/>
      </c>
      <c r="J775" s="23" t="n"/>
      <c r="K775" s="23" t="n"/>
      <c r="L775" s="23" t="n"/>
      <c r="M775" s="23" t="n"/>
      <c r="N775" s="23" t="n"/>
      <c r="O775" s="20">
        <f>IF(OR(I775="",COUNT(J775:N775)=0),"",IF(SUM(J775:N775)=I775,"✓","⚠ "&amp;SUM(J775:N775)&amp;" statt "&amp;I775))</f>
        <v/>
      </c>
      <c r="P775" s="21" t="n"/>
      <c r="Q775" s="21" t="n"/>
      <c r="R775" s="21" t="n"/>
      <c r="S775" s="24" t="n"/>
      <c r="T775" s="24" t="n"/>
      <c r="V775">
        <f>IF(A775="","",MONTH(A775))</f>
        <v/>
      </c>
      <c r="W775">
        <f>N(W774)+IF(AND(C775&lt;&gt;"",T775&lt;&gt;""),IF(C775=WOCHE!$B$3,1,0),0)</f>
        <v/>
      </c>
      <c r="X775">
        <f>N(X774)+IF(AND(V775&lt;&gt;"",T775&lt;&gt;""),IF(V775=MONAT!$AZ$3,1,0),0)</f>
        <v/>
      </c>
    </row>
    <row r="776">
      <c r="A776" s="19" t="n"/>
      <c r="B776" s="20">
        <f>IF(A776="","",CHOOSE(WEEKDAY(A776,2),"Mo","Di","Mi","Do","Fr","Sa","So"))</f>
        <v/>
      </c>
      <c r="C776" s="20">
        <f>IF(A776="","",INT((A776-DATE(YEAR(A776-WEEKDAY(A776-1)+4),1,3)+WEEKDAY(DATE(YEAR(A776-WEEKDAY(A776-1)+4),1,3))+5)/7))</f>
        <v/>
      </c>
      <c r="D776" s="21" t="n"/>
      <c r="E776" s="22" t="n"/>
      <c r="F776" s="23" t="n"/>
      <c r="G776" s="23" t="n"/>
      <c r="H776" s="23" t="n"/>
      <c r="I776" s="20">
        <f>IF(COUNT(F776:H776)=0,"",SUM(F776:H776))</f>
        <v/>
      </c>
      <c r="J776" s="23" t="n"/>
      <c r="K776" s="23" t="n"/>
      <c r="L776" s="23" t="n"/>
      <c r="M776" s="23" t="n"/>
      <c r="N776" s="23" t="n"/>
      <c r="O776" s="20">
        <f>IF(OR(I776="",COUNT(J776:N776)=0),"",IF(SUM(J776:N776)=I776,"✓","⚠ "&amp;SUM(J776:N776)&amp;" statt "&amp;I776))</f>
        <v/>
      </c>
      <c r="P776" s="21" t="n"/>
      <c r="Q776" s="21" t="n"/>
      <c r="R776" s="21" t="n"/>
      <c r="S776" s="24" t="n"/>
      <c r="T776" s="24" t="n"/>
      <c r="V776">
        <f>IF(A776="","",MONTH(A776))</f>
        <v/>
      </c>
      <c r="W776">
        <f>N(W775)+IF(AND(C776&lt;&gt;"",T776&lt;&gt;""),IF(C776=WOCHE!$B$3,1,0),0)</f>
        <v/>
      </c>
      <c r="X776">
        <f>N(X775)+IF(AND(V776&lt;&gt;"",T776&lt;&gt;""),IF(V776=MONAT!$AZ$3,1,0),0)</f>
        <v/>
      </c>
    </row>
    <row r="777">
      <c r="A777" s="19" t="n"/>
      <c r="B777" s="20">
        <f>IF(A777="","",CHOOSE(WEEKDAY(A777,2),"Mo","Di","Mi","Do","Fr","Sa","So"))</f>
        <v/>
      </c>
      <c r="C777" s="20">
        <f>IF(A777="","",INT((A777-DATE(YEAR(A777-WEEKDAY(A777-1)+4),1,3)+WEEKDAY(DATE(YEAR(A777-WEEKDAY(A777-1)+4),1,3))+5)/7))</f>
        <v/>
      </c>
      <c r="D777" s="21" t="n"/>
      <c r="E777" s="22" t="n"/>
      <c r="F777" s="23" t="n"/>
      <c r="G777" s="23" t="n"/>
      <c r="H777" s="23" t="n"/>
      <c r="I777" s="20">
        <f>IF(COUNT(F777:H777)=0,"",SUM(F777:H777))</f>
        <v/>
      </c>
      <c r="J777" s="23" t="n"/>
      <c r="K777" s="23" t="n"/>
      <c r="L777" s="23" t="n"/>
      <c r="M777" s="23" t="n"/>
      <c r="N777" s="23" t="n"/>
      <c r="O777" s="20">
        <f>IF(OR(I777="",COUNT(J777:N777)=0),"",IF(SUM(J777:N777)=I777,"✓","⚠ "&amp;SUM(J777:N777)&amp;" statt "&amp;I777))</f>
        <v/>
      </c>
      <c r="P777" s="21" t="n"/>
      <c r="Q777" s="21" t="n"/>
      <c r="R777" s="21" t="n"/>
      <c r="S777" s="24" t="n"/>
      <c r="T777" s="24" t="n"/>
      <c r="V777">
        <f>IF(A777="","",MONTH(A777))</f>
        <v/>
      </c>
      <c r="W777">
        <f>N(W776)+IF(AND(C777&lt;&gt;"",T777&lt;&gt;""),IF(C777=WOCHE!$B$3,1,0),0)</f>
        <v/>
      </c>
      <c r="X777">
        <f>N(X776)+IF(AND(V777&lt;&gt;"",T777&lt;&gt;""),IF(V777=MONAT!$AZ$3,1,0),0)</f>
        <v/>
      </c>
    </row>
    <row r="778">
      <c r="A778" s="19" t="n"/>
      <c r="B778" s="20">
        <f>IF(A778="","",CHOOSE(WEEKDAY(A778,2),"Mo","Di","Mi","Do","Fr","Sa","So"))</f>
        <v/>
      </c>
      <c r="C778" s="20">
        <f>IF(A778="","",INT((A778-DATE(YEAR(A778-WEEKDAY(A778-1)+4),1,3)+WEEKDAY(DATE(YEAR(A778-WEEKDAY(A778-1)+4),1,3))+5)/7))</f>
        <v/>
      </c>
      <c r="D778" s="21" t="n"/>
      <c r="E778" s="22" t="n"/>
      <c r="F778" s="23" t="n"/>
      <c r="G778" s="23" t="n"/>
      <c r="H778" s="23" t="n"/>
      <c r="I778" s="20">
        <f>IF(COUNT(F778:H778)=0,"",SUM(F778:H778))</f>
        <v/>
      </c>
      <c r="J778" s="23" t="n"/>
      <c r="K778" s="23" t="n"/>
      <c r="L778" s="23" t="n"/>
      <c r="M778" s="23" t="n"/>
      <c r="N778" s="23" t="n"/>
      <c r="O778" s="20">
        <f>IF(OR(I778="",COUNT(J778:N778)=0),"",IF(SUM(J778:N778)=I778,"✓","⚠ "&amp;SUM(J778:N778)&amp;" statt "&amp;I778))</f>
        <v/>
      </c>
      <c r="P778" s="21" t="n"/>
      <c r="Q778" s="21" t="n"/>
      <c r="R778" s="21" t="n"/>
      <c r="S778" s="24" t="n"/>
      <c r="T778" s="24" t="n"/>
      <c r="V778">
        <f>IF(A778="","",MONTH(A778))</f>
        <v/>
      </c>
      <c r="W778">
        <f>N(W777)+IF(AND(C778&lt;&gt;"",T778&lt;&gt;""),IF(C778=WOCHE!$B$3,1,0),0)</f>
        <v/>
      </c>
      <c r="X778">
        <f>N(X777)+IF(AND(V778&lt;&gt;"",T778&lt;&gt;""),IF(V778=MONAT!$AZ$3,1,0),0)</f>
        <v/>
      </c>
    </row>
    <row r="779">
      <c r="A779" s="19" t="n"/>
      <c r="B779" s="20">
        <f>IF(A779="","",CHOOSE(WEEKDAY(A779,2),"Mo","Di","Mi","Do","Fr","Sa","So"))</f>
        <v/>
      </c>
      <c r="C779" s="20">
        <f>IF(A779="","",INT((A779-DATE(YEAR(A779-WEEKDAY(A779-1)+4),1,3)+WEEKDAY(DATE(YEAR(A779-WEEKDAY(A779-1)+4),1,3))+5)/7))</f>
        <v/>
      </c>
      <c r="D779" s="21" t="n"/>
      <c r="E779" s="22" t="n"/>
      <c r="F779" s="23" t="n"/>
      <c r="G779" s="23" t="n"/>
      <c r="H779" s="23" t="n"/>
      <c r="I779" s="20">
        <f>IF(COUNT(F779:H779)=0,"",SUM(F779:H779))</f>
        <v/>
      </c>
      <c r="J779" s="23" t="n"/>
      <c r="K779" s="23" t="n"/>
      <c r="L779" s="23" t="n"/>
      <c r="M779" s="23" t="n"/>
      <c r="N779" s="23" t="n"/>
      <c r="O779" s="20">
        <f>IF(OR(I779="",COUNT(J779:N779)=0),"",IF(SUM(J779:N779)=I779,"✓","⚠ "&amp;SUM(J779:N779)&amp;" statt "&amp;I779))</f>
        <v/>
      </c>
      <c r="P779" s="21" t="n"/>
      <c r="Q779" s="21" t="n"/>
      <c r="R779" s="21" t="n"/>
      <c r="S779" s="24" t="n"/>
      <c r="T779" s="24" t="n"/>
      <c r="V779">
        <f>IF(A779="","",MONTH(A779))</f>
        <v/>
      </c>
      <c r="W779">
        <f>N(W778)+IF(AND(C779&lt;&gt;"",T779&lt;&gt;""),IF(C779=WOCHE!$B$3,1,0),0)</f>
        <v/>
      </c>
      <c r="X779">
        <f>N(X778)+IF(AND(V779&lt;&gt;"",T779&lt;&gt;""),IF(V779=MONAT!$AZ$3,1,0),0)</f>
        <v/>
      </c>
    </row>
    <row r="780">
      <c r="A780" s="19" t="n"/>
      <c r="B780" s="20">
        <f>IF(A780="","",CHOOSE(WEEKDAY(A780,2),"Mo","Di","Mi","Do","Fr","Sa","So"))</f>
        <v/>
      </c>
      <c r="C780" s="20">
        <f>IF(A780="","",INT((A780-DATE(YEAR(A780-WEEKDAY(A780-1)+4),1,3)+WEEKDAY(DATE(YEAR(A780-WEEKDAY(A780-1)+4),1,3))+5)/7))</f>
        <v/>
      </c>
      <c r="D780" s="21" t="n"/>
      <c r="E780" s="22" t="n"/>
      <c r="F780" s="23" t="n"/>
      <c r="G780" s="23" t="n"/>
      <c r="H780" s="23" t="n"/>
      <c r="I780" s="20">
        <f>IF(COUNT(F780:H780)=0,"",SUM(F780:H780))</f>
        <v/>
      </c>
      <c r="J780" s="23" t="n"/>
      <c r="K780" s="23" t="n"/>
      <c r="L780" s="23" t="n"/>
      <c r="M780" s="23" t="n"/>
      <c r="N780" s="23" t="n"/>
      <c r="O780" s="20">
        <f>IF(OR(I780="",COUNT(J780:N780)=0),"",IF(SUM(J780:N780)=I780,"✓","⚠ "&amp;SUM(J780:N780)&amp;" statt "&amp;I780))</f>
        <v/>
      </c>
      <c r="P780" s="21" t="n"/>
      <c r="Q780" s="21" t="n"/>
      <c r="R780" s="21" t="n"/>
      <c r="S780" s="24" t="n"/>
      <c r="T780" s="24" t="n"/>
      <c r="V780">
        <f>IF(A780="","",MONTH(A780))</f>
        <v/>
      </c>
      <c r="W780">
        <f>N(W779)+IF(AND(C780&lt;&gt;"",T780&lt;&gt;""),IF(C780=WOCHE!$B$3,1,0),0)</f>
        <v/>
      </c>
      <c r="X780">
        <f>N(X779)+IF(AND(V780&lt;&gt;"",T780&lt;&gt;""),IF(V780=MONAT!$AZ$3,1,0),0)</f>
        <v/>
      </c>
    </row>
    <row r="781">
      <c r="A781" s="19" t="n"/>
      <c r="B781" s="20">
        <f>IF(A781="","",CHOOSE(WEEKDAY(A781,2),"Mo","Di","Mi","Do","Fr","Sa","So"))</f>
        <v/>
      </c>
      <c r="C781" s="20">
        <f>IF(A781="","",INT((A781-DATE(YEAR(A781-WEEKDAY(A781-1)+4),1,3)+WEEKDAY(DATE(YEAR(A781-WEEKDAY(A781-1)+4),1,3))+5)/7))</f>
        <v/>
      </c>
      <c r="D781" s="21" t="n"/>
      <c r="E781" s="22" t="n"/>
      <c r="F781" s="23" t="n"/>
      <c r="G781" s="23" t="n"/>
      <c r="H781" s="23" t="n"/>
      <c r="I781" s="20">
        <f>IF(COUNT(F781:H781)=0,"",SUM(F781:H781))</f>
        <v/>
      </c>
      <c r="J781" s="23" t="n"/>
      <c r="K781" s="23" t="n"/>
      <c r="L781" s="23" t="n"/>
      <c r="M781" s="23" t="n"/>
      <c r="N781" s="23" t="n"/>
      <c r="O781" s="20">
        <f>IF(OR(I781="",COUNT(J781:N781)=0),"",IF(SUM(J781:N781)=I781,"✓","⚠ "&amp;SUM(J781:N781)&amp;" statt "&amp;I781))</f>
        <v/>
      </c>
      <c r="P781" s="21" t="n"/>
      <c r="Q781" s="21" t="n"/>
      <c r="R781" s="21" t="n"/>
      <c r="S781" s="24" t="n"/>
      <c r="T781" s="24" t="n"/>
      <c r="V781">
        <f>IF(A781="","",MONTH(A781))</f>
        <v/>
      </c>
      <c r="W781">
        <f>N(W780)+IF(AND(C781&lt;&gt;"",T781&lt;&gt;""),IF(C781=WOCHE!$B$3,1,0),0)</f>
        <v/>
      </c>
      <c r="X781">
        <f>N(X780)+IF(AND(V781&lt;&gt;"",T781&lt;&gt;""),IF(V781=MONAT!$AZ$3,1,0),0)</f>
        <v/>
      </c>
    </row>
    <row r="782">
      <c r="A782" s="19" t="n"/>
      <c r="B782" s="20">
        <f>IF(A782="","",CHOOSE(WEEKDAY(A782,2),"Mo","Di","Mi","Do","Fr","Sa","So"))</f>
        <v/>
      </c>
      <c r="C782" s="20">
        <f>IF(A782="","",INT((A782-DATE(YEAR(A782-WEEKDAY(A782-1)+4),1,3)+WEEKDAY(DATE(YEAR(A782-WEEKDAY(A782-1)+4),1,3))+5)/7))</f>
        <v/>
      </c>
      <c r="D782" s="21" t="n"/>
      <c r="E782" s="22" t="n"/>
      <c r="F782" s="23" t="n"/>
      <c r="G782" s="23" t="n"/>
      <c r="H782" s="23" t="n"/>
      <c r="I782" s="20">
        <f>IF(COUNT(F782:H782)=0,"",SUM(F782:H782))</f>
        <v/>
      </c>
      <c r="J782" s="23" t="n"/>
      <c r="K782" s="23" t="n"/>
      <c r="L782" s="23" t="n"/>
      <c r="M782" s="23" t="n"/>
      <c r="N782" s="23" t="n"/>
      <c r="O782" s="20">
        <f>IF(OR(I782="",COUNT(J782:N782)=0),"",IF(SUM(J782:N782)=I782,"✓","⚠ "&amp;SUM(J782:N782)&amp;" statt "&amp;I782))</f>
        <v/>
      </c>
      <c r="P782" s="21" t="n"/>
      <c r="Q782" s="21" t="n"/>
      <c r="R782" s="21" t="n"/>
      <c r="S782" s="24" t="n"/>
      <c r="T782" s="24" t="n"/>
      <c r="V782">
        <f>IF(A782="","",MONTH(A782))</f>
        <v/>
      </c>
      <c r="W782">
        <f>N(W781)+IF(AND(C782&lt;&gt;"",T782&lt;&gt;""),IF(C782=WOCHE!$B$3,1,0),0)</f>
        <v/>
      </c>
      <c r="X782">
        <f>N(X781)+IF(AND(V782&lt;&gt;"",T782&lt;&gt;""),IF(V782=MONAT!$AZ$3,1,0),0)</f>
        <v/>
      </c>
    </row>
    <row r="783">
      <c r="A783" s="19" t="n"/>
      <c r="B783" s="20">
        <f>IF(A783="","",CHOOSE(WEEKDAY(A783,2),"Mo","Di","Mi","Do","Fr","Sa","So"))</f>
        <v/>
      </c>
      <c r="C783" s="20">
        <f>IF(A783="","",INT((A783-DATE(YEAR(A783-WEEKDAY(A783-1)+4),1,3)+WEEKDAY(DATE(YEAR(A783-WEEKDAY(A783-1)+4),1,3))+5)/7))</f>
        <v/>
      </c>
      <c r="D783" s="21" t="n"/>
      <c r="E783" s="22" t="n"/>
      <c r="F783" s="23" t="n"/>
      <c r="G783" s="23" t="n"/>
      <c r="H783" s="23" t="n"/>
      <c r="I783" s="20">
        <f>IF(COUNT(F783:H783)=0,"",SUM(F783:H783))</f>
        <v/>
      </c>
      <c r="J783" s="23" t="n"/>
      <c r="K783" s="23" t="n"/>
      <c r="L783" s="23" t="n"/>
      <c r="M783" s="23" t="n"/>
      <c r="N783" s="23" t="n"/>
      <c r="O783" s="20">
        <f>IF(OR(I783="",COUNT(J783:N783)=0),"",IF(SUM(J783:N783)=I783,"✓","⚠ "&amp;SUM(J783:N783)&amp;" statt "&amp;I783))</f>
        <v/>
      </c>
      <c r="P783" s="21" t="n"/>
      <c r="Q783" s="21" t="n"/>
      <c r="R783" s="21" t="n"/>
      <c r="S783" s="24" t="n"/>
      <c r="T783" s="24" t="n"/>
      <c r="V783">
        <f>IF(A783="","",MONTH(A783))</f>
        <v/>
      </c>
      <c r="W783">
        <f>N(W782)+IF(AND(C783&lt;&gt;"",T783&lt;&gt;""),IF(C783=WOCHE!$B$3,1,0),0)</f>
        <v/>
      </c>
      <c r="X783">
        <f>N(X782)+IF(AND(V783&lt;&gt;"",T783&lt;&gt;""),IF(V783=MONAT!$AZ$3,1,0),0)</f>
        <v/>
      </c>
    </row>
    <row r="784">
      <c r="A784" s="19" t="n"/>
      <c r="B784" s="20">
        <f>IF(A784="","",CHOOSE(WEEKDAY(A784,2),"Mo","Di","Mi","Do","Fr","Sa","So"))</f>
        <v/>
      </c>
      <c r="C784" s="20">
        <f>IF(A784="","",INT((A784-DATE(YEAR(A784-WEEKDAY(A784-1)+4),1,3)+WEEKDAY(DATE(YEAR(A784-WEEKDAY(A784-1)+4),1,3))+5)/7))</f>
        <v/>
      </c>
      <c r="D784" s="21" t="n"/>
      <c r="E784" s="22" t="n"/>
      <c r="F784" s="23" t="n"/>
      <c r="G784" s="23" t="n"/>
      <c r="H784" s="23" t="n"/>
      <c r="I784" s="20">
        <f>IF(COUNT(F784:H784)=0,"",SUM(F784:H784))</f>
        <v/>
      </c>
      <c r="J784" s="23" t="n"/>
      <c r="K784" s="23" t="n"/>
      <c r="L784" s="23" t="n"/>
      <c r="M784" s="23" t="n"/>
      <c r="N784" s="23" t="n"/>
      <c r="O784" s="20">
        <f>IF(OR(I784="",COUNT(J784:N784)=0),"",IF(SUM(J784:N784)=I784,"✓","⚠ "&amp;SUM(J784:N784)&amp;" statt "&amp;I784))</f>
        <v/>
      </c>
      <c r="P784" s="21" t="n"/>
      <c r="Q784" s="21" t="n"/>
      <c r="R784" s="21" t="n"/>
      <c r="S784" s="24" t="n"/>
      <c r="T784" s="24" t="n"/>
      <c r="V784">
        <f>IF(A784="","",MONTH(A784))</f>
        <v/>
      </c>
      <c r="W784">
        <f>N(W783)+IF(AND(C784&lt;&gt;"",T784&lt;&gt;""),IF(C784=WOCHE!$B$3,1,0),0)</f>
        <v/>
      </c>
      <c r="X784">
        <f>N(X783)+IF(AND(V784&lt;&gt;"",T784&lt;&gt;""),IF(V784=MONAT!$AZ$3,1,0),0)</f>
        <v/>
      </c>
    </row>
    <row r="785">
      <c r="A785" s="19" t="n"/>
      <c r="B785" s="20">
        <f>IF(A785="","",CHOOSE(WEEKDAY(A785,2),"Mo","Di","Mi","Do","Fr","Sa","So"))</f>
        <v/>
      </c>
      <c r="C785" s="20">
        <f>IF(A785="","",INT((A785-DATE(YEAR(A785-WEEKDAY(A785-1)+4),1,3)+WEEKDAY(DATE(YEAR(A785-WEEKDAY(A785-1)+4),1,3))+5)/7))</f>
        <v/>
      </c>
      <c r="D785" s="21" t="n"/>
      <c r="E785" s="22" t="n"/>
      <c r="F785" s="23" t="n"/>
      <c r="G785" s="23" t="n"/>
      <c r="H785" s="23" t="n"/>
      <c r="I785" s="20">
        <f>IF(COUNT(F785:H785)=0,"",SUM(F785:H785))</f>
        <v/>
      </c>
      <c r="J785" s="23" t="n"/>
      <c r="K785" s="23" t="n"/>
      <c r="L785" s="23" t="n"/>
      <c r="M785" s="23" t="n"/>
      <c r="N785" s="23" t="n"/>
      <c r="O785" s="20">
        <f>IF(OR(I785="",COUNT(J785:N785)=0),"",IF(SUM(J785:N785)=I785,"✓","⚠ "&amp;SUM(J785:N785)&amp;" statt "&amp;I785))</f>
        <v/>
      </c>
      <c r="P785" s="21" t="n"/>
      <c r="Q785" s="21" t="n"/>
      <c r="R785" s="21" t="n"/>
      <c r="S785" s="24" t="n"/>
      <c r="T785" s="24" t="n"/>
      <c r="V785">
        <f>IF(A785="","",MONTH(A785))</f>
        <v/>
      </c>
      <c r="W785">
        <f>N(W784)+IF(AND(C785&lt;&gt;"",T785&lt;&gt;""),IF(C785=WOCHE!$B$3,1,0),0)</f>
        <v/>
      </c>
      <c r="X785">
        <f>N(X784)+IF(AND(V785&lt;&gt;"",T785&lt;&gt;""),IF(V785=MONAT!$AZ$3,1,0),0)</f>
        <v/>
      </c>
    </row>
    <row r="786">
      <c r="A786" s="19" t="n"/>
      <c r="B786" s="20">
        <f>IF(A786="","",CHOOSE(WEEKDAY(A786,2),"Mo","Di","Mi","Do","Fr","Sa","So"))</f>
        <v/>
      </c>
      <c r="C786" s="20">
        <f>IF(A786="","",INT((A786-DATE(YEAR(A786-WEEKDAY(A786-1)+4),1,3)+WEEKDAY(DATE(YEAR(A786-WEEKDAY(A786-1)+4),1,3))+5)/7))</f>
        <v/>
      </c>
      <c r="D786" s="21" t="n"/>
      <c r="E786" s="22" t="n"/>
      <c r="F786" s="23" t="n"/>
      <c r="G786" s="23" t="n"/>
      <c r="H786" s="23" t="n"/>
      <c r="I786" s="20">
        <f>IF(COUNT(F786:H786)=0,"",SUM(F786:H786))</f>
        <v/>
      </c>
      <c r="J786" s="23" t="n"/>
      <c r="K786" s="23" t="n"/>
      <c r="L786" s="23" t="n"/>
      <c r="M786" s="23" t="n"/>
      <c r="N786" s="23" t="n"/>
      <c r="O786" s="20">
        <f>IF(OR(I786="",COUNT(J786:N786)=0),"",IF(SUM(J786:N786)=I786,"✓","⚠ "&amp;SUM(J786:N786)&amp;" statt "&amp;I786))</f>
        <v/>
      </c>
      <c r="P786" s="21" t="n"/>
      <c r="Q786" s="21" t="n"/>
      <c r="R786" s="21" t="n"/>
      <c r="S786" s="24" t="n"/>
      <c r="T786" s="24" t="n"/>
      <c r="V786">
        <f>IF(A786="","",MONTH(A786))</f>
        <v/>
      </c>
      <c r="W786">
        <f>N(W785)+IF(AND(C786&lt;&gt;"",T786&lt;&gt;""),IF(C786=WOCHE!$B$3,1,0),0)</f>
        <v/>
      </c>
      <c r="X786">
        <f>N(X785)+IF(AND(V786&lt;&gt;"",T786&lt;&gt;""),IF(V786=MONAT!$AZ$3,1,0),0)</f>
        <v/>
      </c>
    </row>
    <row r="787">
      <c r="A787" s="19" t="n"/>
      <c r="B787" s="20">
        <f>IF(A787="","",CHOOSE(WEEKDAY(A787,2),"Mo","Di","Mi","Do","Fr","Sa","So"))</f>
        <v/>
      </c>
      <c r="C787" s="20">
        <f>IF(A787="","",INT((A787-DATE(YEAR(A787-WEEKDAY(A787-1)+4),1,3)+WEEKDAY(DATE(YEAR(A787-WEEKDAY(A787-1)+4),1,3))+5)/7))</f>
        <v/>
      </c>
      <c r="D787" s="21" t="n"/>
      <c r="E787" s="22" t="n"/>
      <c r="F787" s="23" t="n"/>
      <c r="G787" s="23" t="n"/>
      <c r="H787" s="23" t="n"/>
      <c r="I787" s="20">
        <f>IF(COUNT(F787:H787)=0,"",SUM(F787:H787))</f>
        <v/>
      </c>
      <c r="J787" s="23" t="n"/>
      <c r="K787" s="23" t="n"/>
      <c r="L787" s="23" t="n"/>
      <c r="M787" s="23" t="n"/>
      <c r="N787" s="23" t="n"/>
      <c r="O787" s="20">
        <f>IF(OR(I787="",COUNT(J787:N787)=0),"",IF(SUM(J787:N787)=I787,"✓","⚠ "&amp;SUM(J787:N787)&amp;" statt "&amp;I787))</f>
        <v/>
      </c>
      <c r="P787" s="21" t="n"/>
      <c r="Q787" s="21" t="n"/>
      <c r="R787" s="21" t="n"/>
      <c r="S787" s="24" t="n"/>
      <c r="T787" s="24" t="n"/>
      <c r="V787">
        <f>IF(A787="","",MONTH(A787))</f>
        <v/>
      </c>
      <c r="W787">
        <f>N(W786)+IF(AND(C787&lt;&gt;"",T787&lt;&gt;""),IF(C787=WOCHE!$B$3,1,0),0)</f>
        <v/>
      </c>
      <c r="X787">
        <f>N(X786)+IF(AND(V787&lt;&gt;"",T787&lt;&gt;""),IF(V787=MONAT!$AZ$3,1,0),0)</f>
        <v/>
      </c>
    </row>
    <row r="788">
      <c r="A788" s="19" t="n"/>
      <c r="B788" s="20">
        <f>IF(A788="","",CHOOSE(WEEKDAY(A788,2),"Mo","Di","Mi","Do","Fr","Sa","So"))</f>
        <v/>
      </c>
      <c r="C788" s="20">
        <f>IF(A788="","",INT((A788-DATE(YEAR(A788-WEEKDAY(A788-1)+4),1,3)+WEEKDAY(DATE(YEAR(A788-WEEKDAY(A788-1)+4),1,3))+5)/7))</f>
        <v/>
      </c>
      <c r="D788" s="21" t="n"/>
      <c r="E788" s="22" t="n"/>
      <c r="F788" s="23" t="n"/>
      <c r="G788" s="23" t="n"/>
      <c r="H788" s="23" t="n"/>
      <c r="I788" s="20">
        <f>IF(COUNT(F788:H788)=0,"",SUM(F788:H788))</f>
        <v/>
      </c>
      <c r="J788" s="23" t="n"/>
      <c r="K788" s="23" t="n"/>
      <c r="L788" s="23" t="n"/>
      <c r="M788" s="23" t="n"/>
      <c r="N788" s="23" t="n"/>
      <c r="O788" s="20">
        <f>IF(OR(I788="",COUNT(J788:N788)=0),"",IF(SUM(J788:N788)=I788,"✓","⚠ "&amp;SUM(J788:N788)&amp;" statt "&amp;I788))</f>
        <v/>
      </c>
      <c r="P788" s="21" t="n"/>
      <c r="Q788" s="21" t="n"/>
      <c r="R788" s="21" t="n"/>
      <c r="S788" s="24" t="n"/>
      <c r="T788" s="24" t="n"/>
      <c r="V788">
        <f>IF(A788="","",MONTH(A788))</f>
        <v/>
      </c>
      <c r="W788">
        <f>N(W787)+IF(AND(C788&lt;&gt;"",T788&lt;&gt;""),IF(C788=WOCHE!$B$3,1,0),0)</f>
        <v/>
      </c>
      <c r="X788">
        <f>N(X787)+IF(AND(V788&lt;&gt;"",T788&lt;&gt;""),IF(V788=MONAT!$AZ$3,1,0),0)</f>
        <v/>
      </c>
    </row>
    <row r="789">
      <c r="A789" s="19" t="n"/>
      <c r="B789" s="20">
        <f>IF(A789="","",CHOOSE(WEEKDAY(A789,2),"Mo","Di","Mi","Do","Fr","Sa","So"))</f>
        <v/>
      </c>
      <c r="C789" s="20">
        <f>IF(A789="","",INT((A789-DATE(YEAR(A789-WEEKDAY(A789-1)+4),1,3)+WEEKDAY(DATE(YEAR(A789-WEEKDAY(A789-1)+4),1,3))+5)/7))</f>
        <v/>
      </c>
      <c r="D789" s="21" t="n"/>
      <c r="E789" s="22" t="n"/>
      <c r="F789" s="23" t="n"/>
      <c r="G789" s="23" t="n"/>
      <c r="H789" s="23" t="n"/>
      <c r="I789" s="20">
        <f>IF(COUNT(F789:H789)=0,"",SUM(F789:H789))</f>
        <v/>
      </c>
      <c r="J789" s="23" t="n"/>
      <c r="K789" s="23" t="n"/>
      <c r="L789" s="23" t="n"/>
      <c r="M789" s="23" t="n"/>
      <c r="N789" s="23" t="n"/>
      <c r="O789" s="20">
        <f>IF(OR(I789="",COUNT(J789:N789)=0),"",IF(SUM(J789:N789)=I789,"✓","⚠ "&amp;SUM(J789:N789)&amp;" statt "&amp;I789))</f>
        <v/>
      </c>
      <c r="P789" s="21" t="n"/>
      <c r="Q789" s="21" t="n"/>
      <c r="R789" s="21" t="n"/>
      <c r="S789" s="24" t="n"/>
      <c r="T789" s="24" t="n"/>
      <c r="V789">
        <f>IF(A789="","",MONTH(A789))</f>
        <v/>
      </c>
      <c r="W789">
        <f>N(W788)+IF(AND(C789&lt;&gt;"",T789&lt;&gt;""),IF(C789=WOCHE!$B$3,1,0),0)</f>
        <v/>
      </c>
      <c r="X789">
        <f>N(X788)+IF(AND(V789&lt;&gt;"",T789&lt;&gt;""),IF(V789=MONAT!$AZ$3,1,0),0)</f>
        <v/>
      </c>
    </row>
    <row r="790">
      <c r="A790" s="19" t="n"/>
      <c r="B790" s="20">
        <f>IF(A790="","",CHOOSE(WEEKDAY(A790,2),"Mo","Di","Mi","Do","Fr","Sa","So"))</f>
        <v/>
      </c>
      <c r="C790" s="20">
        <f>IF(A790="","",INT((A790-DATE(YEAR(A790-WEEKDAY(A790-1)+4),1,3)+WEEKDAY(DATE(YEAR(A790-WEEKDAY(A790-1)+4),1,3))+5)/7))</f>
        <v/>
      </c>
      <c r="D790" s="21" t="n"/>
      <c r="E790" s="22" t="n"/>
      <c r="F790" s="23" t="n"/>
      <c r="G790" s="23" t="n"/>
      <c r="H790" s="23" t="n"/>
      <c r="I790" s="20">
        <f>IF(COUNT(F790:H790)=0,"",SUM(F790:H790))</f>
        <v/>
      </c>
      <c r="J790" s="23" t="n"/>
      <c r="K790" s="23" t="n"/>
      <c r="L790" s="23" t="n"/>
      <c r="M790" s="23" t="n"/>
      <c r="N790" s="23" t="n"/>
      <c r="O790" s="20">
        <f>IF(OR(I790="",COUNT(J790:N790)=0),"",IF(SUM(J790:N790)=I790,"✓","⚠ "&amp;SUM(J790:N790)&amp;" statt "&amp;I790))</f>
        <v/>
      </c>
      <c r="P790" s="21" t="n"/>
      <c r="Q790" s="21" t="n"/>
      <c r="R790" s="21" t="n"/>
      <c r="S790" s="24" t="n"/>
      <c r="T790" s="24" t="n"/>
      <c r="V790">
        <f>IF(A790="","",MONTH(A790))</f>
        <v/>
      </c>
      <c r="W790">
        <f>N(W789)+IF(AND(C790&lt;&gt;"",T790&lt;&gt;""),IF(C790=WOCHE!$B$3,1,0),0)</f>
        <v/>
      </c>
      <c r="X790">
        <f>N(X789)+IF(AND(V790&lt;&gt;"",T790&lt;&gt;""),IF(V790=MONAT!$AZ$3,1,0),0)</f>
        <v/>
      </c>
    </row>
    <row r="791">
      <c r="A791" s="19" t="n"/>
      <c r="B791" s="20">
        <f>IF(A791="","",CHOOSE(WEEKDAY(A791,2),"Mo","Di","Mi","Do","Fr","Sa","So"))</f>
        <v/>
      </c>
      <c r="C791" s="20">
        <f>IF(A791="","",INT((A791-DATE(YEAR(A791-WEEKDAY(A791-1)+4),1,3)+WEEKDAY(DATE(YEAR(A791-WEEKDAY(A791-1)+4),1,3))+5)/7))</f>
        <v/>
      </c>
      <c r="D791" s="21" t="n"/>
      <c r="E791" s="22" t="n"/>
      <c r="F791" s="23" t="n"/>
      <c r="G791" s="23" t="n"/>
      <c r="H791" s="23" t="n"/>
      <c r="I791" s="20">
        <f>IF(COUNT(F791:H791)=0,"",SUM(F791:H791))</f>
        <v/>
      </c>
      <c r="J791" s="23" t="n"/>
      <c r="K791" s="23" t="n"/>
      <c r="L791" s="23" t="n"/>
      <c r="M791" s="23" t="n"/>
      <c r="N791" s="23" t="n"/>
      <c r="O791" s="20">
        <f>IF(OR(I791="",COUNT(J791:N791)=0),"",IF(SUM(J791:N791)=I791,"✓","⚠ "&amp;SUM(J791:N791)&amp;" statt "&amp;I791))</f>
        <v/>
      </c>
      <c r="P791" s="21" t="n"/>
      <c r="Q791" s="21" t="n"/>
      <c r="R791" s="21" t="n"/>
      <c r="S791" s="24" t="n"/>
      <c r="T791" s="24" t="n"/>
      <c r="V791">
        <f>IF(A791="","",MONTH(A791))</f>
        <v/>
      </c>
      <c r="W791">
        <f>N(W790)+IF(AND(C791&lt;&gt;"",T791&lt;&gt;""),IF(C791=WOCHE!$B$3,1,0),0)</f>
        <v/>
      </c>
      <c r="X791">
        <f>N(X790)+IF(AND(V791&lt;&gt;"",T791&lt;&gt;""),IF(V791=MONAT!$AZ$3,1,0),0)</f>
        <v/>
      </c>
    </row>
    <row r="792">
      <c r="A792" s="19" t="n"/>
      <c r="B792" s="20">
        <f>IF(A792="","",CHOOSE(WEEKDAY(A792,2),"Mo","Di","Mi","Do","Fr","Sa","So"))</f>
        <v/>
      </c>
      <c r="C792" s="20">
        <f>IF(A792="","",INT((A792-DATE(YEAR(A792-WEEKDAY(A792-1)+4),1,3)+WEEKDAY(DATE(YEAR(A792-WEEKDAY(A792-1)+4),1,3))+5)/7))</f>
        <v/>
      </c>
      <c r="D792" s="21" t="n"/>
      <c r="E792" s="22" t="n"/>
      <c r="F792" s="23" t="n"/>
      <c r="G792" s="23" t="n"/>
      <c r="H792" s="23" t="n"/>
      <c r="I792" s="20">
        <f>IF(COUNT(F792:H792)=0,"",SUM(F792:H792))</f>
        <v/>
      </c>
      <c r="J792" s="23" t="n"/>
      <c r="K792" s="23" t="n"/>
      <c r="L792" s="23" t="n"/>
      <c r="M792" s="23" t="n"/>
      <c r="N792" s="23" t="n"/>
      <c r="O792" s="20">
        <f>IF(OR(I792="",COUNT(J792:N792)=0),"",IF(SUM(J792:N792)=I792,"✓","⚠ "&amp;SUM(J792:N792)&amp;" statt "&amp;I792))</f>
        <v/>
      </c>
      <c r="P792" s="21" t="n"/>
      <c r="Q792" s="21" t="n"/>
      <c r="R792" s="21" t="n"/>
      <c r="S792" s="24" t="n"/>
      <c r="T792" s="24" t="n"/>
      <c r="V792">
        <f>IF(A792="","",MONTH(A792))</f>
        <v/>
      </c>
      <c r="W792">
        <f>N(W791)+IF(AND(C792&lt;&gt;"",T792&lt;&gt;""),IF(C792=WOCHE!$B$3,1,0),0)</f>
        <v/>
      </c>
      <c r="X792">
        <f>N(X791)+IF(AND(V792&lt;&gt;"",T792&lt;&gt;""),IF(V792=MONAT!$AZ$3,1,0),0)</f>
        <v/>
      </c>
    </row>
    <row r="793">
      <c r="A793" s="19" t="n"/>
      <c r="B793" s="20">
        <f>IF(A793="","",CHOOSE(WEEKDAY(A793,2),"Mo","Di","Mi","Do","Fr","Sa","So"))</f>
        <v/>
      </c>
      <c r="C793" s="20">
        <f>IF(A793="","",INT((A793-DATE(YEAR(A793-WEEKDAY(A793-1)+4),1,3)+WEEKDAY(DATE(YEAR(A793-WEEKDAY(A793-1)+4),1,3))+5)/7))</f>
        <v/>
      </c>
      <c r="D793" s="21" t="n"/>
      <c r="E793" s="22" t="n"/>
      <c r="F793" s="23" t="n"/>
      <c r="G793" s="23" t="n"/>
      <c r="H793" s="23" t="n"/>
      <c r="I793" s="20">
        <f>IF(COUNT(F793:H793)=0,"",SUM(F793:H793))</f>
        <v/>
      </c>
      <c r="J793" s="23" t="n"/>
      <c r="K793" s="23" t="n"/>
      <c r="L793" s="23" t="n"/>
      <c r="M793" s="23" t="n"/>
      <c r="N793" s="23" t="n"/>
      <c r="O793" s="20">
        <f>IF(OR(I793="",COUNT(J793:N793)=0),"",IF(SUM(J793:N793)=I793,"✓","⚠ "&amp;SUM(J793:N793)&amp;" statt "&amp;I793))</f>
        <v/>
      </c>
      <c r="P793" s="21" t="n"/>
      <c r="Q793" s="21" t="n"/>
      <c r="R793" s="21" t="n"/>
      <c r="S793" s="24" t="n"/>
      <c r="T793" s="24" t="n"/>
      <c r="V793">
        <f>IF(A793="","",MONTH(A793))</f>
        <v/>
      </c>
      <c r="W793">
        <f>N(W792)+IF(AND(C793&lt;&gt;"",T793&lt;&gt;""),IF(C793=WOCHE!$B$3,1,0),0)</f>
        <v/>
      </c>
      <c r="X793">
        <f>N(X792)+IF(AND(V793&lt;&gt;"",T793&lt;&gt;""),IF(V793=MONAT!$AZ$3,1,0),0)</f>
        <v/>
      </c>
    </row>
    <row r="794">
      <c r="A794" s="19" t="n"/>
      <c r="B794" s="20">
        <f>IF(A794="","",CHOOSE(WEEKDAY(A794,2),"Mo","Di","Mi","Do","Fr","Sa","So"))</f>
        <v/>
      </c>
      <c r="C794" s="20">
        <f>IF(A794="","",INT((A794-DATE(YEAR(A794-WEEKDAY(A794-1)+4),1,3)+WEEKDAY(DATE(YEAR(A794-WEEKDAY(A794-1)+4),1,3))+5)/7))</f>
        <v/>
      </c>
      <c r="D794" s="21" t="n"/>
      <c r="E794" s="22" t="n"/>
      <c r="F794" s="23" t="n"/>
      <c r="G794" s="23" t="n"/>
      <c r="H794" s="23" t="n"/>
      <c r="I794" s="20">
        <f>IF(COUNT(F794:H794)=0,"",SUM(F794:H794))</f>
        <v/>
      </c>
      <c r="J794" s="23" t="n"/>
      <c r="K794" s="23" t="n"/>
      <c r="L794" s="23" t="n"/>
      <c r="M794" s="23" t="n"/>
      <c r="N794" s="23" t="n"/>
      <c r="O794" s="20">
        <f>IF(OR(I794="",COUNT(J794:N794)=0),"",IF(SUM(J794:N794)=I794,"✓","⚠ "&amp;SUM(J794:N794)&amp;" statt "&amp;I794))</f>
        <v/>
      </c>
      <c r="P794" s="21" t="n"/>
      <c r="Q794" s="21" t="n"/>
      <c r="R794" s="21" t="n"/>
      <c r="S794" s="24" t="n"/>
      <c r="T794" s="24" t="n"/>
      <c r="V794">
        <f>IF(A794="","",MONTH(A794))</f>
        <v/>
      </c>
      <c r="W794">
        <f>N(W793)+IF(AND(C794&lt;&gt;"",T794&lt;&gt;""),IF(C794=WOCHE!$B$3,1,0),0)</f>
        <v/>
      </c>
      <c r="X794">
        <f>N(X793)+IF(AND(V794&lt;&gt;"",T794&lt;&gt;""),IF(V794=MONAT!$AZ$3,1,0),0)</f>
        <v/>
      </c>
    </row>
    <row r="795">
      <c r="A795" s="19" t="n"/>
      <c r="B795" s="20">
        <f>IF(A795="","",CHOOSE(WEEKDAY(A795,2),"Mo","Di","Mi","Do","Fr","Sa","So"))</f>
        <v/>
      </c>
      <c r="C795" s="20">
        <f>IF(A795="","",INT((A795-DATE(YEAR(A795-WEEKDAY(A795-1)+4),1,3)+WEEKDAY(DATE(YEAR(A795-WEEKDAY(A795-1)+4),1,3))+5)/7))</f>
        <v/>
      </c>
      <c r="D795" s="21" t="n"/>
      <c r="E795" s="22" t="n"/>
      <c r="F795" s="23" t="n"/>
      <c r="G795" s="23" t="n"/>
      <c r="H795" s="23" t="n"/>
      <c r="I795" s="20">
        <f>IF(COUNT(F795:H795)=0,"",SUM(F795:H795))</f>
        <v/>
      </c>
      <c r="J795" s="23" t="n"/>
      <c r="K795" s="23" t="n"/>
      <c r="L795" s="23" t="n"/>
      <c r="M795" s="23" t="n"/>
      <c r="N795" s="23" t="n"/>
      <c r="O795" s="20">
        <f>IF(OR(I795="",COUNT(J795:N795)=0),"",IF(SUM(J795:N795)=I795,"✓","⚠ "&amp;SUM(J795:N795)&amp;" statt "&amp;I795))</f>
        <v/>
      </c>
      <c r="P795" s="21" t="n"/>
      <c r="Q795" s="21" t="n"/>
      <c r="R795" s="21" t="n"/>
      <c r="S795" s="24" t="n"/>
      <c r="T795" s="24" t="n"/>
      <c r="V795">
        <f>IF(A795="","",MONTH(A795))</f>
        <v/>
      </c>
      <c r="W795">
        <f>N(W794)+IF(AND(C795&lt;&gt;"",T795&lt;&gt;""),IF(C795=WOCHE!$B$3,1,0),0)</f>
        <v/>
      </c>
      <c r="X795">
        <f>N(X794)+IF(AND(V795&lt;&gt;"",T795&lt;&gt;""),IF(V795=MONAT!$AZ$3,1,0),0)</f>
        <v/>
      </c>
    </row>
    <row r="796">
      <c r="A796" s="19" t="n"/>
      <c r="B796" s="20">
        <f>IF(A796="","",CHOOSE(WEEKDAY(A796,2),"Mo","Di","Mi","Do","Fr","Sa","So"))</f>
        <v/>
      </c>
      <c r="C796" s="20">
        <f>IF(A796="","",INT((A796-DATE(YEAR(A796-WEEKDAY(A796-1)+4),1,3)+WEEKDAY(DATE(YEAR(A796-WEEKDAY(A796-1)+4),1,3))+5)/7))</f>
        <v/>
      </c>
      <c r="D796" s="21" t="n"/>
      <c r="E796" s="22" t="n"/>
      <c r="F796" s="23" t="n"/>
      <c r="G796" s="23" t="n"/>
      <c r="H796" s="23" t="n"/>
      <c r="I796" s="20">
        <f>IF(COUNT(F796:H796)=0,"",SUM(F796:H796))</f>
        <v/>
      </c>
      <c r="J796" s="23" t="n"/>
      <c r="K796" s="23" t="n"/>
      <c r="L796" s="23" t="n"/>
      <c r="M796" s="23" t="n"/>
      <c r="N796" s="23" t="n"/>
      <c r="O796" s="20">
        <f>IF(OR(I796="",COUNT(J796:N796)=0),"",IF(SUM(J796:N796)=I796,"✓","⚠ "&amp;SUM(J796:N796)&amp;" statt "&amp;I796))</f>
        <v/>
      </c>
      <c r="P796" s="21" t="n"/>
      <c r="Q796" s="21" t="n"/>
      <c r="R796" s="21" t="n"/>
      <c r="S796" s="24" t="n"/>
      <c r="T796" s="24" t="n"/>
      <c r="V796">
        <f>IF(A796="","",MONTH(A796))</f>
        <v/>
      </c>
      <c r="W796">
        <f>N(W795)+IF(AND(C796&lt;&gt;"",T796&lt;&gt;""),IF(C796=WOCHE!$B$3,1,0),0)</f>
        <v/>
      </c>
      <c r="X796">
        <f>N(X795)+IF(AND(V796&lt;&gt;"",T796&lt;&gt;""),IF(V796=MONAT!$AZ$3,1,0),0)</f>
        <v/>
      </c>
    </row>
    <row r="797">
      <c r="A797" s="19" t="n"/>
      <c r="B797" s="20">
        <f>IF(A797="","",CHOOSE(WEEKDAY(A797,2),"Mo","Di","Mi","Do","Fr","Sa","So"))</f>
        <v/>
      </c>
      <c r="C797" s="20">
        <f>IF(A797="","",INT((A797-DATE(YEAR(A797-WEEKDAY(A797-1)+4),1,3)+WEEKDAY(DATE(YEAR(A797-WEEKDAY(A797-1)+4),1,3))+5)/7))</f>
        <v/>
      </c>
      <c r="D797" s="21" t="n"/>
      <c r="E797" s="22" t="n"/>
      <c r="F797" s="23" t="n"/>
      <c r="G797" s="23" t="n"/>
      <c r="H797" s="23" t="n"/>
      <c r="I797" s="20">
        <f>IF(COUNT(F797:H797)=0,"",SUM(F797:H797))</f>
        <v/>
      </c>
      <c r="J797" s="23" t="n"/>
      <c r="K797" s="23" t="n"/>
      <c r="L797" s="23" t="n"/>
      <c r="M797" s="23" t="n"/>
      <c r="N797" s="23" t="n"/>
      <c r="O797" s="20">
        <f>IF(OR(I797="",COUNT(J797:N797)=0),"",IF(SUM(J797:N797)=I797,"✓","⚠ "&amp;SUM(J797:N797)&amp;" statt "&amp;I797))</f>
        <v/>
      </c>
      <c r="P797" s="21" t="n"/>
      <c r="Q797" s="21" t="n"/>
      <c r="R797" s="21" t="n"/>
      <c r="S797" s="24" t="n"/>
      <c r="T797" s="24" t="n"/>
      <c r="V797">
        <f>IF(A797="","",MONTH(A797))</f>
        <v/>
      </c>
      <c r="W797">
        <f>N(W796)+IF(AND(C797&lt;&gt;"",T797&lt;&gt;""),IF(C797=WOCHE!$B$3,1,0),0)</f>
        <v/>
      </c>
      <c r="X797">
        <f>N(X796)+IF(AND(V797&lt;&gt;"",T797&lt;&gt;""),IF(V797=MONAT!$AZ$3,1,0),0)</f>
        <v/>
      </c>
    </row>
    <row r="798">
      <c r="A798" s="19" t="n"/>
      <c r="B798" s="20">
        <f>IF(A798="","",CHOOSE(WEEKDAY(A798,2),"Mo","Di","Mi","Do","Fr","Sa","So"))</f>
        <v/>
      </c>
      <c r="C798" s="20">
        <f>IF(A798="","",INT((A798-DATE(YEAR(A798-WEEKDAY(A798-1)+4),1,3)+WEEKDAY(DATE(YEAR(A798-WEEKDAY(A798-1)+4),1,3))+5)/7))</f>
        <v/>
      </c>
      <c r="D798" s="21" t="n"/>
      <c r="E798" s="22" t="n"/>
      <c r="F798" s="23" t="n"/>
      <c r="G798" s="23" t="n"/>
      <c r="H798" s="23" t="n"/>
      <c r="I798" s="20">
        <f>IF(COUNT(F798:H798)=0,"",SUM(F798:H798))</f>
        <v/>
      </c>
      <c r="J798" s="23" t="n"/>
      <c r="K798" s="23" t="n"/>
      <c r="L798" s="23" t="n"/>
      <c r="M798" s="23" t="n"/>
      <c r="N798" s="23" t="n"/>
      <c r="O798" s="20">
        <f>IF(OR(I798="",COUNT(J798:N798)=0),"",IF(SUM(J798:N798)=I798,"✓","⚠ "&amp;SUM(J798:N798)&amp;" statt "&amp;I798))</f>
        <v/>
      </c>
      <c r="P798" s="21" t="n"/>
      <c r="Q798" s="21" t="n"/>
      <c r="R798" s="21" t="n"/>
      <c r="S798" s="24" t="n"/>
      <c r="T798" s="24" t="n"/>
      <c r="V798">
        <f>IF(A798="","",MONTH(A798))</f>
        <v/>
      </c>
      <c r="W798">
        <f>N(W797)+IF(AND(C798&lt;&gt;"",T798&lt;&gt;""),IF(C798=WOCHE!$B$3,1,0),0)</f>
        <v/>
      </c>
      <c r="X798">
        <f>N(X797)+IF(AND(V798&lt;&gt;"",T798&lt;&gt;""),IF(V798=MONAT!$AZ$3,1,0),0)</f>
        <v/>
      </c>
    </row>
    <row r="799">
      <c r="A799" s="19" t="n"/>
      <c r="B799" s="20">
        <f>IF(A799="","",CHOOSE(WEEKDAY(A799,2),"Mo","Di","Mi","Do","Fr","Sa","So"))</f>
        <v/>
      </c>
      <c r="C799" s="20">
        <f>IF(A799="","",INT((A799-DATE(YEAR(A799-WEEKDAY(A799-1)+4),1,3)+WEEKDAY(DATE(YEAR(A799-WEEKDAY(A799-1)+4),1,3))+5)/7))</f>
        <v/>
      </c>
      <c r="D799" s="21" t="n"/>
      <c r="E799" s="22" t="n"/>
      <c r="F799" s="23" t="n"/>
      <c r="G799" s="23" t="n"/>
      <c r="H799" s="23" t="n"/>
      <c r="I799" s="20">
        <f>IF(COUNT(F799:H799)=0,"",SUM(F799:H799))</f>
        <v/>
      </c>
      <c r="J799" s="23" t="n"/>
      <c r="K799" s="23" t="n"/>
      <c r="L799" s="23" t="n"/>
      <c r="M799" s="23" t="n"/>
      <c r="N799" s="23" t="n"/>
      <c r="O799" s="20">
        <f>IF(OR(I799="",COUNT(J799:N799)=0),"",IF(SUM(J799:N799)=I799,"✓","⚠ "&amp;SUM(J799:N799)&amp;" statt "&amp;I799))</f>
        <v/>
      </c>
      <c r="P799" s="21" t="n"/>
      <c r="Q799" s="21" t="n"/>
      <c r="R799" s="21" t="n"/>
      <c r="S799" s="24" t="n"/>
      <c r="T799" s="24" t="n"/>
      <c r="V799">
        <f>IF(A799="","",MONTH(A799))</f>
        <v/>
      </c>
      <c r="W799">
        <f>N(W798)+IF(AND(C799&lt;&gt;"",T799&lt;&gt;""),IF(C799=WOCHE!$B$3,1,0),0)</f>
        <v/>
      </c>
      <c r="X799">
        <f>N(X798)+IF(AND(V799&lt;&gt;"",T799&lt;&gt;""),IF(V799=MONAT!$AZ$3,1,0),0)</f>
        <v/>
      </c>
    </row>
    <row r="800">
      <c r="A800" s="19" t="n"/>
      <c r="B800" s="20">
        <f>IF(A800="","",CHOOSE(WEEKDAY(A800,2),"Mo","Di","Mi","Do","Fr","Sa","So"))</f>
        <v/>
      </c>
      <c r="C800" s="20">
        <f>IF(A800="","",INT((A800-DATE(YEAR(A800-WEEKDAY(A800-1)+4),1,3)+WEEKDAY(DATE(YEAR(A800-WEEKDAY(A800-1)+4),1,3))+5)/7))</f>
        <v/>
      </c>
      <c r="D800" s="21" t="n"/>
      <c r="E800" s="22" t="n"/>
      <c r="F800" s="23" t="n"/>
      <c r="G800" s="23" t="n"/>
      <c r="H800" s="23" t="n"/>
      <c r="I800" s="20">
        <f>IF(COUNT(F800:H800)=0,"",SUM(F800:H800))</f>
        <v/>
      </c>
      <c r="J800" s="23" t="n"/>
      <c r="K800" s="23" t="n"/>
      <c r="L800" s="23" t="n"/>
      <c r="M800" s="23" t="n"/>
      <c r="N800" s="23" t="n"/>
      <c r="O800" s="20">
        <f>IF(OR(I800="",COUNT(J800:N800)=0),"",IF(SUM(J800:N800)=I800,"✓","⚠ "&amp;SUM(J800:N800)&amp;" statt "&amp;I800))</f>
        <v/>
      </c>
      <c r="P800" s="21" t="n"/>
      <c r="Q800" s="21" t="n"/>
      <c r="R800" s="21" t="n"/>
      <c r="S800" s="24" t="n"/>
      <c r="T800" s="24" t="n"/>
      <c r="V800">
        <f>IF(A800="","",MONTH(A800))</f>
        <v/>
      </c>
      <c r="W800">
        <f>N(W799)+IF(AND(C800&lt;&gt;"",T800&lt;&gt;""),IF(C800=WOCHE!$B$3,1,0),0)</f>
        <v/>
      </c>
      <c r="X800">
        <f>N(X799)+IF(AND(V800&lt;&gt;"",T800&lt;&gt;""),IF(V800=MONAT!$AZ$3,1,0),0)</f>
        <v/>
      </c>
    </row>
    <row r="801">
      <c r="A801" s="19" t="n"/>
      <c r="B801" s="20">
        <f>IF(A801="","",CHOOSE(WEEKDAY(A801,2),"Mo","Di","Mi","Do","Fr","Sa","So"))</f>
        <v/>
      </c>
      <c r="C801" s="20">
        <f>IF(A801="","",INT((A801-DATE(YEAR(A801-WEEKDAY(A801-1)+4),1,3)+WEEKDAY(DATE(YEAR(A801-WEEKDAY(A801-1)+4),1,3))+5)/7))</f>
        <v/>
      </c>
      <c r="D801" s="21" t="n"/>
      <c r="E801" s="22" t="n"/>
      <c r="F801" s="23" t="n"/>
      <c r="G801" s="23" t="n"/>
      <c r="H801" s="23" t="n"/>
      <c r="I801" s="20">
        <f>IF(COUNT(F801:H801)=0,"",SUM(F801:H801))</f>
        <v/>
      </c>
      <c r="J801" s="23" t="n"/>
      <c r="K801" s="23" t="n"/>
      <c r="L801" s="23" t="n"/>
      <c r="M801" s="23" t="n"/>
      <c r="N801" s="23" t="n"/>
      <c r="O801" s="20">
        <f>IF(OR(I801="",COUNT(J801:N801)=0),"",IF(SUM(J801:N801)=I801,"✓","⚠ "&amp;SUM(J801:N801)&amp;" statt "&amp;I801))</f>
        <v/>
      </c>
      <c r="P801" s="21" t="n"/>
      <c r="Q801" s="21" t="n"/>
      <c r="R801" s="21" t="n"/>
      <c r="S801" s="24" t="n"/>
      <c r="T801" s="24" t="n"/>
      <c r="V801">
        <f>IF(A801="","",MONTH(A801))</f>
        <v/>
      </c>
      <c r="W801">
        <f>N(W800)+IF(AND(C801&lt;&gt;"",T801&lt;&gt;""),IF(C801=WOCHE!$B$3,1,0),0)</f>
        <v/>
      </c>
      <c r="X801">
        <f>N(X800)+IF(AND(V801&lt;&gt;"",T801&lt;&gt;""),IF(V801=MONAT!$AZ$3,1,0),0)</f>
        <v/>
      </c>
    </row>
    <row r="802">
      <c r="A802" s="19" t="n"/>
      <c r="B802" s="20">
        <f>IF(A802="","",CHOOSE(WEEKDAY(A802,2),"Mo","Di","Mi","Do","Fr","Sa","So"))</f>
        <v/>
      </c>
      <c r="C802" s="20">
        <f>IF(A802="","",INT((A802-DATE(YEAR(A802-WEEKDAY(A802-1)+4),1,3)+WEEKDAY(DATE(YEAR(A802-WEEKDAY(A802-1)+4),1,3))+5)/7))</f>
        <v/>
      </c>
      <c r="D802" s="21" t="n"/>
      <c r="E802" s="22" t="n"/>
      <c r="F802" s="23" t="n"/>
      <c r="G802" s="23" t="n"/>
      <c r="H802" s="23" t="n"/>
      <c r="I802" s="20">
        <f>IF(COUNT(F802:H802)=0,"",SUM(F802:H802))</f>
        <v/>
      </c>
      <c r="J802" s="23" t="n"/>
      <c r="K802" s="23" t="n"/>
      <c r="L802" s="23" t="n"/>
      <c r="M802" s="23" t="n"/>
      <c r="N802" s="23" t="n"/>
      <c r="O802" s="20">
        <f>IF(OR(I802="",COUNT(J802:N802)=0),"",IF(SUM(J802:N802)=I802,"✓","⚠ "&amp;SUM(J802:N802)&amp;" statt "&amp;I802))</f>
        <v/>
      </c>
      <c r="P802" s="21" t="n"/>
      <c r="Q802" s="21" t="n"/>
      <c r="R802" s="21" t="n"/>
      <c r="S802" s="24" t="n"/>
      <c r="T802" s="24" t="n"/>
      <c r="V802">
        <f>IF(A802="","",MONTH(A802))</f>
        <v/>
      </c>
      <c r="W802">
        <f>N(W801)+IF(AND(C802&lt;&gt;"",T802&lt;&gt;""),IF(C802=WOCHE!$B$3,1,0),0)</f>
        <v/>
      </c>
      <c r="X802">
        <f>N(X801)+IF(AND(V802&lt;&gt;"",T802&lt;&gt;""),IF(V802=MONAT!$AZ$3,1,0),0)</f>
        <v/>
      </c>
    </row>
    <row r="803">
      <c r="A803" s="19" t="n"/>
      <c r="B803" s="20">
        <f>IF(A803="","",CHOOSE(WEEKDAY(A803,2),"Mo","Di","Mi","Do","Fr","Sa","So"))</f>
        <v/>
      </c>
      <c r="C803" s="20">
        <f>IF(A803="","",INT((A803-DATE(YEAR(A803-WEEKDAY(A803-1)+4),1,3)+WEEKDAY(DATE(YEAR(A803-WEEKDAY(A803-1)+4),1,3))+5)/7))</f>
        <v/>
      </c>
      <c r="D803" s="21" t="n"/>
      <c r="E803" s="22" t="n"/>
      <c r="F803" s="23" t="n"/>
      <c r="G803" s="23" t="n"/>
      <c r="H803" s="23" t="n"/>
      <c r="I803" s="20">
        <f>IF(COUNT(F803:H803)=0,"",SUM(F803:H803))</f>
        <v/>
      </c>
      <c r="J803" s="23" t="n"/>
      <c r="K803" s="23" t="n"/>
      <c r="L803" s="23" t="n"/>
      <c r="M803" s="23" t="n"/>
      <c r="N803" s="23" t="n"/>
      <c r="O803" s="20">
        <f>IF(OR(I803="",COUNT(J803:N803)=0),"",IF(SUM(J803:N803)=I803,"✓","⚠ "&amp;SUM(J803:N803)&amp;" statt "&amp;I803))</f>
        <v/>
      </c>
      <c r="P803" s="21" t="n"/>
      <c r="Q803" s="21" t="n"/>
      <c r="R803" s="21" t="n"/>
      <c r="S803" s="24" t="n"/>
      <c r="T803" s="24" t="n"/>
      <c r="V803">
        <f>IF(A803="","",MONTH(A803))</f>
        <v/>
      </c>
      <c r="W803">
        <f>N(W802)+IF(AND(C803&lt;&gt;"",T803&lt;&gt;""),IF(C803=WOCHE!$B$3,1,0),0)</f>
        <v/>
      </c>
      <c r="X803">
        <f>N(X802)+IF(AND(V803&lt;&gt;"",T803&lt;&gt;""),IF(V803=MONAT!$AZ$3,1,0),0)</f>
        <v/>
      </c>
    </row>
    <row r="804">
      <c r="A804" s="19" t="n"/>
      <c r="B804" s="20">
        <f>IF(A804="","",CHOOSE(WEEKDAY(A804,2),"Mo","Di","Mi","Do","Fr","Sa","So"))</f>
        <v/>
      </c>
      <c r="C804" s="20">
        <f>IF(A804="","",INT((A804-DATE(YEAR(A804-WEEKDAY(A804-1)+4),1,3)+WEEKDAY(DATE(YEAR(A804-WEEKDAY(A804-1)+4),1,3))+5)/7))</f>
        <v/>
      </c>
      <c r="D804" s="21" t="n"/>
      <c r="E804" s="22" t="n"/>
      <c r="F804" s="23" t="n"/>
      <c r="G804" s="23" t="n"/>
      <c r="H804" s="23" t="n"/>
      <c r="I804" s="20">
        <f>IF(COUNT(F804:H804)=0,"",SUM(F804:H804))</f>
        <v/>
      </c>
      <c r="J804" s="23" t="n"/>
      <c r="K804" s="23" t="n"/>
      <c r="L804" s="23" t="n"/>
      <c r="M804" s="23" t="n"/>
      <c r="N804" s="23" t="n"/>
      <c r="O804" s="20">
        <f>IF(OR(I804="",COUNT(J804:N804)=0),"",IF(SUM(J804:N804)=I804,"✓","⚠ "&amp;SUM(J804:N804)&amp;" statt "&amp;I804))</f>
        <v/>
      </c>
      <c r="P804" s="21" t="n"/>
      <c r="Q804" s="21" t="n"/>
      <c r="R804" s="21" t="n"/>
      <c r="S804" s="24" t="n"/>
      <c r="T804" s="24" t="n"/>
      <c r="V804">
        <f>IF(A804="","",MONTH(A804))</f>
        <v/>
      </c>
      <c r="W804">
        <f>N(W803)+IF(AND(C804&lt;&gt;"",T804&lt;&gt;""),IF(C804=WOCHE!$B$3,1,0),0)</f>
        <v/>
      </c>
      <c r="X804">
        <f>N(X803)+IF(AND(V804&lt;&gt;"",T804&lt;&gt;""),IF(V804=MONAT!$AZ$3,1,0),0)</f>
        <v/>
      </c>
    </row>
    <row r="805">
      <c r="A805" s="19" t="n"/>
      <c r="B805" s="20">
        <f>IF(A805="","",CHOOSE(WEEKDAY(A805,2),"Mo","Di","Mi","Do","Fr","Sa","So"))</f>
        <v/>
      </c>
      <c r="C805" s="20">
        <f>IF(A805="","",INT((A805-DATE(YEAR(A805-WEEKDAY(A805-1)+4),1,3)+WEEKDAY(DATE(YEAR(A805-WEEKDAY(A805-1)+4),1,3))+5)/7))</f>
        <v/>
      </c>
      <c r="D805" s="21" t="n"/>
      <c r="E805" s="22" t="n"/>
      <c r="F805" s="23" t="n"/>
      <c r="G805" s="23" t="n"/>
      <c r="H805" s="23" t="n"/>
      <c r="I805" s="20">
        <f>IF(COUNT(F805:H805)=0,"",SUM(F805:H805))</f>
        <v/>
      </c>
      <c r="J805" s="23" t="n"/>
      <c r="K805" s="23" t="n"/>
      <c r="L805" s="23" t="n"/>
      <c r="M805" s="23" t="n"/>
      <c r="N805" s="23" t="n"/>
      <c r="O805" s="20">
        <f>IF(OR(I805="",COUNT(J805:N805)=0),"",IF(SUM(J805:N805)=I805,"✓","⚠ "&amp;SUM(J805:N805)&amp;" statt "&amp;I805))</f>
        <v/>
      </c>
      <c r="P805" s="21" t="n"/>
      <c r="Q805" s="21" t="n"/>
      <c r="R805" s="21" t="n"/>
      <c r="S805" s="24" t="n"/>
      <c r="T805" s="24" t="n"/>
      <c r="V805">
        <f>IF(A805="","",MONTH(A805))</f>
        <v/>
      </c>
      <c r="W805">
        <f>N(W804)+IF(AND(C805&lt;&gt;"",T805&lt;&gt;""),IF(C805=WOCHE!$B$3,1,0),0)</f>
        <v/>
      </c>
      <c r="X805">
        <f>N(X804)+IF(AND(V805&lt;&gt;"",T805&lt;&gt;""),IF(V805=MONAT!$AZ$3,1,0),0)</f>
        <v/>
      </c>
    </row>
    <row r="806">
      <c r="A806" s="19" t="n"/>
      <c r="B806" s="20">
        <f>IF(A806="","",CHOOSE(WEEKDAY(A806,2),"Mo","Di","Mi","Do","Fr","Sa","So"))</f>
        <v/>
      </c>
      <c r="C806" s="20">
        <f>IF(A806="","",INT((A806-DATE(YEAR(A806-WEEKDAY(A806-1)+4),1,3)+WEEKDAY(DATE(YEAR(A806-WEEKDAY(A806-1)+4),1,3))+5)/7))</f>
        <v/>
      </c>
      <c r="D806" s="21" t="n"/>
      <c r="E806" s="22" t="n"/>
      <c r="F806" s="23" t="n"/>
      <c r="G806" s="23" t="n"/>
      <c r="H806" s="23" t="n"/>
      <c r="I806" s="20">
        <f>IF(COUNT(F806:H806)=0,"",SUM(F806:H806))</f>
        <v/>
      </c>
      <c r="J806" s="23" t="n"/>
      <c r="K806" s="23" t="n"/>
      <c r="L806" s="23" t="n"/>
      <c r="M806" s="23" t="n"/>
      <c r="N806" s="23" t="n"/>
      <c r="O806" s="20">
        <f>IF(OR(I806="",COUNT(J806:N806)=0),"",IF(SUM(J806:N806)=I806,"✓","⚠ "&amp;SUM(J806:N806)&amp;" statt "&amp;I806))</f>
        <v/>
      </c>
      <c r="P806" s="21" t="n"/>
      <c r="Q806" s="21" t="n"/>
      <c r="R806" s="21" t="n"/>
      <c r="S806" s="24" t="n"/>
      <c r="T806" s="24" t="n"/>
      <c r="V806">
        <f>IF(A806="","",MONTH(A806))</f>
        <v/>
      </c>
      <c r="W806">
        <f>N(W805)+IF(AND(C806&lt;&gt;"",T806&lt;&gt;""),IF(C806=WOCHE!$B$3,1,0),0)</f>
        <v/>
      </c>
      <c r="X806">
        <f>N(X805)+IF(AND(V806&lt;&gt;"",T806&lt;&gt;""),IF(V806=MONAT!$AZ$3,1,0),0)</f>
        <v/>
      </c>
    </row>
    <row r="807">
      <c r="A807" s="19" t="n"/>
      <c r="B807" s="20">
        <f>IF(A807="","",CHOOSE(WEEKDAY(A807,2),"Mo","Di","Mi","Do","Fr","Sa","So"))</f>
        <v/>
      </c>
      <c r="C807" s="20">
        <f>IF(A807="","",INT((A807-DATE(YEAR(A807-WEEKDAY(A807-1)+4),1,3)+WEEKDAY(DATE(YEAR(A807-WEEKDAY(A807-1)+4),1,3))+5)/7))</f>
        <v/>
      </c>
      <c r="D807" s="21" t="n"/>
      <c r="E807" s="22" t="n"/>
      <c r="F807" s="23" t="n"/>
      <c r="G807" s="23" t="n"/>
      <c r="H807" s="23" t="n"/>
      <c r="I807" s="20">
        <f>IF(COUNT(F807:H807)=0,"",SUM(F807:H807))</f>
        <v/>
      </c>
      <c r="J807" s="23" t="n"/>
      <c r="K807" s="23" t="n"/>
      <c r="L807" s="23" t="n"/>
      <c r="M807" s="23" t="n"/>
      <c r="N807" s="23" t="n"/>
      <c r="O807" s="20">
        <f>IF(OR(I807="",COUNT(J807:N807)=0),"",IF(SUM(J807:N807)=I807,"✓","⚠ "&amp;SUM(J807:N807)&amp;" statt "&amp;I807))</f>
        <v/>
      </c>
      <c r="P807" s="21" t="n"/>
      <c r="Q807" s="21" t="n"/>
      <c r="R807" s="21" t="n"/>
      <c r="S807" s="24" t="n"/>
      <c r="T807" s="24" t="n"/>
      <c r="V807">
        <f>IF(A807="","",MONTH(A807))</f>
        <v/>
      </c>
      <c r="W807">
        <f>N(W806)+IF(AND(C807&lt;&gt;"",T807&lt;&gt;""),IF(C807=WOCHE!$B$3,1,0),0)</f>
        <v/>
      </c>
      <c r="X807">
        <f>N(X806)+IF(AND(V807&lt;&gt;"",T807&lt;&gt;""),IF(V807=MONAT!$AZ$3,1,0),0)</f>
        <v/>
      </c>
    </row>
    <row r="808">
      <c r="A808" s="19" t="n"/>
      <c r="B808" s="20">
        <f>IF(A808="","",CHOOSE(WEEKDAY(A808,2),"Mo","Di","Mi","Do","Fr","Sa","So"))</f>
        <v/>
      </c>
      <c r="C808" s="20">
        <f>IF(A808="","",INT((A808-DATE(YEAR(A808-WEEKDAY(A808-1)+4),1,3)+WEEKDAY(DATE(YEAR(A808-WEEKDAY(A808-1)+4),1,3))+5)/7))</f>
        <v/>
      </c>
      <c r="D808" s="21" t="n"/>
      <c r="E808" s="22" t="n"/>
      <c r="F808" s="23" t="n"/>
      <c r="G808" s="23" t="n"/>
      <c r="H808" s="23" t="n"/>
      <c r="I808" s="20">
        <f>IF(COUNT(F808:H808)=0,"",SUM(F808:H808))</f>
        <v/>
      </c>
      <c r="J808" s="23" t="n"/>
      <c r="K808" s="23" t="n"/>
      <c r="L808" s="23" t="n"/>
      <c r="M808" s="23" t="n"/>
      <c r="N808" s="23" t="n"/>
      <c r="O808" s="20">
        <f>IF(OR(I808="",COUNT(J808:N808)=0),"",IF(SUM(J808:N808)=I808,"✓","⚠ "&amp;SUM(J808:N808)&amp;" statt "&amp;I808))</f>
        <v/>
      </c>
      <c r="P808" s="21" t="n"/>
      <c r="Q808" s="21" t="n"/>
      <c r="R808" s="21" t="n"/>
      <c r="S808" s="24" t="n"/>
      <c r="T808" s="24" t="n"/>
      <c r="V808">
        <f>IF(A808="","",MONTH(A808))</f>
        <v/>
      </c>
      <c r="W808">
        <f>N(W807)+IF(AND(C808&lt;&gt;"",T808&lt;&gt;""),IF(C808=WOCHE!$B$3,1,0),0)</f>
        <v/>
      </c>
      <c r="X808">
        <f>N(X807)+IF(AND(V808&lt;&gt;"",T808&lt;&gt;""),IF(V808=MONAT!$AZ$3,1,0),0)</f>
        <v/>
      </c>
    </row>
    <row r="809">
      <c r="A809" s="19" t="n"/>
      <c r="B809" s="20">
        <f>IF(A809="","",CHOOSE(WEEKDAY(A809,2),"Mo","Di","Mi","Do","Fr","Sa","So"))</f>
        <v/>
      </c>
      <c r="C809" s="20">
        <f>IF(A809="","",INT((A809-DATE(YEAR(A809-WEEKDAY(A809-1)+4),1,3)+WEEKDAY(DATE(YEAR(A809-WEEKDAY(A809-1)+4),1,3))+5)/7))</f>
        <v/>
      </c>
      <c r="D809" s="21" t="n"/>
      <c r="E809" s="22" t="n"/>
      <c r="F809" s="23" t="n"/>
      <c r="G809" s="23" t="n"/>
      <c r="H809" s="23" t="n"/>
      <c r="I809" s="20">
        <f>IF(COUNT(F809:H809)=0,"",SUM(F809:H809))</f>
        <v/>
      </c>
      <c r="J809" s="23" t="n"/>
      <c r="K809" s="23" t="n"/>
      <c r="L809" s="23" t="n"/>
      <c r="M809" s="23" t="n"/>
      <c r="N809" s="23" t="n"/>
      <c r="O809" s="20">
        <f>IF(OR(I809="",COUNT(J809:N809)=0),"",IF(SUM(J809:N809)=I809,"✓","⚠ "&amp;SUM(J809:N809)&amp;" statt "&amp;I809))</f>
        <v/>
      </c>
      <c r="P809" s="21" t="n"/>
      <c r="Q809" s="21" t="n"/>
      <c r="R809" s="21" t="n"/>
      <c r="S809" s="24" t="n"/>
      <c r="T809" s="24" t="n"/>
      <c r="V809">
        <f>IF(A809="","",MONTH(A809))</f>
        <v/>
      </c>
      <c r="W809">
        <f>N(W808)+IF(AND(C809&lt;&gt;"",T809&lt;&gt;""),IF(C809=WOCHE!$B$3,1,0),0)</f>
        <v/>
      </c>
      <c r="X809">
        <f>N(X808)+IF(AND(V809&lt;&gt;"",T809&lt;&gt;""),IF(V809=MONAT!$AZ$3,1,0),0)</f>
        <v/>
      </c>
    </row>
    <row r="810">
      <c r="A810" s="19" t="n"/>
      <c r="B810" s="20">
        <f>IF(A810="","",CHOOSE(WEEKDAY(A810,2),"Mo","Di","Mi","Do","Fr","Sa","So"))</f>
        <v/>
      </c>
      <c r="C810" s="20">
        <f>IF(A810="","",INT((A810-DATE(YEAR(A810-WEEKDAY(A810-1)+4),1,3)+WEEKDAY(DATE(YEAR(A810-WEEKDAY(A810-1)+4),1,3))+5)/7))</f>
        <v/>
      </c>
      <c r="D810" s="21" t="n"/>
      <c r="E810" s="22" t="n"/>
      <c r="F810" s="23" t="n"/>
      <c r="G810" s="23" t="n"/>
      <c r="H810" s="23" t="n"/>
      <c r="I810" s="20">
        <f>IF(COUNT(F810:H810)=0,"",SUM(F810:H810))</f>
        <v/>
      </c>
      <c r="J810" s="23" t="n"/>
      <c r="K810" s="23" t="n"/>
      <c r="L810" s="23" t="n"/>
      <c r="M810" s="23" t="n"/>
      <c r="N810" s="23" t="n"/>
      <c r="O810" s="20">
        <f>IF(OR(I810="",COUNT(J810:N810)=0),"",IF(SUM(J810:N810)=I810,"✓","⚠ "&amp;SUM(J810:N810)&amp;" statt "&amp;I810))</f>
        <v/>
      </c>
      <c r="P810" s="21" t="n"/>
      <c r="Q810" s="21" t="n"/>
      <c r="R810" s="21" t="n"/>
      <c r="S810" s="24" t="n"/>
      <c r="T810" s="24" t="n"/>
      <c r="V810">
        <f>IF(A810="","",MONTH(A810))</f>
        <v/>
      </c>
      <c r="W810">
        <f>N(W809)+IF(AND(C810&lt;&gt;"",T810&lt;&gt;""),IF(C810=WOCHE!$B$3,1,0),0)</f>
        <v/>
      </c>
      <c r="X810">
        <f>N(X809)+IF(AND(V810&lt;&gt;"",T810&lt;&gt;""),IF(V810=MONAT!$AZ$3,1,0),0)</f>
        <v/>
      </c>
    </row>
    <row r="811">
      <c r="A811" s="19" t="n"/>
      <c r="B811" s="20">
        <f>IF(A811="","",CHOOSE(WEEKDAY(A811,2),"Mo","Di","Mi","Do","Fr","Sa","So"))</f>
        <v/>
      </c>
      <c r="C811" s="20">
        <f>IF(A811="","",INT((A811-DATE(YEAR(A811-WEEKDAY(A811-1)+4),1,3)+WEEKDAY(DATE(YEAR(A811-WEEKDAY(A811-1)+4),1,3))+5)/7))</f>
        <v/>
      </c>
      <c r="D811" s="21" t="n"/>
      <c r="E811" s="22" t="n"/>
      <c r="F811" s="23" t="n"/>
      <c r="G811" s="23" t="n"/>
      <c r="H811" s="23" t="n"/>
      <c r="I811" s="20">
        <f>IF(COUNT(F811:H811)=0,"",SUM(F811:H811))</f>
        <v/>
      </c>
      <c r="J811" s="23" t="n"/>
      <c r="K811" s="23" t="n"/>
      <c r="L811" s="23" t="n"/>
      <c r="M811" s="23" t="n"/>
      <c r="N811" s="23" t="n"/>
      <c r="O811" s="20">
        <f>IF(OR(I811="",COUNT(J811:N811)=0),"",IF(SUM(J811:N811)=I811,"✓","⚠ "&amp;SUM(J811:N811)&amp;" statt "&amp;I811))</f>
        <v/>
      </c>
      <c r="P811" s="21" t="n"/>
      <c r="Q811" s="21" t="n"/>
      <c r="R811" s="21" t="n"/>
      <c r="S811" s="24" t="n"/>
      <c r="T811" s="24" t="n"/>
      <c r="V811">
        <f>IF(A811="","",MONTH(A811))</f>
        <v/>
      </c>
      <c r="W811">
        <f>N(W810)+IF(AND(C811&lt;&gt;"",T811&lt;&gt;""),IF(C811=WOCHE!$B$3,1,0),0)</f>
        <v/>
      </c>
      <c r="X811">
        <f>N(X810)+IF(AND(V811&lt;&gt;"",T811&lt;&gt;""),IF(V811=MONAT!$AZ$3,1,0),0)</f>
        <v/>
      </c>
    </row>
    <row r="812">
      <c r="A812" s="19" t="n"/>
      <c r="B812" s="20">
        <f>IF(A812="","",CHOOSE(WEEKDAY(A812,2),"Mo","Di","Mi","Do","Fr","Sa","So"))</f>
        <v/>
      </c>
      <c r="C812" s="20">
        <f>IF(A812="","",INT((A812-DATE(YEAR(A812-WEEKDAY(A812-1)+4),1,3)+WEEKDAY(DATE(YEAR(A812-WEEKDAY(A812-1)+4),1,3))+5)/7))</f>
        <v/>
      </c>
      <c r="D812" s="21" t="n"/>
      <c r="E812" s="22" t="n"/>
      <c r="F812" s="23" t="n"/>
      <c r="G812" s="23" t="n"/>
      <c r="H812" s="23" t="n"/>
      <c r="I812" s="20">
        <f>IF(COUNT(F812:H812)=0,"",SUM(F812:H812))</f>
        <v/>
      </c>
      <c r="J812" s="23" t="n"/>
      <c r="K812" s="23" t="n"/>
      <c r="L812" s="23" t="n"/>
      <c r="M812" s="23" t="n"/>
      <c r="N812" s="23" t="n"/>
      <c r="O812" s="20">
        <f>IF(OR(I812="",COUNT(J812:N812)=0),"",IF(SUM(J812:N812)=I812,"✓","⚠ "&amp;SUM(J812:N812)&amp;" statt "&amp;I812))</f>
        <v/>
      </c>
      <c r="P812" s="21" t="n"/>
      <c r="Q812" s="21" t="n"/>
      <c r="R812" s="21" t="n"/>
      <c r="S812" s="24" t="n"/>
      <c r="T812" s="24" t="n"/>
      <c r="V812">
        <f>IF(A812="","",MONTH(A812))</f>
        <v/>
      </c>
      <c r="W812">
        <f>N(W811)+IF(AND(C812&lt;&gt;"",T812&lt;&gt;""),IF(C812=WOCHE!$B$3,1,0),0)</f>
        <v/>
      </c>
      <c r="X812">
        <f>N(X811)+IF(AND(V812&lt;&gt;"",T812&lt;&gt;""),IF(V812=MONAT!$AZ$3,1,0),0)</f>
        <v/>
      </c>
    </row>
    <row r="813">
      <c r="A813" s="19" t="n"/>
      <c r="B813" s="20">
        <f>IF(A813="","",CHOOSE(WEEKDAY(A813,2),"Mo","Di","Mi","Do","Fr","Sa","So"))</f>
        <v/>
      </c>
      <c r="C813" s="20">
        <f>IF(A813="","",INT((A813-DATE(YEAR(A813-WEEKDAY(A813-1)+4),1,3)+WEEKDAY(DATE(YEAR(A813-WEEKDAY(A813-1)+4),1,3))+5)/7))</f>
        <v/>
      </c>
      <c r="D813" s="21" t="n"/>
      <c r="E813" s="22" t="n"/>
      <c r="F813" s="23" t="n"/>
      <c r="G813" s="23" t="n"/>
      <c r="H813" s="23" t="n"/>
      <c r="I813" s="20">
        <f>IF(COUNT(F813:H813)=0,"",SUM(F813:H813))</f>
        <v/>
      </c>
      <c r="J813" s="23" t="n"/>
      <c r="K813" s="23" t="n"/>
      <c r="L813" s="23" t="n"/>
      <c r="M813" s="23" t="n"/>
      <c r="N813" s="23" t="n"/>
      <c r="O813" s="20">
        <f>IF(OR(I813="",COUNT(J813:N813)=0),"",IF(SUM(J813:N813)=I813,"✓","⚠ "&amp;SUM(J813:N813)&amp;" statt "&amp;I813))</f>
        <v/>
      </c>
      <c r="P813" s="21" t="n"/>
      <c r="Q813" s="21" t="n"/>
      <c r="R813" s="21" t="n"/>
      <c r="S813" s="24" t="n"/>
      <c r="T813" s="24" t="n"/>
      <c r="V813">
        <f>IF(A813="","",MONTH(A813))</f>
        <v/>
      </c>
      <c r="W813">
        <f>N(W812)+IF(AND(C813&lt;&gt;"",T813&lt;&gt;""),IF(C813=WOCHE!$B$3,1,0),0)</f>
        <v/>
      </c>
      <c r="X813">
        <f>N(X812)+IF(AND(V813&lt;&gt;"",T813&lt;&gt;""),IF(V813=MONAT!$AZ$3,1,0),0)</f>
        <v/>
      </c>
    </row>
    <row r="814">
      <c r="A814" s="19" t="n"/>
      <c r="B814" s="20">
        <f>IF(A814="","",CHOOSE(WEEKDAY(A814,2),"Mo","Di","Mi","Do","Fr","Sa","So"))</f>
        <v/>
      </c>
      <c r="C814" s="20">
        <f>IF(A814="","",INT((A814-DATE(YEAR(A814-WEEKDAY(A814-1)+4),1,3)+WEEKDAY(DATE(YEAR(A814-WEEKDAY(A814-1)+4),1,3))+5)/7))</f>
        <v/>
      </c>
      <c r="D814" s="21" t="n"/>
      <c r="E814" s="22" t="n"/>
      <c r="F814" s="23" t="n"/>
      <c r="G814" s="23" t="n"/>
      <c r="H814" s="23" t="n"/>
      <c r="I814" s="20">
        <f>IF(COUNT(F814:H814)=0,"",SUM(F814:H814))</f>
        <v/>
      </c>
      <c r="J814" s="23" t="n"/>
      <c r="K814" s="23" t="n"/>
      <c r="L814" s="23" t="n"/>
      <c r="M814" s="23" t="n"/>
      <c r="N814" s="23" t="n"/>
      <c r="O814" s="20">
        <f>IF(OR(I814="",COUNT(J814:N814)=0),"",IF(SUM(J814:N814)=I814,"✓","⚠ "&amp;SUM(J814:N814)&amp;" statt "&amp;I814))</f>
        <v/>
      </c>
      <c r="P814" s="21" t="n"/>
      <c r="Q814" s="21" t="n"/>
      <c r="R814" s="21" t="n"/>
      <c r="S814" s="24" t="n"/>
      <c r="T814" s="24" t="n"/>
      <c r="V814">
        <f>IF(A814="","",MONTH(A814))</f>
        <v/>
      </c>
      <c r="W814">
        <f>N(W813)+IF(AND(C814&lt;&gt;"",T814&lt;&gt;""),IF(C814=WOCHE!$B$3,1,0),0)</f>
        <v/>
      </c>
      <c r="X814">
        <f>N(X813)+IF(AND(V814&lt;&gt;"",T814&lt;&gt;""),IF(V814=MONAT!$AZ$3,1,0),0)</f>
        <v/>
      </c>
    </row>
    <row r="815">
      <c r="A815" s="19" t="n"/>
      <c r="B815" s="20">
        <f>IF(A815="","",CHOOSE(WEEKDAY(A815,2),"Mo","Di","Mi","Do","Fr","Sa","So"))</f>
        <v/>
      </c>
      <c r="C815" s="20">
        <f>IF(A815="","",INT((A815-DATE(YEAR(A815-WEEKDAY(A815-1)+4),1,3)+WEEKDAY(DATE(YEAR(A815-WEEKDAY(A815-1)+4),1,3))+5)/7))</f>
        <v/>
      </c>
      <c r="D815" s="21" t="n"/>
      <c r="E815" s="22" t="n"/>
      <c r="F815" s="23" t="n"/>
      <c r="G815" s="23" t="n"/>
      <c r="H815" s="23" t="n"/>
      <c r="I815" s="20">
        <f>IF(COUNT(F815:H815)=0,"",SUM(F815:H815))</f>
        <v/>
      </c>
      <c r="J815" s="23" t="n"/>
      <c r="K815" s="23" t="n"/>
      <c r="L815" s="23" t="n"/>
      <c r="M815" s="23" t="n"/>
      <c r="N815" s="23" t="n"/>
      <c r="O815" s="20">
        <f>IF(OR(I815="",COUNT(J815:N815)=0),"",IF(SUM(J815:N815)=I815,"✓","⚠ "&amp;SUM(J815:N815)&amp;" statt "&amp;I815))</f>
        <v/>
      </c>
      <c r="P815" s="21" t="n"/>
      <c r="Q815" s="21" t="n"/>
      <c r="R815" s="21" t="n"/>
      <c r="S815" s="24" t="n"/>
      <c r="T815" s="24" t="n"/>
      <c r="V815">
        <f>IF(A815="","",MONTH(A815))</f>
        <v/>
      </c>
      <c r="W815">
        <f>N(W814)+IF(AND(C815&lt;&gt;"",T815&lt;&gt;""),IF(C815=WOCHE!$B$3,1,0),0)</f>
        <v/>
      </c>
      <c r="X815">
        <f>N(X814)+IF(AND(V815&lt;&gt;"",T815&lt;&gt;""),IF(V815=MONAT!$AZ$3,1,0),0)</f>
        <v/>
      </c>
    </row>
    <row r="816">
      <c r="A816" s="19" t="n"/>
      <c r="B816" s="20">
        <f>IF(A816="","",CHOOSE(WEEKDAY(A816,2),"Mo","Di","Mi","Do","Fr","Sa","So"))</f>
        <v/>
      </c>
      <c r="C816" s="20">
        <f>IF(A816="","",INT((A816-DATE(YEAR(A816-WEEKDAY(A816-1)+4),1,3)+WEEKDAY(DATE(YEAR(A816-WEEKDAY(A816-1)+4),1,3))+5)/7))</f>
        <v/>
      </c>
      <c r="D816" s="21" t="n"/>
      <c r="E816" s="22" t="n"/>
      <c r="F816" s="23" t="n"/>
      <c r="G816" s="23" t="n"/>
      <c r="H816" s="23" t="n"/>
      <c r="I816" s="20">
        <f>IF(COUNT(F816:H816)=0,"",SUM(F816:H816))</f>
        <v/>
      </c>
      <c r="J816" s="23" t="n"/>
      <c r="K816" s="23" t="n"/>
      <c r="L816" s="23" t="n"/>
      <c r="M816" s="23" t="n"/>
      <c r="N816" s="23" t="n"/>
      <c r="O816" s="20">
        <f>IF(OR(I816="",COUNT(J816:N816)=0),"",IF(SUM(J816:N816)=I816,"✓","⚠ "&amp;SUM(J816:N816)&amp;" statt "&amp;I816))</f>
        <v/>
      </c>
      <c r="P816" s="21" t="n"/>
      <c r="Q816" s="21" t="n"/>
      <c r="R816" s="21" t="n"/>
      <c r="S816" s="24" t="n"/>
      <c r="T816" s="24" t="n"/>
      <c r="V816">
        <f>IF(A816="","",MONTH(A816))</f>
        <v/>
      </c>
      <c r="W816">
        <f>N(W815)+IF(AND(C816&lt;&gt;"",T816&lt;&gt;""),IF(C816=WOCHE!$B$3,1,0),0)</f>
        <v/>
      </c>
      <c r="X816">
        <f>N(X815)+IF(AND(V816&lt;&gt;"",T816&lt;&gt;""),IF(V816=MONAT!$AZ$3,1,0),0)</f>
        <v/>
      </c>
    </row>
    <row r="817">
      <c r="A817" s="19" t="n"/>
      <c r="B817" s="20">
        <f>IF(A817="","",CHOOSE(WEEKDAY(A817,2),"Mo","Di","Mi","Do","Fr","Sa","So"))</f>
        <v/>
      </c>
      <c r="C817" s="20">
        <f>IF(A817="","",INT((A817-DATE(YEAR(A817-WEEKDAY(A817-1)+4),1,3)+WEEKDAY(DATE(YEAR(A817-WEEKDAY(A817-1)+4),1,3))+5)/7))</f>
        <v/>
      </c>
      <c r="D817" s="21" t="n"/>
      <c r="E817" s="22" t="n"/>
      <c r="F817" s="23" t="n"/>
      <c r="G817" s="23" t="n"/>
      <c r="H817" s="23" t="n"/>
      <c r="I817" s="20">
        <f>IF(COUNT(F817:H817)=0,"",SUM(F817:H817))</f>
        <v/>
      </c>
      <c r="J817" s="23" t="n"/>
      <c r="K817" s="23" t="n"/>
      <c r="L817" s="23" t="n"/>
      <c r="M817" s="23" t="n"/>
      <c r="N817" s="23" t="n"/>
      <c r="O817" s="20">
        <f>IF(OR(I817="",COUNT(J817:N817)=0),"",IF(SUM(J817:N817)=I817,"✓","⚠ "&amp;SUM(J817:N817)&amp;" statt "&amp;I817))</f>
        <v/>
      </c>
      <c r="P817" s="21" t="n"/>
      <c r="Q817" s="21" t="n"/>
      <c r="R817" s="21" t="n"/>
      <c r="S817" s="24" t="n"/>
      <c r="T817" s="24" t="n"/>
      <c r="V817">
        <f>IF(A817="","",MONTH(A817))</f>
        <v/>
      </c>
      <c r="W817">
        <f>N(W816)+IF(AND(C817&lt;&gt;"",T817&lt;&gt;""),IF(C817=WOCHE!$B$3,1,0),0)</f>
        <v/>
      </c>
      <c r="X817">
        <f>N(X816)+IF(AND(V817&lt;&gt;"",T817&lt;&gt;""),IF(V817=MONAT!$AZ$3,1,0),0)</f>
        <v/>
      </c>
    </row>
    <row r="818">
      <c r="A818" s="19" t="n"/>
      <c r="B818" s="20">
        <f>IF(A818="","",CHOOSE(WEEKDAY(A818,2),"Mo","Di","Mi","Do","Fr","Sa","So"))</f>
        <v/>
      </c>
      <c r="C818" s="20">
        <f>IF(A818="","",INT((A818-DATE(YEAR(A818-WEEKDAY(A818-1)+4),1,3)+WEEKDAY(DATE(YEAR(A818-WEEKDAY(A818-1)+4),1,3))+5)/7))</f>
        <v/>
      </c>
      <c r="D818" s="21" t="n"/>
      <c r="E818" s="22" t="n"/>
      <c r="F818" s="23" t="n"/>
      <c r="G818" s="23" t="n"/>
      <c r="H818" s="23" t="n"/>
      <c r="I818" s="20">
        <f>IF(COUNT(F818:H818)=0,"",SUM(F818:H818))</f>
        <v/>
      </c>
      <c r="J818" s="23" t="n"/>
      <c r="K818" s="23" t="n"/>
      <c r="L818" s="23" t="n"/>
      <c r="M818" s="23" t="n"/>
      <c r="N818" s="23" t="n"/>
      <c r="O818" s="20">
        <f>IF(OR(I818="",COUNT(J818:N818)=0),"",IF(SUM(J818:N818)=I818,"✓","⚠ "&amp;SUM(J818:N818)&amp;" statt "&amp;I818))</f>
        <v/>
      </c>
      <c r="P818" s="21" t="n"/>
      <c r="Q818" s="21" t="n"/>
      <c r="R818" s="21" t="n"/>
      <c r="S818" s="24" t="n"/>
      <c r="T818" s="24" t="n"/>
      <c r="V818">
        <f>IF(A818="","",MONTH(A818))</f>
        <v/>
      </c>
      <c r="W818">
        <f>N(W817)+IF(AND(C818&lt;&gt;"",T818&lt;&gt;""),IF(C818=WOCHE!$B$3,1,0),0)</f>
        <v/>
      </c>
      <c r="X818">
        <f>N(X817)+IF(AND(V818&lt;&gt;"",T818&lt;&gt;""),IF(V818=MONAT!$AZ$3,1,0),0)</f>
        <v/>
      </c>
    </row>
    <row r="819">
      <c r="A819" s="19" t="n"/>
      <c r="B819" s="20">
        <f>IF(A819="","",CHOOSE(WEEKDAY(A819,2),"Mo","Di","Mi","Do","Fr","Sa","So"))</f>
        <v/>
      </c>
      <c r="C819" s="20">
        <f>IF(A819="","",INT((A819-DATE(YEAR(A819-WEEKDAY(A819-1)+4),1,3)+WEEKDAY(DATE(YEAR(A819-WEEKDAY(A819-1)+4),1,3))+5)/7))</f>
        <v/>
      </c>
      <c r="D819" s="21" t="n"/>
      <c r="E819" s="22" t="n"/>
      <c r="F819" s="23" t="n"/>
      <c r="G819" s="23" t="n"/>
      <c r="H819" s="23" t="n"/>
      <c r="I819" s="20">
        <f>IF(COUNT(F819:H819)=0,"",SUM(F819:H819))</f>
        <v/>
      </c>
      <c r="J819" s="23" t="n"/>
      <c r="K819" s="23" t="n"/>
      <c r="L819" s="23" t="n"/>
      <c r="M819" s="23" t="n"/>
      <c r="N819" s="23" t="n"/>
      <c r="O819" s="20">
        <f>IF(OR(I819="",COUNT(J819:N819)=0),"",IF(SUM(J819:N819)=I819,"✓","⚠ "&amp;SUM(J819:N819)&amp;" statt "&amp;I819))</f>
        <v/>
      </c>
      <c r="P819" s="21" t="n"/>
      <c r="Q819" s="21" t="n"/>
      <c r="R819" s="21" t="n"/>
      <c r="S819" s="24" t="n"/>
      <c r="T819" s="24" t="n"/>
      <c r="V819">
        <f>IF(A819="","",MONTH(A819))</f>
        <v/>
      </c>
      <c r="W819">
        <f>N(W818)+IF(AND(C819&lt;&gt;"",T819&lt;&gt;""),IF(C819=WOCHE!$B$3,1,0),0)</f>
        <v/>
      </c>
      <c r="X819">
        <f>N(X818)+IF(AND(V819&lt;&gt;"",T819&lt;&gt;""),IF(V819=MONAT!$AZ$3,1,0),0)</f>
        <v/>
      </c>
    </row>
    <row r="820">
      <c r="A820" s="19" t="n"/>
      <c r="B820" s="20">
        <f>IF(A820="","",CHOOSE(WEEKDAY(A820,2),"Mo","Di","Mi","Do","Fr","Sa","So"))</f>
        <v/>
      </c>
      <c r="C820" s="20">
        <f>IF(A820="","",INT((A820-DATE(YEAR(A820-WEEKDAY(A820-1)+4),1,3)+WEEKDAY(DATE(YEAR(A820-WEEKDAY(A820-1)+4),1,3))+5)/7))</f>
        <v/>
      </c>
      <c r="D820" s="21" t="n"/>
      <c r="E820" s="22" t="n"/>
      <c r="F820" s="23" t="n"/>
      <c r="G820" s="23" t="n"/>
      <c r="H820" s="23" t="n"/>
      <c r="I820" s="20">
        <f>IF(COUNT(F820:H820)=0,"",SUM(F820:H820))</f>
        <v/>
      </c>
      <c r="J820" s="23" t="n"/>
      <c r="K820" s="23" t="n"/>
      <c r="L820" s="23" t="n"/>
      <c r="M820" s="23" t="n"/>
      <c r="N820" s="23" t="n"/>
      <c r="O820" s="20">
        <f>IF(OR(I820="",COUNT(J820:N820)=0),"",IF(SUM(J820:N820)=I820,"✓","⚠ "&amp;SUM(J820:N820)&amp;" statt "&amp;I820))</f>
        <v/>
      </c>
      <c r="P820" s="21" t="n"/>
      <c r="Q820" s="21" t="n"/>
      <c r="R820" s="21" t="n"/>
      <c r="S820" s="24" t="n"/>
      <c r="T820" s="24" t="n"/>
      <c r="V820">
        <f>IF(A820="","",MONTH(A820))</f>
        <v/>
      </c>
      <c r="W820">
        <f>N(W819)+IF(AND(C820&lt;&gt;"",T820&lt;&gt;""),IF(C820=WOCHE!$B$3,1,0),0)</f>
        <v/>
      </c>
      <c r="X820">
        <f>N(X819)+IF(AND(V820&lt;&gt;"",T820&lt;&gt;""),IF(V820=MONAT!$AZ$3,1,0),0)</f>
        <v/>
      </c>
    </row>
    <row r="821">
      <c r="A821" s="19" t="n"/>
      <c r="B821" s="20">
        <f>IF(A821="","",CHOOSE(WEEKDAY(A821,2),"Mo","Di","Mi","Do","Fr","Sa","So"))</f>
        <v/>
      </c>
      <c r="C821" s="20">
        <f>IF(A821="","",INT((A821-DATE(YEAR(A821-WEEKDAY(A821-1)+4),1,3)+WEEKDAY(DATE(YEAR(A821-WEEKDAY(A821-1)+4),1,3))+5)/7))</f>
        <v/>
      </c>
      <c r="D821" s="21" t="n"/>
      <c r="E821" s="22" t="n"/>
      <c r="F821" s="23" t="n"/>
      <c r="G821" s="23" t="n"/>
      <c r="H821" s="23" t="n"/>
      <c r="I821" s="20">
        <f>IF(COUNT(F821:H821)=0,"",SUM(F821:H821))</f>
        <v/>
      </c>
      <c r="J821" s="23" t="n"/>
      <c r="K821" s="23" t="n"/>
      <c r="L821" s="23" t="n"/>
      <c r="M821" s="23" t="n"/>
      <c r="N821" s="23" t="n"/>
      <c r="O821" s="20">
        <f>IF(OR(I821="",COUNT(J821:N821)=0),"",IF(SUM(J821:N821)=I821,"✓","⚠ "&amp;SUM(J821:N821)&amp;" statt "&amp;I821))</f>
        <v/>
      </c>
      <c r="P821" s="21" t="n"/>
      <c r="Q821" s="21" t="n"/>
      <c r="R821" s="21" t="n"/>
      <c r="S821" s="24" t="n"/>
      <c r="T821" s="24" t="n"/>
      <c r="V821">
        <f>IF(A821="","",MONTH(A821))</f>
        <v/>
      </c>
      <c r="W821">
        <f>N(W820)+IF(AND(C821&lt;&gt;"",T821&lt;&gt;""),IF(C821=WOCHE!$B$3,1,0),0)</f>
        <v/>
      </c>
      <c r="X821">
        <f>N(X820)+IF(AND(V821&lt;&gt;"",T821&lt;&gt;""),IF(V821=MONAT!$AZ$3,1,0),0)</f>
        <v/>
      </c>
    </row>
    <row r="822">
      <c r="A822" s="19" t="n"/>
      <c r="B822" s="20">
        <f>IF(A822="","",CHOOSE(WEEKDAY(A822,2),"Mo","Di","Mi","Do","Fr","Sa","So"))</f>
        <v/>
      </c>
      <c r="C822" s="20">
        <f>IF(A822="","",INT((A822-DATE(YEAR(A822-WEEKDAY(A822-1)+4),1,3)+WEEKDAY(DATE(YEAR(A822-WEEKDAY(A822-1)+4),1,3))+5)/7))</f>
        <v/>
      </c>
      <c r="D822" s="21" t="n"/>
      <c r="E822" s="22" t="n"/>
      <c r="F822" s="23" t="n"/>
      <c r="G822" s="23" t="n"/>
      <c r="H822" s="23" t="n"/>
      <c r="I822" s="20">
        <f>IF(COUNT(F822:H822)=0,"",SUM(F822:H822))</f>
        <v/>
      </c>
      <c r="J822" s="23" t="n"/>
      <c r="K822" s="23" t="n"/>
      <c r="L822" s="23" t="n"/>
      <c r="M822" s="23" t="n"/>
      <c r="N822" s="23" t="n"/>
      <c r="O822" s="20">
        <f>IF(OR(I822="",COUNT(J822:N822)=0),"",IF(SUM(J822:N822)=I822,"✓","⚠ "&amp;SUM(J822:N822)&amp;" statt "&amp;I822))</f>
        <v/>
      </c>
      <c r="P822" s="21" t="n"/>
      <c r="Q822" s="21" t="n"/>
      <c r="R822" s="21" t="n"/>
      <c r="S822" s="24" t="n"/>
      <c r="T822" s="24" t="n"/>
      <c r="V822">
        <f>IF(A822="","",MONTH(A822))</f>
        <v/>
      </c>
      <c r="W822">
        <f>N(W821)+IF(AND(C822&lt;&gt;"",T822&lt;&gt;""),IF(C822=WOCHE!$B$3,1,0),0)</f>
        <v/>
      </c>
      <c r="X822">
        <f>N(X821)+IF(AND(V822&lt;&gt;"",T822&lt;&gt;""),IF(V822=MONAT!$AZ$3,1,0),0)</f>
        <v/>
      </c>
    </row>
    <row r="823">
      <c r="A823" s="19" t="n"/>
      <c r="B823" s="20">
        <f>IF(A823="","",CHOOSE(WEEKDAY(A823,2),"Mo","Di","Mi","Do","Fr","Sa","So"))</f>
        <v/>
      </c>
      <c r="C823" s="20">
        <f>IF(A823="","",INT((A823-DATE(YEAR(A823-WEEKDAY(A823-1)+4),1,3)+WEEKDAY(DATE(YEAR(A823-WEEKDAY(A823-1)+4),1,3))+5)/7))</f>
        <v/>
      </c>
      <c r="D823" s="21" t="n"/>
      <c r="E823" s="22" t="n"/>
      <c r="F823" s="23" t="n"/>
      <c r="G823" s="23" t="n"/>
      <c r="H823" s="23" t="n"/>
      <c r="I823" s="20">
        <f>IF(COUNT(F823:H823)=0,"",SUM(F823:H823))</f>
        <v/>
      </c>
      <c r="J823" s="23" t="n"/>
      <c r="K823" s="23" t="n"/>
      <c r="L823" s="23" t="n"/>
      <c r="M823" s="23" t="n"/>
      <c r="N823" s="23" t="n"/>
      <c r="O823" s="20">
        <f>IF(OR(I823="",COUNT(J823:N823)=0),"",IF(SUM(J823:N823)=I823,"✓","⚠ "&amp;SUM(J823:N823)&amp;" statt "&amp;I823))</f>
        <v/>
      </c>
      <c r="P823" s="21" t="n"/>
      <c r="Q823" s="21" t="n"/>
      <c r="R823" s="21" t="n"/>
      <c r="S823" s="24" t="n"/>
      <c r="T823" s="24" t="n"/>
      <c r="V823">
        <f>IF(A823="","",MONTH(A823))</f>
        <v/>
      </c>
      <c r="W823">
        <f>N(W822)+IF(AND(C823&lt;&gt;"",T823&lt;&gt;""),IF(C823=WOCHE!$B$3,1,0),0)</f>
        <v/>
      </c>
      <c r="X823">
        <f>N(X822)+IF(AND(V823&lt;&gt;"",T823&lt;&gt;""),IF(V823=MONAT!$AZ$3,1,0),0)</f>
        <v/>
      </c>
    </row>
    <row r="824">
      <c r="A824" s="19" t="n"/>
      <c r="B824" s="20">
        <f>IF(A824="","",CHOOSE(WEEKDAY(A824,2),"Mo","Di","Mi","Do","Fr","Sa","So"))</f>
        <v/>
      </c>
      <c r="C824" s="20">
        <f>IF(A824="","",INT((A824-DATE(YEAR(A824-WEEKDAY(A824-1)+4),1,3)+WEEKDAY(DATE(YEAR(A824-WEEKDAY(A824-1)+4),1,3))+5)/7))</f>
        <v/>
      </c>
      <c r="D824" s="21" t="n"/>
      <c r="E824" s="22" t="n"/>
      <c r="F824" s="23" t="n"/>
      <c r="G824" s="23" t="n"/>
      <c r="H824" s="23" t="n"/>
      <c r="I824" s="20">
        <f>IF(COUNT(F824:H824)=0,"",SUM(F824:H824))</f>
        <v/>
      </c>
      <c r="J824" s="23" t="n"/>
      <c r="K824" s="23" t="n"/>
      <c r="L824" s="23" t="n"/>
      <c r="M824" s="23" t="n"/>
      <c r="N824" s="23" t="n"/>
      <c r="O824" s="20">
        <f>IF(OR(I824="",COUNT(J824:N824)=0),"",IF(SUM(J824:N824)=I824,"✓","⚠ "&amp;SUM(J824:N824)&amp;" statt "&amp;I824))</f>
        <v/>
      </c>
      <c r="P824" s="21" t="n"/>
      <c r="Q824" s="21" t="n"/>
      <c r="R824" s="21" t="n"/>
      <c r="S824" s="24" t="n"/>
      <c r="T824" s="24" t="n"/>
      <c r="V824">
        <f>IF(A824="","",MONTH(A824))</f>
        <v/>
      </c>
      <c r="W824">
        <f>N(W823)+IF(AND(C824&lt;&gt;"",T824&lt;&gt;""),IF(C824=WOCHE!$B$3,1,0),0)</f>
        <v/>
      </c>
      <c r="X824">
        <f>N(X823)+IF(AND(V824&lt;&gt;"",T824&lt;&gt;""),IF(V824=MONAT!$AZ$3,1,0),0)</f>
        <v/>
      </c>
    </row>
    <row r="825">
      <c r="A825" s="19" t="n"/>
      <c r="B825" s="20">
        <f>IF(A825="","",CHOOSE(WEEKDAY(A825,2),"Mo","Di","Mi","Do","Fr","Sa","So"))</f>
        <v/>
      </c>
      <c r="C825" s="20">
        <f>IF(A825="","",INT((A825-DATE(YEAR(A825-WEEKDAY(A825-1)+4),1,3)+WEEKDAY(DATE(YEAR(A825-WEEKDAY(A825-1)+4),1,3))+5)/7))</f>
        <v/>
      </c>
      <c r="D825" s="21" t="n"/>
      <c r="E825" s="22" t="n"/>
      <c r="F825" s="23" t="n"/>
      <c r="G825" s="23" t="n"/>
      <c r="H825" s="23" t="n"/>
      <c r="I825" s="20">
        <f>IF(COUNT(F825:H825)=0,"",SUM(F825:H825))</f>
        <v/>
      </c>
      <c r="J825" s="23" t="n"/>
      <c r="K825" s="23" t="n"/>
      <c r="L825" s="23" t="n"/>
      <c r="M825" s="23" t="n"/>
      <c r="N825" s="23" t="n"/>
      <c r="O825" s="20">
        <f>IF(OR(I825="",COUNT(J825:N825)=0),"",IF(SUM(J825:N825)=I825,"✓","⚠ "&amp;SUM(J825:N825)&amp;" statt "&amp;I825))</f>
        <v/>
      </c>
      <c r="P825" s="21" t="n"/>
      <c r="Q825" s="21" t="n"/>
      <c r="R825" s="21" t="n"/>
      <c r="S825" s="24" t="n"/>
      <c r="T825" s="24" t="n"/>
      <c r="V825">
        <f>IF(A825="","",MONTH(A825))</f>
        <v/>
      </c>
      <c r="W825">
        <f>N(W824)+IF(AND(C825&lt;&gt;"",T825&lt;&gt;""),IF(C825=WOCHE!$B$3,1,0),0)</f>
        <v/>
      </c>
      <c r="X825">
        <f>N(X824)+IF(AND(V825&lt;&gt;"",T825&lt;&gt;""),IF(V825=MONAT!$AZ$3,1,0),0)</f>
        <v/>
      </c>
    </row>
    <row r="826">
      <c r="A826" s="19" t="n"/>
      <c r="B826" s="20">
        <f>IF(A826="","",CHOOSE(WEEKDAY(A826,2),"Mo","Di","Mi","Do","Fr","Sa","So"))</f>
        <v/>
      </c>
      <c r="C826" s="20">
        <f>IF(A826="","",INT((A826-DATE(YEAR(A826-WEEKDAY(A826-1)+4),1,3)+WEEKDAY(DATE(YEAR(A826-WEEKDAY(A826-1)+4),1,3))+5)/7))</f>
        <v/>
      </c>
      <c r="D826" s="21" t="n"/>
      <c r="E826" s="22" t="n"/>
      <c r="F826" s="23" t="n"/>
      <c r="G826" s="23" t="n"/>
      <c r="H826" s="23" t="n"/>
      <c r="I826" s="20">
        <f>IF(COUNT(F826:H826)=0,"",SUM(F826:H826))</f>
        <v/>
      </c>
      <c r="J826" s="23" t="n"/>
      <c r="K826" s="23" t="n"/>
      <c r="L826" s="23" t="n"/>
      <c r="M826" s="23" t="n"/>
      <c r="N826" s="23" t="n"/>
      <c r="O826" s="20">
        <f>IF(OR(I826="",COUNT(J826:N826)=0),"",IF(SUM(J826:N826)=I826,"✓","⚠ "&amp;SUM(J826:N826)&amp;" statt "&amp;I826))</f>
        <v/>
      </c>
      <c r="P826" s="21" t="n"/>
      <c r="Q826" s="21" t="n"/>
      <c r="R826" s="21" t="n"/>
      <c r="S826" s="24" t="n"/>
      <c r="T826" s="24" t="n"/>
      <c r="V826">
        <f>IF(A826="","",MONTH(A826))</f>
        <v/>
      </c>
      <c r="W826">
        <f>N(W825)+IF(AND(C826&lt;&gt;"",T826&lt;&gt;""),IF(C826=WOCHE!$B$3,1,0),0)</f>
        <v/>
      </c>
      <c r="X826">
        <f>N(X825)+IF(AND(V826&lt;&gt;"",T826&lt;&gt;""),IF(V826=MONAT!$AZ$3,1,0),0)</f>
        <v/>
      </c>
    </row>
    <row r="827">
      <c r="A827" s="19" t="n"/>
      <c r="B827" s="20">
        <f>IF(A827="","",CHOOSE(WEEKDAY(A827,2),"Mo","Di","Mi","Do","Fr","Sa","So"))</f>
        <v/>
      </c>
      <c r="C827" s="20">
        <f>IF(A827="","",INT((A827-DATE(YEAR(A827-WEEKDAY(A827-1)+4),1,3)+WEEKDAY(DATE(YEAR(A827-WEEKDAY(A827-1)+4),1,3))+5)/7))</f>
        <v/>
      </c>
      <c r="D827" s="21" t="n"/>
      <c r="E827" s="22" t="n"/>
      <c r="F827" s="23" t="n"/>
      <c r="G827" s="23" t="n"/>
      <c r="H827" s="23" t="n"/>
      <c r="I827" s="20">
        <f>IF(COUNT(F827:H827)=0,"",SUM(F827:H827))</f>
        <v/>
      </c>
      <c r="J827" s="23" t="n"/>
      <c r="K827" s="23" t="n"/>
      <c r="L827" s="23" t="n"/>
      <c r="M827" s="23" t="n"/>
      <c r="N827" s="23" t="n"/>
      <c r="O827" s="20">
        <f>IF(OR(I827="",COUNT(J827:N827)=0),"",IF(SUM(J827:N827)=I827,"✓","⚠ "&amp;SUM(J827:N827)&amp;" statt "&amp;I827))</f>
        <v/>
      </c>
      <c r="P827" s="21" t="n"/>
      <c r="Q827" s="21" t="n"/>
      <c r="R827" s="21" t="n"/>
      <c r="S827" s="24" t="n"/>
      <c r="T827" s="24" t="n"/>
      <c r="V827">
        <f>IF(A827="","",MONTH(A827))</f>
        <v/>
      </c>
      <c r="W827">
        <f>N(W826)+IF(AND(C827&lt;&gt;"",T827&lt;&gt;""),IF(C827=WOCHE!$B$3,1,0),0)</f>
        <v/>
      </c>
      <c r="X827">
        <f>N(X826)+IF(AND(V827&lt;&gt;"",T827&lt;&gt;""),IF(V827=MONAT!$AZ$3,1,0),0)</f>
        <v/>
      </c>
    </row>
    <row r="828">
      <c r="A828" s="19" t="n"/>
      <c r="B828" s="20">
        <f>IF(A828="","",CHOOSE(WEEKDAY(A828,2),"Mo","Di","Mi","Do","Fr","Sa","So"))</f>
        <v/>
      </c>
      <c r="C828" s="20">
        <f>IF(A828="","",INT((A828-DATE(YEAR(A828-WEEKDAY(A828-1)+4),1,3)+WEEKDAY(DATE(YEAR(A828-WEEKDAY(A828-1)+4),1,3))+5)/7))</f>
        <v/>
      </c>
      <c r="D828" s="21" t="n"/>
      <c r="E828" s="22" t="n"/>
      <c r="F828" s="23" t="n"/>
      <c r="G828" s="23" t="n"/>
      <c r="H828" s="23" t="n"/>
      <c r="I828" s="20">
        <f>IF(COUNT(F828:H828)=0,"",SUM(F828:H828))</f>
        <v/>
      </c>
      <c r="J828" s="23" t="n"/>
      <c r="K828" s="23" t="n"/>
      <c r="L828" s="23" t="n"/>
      <c r="M828" s="23" t="n"/>
      <c r="N828" s="23" t="n"/>
      <c r="O828" s="20">
        <f>IF(OR(I828="",COUNT(J828:N828)=0),"",IF(SUM(J828:N828)=I828,"✓","⚠ "&amp;SUM(J828:N828)&amp;" statt "&amp;I828))</f>
        <v/>
      </c>
      <c r="P828" s="21" t="n"/>
      <c r="Q828" s="21" t="n"/>
      <c r="R828" s="21" t="n"/>
      <c r="S828" s="24" t="n"/>
      <c r="T828" s="24" t="n"/>
      <c r="V828">
        <f>IF(A828="","",MONTH(A828))</f>
        <v/>
      </c>
      <c r="W828">
        <f>N(W827)+IF(AND(C828&lt;&gt;"",T828&lt;&gt;""),IF(C828=WOCHE!$B$3,1,0),0)</f>
        <v/>
      </c>
      <c r="X828">
        <f>N(X827)+IF(AND(V828&lt;&gt;"",T828&lt;&gt;""),IF(V828=MONAT!$AZ$3,1,0),0)</f>
        <v/>
      </c>
    </row>
    <row r="829">
      <c r="A829" s="19" t="n"/>
      <c r="B829" s="20">
        <f>IF(A829="","",CHOOSE(WEEKDAY(A829,2),"Mo","Di","Mi","Do","Fr","Sa","So"))</f>
        <v/>
      </c>
      <c r="C829" s="20">
        <f>IF(A829="","",INT((A829-DATE(YEAR(A829-WEEKDAY(A829-1)+4),1,3)+WEEKDAY(DATE(YEAR(A829-WEEKDAY(A829-1)+4),1,3))+5)/7))</f>
        <v/>
      </c>
      <c r="D829" s="21" t="n"/>
      <c r="E829" s="22" t="n"/>
      <c r="F829" s="23" t="n"/>
      <c r="G829" s="23" t="n"/>
      <c r="H829" s="23" t="n"/>
      <c r="I829" s="20">
        <f>IF(COUNT(F829:H829)=0,"",SUM(F829:H829))</f>
        <v/>
      </c>
      <c r="J829" s="23" t="n"/>
      <c r="K829" s="23" t="n"/>
      <c r="L829" s="23" t="n"/>
      <c r="M829" s="23" t="n"/>
      <c r="N829" s="23" t="n"/>
      <c r="O829" s="20">
        <f>IF(OR(I829="",COUNT(J829:N829)=0),"",IF(SUM(J829:N829)=I829,"✓","⚠ "&amp;SUM(J829:N829)&amp;" statt "&amp;I829))</f>
        <v/>
      </c>
      <c r="P829" s="21" t="n"/>
      <c r="Q829" s="21" t="n"/>
      <c r="R829" s="21" t="n"/>
      <c r="S829" s="24" t="n"/>
      <c r="T829" s="24" t="n"/>
      <c r="V829">
        <f>IF(A829="","",MONTH(A829))</f>
        <v/>
      </c>
      <c r="W829">
        <f>N(W828)+IF(AND(C829&lt;&gt;"",T829&lt;&gt;""),IF(C829=WOCHE!$B$3,1,0),0)</f>
        <v/>
      </c>
      <c r="X829">
        <f>N(X828)+IF(AND(V829&lt;&gt;"",T829&lt;&gt;""),IF(V829=MONAT!$AZ$3,1,0),0)</f>
        <v/>
      </c>
    </row>
    <row r="830">
      <c r="A830" s="19" t="n"/>
      <c r="B830" s="20">
        <f>IF(A830="","",CHOOSE(WEEKDAY(A830,2),"Mo","Di","Mi","Do","Fr","Sa","So"))</f>
        <v/>
      </c>
      <c r="C830" s="20">
        <f>IF(A830="","",INT((A830-DATE(YEAR(A830-WEEKDAY(A830-1)+4),1,3)+WEEKDAY(DATE(YEAR(A830-WEEKDAY(A830-1)+4),1,3))+5)/7))</f>
        <v/>
      </c>
      <c r="D830" s="21" t="n"/>
      <c r="E830" s="22" t="n"/>
      <c r="F830" s="23" t="n"/>
      <c r="G830" s="23" t="n"/>
      <c r="H830" s="23" t="n"/>
      <c r="I830" s="20">
        <f>IF(COUNT(F830:H830)=0,"",SUM(F830:H830))</f>
        <v/>
      </c>
      <c r="J830" s="23" t="n"/>
      <c r="K830" s="23" t="n"/>
      <c r="L830" s="23" t="n"/>
      <c r="M830" s="23" t="n"/>
      <c r="N830" s="23" t="n"/>
      <c r="O830" s="20">
        <f>IF(OR(I830="",COUNT(J830:N830)=0),"",IF(SUM(J830:N830)=I830,"✓","⚠ "&amp;SUM(J830:N830)&amp;" statt "&amp;I830))</f>
        <v/>
      </c>
      <c r="P830" s="21" t="n"/>
      <c r="Q830" s="21" t="n"/>
      <c r="R830" s="21" t="n"/>
      <c r="S830" s="24" t="n"/>
      <c r="T830" s="24" t="n"/>
      <c r="V830">
        <f>IF(A830="","",MONTH(A830))</f>
        <v/>
      </c>
      <c r="W830">
        <f>N(W829)+IF(AND(C830&lt;&gt;"",T830&lt;&gt;""),IF(C830=WOCHE!$B$3,1,0),0)</f>
        <v/>
      </c>
      <c r="X830">
        <f>N(X829)+IF(AND(V830&lt;&gt;"",T830&lt;&gt;""),IF(V830=MONAT!$AZ$3,1,0),0)</f>
        <v/>
      </c>
    </row>
    <row r="831">
      <c r="A831" s="19" t="n"/>
      <c r="B831" s="20">
        <f>IF(A831="","",CHOOSE(WEEKDAY(A831,2),"Mo","Di","Mi","Do","Fr","Sa","So"))</f>
        <v/>
      </c>
      <c r="C831" s="20">
        <f>IF(A831="","",INT((A831-DATE(YEAR(A831-WEEKDAY(A831-1)+4),1,3)+WEEKDAY(DATE(YEAR(A831-WEEKDAY(A831-1)+4),1,3))+5)/7))</f>
        <v/>
      </c>
      <c r="D831" s="21" t="n"/>
      <c r="E831" s="22" t="n"/>
      <c r="F831" s="23" t="n"/>
      <c r="G831" s="23" t="n"/>
      <c r="H831" s="23" t="n"/>
      <c r="I831" s="20">
        <f>IF(COUNT(F831:H831)=0,"",SUM(F831:H831))</f>
        <v/>
      </c>
      <c r="J831" s="23" t="n"/>
      <c r="K831" s="23" t="n"/>
      <c r="L831" s="23" t="n"/>
      <c r="M831" s="23" t="n"/>
      <c r="N831" s="23" t="n"/>
      <c r="O831" s="20">
        <f>IF(OR(I831="",COUNT(J831:N831)=0),"",IF(SUM(J831:N831)=I831,"✓","⚠ "&amp;SUM(J831:N831)&amp;" statt "&amp;I831))</f>
        <v/>
      </c>
      <c r="P831" s="21" t="n"/>
      <c r="Q831" s="21" t="n"/>
      <c r="R831" s="21" t="n"/>
      <c r="S831" s="24" t="n"/>
      <c r="T831" s="24" t="n"/>
      <c r="V831">
        <f>IF(A831="","",MONTH(A831))</f>
        <v/>
      </c>
      <c r="W831">
        <f>N(W830)+IF(AND(C831&lt;&gt;"",T831&lt;&gt;""),IF(C831=WOCHE!$B$3,1,0),0)</f>
        <v/>
      </c>
      <c r="X831">
        <f>N(X830)+IF(AND(V831&lt;&gt;"",T831&lt;&gt;""),IF(V831=MONAT!$AZ$3,1,0),0)</f>
        <v/>
      </c>
    </row>
    <row r="832">
      <c r="A832" s="19" t="n"/>
      <c r="B832" s="20">
        <f>IF(A832="","",CHOOSE(WEEKDAY(A832,2),"Mo","Di","Mi","Do","Fr","Sa","So"))</f>
        <v/>
      </c>
      <c r="C832" s="20">
        <f>IF(A832="","",INT((A832-DATE(YEAR(A832-WEEKDAY(A832-1)+4),1,3)+WEEKDAY(DATE(YEAR(A832-WEEKDAY(A832-1)+4),1,3))+5)/7))</f>
        <v/>
      </c>
      <c r="D832" s="21" t="n"/>
      <c r="E832" s="22" t="n"/>
      <c r="F832" s="23" t="n"/>
      <c r="G832" s="23" t="n"/>
      <c r="H832" s="23" t="n"/>
      <c r="I832" s="20">
        <f>IF(COUNT(F832:H832)=0,"",SUM(F832:H832))</f>
        <v/>
      </c>
      <c r="J832" s="23" t="n"/>
      <c r="K832" s="23" t="n"/>
      <c r="L832" s="23" t="n"/>
      <c r="M832" s="23" t="n"/>
      <c r="N832" s="23" t="n"/>
      <c r="O832" s="20">
        <f>IF(OR(I832="",COUNT(J832:N832)=0),"",IF(SUM(J832:N832)=I832,"✓","⚠ "&amp;SUM(J832:N832)&amp;" statt "&amp;I832))</f>
        <v/>
      </c>
      <c r="P832" s="21" t="n"/>
      <c r="Q832" s="21" t="n"/>
      <c r="R832" s="21" t="n"/>
      <c r="S832" s="24" t="n"/>
      <c r="T832" s="24" t="n"/>
      <c r="V832">
        <f>IF(A832="","",MONTH(A832))</f>
        <v/>
      </c>
      <c r="W832">
        <f>N(W831)+IF(AND(C832&lt;&gt;"",T832&lt;&gt;""),IF(C832=WOCHE!$B$3,1,0),0)</f>
        <v/>
      </c>
      <c r="X832">
        <f>N(X831)+IF(AND(V832&lt;&gt;"",T832&lt;&gt;""),IF(V832=MONAT!$AZ$3,1,0),0)</f>
        <v/>
      </c>
    </row>
    <row r="833">
      <c r="A833" s="19" t="n"/>
      <c r="B833" s="20">
        <f>IF(A833="","",CHOOSE(WEEKDAY(A833,2),"Mo","Di","Mi","Do","Fr","Sa","So"))</f>
        <v/>
      </c>
      <c r="C833" s="20">
        <f>IF(A833="","",INT((A833-DATE(YEAR(A833-WEEKDAY(A833-1)+4),1,3)+WEEKDAY(DATE(YEAR(A833-WEEKDAY(A833-1)+4),1,3))+5)/7))</f>
        <v/>
      </c>
      <c r="D833" s="21" t="n"/>
      <c r="E833" s="22" t="n"/>
      <c r="F833" s="23" t="n"/>
      <c r="G833" s="23" t="n"/>
      <c r="H833" s="23" t="n"/>
      <c r="I833" s="20">
        <f>IF(COUNT(F833:H833)=0,"",SUM(F833:H833))</f>
        <v/>
      </c>
      <c r="J833" s="23" t="n"/>
      <c r="K833" s="23" t="n"/>
      <c r="L833" s="23" t="n"/>
      <c r="M833" s="23" t="n"/>
      <c r="N833" s="23" t="n"/>
      <c r="O833" s="20">
        <f>IF(OR(I833="",COUNT(J833:N833)=0),"",IF(SUM(J833:N833)=I833,"✓","⚠ "&amp;SUM(J833:N833)&amp;" statt "&amp;I833))</f>
        <v/>
      </c>
      <c r="P833" s="21" t="n"/>
      <c r="Q833" s="21" t="n"/>
      <c r="R833" s="21" t="n"/>
      <c r="S833" s="24" t="n"/>
      <c r="T833" s="24" t="n"/>
      <c r="V833">
        <f>IF(A833="","",MONTH(A833))</f>
        <v/>
      </c>
      <c r="W833">
        <f>N(W832)+IF(AND(C833&lt;&gt;"",T833&lt;&gt;""),IF(C833=WOCHE!$B$3,1,0),0)</f>
        <v/>
      </c>
      <c r="X833">
        <f>N(X832)+IF(AND(V833&lt;&gt;"",T833&lt;&gt;""),IF(V833=MONAT!$AZ$3,1,0),0)</f>
        <v/>
      </c>
    </row>
    <row r="834">
      <c r="A834" s="19" t="n"/>
      <c r="B834" s="20">
        <f>IF(A834="","",CHOOSE(WEEKDAY(A834,2),"Mo","Di","Mi","Do","Fr","Sa","So"))</f>
        <v/>
      </c>
      <c r="C834" s="20">
        <f>IF(A834="","",INT((A834-DATE(YEAR(A834-WEEKDAY(A834-1)+4),1,3)+WEEKDAY(DATE(YEAR(A834-WEEKDAY(A834-1)+4),1,3))+5)/7))</f>
        <v/>
      </c>
      <c r="D834" s="21" t="n"/>
      <c r="E834" s="22" t="n"/>
      <c r="F834" s="23" t="n"/>
      <c r="G834" s="23" t="n"/>
      <c r="H834" s="23" t="n"/>
      <c r="I834" s="20">
        <f>IF(COUNT(F834:H834)=0,"",SUM(F834:H834))</f>
        <v/>
      </c>
      <c r="J834" s="23" t="n"/>
      <c r="K834" s="23" t="n"/>
      <c r="L834" s="23" t="n"/>
      <c r="M834" s="23" t="n"/>
      <c r="N834" s="23" t="n"/>
      <c r="O834" s="20">
        <f>IF(OR(I834="",COUNT(J834:N834)=0),"",IF(SUM(J834:N834)=I834,"✓","⚠ "&amp;SUM(J834:N834)&amp;" statt "&amp;I834))</f>
        <v/>
      </c>
      <c r="P834" s="21" t="n"/>
      <c r="Q834" s="21" t="n"/>
      <c r="R834" s="21" t="n"/>
      <c r="S834" s="24" t="n"/>
      <c r="T834" s="24" t="n"/>
      <c r="V834">
        <f>IF(A834="","",MONTH(A834))</f>
        <v/>
      </c>
      <c r="W834">
        <f>N(W833)+IF(AND(C834&lt;&gt;"",T834&lt;&gt;""),IF(C834=WOCHE!$B$3,1,0),0)</f>
        <v/>
      </c>
      <c r="X834">
        <f>N(X833)+IF(AND(V834&lt;&gt;"",T834&lt;&gt;""),IF(V834=MONAT!$AZ$3,1,0),0)</f>
        <v/>
      </c>
    </row>
    <row r="835">
      <c r="A835" s="19" t="n"/>
      <c r="B835" s="20">
        <f>IF(A835="","",CHOOSE(WEEKDAY(A835,2),"Mo","Di","Mi","Do","Fr","Sa","So"))</f>
        <v/>
      </c>
      <c r="C835" s="20">
        <f>IF(A835="","",INT((A835-DATE(YEAR(A835-WEEKDAY(A835-1)+4),1,3)+WEEKDAY(DATE(YEAR(A835-WEEKDAY(A835-1)+4),1,3))+5)/7))</f>
        <v/>
      </c>
      <c r="D835" s="21" t="n"/>
      <c r="E835" s="22" t="n"/>
      <c r="F835" s="23" t="n"/>
      <c r="G835" s="23" t="n"/>
      <c r="H835" s="23" t="n"/>
      <c r="I835" s="20">
        <f>IF(COUNT(F835:H835)=0,"",SUM(F835:H835))</f>
        <v/>
      </c>
      <c r="J835" s="23" t="n"/>
      <c r="K835" s="23" t="n"/>
      <c r="L835" s="23" t="n"/>
      <c r="M835" s="23" t="n"/>
      <c r="N835" s="23" t="n"/>
      <c r="O835" s="20">
        <f>IF(OR(I835="",COUNT(J835:N835)=0),"",IF(SUM(J835:N835)=I835,"✓","⚠ "&amp;SUM(J835:N835)&amp;" statt "&amp;I835))</f>
        <v/>
      </c>
      <c r="P835" s="21" t="n"/>
      <c r="Q835" s="21" t="n"/>
      <c r="R835" s="21" t="n"/>
      <c r="S835" s="24" t="n"/>
      <c r="T835" s="24" t="n"/>
      <c r="V835">
        <f>IF(A835="","",MONTH(A835))</f>
        <v/>
      </c>
      <c r="W835">
        <f>N(W834)+IF(AND(C835&lt;&gt;"",T835&lt;&gt;""),IF(C835=WOCHE!$B$3,1,0),0)</f>
        <v/>
      </c>
      <c r="X835">
        <f>N(X834)+IF(AND(V835&lt;&gt;"",T835&lt;&gt;""),IF(V835=MONAT!$AZ$3,1,0),0)</f>
        <v/>
      </c>
    </row>
    <row r="836">
      <c r="A836" s="19" t="n"/>
      <c r="B836" s="20">
        <f>IF(A836="","",CHOOSE(WEEKDAY(A836,2),"Mo","Di","Mi","Do","Fr","Sa","So"))</f>
        <v/>
      </c>
      <c r="C836" s="20">
        <f>IF(A836="","",INT((A836-DATE(YEAR(A836-WEEKDAY(A836-1)+4),1,3)+WEEKDAY(DATE(YEAR(A836-WEEKDAY(A836-1)+4),1,3))+5)/7))</f>
        <v/>
      </c>
      <c r="D836" s="21" t="n"/>
      <c r="E836" s="22" t="n"/>
      <c r="F836" s="23" t="n"/>
      <c r="G836" s="23" t="n"/>
      <c r="H836" s="23" t="n"/>
      <c r="I836" s="20">
        <f>IF(COUNT(F836:H836)=0,"",SUM(F836:H836))</f>
        <v/>
      </c>
      <c r="J836" s="23" t="n"/>
      <c r="K836" s="23" t="n"/>
      <c r="L836" s="23" t="n"/>
      <c r="M836" s="23" t="n"/>
      <c r="N836" s="23" t="n"/>
      <c r="O836" s="20">
        <f>IF(OR(I836="",COUNT(J836:N836)=0),"",IF(SUM(J836:N836)=I836,"✓","⚠ "&amp;SUM(J836:N836)&amp;" statt "&amp;I836))</f>
        <v/>
      </c>
      <c r="P836" s="21" t="n"/>
      <c r="Q836" s="21" t="n"/>
      <c r="R836" s="21" t="n"/>
      <c r="S836" s="24" t="n"/>
      <c r="T836" s="24" t="n"/>
      <c r="V836">
        <f>IF(A836="","",MONTH(A836))</f>
        <v/>
      </c>
      <c r="W836">
        <f>N(W835)+IF(AND(C836&lt;&gt;"",T836&lt;&gt;""),IF(C836=WOCHE!$B$3,1,0),0)</f>
        <v/>
      </c>
      <c r="X836">
        <f>N(X835)+IF(AND(V836&lt;&gt;"",T836&lt;&gt;""),IF(V836=MONAT!$AZ$3,1,0),0)</f>
        <v/>
      </c>
    </row>
    <row r="837">
      <c r="A837" s="19" t="n"/>
      <c r="B837" s="20">
        <f>IF(A837="","",CHOOSE(WEEKDAY(A837,2),"Mo","Di","Mi","Do","Fr","Sa","So"))</f>
        <v/>
      </c>
      <c r="C837" s="20">
        <f>IF(A837="","",INT((A837-DATE(YEAR(A837-WEEKDAY(A837-1)+4),1,3)+WEEKDAY(DATE(YEAR(A837-WEEKDAY(A837-1)+4),1,3))+5)/7))</f>
        <v/>
      </c>
      <c r="D837" s="21" t="n"/>
      <c r="E837" s="22" t="n"/>
      <c r="F837" s="23" t="n"/>
      <c r="G837" s="23" t="n"/>
      <c r="H837" s="23" t="n"/>
      <c r="I837" s="20">
        <f>IF(COUNT(F837:H837)=0,"",SUM(F837:H837))</f>
        <v/>
      </c>
      <c r="J837" s="23" t="n"/>
      <c r="K837" s="23" t="n"/>
      <c r="L837" s="23" t="n"/>
      <c r="M837" s="23" t="n"/>
      <c r="N837" s="23" t="n"/>
      <c r="O837" s="20">
        <f>IF(OR(I837="",COUNT(J837:N837)=0),"",IF(SUM(J837:N837)=I837,"✓","⚠ "&amp;SUM(J837:N837)&amp;" statt "&amp;I837))</f>
        <v/>
      </c>
      <c r="P837" s="21" t="n"/>
      <c r="Q837" s="21" t="n"/>
      <c r="R837" s="21" t="n"/>
      <c r="S837" s="24" t="n"/>
      <c r="T837" s="24" t="n"/>
      <c r="V837">
        <f>IF(A837="","",MONTH(A837))</f>
        <v/>
      </c>
      <c r="W837">
        <f>N(W836)+IF(AND(C837&lt;&gt;"",T837&lt;&gt;""),IF(C837=WOCHE!$B$3,1,0),0)</f>
        <v/>
      </c>
      <c r="X837">
        <f>N(X836)+IF(AND(V837&lt;&gt;"",T837&lt;&gt;""),IF(V837=MONAT!$AZ$3,1,0),0)</f>
        <v/>
      </c>
    </row>
    <row r="838">
      <c r="A838" s="19" t="n"/>
      <c r="B838" s="20">
        <f>IF(A838="","",CHOOSE(WEEKDAY(A838,2),"Mo","Di","Mi","Do","Fr","Sa","So"))</f>
        <v/>
      </c>
      <c r="C838" s="20">
        <f>IF(A838="","",INT((A838-DATE(YEAR(A838-WEEKDAY(A838-1)+4),1,3)+WEEKDAY(DATE(YEAR(A838-WEEKDAY(A838-1)+4),1,3))+5)/7))</f>
        <v/>
      </c>
      <c r="D838" s="21" t="n"/>
      <c r="E838" s="22" t="n"/>
      <c r="F838" s="23" t="n"/>
      <c r="G838" s="23" t="n"/>
      <c r="H838" s="23" t="n"/>
      <c r="I838" s="20">
        <f>IF(COUNT(F838:H838)=0,"",SUM(F838:H838))</f>
        <v/>
      </c>
      <c r="J838" s="23" t="n"/>
      <c r="K838" s="23" t="n"/>
      <c r="L838" s="23" t="n"/>
      <c r="M838" s="23" t="n"/>
      <c r="N838" s="23" t="n"/>
      <c r="O838" s="20">
        <f>IF(OR(I838="",COUNT(J838:N838)=0),"",IF(SUM(J838:N838)=I838,"✓","⚠ "&amp;SUM(J838:N838)&amp;" statt "&amp;I838))</f>
        <v/>
      </c>
      <c r="P838" s="21" t="n"/>
      <c r="Q838" s="21" t="n"/>
      <c r="R838" s="21" t="n"/>
      <c r="S838" s="24" t="n"/>
      <c r="T838" s="24" t="n"/>
      <c r="V838">
        <f>IF(A838="","",MONTH(A838))</f>
        <v/>
      </c>
      <c r="W838">
        <f>N(W837)+IF(AND(C838&lt;&gt;"",T838&lt;&gt;""),IF(C838=WOCHE!$B$3,1,0),0)</f>
        <v/>
      </c>
      <c r="X838">
        <f>N(X837)+IF(AND(V838&lt;&gt;"",T838&lt;&gt;""),IF(V838=MONAT!$AZ$3,1,0),0)</f>
        <v/>
      </c>
    </row>
    <row r="839">
      <c r="A839" s="19" t="n"/>
      <c r="B839" s="20">
        <f>IF(A839="","",CHOOSE(WEEKDAY(A839,2),"Mo","Di","Mi","Do","Fr","Sa","So"))</f>
        <v/>
      </c>
      <c r="C839" s="20">
        <f>IF(A839="","",INT((A839-DATE(YEAR(A839-WEEKDAY(A839-1)+4),1,3)+WEEKDAY(DATE(YEAR(A839-WEEKDAY(A839-1)+4),1,3))+5)/7))</f>
        <v/>
      </c>
      <c r="D839" s="21" t="n"/>
      <c r="E839" s="22" t="n"/>
      <c r="F839" s="23" t="n"/>
      <c r="G839" s="23" t="n"/>
      <c r="H839" s="23" t="n"/>
      <c r="I839" s="20">
        <f>IF(COUNT(F839:H839)=0,"",SUM(F839:H839))</f>
        <v/>
      </c>
      <c r="J839" s="23" t="n"/>
      <c r="K839" s="23" t="n"/>
      <c r="L839" s="23" t="n"/>
      <c r="M839" s="23" t="n"/>
      <c r="N839" s="23" t="n"/>
      <c r="O839" s="20">
        <f>IF(OR(I839="",COUNT(J839:N839)=0),"",IF(SUM(J839:N839)=I839,"✓","⚠ "&amp;SUM(J839:N839)&amp;" statt "&amp;I839))</f>
        <v/>
      </c>
      <c r="P839" s="21" t="n"/>
      <c r="Q839" s="21" t="n"/>
      <c r="R839" s="21" t="n"/>
      <c r="S839" s="24" t="n"/>
      <c r="T839" s="24" t="n"/>
      <c r="V839">
        <f>IF(A839="","",MONTH(A839))</f>
        <v/>
      </c>
      <c r="W839">
        <f>N(W838)+IF(AND(C839&lt;&gt;"",T839&lt;&gt;""),IF(C839=WOCHE!$B$3,1,0),0)</f>
        <v/>
      </c>
      <c r="X839">
        <f>N(X838)+IF(AND(V839&lt;&gt;"",T839&lt;&gt;""),IF(V839=MONAT!$AZ$3,1,0),0)</f>
        <v/>
      </c>
    </row>
    <row r="840">
      <c r="A840" s="19" t="n"/>
      <c r="B840" s="20">
        <f>IF(A840="","",CHOOSE(WEEKDAY(A840,2),"Mo","Di","Mi","Do","Fr","Sa","So"))</f>
        <v/>
      </c>
      <c r="C840" s="20">
        <f>IF(A840="","",INT((A840-DATE(YEAR(A840-WEEKDAY(A840-1)+4),1,3)+WEEKDAY(DATE(YEAR(A840-WEEKDAY(A840-1)+4),1,3))+5)/7))</f>
        <v/>
      </c>
      <c r="D840" s="21" t="n"/>
      <c r="E840" s="22" t="n"/>
      <c r="F840" s="23" t="n"/>
      <c r="G840" s="23" t="n"/>
      <c r="H840" s="23" t="n"/>
      <c r="I840" s="20">
        <f>IF(COUNT(F840:H840)=0,"",SUM(F840:H840))</f>
        <v/>
      </c>
      <c r="J840" s="23" t="n"/>
      <c r="K840" s="23" t="n"/>
      <c r="L840" s="23" t="n"/>
      <c r="M840" s="23" t="n"/>
      <c r="N840" s="23" t="n"/>
      <c r="O840" s="20">
        <f>IF(OR(I840="",COUNT(J840:N840)=0),"",IF(SUM(J840:N840)=I840,"✓","⚠ "&amp;SUM(J840:N840)&amp;" statt "&amp;I840))</f>
        <v/>
      </c>
      <c r="P840" s="21" t="n"/>
      <c r="Q840" s="21" t="n"/>
      <c r="R840" s="21" t="n"/>
      <c r="S840" s="24" t="n"/>
      <c r="T840" s="24" t="n"/>
      <c r="V840">
        <f>IF(A840="","",MONTH(A840))</f>
        <v/>
      </c>
      <c r="W840">
        <f>N(W839)+IF(AND(C840&lt;&gt;"",T840&lt;&gt;""),IF(C840=WOCHE!$B$3,1,0),0)</f>
        <v/>
      </c>
      <c r="X840">
        <f>N(X839)+IF(AND(V840&lt;&gt;"",T840&lt;&gt;""),IF(V840=MONAT!$AZ$3,1,0),0)</f>
        <v/>
      </c>
    </row>
    <row r="841">
      <c r="A841" s="19" t="n"/>
      <c r="B841" s="20">
        <f>IF(A841="","",CHOOSE(WEEKDAY(A841,2),"Mo","Di","Mi","Do","Fr","Sa","So"))</f>
        <v/>
      </c>
      <c r="C841" s="20">
        <f>IF(A841="","",INT((A841-DATE(YEAR(A841-WEEKDAY(A841-1)+4),1,3)+WEEKDAY(DATE(YEAR(A841-WEEKDAY(A841-1)+4),1,3))+5)/7))</f>
        <v/>
      </c>
      <c r="D841" s="21" t="n"/>
      <c r="E841" s="22" t="n"/>
      <c r="F841" s="23" t="n"/>
      <c r="G841" s="23" t="n"/>
      <c r="H841" s="23" t="n"/>
      <c r="I841" s="20">
        <f>IF(COUNT(F841:H841)=0,"",SUM(F841:H841))</f>
        <v/>
      </c>
      <c r="J841" s="23" t="n"/>
      <c r="K841" s="23" t="n"/>
      <c r="L841" s="23" t="n"/>
      <c r="M841" s="23" t="n"/>
      <c r="N841" s="23" t="n"/>
      <c r="O841" s="20">
        <f>IF(OR(I841="",COUNT(J841:N841)=0),"",IF(SUM(J841:N841)=I841,"✓","⚠ "&amp;SUM(J841:N841)&amp;" statt "&amp;I841))</f>
        <v/>
      </c>
      <c r="P841" s="21" t="n"/>
      <c r="Q841" s="21" t="n"/>
      <c r="R841" s="21" t="n"/>
      <c r="S841" s="24" t="n"/>
      <c r="T841" s="24" t="n"/>
      <c r="V841">
        <f>IF(A841="","",MONTH(A841))</f>
        <v/>
      </c>
      <c r="W841">
        <f>N(W840)+IF(AND(C841&lt;&gt;"",T841&lt;&gt;""),IF(C841=WOCHE!$B$3,1,0),0)</f>
        <v/>
      </c>
      <c r="X841">
        <f>N(X840)+IF(AND(V841&lt;&gt;"",T841&lt;&gt;""),IF(V841=MONAT!$AZ$3,1,0),0)</f>
        <v/>
      </c>
    </row>
    <row r="842">
      <c r="A842" s="19" t="n"/>
      <c r="B842" s="20">
        <f>IF(A842="","",CHOOSE(WEEKDAY(A842,2),"Mo","Di","Mi","Do","Fr","Sa","So"))</f>
        <v/>
      </c>
      <c r="C842" s="20">
        <f>IF(A842="","",INT((A842-DATE(YEAR(A842-WEEKDAY(A842-1)+4),1,3)+WEEKDAY(DATE(YEAR(A842-WEEKDAY(A842-1)+4),1,3))+5)/7))</f>
        <v/>
      </c>
      <c r="D842" s="21" t="n"/>
      <c r="E842" s="22" t="n"/>
      <c r="F842" s="23" t="n"/>
      <c r="G842" s="23" t="n"/>
      <c r="H842" s="23" t="n"/>
      <c r="I842" s="20">
        <f>IF(COUNT(F842:H842)=0,"",SUM(F842:H842))</f>
        <v/>
      </c>
      <c r="J842" s="23" t="n"/>
      <c r="K842" s="23" t="n"/>
      <c r="L842" s="23" t="n"/>
      <c r="M842" s="23" t="n"/>
      <c r="N842" s="23" t="n"/>
      <c r="O842" s="20">
        <f>IF(OR(I842="",COUNT(J842:N842)=0),"",IF(SUM(J842:N842)=I842,"✓","⚠ "&amp;SUM(J842:N842)&amp;" statt "&amp;I842))</f>
        <v/>
      </c>
      <c r="P842" s="21" t="n"/>
      <c r="Q842" s="21" t="n"/>
      <c r="R842" s="21" t="n"/>
      <c r="S842" s="24" t="n"/>
      <c r="T842" s="24" t="n"/>
      <c r="V842">
        <f>IF(A842="","",MONTH(A842))</f>
        <v/>
      </c>
      <c r="W842">
        <f>N(W841)+IF(AND(C842&lt;&gt;"",T842&lt;&gt;""),IF(C842=WOCHE!$B$3,1,0),0)</f>
        <v/>
      </c>
      <c r="X842">
        <f>N(X841)+IF(AND(V842&lt;&gt;"",T842&lt;&gt;""),IF(V842=MONAT!$AZ$3,1,0),0)</f>
        <v/>
      </c>
    </row>
    <row r="843">
      <c r="A843" s="19" t="n"/>
      <c r="B843" s="20">
        <f>IF(A843="","",CHOOSE(WEEKDAY(A843,2),"Mo","Di","Mi","Do","Fr","Sa","So"))</f>
        <v/>
      </c>
      <c r="C843" s="20">
        <f>IF(A843="","",INT((A843-DATE(YEAR(A843-WEEKDAY(A843-1)+4),1,3)+WEEKDAY(DATE(YEAR(A843-WEEKDAY(A843-1)+4),1,3))+5)/7))</f>
        <v/>
      </c>
      <c r="D843" s="21" t="n"/>
      <c r="E843" s="22" t="n"/>
      <c r="F843" s="23" t="n"/>
      <c r="G843" s="23" t="n"/>
      <c r="H843" s="23" t="n"/>
      <c r="I843" s="20">
        <f>IF(COUNT(F843:H843)=0,"",SUM(F843:H843))</f>
        <v/>
      </c>
      <c r="J843" s="23" t="n"/>
      <c r="K843" s="23" t="n"/>
      <c r="L843" s="23" t="n"/>
      <c r="M843" s="23" t="n"/>
      <c r="N843" s="23" t="n"/>
      <c r="O843" s="20">
        <f>IF(OR(I843="",COUNT(J843:N843)=0),"",IF(SUM(J843:N843)=I843,"✓","⚠ "&amp;SUM(J843:N843)&amp;" statt "&amp;I843))</f>
        <v/>
      </c>
      <c r="P843" s="21" t="n"/>
      <c r="Q843" s="21" t="n"/>
      <c r="R843" s="21" t="n"/>
      <c r="S843" s="24" t="n"/>
      <c r="T843" s="24" t="n"/>
      <c r="V843">
        <f>IF(A843="","",MONTH(A843))</f>
        <v/>
      </c>
      <c r="W843">
        <f>N(W842)+IF(AND(C843&lt;&gt;"",T843&lt;&gt;""),IF(C843=WOCHE!$B$3,1,0),0)</f>
        <v/>
      </c>
      <c r="X843">
        <f>N(X842)+IF(AND(V843&lt;&gt;"",T843&lt;&gt;""),IF(V843=MONAT!$AZ$3,1,0),0)</f>
        <v/>
      </c>
    </row>
    <row r="844">
      <c r="A844" s="19" t="n"/>
      <c r="B844" s="20">
        <f>IF(A844="","",CHOOSE(WEEKDAY(A844,2),"Mo","Di","Mi","Do","Fr","Sa","So"))</f>
        <v/>
      </c>
      <c r="C844" s="20">
        <f>IF(A844="","",INT((A844-DATE(YEAR(A844-WEEKDAY(A844-1)+4),1,3)+WEEKDAY(DATE(YEAR(A844-WEEKDAY(A844-1)+4),1,3))+5)/7))</f>
        <v/>
      </c>
      <c r="D844" s="21" t="n"/>
      <c r="E844" s="22" t="n"/>
      <c r="F844" s="23" t="n"/>
      <c r="G844" s="23" t="n"/>
      <c r="H844" s="23" t="n"/>
      <c r="I844" s="20">
        <f>IF(COUNT(F844:H844)=0,"",SUM(F844:H844))</f>
        <v/>
      </c>
      <c r="J844" s="23" t="n"/>
      <c r="K844" s="23" t="n"/>
      <c r="L844" s="23" t="n"/>
      <c r="M844" s="23" t="n"/>
      <c r="N844" s="23" t="n"/>
      <c r="O844" s="20">
        <f>IF(OR(I844="",COUNT(J844:N844)=0),"",IF(SUM(J844:N844)=I844,"✓","⚠ "&amp;SUM(J844:N844)&amp;" statt "&amp;I844))</f>
        <v/>
      </c>
      <c r="P844" s="21" t="n"/>
      <c r="Q844" s="21" t="n"/>
      <c r="R844" s="21" t="n"/>
      <c r="S844" s="24" t="n"/>
      <c r="T844" s="24" t="n"/>
      <c r="V844">
        <f>IF(A844="","",MONTH(A844))</f>
        <v/>
      </c>
      <c r="W844">
        <f>N(W843)+IF(AND(C844&lt;&gt;"",T844&lt;&gt;""),IF(C844=WOCHE!$B$3,1,0),0)</f>
        <v/>
      </c>
      <c r="X844">
        <f>N(X843)+IF(AND(V844&lt;&gt;"",T844&lt;&gt;""),IF(V844=MONAT!$AZ$3,1,0),0)</f>
        <v/>
      </c>
    </row>
    <row r="845">
      <c r="A845" s="19" t="n"/>
      <c r="B845" s="20">
        <f>IF(A845="","",CHOOSE(WEEKDAY(A845,2),"Mo","Di","Mi","Do","Fr","Sa","So"))</f>
        <v/>
      </c>
      <c r="C845" s="20">
        <f>IF(A845="","",INT((A845-DATE(YEAR(A845-WEEKDAY(A845-1)+4),1,3)+WEEKDAY(DATE(YEAR(A845-WEEKDAY(A845-1)+4),1,3))+5)/7))</f>
        <v/>
      </c>
      <c r="D845" s="21" t="n"/>
      <c r="E845" s="22" t="n"/>
      <c r="F845" s="23" t="n"/>
      <c r="G845" s="23" t="n"/>
      <c r="H845" s="23" t="n"/>
      <c r="I845" s="20">
        <f>IF(COUNT(F845:H845)=0,"",SUM(F845:H845))</f>
        <v/>
      </c>
      <c r="J845" s="23" t="n"/>
      <c r="K845" s="23" t="n"/>
      <c r="L845" s="23" t="n"/>
      <c r="M845" s="23" t="n"/>
      <c r="N845" s="23" t="n"/>
      <c r="O845" s="20">
        <f>IF(OR(I845="",COUNT(J845:N845)=0),"",IF(SUM(J845:N845)=I845,"✓","⚠ "&amp;SUM(J845:N845)&amp;" statt "&amp;I845))</f>
        <v/>
      </c>
      <c r="P845" s="21" t="n"/>
      <c r="Q845" s="21" t="n"/>
      <c r="R845" s="21" t="n"/>
      <c r="S845" s="24" t="n"/>
      <c r="T845" s="24" t="n"/>
      <c r="V845">
        <f>IF(A845="","",MONTH(A845))</f>
        <v/>
      </c>
      <c r="W845">
        <f>N(W844)+IF(AND(C845&lt;&gt;"",T845&lt;&gt;""),IF(C845=WOCHE!$B$3,1,0),0)</f>
        <v/>
      </c>
      <c r="X845">
        <f>N(X844)+IF(AND(V845&lt;&gt;"",T845&lt;&gt;""),IF(V845=MONAT!$AZ$3,1,0),0)</f>
        <v/>
      </c>
    </row>
    <row r="846">
      <c r="A846" s="19" t="n"/>
      <c r="B846" s="20">
        <f>IF(A846="","",CHOOSE(WEEKDAY(A846,2),"Mo","Di","Mi","Do","Fr","Sa","So"))</f>
        <v/>
      </c>
      <c r="C846" s="20">
        <f>IF(A846="","",INT((A846-DATE(YEAR(A846-WEEKDAY(A846-1)+4),1,3)+WEEKDAY(DATE(YEAR(A846-WEEKDAY(A846-1)+4),1,3))+5)/7))</f>
        <v/>
      </c>
      <c r="D846" s="21" t="n"/>
      <c r="E846" s="22" t="n"/>
      <c r="F846" s="23" t="n"/>
      <c r="G846" s="23" t="n"/>
      <c r="H846" s="23" t="n"/>
      <c r="I846" s="20">
        <f>IF(COUNT(F846:H846)=0,"",SUM(F846:H846))</f>
        <v/>
      </c>
      <c r="J846" s="23" t="n"/>
      <c r="K846" s="23" t="n"/>
      <c r="L846" s="23" t="n"/>
      <c r="M846" s="23" t="n"/>
      <c r="N846" s="23" t="n"/>
      <c r="O846" s="20">
        <f>IF(OR(I846="",COUNT(J846:N846)=0),"",IF(SUM(J846:N846)=I846,"✓","⚠ "&amp;SUM(J846:N846)&amp;" statt "&amp;I846))</f>
        <v/>
      </c>
      <c r="P846" s="21" t="n"/>
      <c r="Q846" s="21" t="n"/>
      <c r="R846" s="21" t="n"/>
      <c r="S846" s="24" t="n"/>
      <c r="T846" s="24" t="n"/>
      <c r="V846">
        <f>IF(A846="","",MONTH(A846))</f>
        <v/>
      </c>
      <c r="W846">
        <f>N(W845)+IF(AND(C846&lt;&gt;"",T846&lt;&gt;""),IF(C846=WOCHE!$B$3,1,0),0)</f>
        <v/>
      </c>
      <c r="X846">
        <f>N(X845)+IF(AND(V846&lt;&gt;"",T846&lt;&gt;""),IF(V846=MONAT!$AZ$3,1,0),0)</f>
        <v/>
      </c>
    </row>
    <row r="847">
      <c r="A847" s="19" t="n"/>
      <c r="B847" s="20">
        <f>IF(A847="","",CHOOSE(WEEKDAY(A847,2),"Mo","Di","Mi","Do","Fr","Sa","So"))</f>
        <v/>
      </c>
      <c r="C847" s="20">
        <f>IF(A847="","",INT((A847-DATE(YEAR(A847-WEEKDAY(A847-1)+4),1,3)+WEEKDAY(DATE(YEAR(A847-WEEKDAY(A847-1)+4),1,3))+5)/7))</f>
        <v/>
      </c>
      <c r="D847" s="21" t="n"/>
      <c r="E847" s="22" t="n"/>
      <c r="F847" s="23" t="n"/>
      <c r="G847" s="23" t="n"/>
      <c r="H847" s="23" t="n"/>
      <c r="I847" s="20">
        <f>IF(COUNT(F847:H847)=0,"",SUM(F847:H847))</f>
        <v/>
      </c>
      <c r="J847" s="23" t="n"/>
      <c r="K847" s="23" t="n"/>
      <c r="L847" s="23" t="n"/>
      <c r="M847" s="23" t="n"/>
      <c r="N847" s="23" t="n"/>
      <c r="O847" s="20">
        <f>IF(OR(I847="",COUNT(J847:N847)=0),"",IF(SUM(J847:N847)=I847,"✓","⚠ "&amp;SUM(J847:N847)&amp;" statt "&amp;I847))</f>
        <v/>
      </c>
      <c r="P847" s="21" t="n"/>
      <c r="Q847" s="21" t="n"/>
      <c r="R847" s="21" t="n"/>
      <c r="S847" s="24" t="n"/>
      <c r="T847" s="24" t="n"/>
      <c r="V847">
        <f>IF(A847="","",MONTH(A847))</f>
        <v/>
      </c>
      <c r="W847">
        <f>N(W846)+IF(AND(C847&lt;&gt;"",T847&lt;&gt;""),IF(C847=WOCHE!$B$3,1,0),0)</f>
        <v/>
      </c>
      <c r="X847">
        <f>N(X846)+IF(AND(V847&lt;&gt;"",T847&lt;&gt;""),IF(V847=MONAT!$AZ$3,1,0),0)</f>
        <v/>
      </c>
    </row>
    <row r="848">
      <c r="A848" s="19" t="n"/>
      <c r="B848" s="20">
        <f>IF(A848="","",CHOOSE(WEEKDAY(A848,2),"Mo","Di","Mi","Do","Fr","Sa","So"))</f>
        <v/>
      </c>
      <c r="C848" s="20">
        <f>IF(A848="","",INT((A848-DATE(YEAR(A848-WEEKDAY(A848-1)+4),1,3)+WEEKDAY(DATE(YEAR(A848-WEEKDAY(A848-1)+4),1,3))+5)/7))</f>
        <v/>
      </c>
      <c r="D848" s="21" t="n"/>
      <c r="E848" s="22" t="n"/>
      <c r="F848" s="23" t="n"/>
      <c r="G848" s="23" t="n"/>
      <c r="H848" s="23" t="n"/>
      <c r="I848" s="20">
        <f>IF(COUNT(F848:H848)=0,"",SUM(F848:H848))</f>
        <v/>
      </c>
      <c r="J848" s="23" t="n"/>
      <c r="K848" s="23" t="n"/>
      <c r="L848" s="23" t="n"/>
      <c r="M848" s="23" t="n"/>
      <c r="N848" s="23" t="n"/>
      <c r="O848" s="20">
        <f>IF(OR(I848="",COUNT(J848:N848)=0),"",IF(SUM(J848:N848)=I848,"✓","⚠ "&amp;SUM(J848:N848)&amp;" statt "&amp;I848))</f>
        <v/>
      </c>
      <c r="P848" s="21" t="n"/>
      <c r="Q848" s="21" t="n"/>
      <c r="R848" s="21" t="n"/>
      <c r="S848" s="24" t="n"/>
      <c r="T848" s="24" t="n"/>
      <c r="V848">
        <f>IF(A848="","",MONTH(A848))</f>
        <v/>
      </c>
      <c r="W848">
        <f>N(W847)+IF(AND(C848&lt;&gt;"",T848&lt;&gt;""),IF(C848=WOCHE!$B$3,1,0),0)</f>
        <v/>
      </c>
      <c r="X848">
        <f>N(X847)+IF(AND(V848&lt;&gt;"",T848&lt;&gt;""),IF(V848=MONAT!$AZ$3,1,0),0)</f>
        <v/>
      </c>
    </row>
    <row r="849">
      <c r="A849" s="19" t="n"/>
      <c r="B849" s="20">
        <f>IF(A849="","",CHOOSE(WEEKDAY(A849,2),"Mo","Di","Mi","Do","Fr","Sa","So"))</f>
        <v/>
      </c>
      <c r="C849" s="20">
        <f>IF(A849="","",INT((A849-DATE(YEAR(A849-WEEKDAY(A849-1)+4),1,3)+WEEKDAY(DATE(YEAR(A849-WEEKDAY(A849-1)+4),1,3))+5)/7))</f>
        <v/>
      </c>
      <c r="D849" s="21" t="n"/>
      <c r="E849" s="22" t="n"/>
      <c r="F849" s="23" t="n"/>
      <c r="G849" s="23" t="n"/>
      <c r="H849" s="23" t="n"/>
      <c r="I849" s="20">
        <f>IF(COUNT(F849:H849)=0,"",SUM(F849:H849))</f>
        <v/>
      </c>
      <c r="J849" s="23" t="n"/>
      <c r="K849" s="23" t="n"/>
      <c r="L849" s="23" t="n"/>
      <c r="M849" s="23" t="n"/>
      <c r="N849" s="23" t="n"/>
      <c r="O849" s="20">
        <f>IF(OR(I849="",COUNT(J849:N849)=0),"",IF(SUM(J849:N849)=I849,"✓","⚠ "&amp;SUM(J849:N849)&amp;" statt "&amp;I849))</f>
        <v/>
      </c>
      <c r="P849" s="21" t="n"/>
      <c r="Q849" s="21" t="n"/>
      <c r="R849" s="21" t="n"/>
      <c r="S849" s="24" t="n"/>
      <c r="T849" s="24" t="n"/>
      <c r="V849">
        <f>IF(A849="","",MONTH(A849))</f>
        <v/>
      </c>
      <c r="W849">
        <f>N(W848)+IF(AND(C849&lt;&gt;"",T849&lt;&gt;""),IF(C849=WOCHE!$B$3,1,0),0)</f>
        <v/>
      </c>
      <c r="X849">
        <f>N(X848)+IF(AND(V849&lt;&gt;"",T849&lt;&gt;""),IF(V849=MONAT!$AZ$3,1,0),0)</f>
        <v/>
      </c>
    </row>
    <row r="850">
      <c r="A850" s="19" t="n"/>
      <c r="B850" s="20">
        <f>IF(A850="","",CHOOSE(WEEKDAY(A850,2),"Mo","Di","Mi","Do","Fr","Sa","So"))</f>
        <v/>
      </c>
      <c r="C850" s="20">
        <f>IF(A850="","",INT((A850-DATE(YEAR(A850-WEEKDAY(A850-1)+4),1,3)+WEEKDAY(DATE(YEAR(A850-WEEKDAY(A850-1)+4),1,3))+5)/7))</f>
        <v/>
      </c>
      <c r="D850" s="21" t="n"/>
      <c r="E850" s="22" t="n"/>
      <c r="F850" s="23" t="n"/>
      <c r="G850" s="23" t="n"/>
      <c r="H850" s="23" t="n"/>
      <c r="I850" s="20">
        <f>IF(COUNT(F850:H850)=0,"",SUM(F850:H850))</f>
        <v/>
      </c>
      <c r="J850" s="23" t="n"/>
      <c r="K850" s="23" t="n"/>
      <c r="L850" s="23" t="n"/>
      <c r="M850" s="23" t="n"/>
      <c r="N850" s="23" t="n"/>
      <c r="O850" s="20">
        <f>IF(OR(I850="",COUNT(J850:N850)=0),"",IF(SUM(J850:N850)=I850,"✓","⚠ "&amp;SUM(J850:N850)&amp;" statt "&amp;I850))</f>
        <v/>
      </c>
      <c r="P850" s="21" t="n"/>
      <c r="Q850" s="21" t="n"/>
      <c r="R850" s="21" t="n"/>
      <c r="S850" s="24" t="n"/>
      <c r="T850" s="24" t="n"/>
      <c r="V850">
        <f>IF(A850="","",MONTH(A850))</f>
        <v/>
      </c>
      <c r="W850">
        <f>N(W849)+IF(AND(C850&lt;&gt;"",T850&lt;&gt;""),IF(C850=WOCHE!$B$3,1,0),0)</f>
        <v/>
      </c>
      <c r="X850">
        <f>N(X849)+IF(AND(V850&lt;&gt;"",T850&lt;&gt;""),IF(V850=MONAT!$AZ$3,1,0),0)</f>
        <v/>
      </c>
    </row>
    <row r="851">
      <c r="A851" s="19" t="n"/>
      <c r="B851" s="20">
        <f>IF(A851="","",CHOOSE(WEEKDAY(A851,2),"Mo","Di","Mi","Do","Fr","Sa","So"))</f>
        <v/>
      </c>
      <c r="C851" s="20">
        <f>IF(A851="","",INT((A851-DATE(YEAR(A851-WEEKDAY(A851-1)+4),1,3)+WEEKDAY(DATE(YEAR(A851-WEEKDAY(A851-1)+4),1,3))+5)/7))</f>
        <v/>
      </c>
      <c r="D851" s="21" t="n"/>
      <c r="E851" s="22" t="n"/>
      <c r="F851" s="23" t="n"/>
      <c r="G851" s="23" t="n"/>
      <c r="H851" s="23" t="n"/>
      <c r="I851" s="20">
        <f>IF(COUNT(F851:H851)=0,"",SUM(F851:H851))</f>
        <v/>
      </c>
      <c r="J851" s="23" t="n"/>
      <c r="K851" s="23" t="n"/>
      <c r="L851" s="23" t="n"/>
      <c r="M851" s="23" t="n"/>
      <c r="N851" s="23" t="n"/>
      <c r="O851" s="20">
        <f>IF(OR(I851="",COUNT(J851:N851)=0),"",IF(SUM(J851:N851)=I851,"✓","⚠ "&amp;SUM(J851:N851)&amp;" statt "&amp;I851))</f>
        <v/>
      </c>
      <c r="P851" s="21" t="n"/>
      <c r="Q851" s="21" t="n"/>
      <c r="R851" s="21" t="n"/>
      <c r="S851" s="24" t="n"/>
      <c r="T851" s="24" t="n"/>
      <c r="V851">
        <f>IF(A851="","",MONTH(A851))</f>
        <v/>
      </c>
      <c r="W851">
        <f>N(W850)+IF(AND(C851&lt;&gt;"",T851&lt;&gt;""),IF(C851=WOCHE!$B$3,1,0),0)</f>
        <v/>
      </c>
      <c r="X851">
        <f>N(X850)+IF(AND(V851&lt;&gt;"",T851&lt;&gt;""),IF(V851=MONAT!$AZ$3,1,0),0)</f>
        <v/>
      </c>
    </row>
    <row r="852">
      <c r="A852" s="19" t="n"/>
      <c r="B852" s="20">
        <f>IF(A852="","",CHOOSE(WEEKDAY(A852,2),"Mo","Di","Mi","Do","Fr","Sa","So"))</f>
        <v/>
      </c>
      <c r="C852" s="20">
        <f>IF(A852="","",INT((A852-DATE(YEAR(A852-WEEKDAY(A852-1)+4),1,3)+WEEKDAY(DATE(YEAR(A852-WEEKDAY(A852-1)+4),1,3))+5)/7))</f>
        <v/>
      </c>
      <c r="D852" s="21" t="n"/>
      <c r="E852" s="22" t="n"/>
      <c r="F852" s="23" t="n"/>
      <c r="G852" s="23" t="n"/>
      <c r="H852" s="23" t="n"/>
      <c r="I852" s="20">
        <f>IF(COUNT(F852:H852)=0,"",SUM(F852:H852))</f>
        <v/>
      </c>
      <c r="J852" s="23" t="n"/>
      <c r="K852" s="23" t="n"/>
      <c r="L852" s="23" t="n"/>
      <c r="M852" s="23" t="n"/>
      <c r="N852" s="23" t="n"/>
      <c r="O852" s="20">
        <f>IF(OR(I852="",COUNT(J852:N852)=0),"",IF(SUM(J852:N852)=I852,"✓","⚠ "&amp;SUM(J852:N852)&amp;" statt "&amp;I852))</f>
        <v/>
      </c>
      <c r="P852" s="21" t="n"/>
      <c r="Q852" s="21" t="n"/>
      <c r="R852" s="21" t="n"/>
      <c r="S852" s="24" t="n"/>
      <c r="T852" s="24" t="n"/>
      <c r="V852">
        <f>IF(A852="","",MONTH(A852))</f>
        <v/>
      </c>
      <c r="W852">
        <f>N(W851)+IF(AND(C852&lt;&gt;"",T852&lt;&gt;""),IF(C852=WOCHE!$B$3,1,0),0)</f>
        <v/>
      </c>
      <c r="X852">
        <f>N(X851)+IF(AND(V852&lt;&gt;"",T852&lt;&gt;""),IF(V852=MONAT!$AZ$3,1,0),0)</f>
        <v/>
      </c>
    </row>
    <row r="853">
      <c r="A853" s="19" t="n"/>
      <c r="B853" s="20">
        <f>IF(A853="","",CHOOSE(WEEKDAY(A853,2),"Mo","Di","Mi","Do","Fr","Sa","So"))</f>
        <v/>
      </c>
      <c r="C853" s="20">
        <f>IF(A853="","",INT((A853-DATE(YEAR(A853-WEEKDAY(A853-1)+4),1,3)+WEEKDAY(DATE(YEAR(A853-WEEKDAY(A853-1)+4),1,3))+5)/7))</f>
        <v/>
      </c>
      <c r="D853" s="21" t="n"/>
      <c r="E853" s="22" t="n"/>
      <c r="F853" s="23" t="n"/>
      <c r="G853" s="23" t="n"/>
      <c r="H853" s="23" t="n"/>
      <c r="I853" s="20">
        <f>IF(COUNT(F853:H853)=0,"",SUM(F853:H853))</f>
        <v/>
      </c>
      <c r="J853" s="23" t="n"/>
      <c r="K853" s="23" t="n"/>
      <c r="L853" s="23" t="n"/>
      <c r="M853" s="23" t="n"/>
      <c r="N853" s="23" t="n"/>
      <c r="O853" s="20">
        <f>IF(OR(I853="",COUNT(J853:N853)=0),"",IF(SUM(J853:N853)=I853,"✓","⚠ "&amp;SUM(J853:N853)&amp;" statt "&amp;I853))</f>
        <v/>
      </c>
      <c r="P853" s="21" t="n"/>
      <c r="Q853" s="21" t="n"/>
      <c r="R853" s="21" t="n"/>
      <c r="S853" s="24" t="n"/>
      <c r="T853" s="24" t="n"/>
      <c r="V853">
        <f>IF(A853="","",MONTH(A853))</f>
        <v/>
      </c>
      <c r="W853">
        <f>N(W852)+IF(AND(C853&lt;&gt;"",T853&lt;&gt;""),IF(C853=WOCHE!$B$3,1,0),0)</f>
        <v/>
      </c>
      <c r="X853">
        <f>N(X852)+IF(AND(V853&lt;&gt;"",T853&lt;&gt;""),IF(V853=MONAT!$AZ$3,1,0),0)</f>
        <v/>
      </c>
    </row>
    <row r="854">
      <c r="A854" s="19" t="n"/>
      <c r="B854" s="20">
        <f>IF(A854="","",CHOOSE(WEEKDAY(A854,2),"Mo","Di","Mi","Do","Fr","Sa","So"))</f>
        <v/>
      </c>
      <c r="C854" s="20">
        <f>IF(A854="","",INT((A854-DATE(YEAR(A854-WEEKDAY(A854-1)+4),1,3)+WEEKDAY(DATE(YEAR(A854-WEEKDAY(A854-1)+4),1,3))+5)/7))</f>
        <v/>
      </c>
      <c r="D854" s="21" t="n"/>
      <c r="E854" s="22" t="n"/>
      <c r="F854" s="23" t="n"/>
      <c r="G854" s="23" t="n"/>
      <c r="H854" s="23" t="n"/>
      <c r="I854" s="20">
        <f>IF(COUNT(F854:H854)=0,"",SUM(F854:H854))</f>
        <v/>
      </c>
      <c r="J854" s="23" t="n"/>
      <c r="K854" s="23" t="n"/>
      <c r="L854" s="23" t="n"/>
      <c r="M854" s="23" t="n"/>
      <c r="N854" s="23" t="n"/>
      <c r="O854" s="20">
        <f>IF(OR(I854="",COUNT(J854:N854)=0),"",IF(SUM(J854:N854)=I854,"✓","⚠ "&amp;SUM(J854:N854)&amp;" statt "&amp;I854))</f>
        <v/>
      </c>
      <c r="P854" s="21" t="n"/>
      <c r="Q854" s="21" t="n"/>
      <c r="R854" s="21" t="n"/>
      <c r="S854" s="24" t="n"/>
      <c r="T854" s="24" t="n"/>
      <c r="V854">
        <f>IF(A854="","",MONTH(A854))</f>
        <v/>
      </c>
      <c r="W854">
        <f>N(W853)+IF(AND(C854&lt;&gt;"",T854&lt;&gt;""),IF(C854=WOCHE!$B$3,1,0),0)</f>
        <v/>
      </c>
      <c r="X854">
        <f>N(X853)+IF(AND(V854&lt;&gt;"",T854&lt;&gt;""),IF(V854=MONAT!$AZ$3,1,0),0)</f>
        <v/>
      </c>
    </row>
    <row r="855">
      <c r="A855" s="19" t="n"/>
      <c r="B855" s="20">
        <f>IF(A855="","",CHOOSE(WEEKDAY(A855,2),"Mo","Di","Mi","Do","Fr","Sa","So"))</f>
        <v/>
      </c>
      <c r="C855" s="20">
        <f>IF(A855="","",INT((A855-DATE(YEAR(A855-WEEKDAY(A855-1)+4),1,3)+WEEKDAY(DATE(YEAR(A855-WEEKDAY(A855-1)+4),1,3))+5)/7))</f>
        <v/>
      </c>
      <c r="D855" s="21" t="n"/>
      <c r="E855" s="22" t="n"/>
      <c r="F855" s="23" t="n"/>
      <c r="G855" s="23" t="n"/>
      <c r="H855" s="23" t="n"/>
      <c r="I855" s="20">
        <f>IF(COUNT(F855:H855)=0,"",SUM(F855:H855))</f>
        <v/>
      </c>
      <c r="J855" s="23" t="n"/>
      <c r="K855" s="23" t="n"/>
      <c r="L855" s="23" t="n"/>
      <c r="M855" s="23" t="n"/>
      <c r="N855" s="23" t="n"/>
      <c r="O855" s="20">
        <f>IF(OR(I855="",COUNT(J855:N855)=0),"",IF(SUM(J855:N855)=I855,"✓","⚠ "&amp;SUM(J855:N855)&amp;" statt "&amp;I855))</f>
        <v/>
      </c>
      <c r="P855" s="21" t="n"/>
      <c r="Q855" s="21" t="n"/>
      <c r="R855" s="21" t="n"/>
      <c r="S855" s="24" t="n"/>
      <c r="T855" s="24" t="n"/>
      <c r="V855">
        <f>IF(A855="","",MONTH(A855))</f>
        <v/>
      </c>
      <c r="W855">
        <f>N(W854)+IF(AND(C855&lt;&gt;"",T855&lt;&gt;""),IF(C855=WOCHE!$B$3,1,0),0)</f>
        <v/>
      </c>
      <c r="X855">
        <f>N(X854)+IF(AND(V855&lt;&gt;"",T855&lt;&gt;""),IF(V855=MONAT!$AZ$3,1,0),0)</f>
        <v/>
      </c>
    </row>
    <row r="856">
      <c r="A856" s="19" t="n"/>
      <c r="B856" s="20">
        <f>IF(A856="","",CHOOSE(WEEKDAY(A856,2),"Mo","Di","Mi","Do","Fr","Sa","So"))</f>
        <v/>
      </c>
      <c r="C856" s="20">
        <f>IF(A856="","",INT((A856-DATE(YEAR(A856-WEEKDAY(A856-1)+4),1,3)+WEEKDAY(DATE(YEAR(A856-WEEKDAY(A856-1)+4),1,3))+5)/7))</f>
        <v/>
      </c>
      <c r="D856" s="21" t="n"/>
      <c r="E856" s="22" t="n"/>
      <c r="F856" s="23" t="n"/>
      <c r="G856" s="23" t="n"/>
      <c r="H856" s="23" t="n"/>
      <c r="I856" s="20">
        <f>IF(COUNT(F856:H856)=0,"",SUM(F856:H856))</f>
        <v/>
      </c>
      <c r="J856" s="23" t="n"/>
      <c r="K856" s="23" t="n"/>
      <c r="L856" s="23" t="n"/>
      <c r="M856" s="23" t="n"/>
      <c r="N856" s="23" t="n"/>
      <c r="O856" s="20">
        <f>IF(OR(I856="",COUNT(J856:N856)=0),"",IF(SUM(J856:N856)=I856,"✓","⚠ "&amp;SUM(J856:N856)&amp;" statt "&amp;I856))</f>
        <v/>
      </c>
      <c r="P856" s="21" t="n"/>
      <c r="Q856" s="21" t="n"/>
      <c r="R856" s="21" t="n"/>
      <c r="S856" s="24" t="n"/>
      <c r="T856" s="24" t="n"/>
      <c r="V856">
        <f>IF(A856="","",MONTH(A856))</f>
        <v/>
      </c>
      <c r="W856">
        <f>N(W855)+IF(AND(C856&lt;&gt;"",T856&lt;&gt;""),IF(C856=WOCHE!$B$3,1,0),0)</f>
        <v/>
      </c>
      <c r="X856">
        <f>N(X855)+IF(AND(V856&lt;&gt;"",T856&lt;&gt;""),IF(V856=MONAT!$AZ$3,1,0),0)</f>
        <v/>
      </c>
    </row>
    <row r="857">
      <c r="A857" s="19" t="n"/>
      <c r="B857" s="20">
        <f>IF(A857="","",CHOOSE(WEEKDAY(A857,2),"Mo","Di","Mi","Do","Fr","Sa","So"))</f>
        <v/>
      </c>
      <c r="C857" s="20">
        <f>IF(A857="","",INT((A857-DATE(YEAR(A857-WEEKDAY(A857-1)+4),1,3)+WEEKDAY(DATE(YEAR(A857-WEEKDAY(A857-1)+4),1,3))+5)/7))</f>
        <v/>
      </c>
      <c r="D857" s="21" t="n"/>
      <c r="E857" s="22" t="n"/>
      <c r="F857" s="23" t="n"/>
      <c r="G857" s="23" t="n"/>
      <c r="H857" s="23" t="n"/>
      <c r="I857" s="20">
        <f>IF(COUNT(F857:H857)=0,"",SUM(F857:H857))</f>
        <v/>
      </c>
      <c r="J857" s="23" t="n"/>
      <c r="K857" s="23" t="n"/>
      <c r="L857" s="23" t="n"/>
      <c r="M857" s="23" t="n"/>
      <c r="N857" s="23" t="n"/>
      <c r="O857" s="20">
        <f>IF(OR(I857="",COUNT(J857:N857)=0),"",IF(SUM(J857:N857)=I857,"✓","⚠ "&amp;SUM(J857:N857)&amp;" statt "&amp;I857))</f>
        <v/>
      </c>
      <c r="P857" s="21" t="n"/>
      <c r="Q857" s="21" t="n"/>
      <c r="R857" s="21" t="n"/>
      <c r="S857" s="24" t="n"/>
      <c r="T857" s="24" t="n"/>
      <c r="V857">
        <f>IF(A857="","",MONTH(A857))</f>
        <v/>
      </c>
      <c r="W857">
        <f>N(W856)+IF(AND(C857&lt;&gt;"",T857&lt;&gt;""),IF(C857=WOCHE!$B$3,1,0),0)</f>
        <v/>
      </c>
      <c r="X857">
        <f>N(X856)+IF(AND(V857&lt;&gt;"",T857&lt;&gt;""),IF(V857=MONAT!$AZ$3,1,0),0)</f>
        <v/>
      </c>
    </row>
    <row r="858">
      <c r="A858" s="19" t="n"/>
      <c r="B858" s="20">
        <f>IF(A858="","",CHOOSE(WEEKDAY(A858,2),"Mo","Di","Mi","Do","Fr","Sa","So"))</f>
        <v/>
      </c>
      <c r="C858" s="20">
        <f>IF(A858="","",INT((A858-DATE(YEAR(A858-WEEKDAY(A858-1)+4),1,3)+WEEKDAY(DATE(YEAR(A858-WEEKDAY(A858-1)+4),1,3))+5)/7))</f>
        <v/>
      </c>
      <c r="D858" s="21" t="n"/>
      <c r="E858" s="22" t="n"/>
      <c r="F858" s="23" t="n"/>
      <c r="G858" s="23" t="n"/>
      <c r="H858" s="23" t="n"/>
      <c r="I858" s="20">
        <f>IF(COUNT(F858:H858)=0,"",SUM(F858:H858))</f>
        <v/>
      </c>
      <c r="J858" s="23" t="n"/>
      <c r="K858" s="23" t="n"/>
      <c r="L858" s="23" t="n"/>
      <c r="M858" s="23" t="n"/>
      <c r="N858" s="23" t="n"/>
      <c r="O858" s="20">
        <f>IF(OR(I858="",COUNT(J858:N858)=0),"",IF(SUM(J858:N858)=I858,"✓","⚠ "&amp;SUM(J858:N858)&amp;" statt "&amp;I858))</f>
        <v/>
      </c>
      <c r="P858" s="21" t="n"/>
      <c r="Q858" s="21" t="n"/>
      <c r="R858" s="21" t="n"/>
      <c r="S858" s="24" t="n"/>
      <c r="T858" s="24" t="n"/>
      <c r="V858">
        <f>IF(A858="","",MONTH(A858))</f>
        <v/>
      </c>
      <c r="W858">
        <f>N(W857)+IF(AND(C858&lt;&gt;"",T858&lt;&gt;""),IF(C858=WOCHE!$B$3,1,0),0)</f>
        <v/>
      </c>
      <c r="X858">
        <f>N(X857)+IF(AND(V858&lt;&gt;"",T858&lt;&gt;""),IF(V858=MONAT!$AZ$3,1,0),0)</f>
        <v/>
      </c>
    </row>
    <row r="859">
      <c r="A859" s="19" t="n"/>
      <c r="B859" s="20">
        <f>IF(A859="","",CHOOSE(WEEKDAY(A859,2),"Mo","Di","Mi","Do","Fr","Sa","So"))</f>
        <v/>
      </c>
      <c r="C859" s="20">
        <f>IF(A859="","",INT((A859-DATE(YEAR(A859-WEEKDAY(A859-1)+4),1,3)+WEEKDAY(DATE(YEAR(A859-WEEKDAY(A859-1)+4),1,3))+5)/7))</f>
        <v/>
      </c>
      <c r="D859" s="21" t="n"/>
      <c r="E859" s="22" t="n"/>
      <c r="F859" s="23" t="n"/>
      <c r="G859" s="23" t="n"/>
      <c r="H859" s="23" t="n"/>
      <c r="I859" s="20">
        <f>IF(COUNT(F859:H859)=0,"",SUM(F859:H859))</f>
        <v/>
      </c>
      <c r="J859" s="23" t="n"/>
      <c r="K859" s="23" t="n"/>
      <c r="L859" s="23" t="n"/>
      <c r="M859" s="23" t="n"/>
      <c r="N859" s="23" t="n"/>
      <c r="O859" s="20">
        <f>IF(OR(I859="",COUNT(J859:N859)=0),"",IF(SUM(J859:N859)=I859,"✓","⚠ "&amp;SUM(J859:N859)&amp;" statt "&amp;I859))</f>
        <v/>
      </c>
      <c r="P859" s="21" t="n"/>
      <c r="Q859" s="21" t="n"/>
      <c r="R859" s="21" t="n"/>
      <c r="S859" s="24" t="n"/>
      <c r="T859" s="24" t="n"/>
      <c r="V859">
        <f>IF(A859="","",MONTH(A859))</f>
        <v/>
      </c>
      <c r="W859">
        <f>N(W858)+IF(AND(C859&lt;&gt;"",T859&lt;&gt;""),IF(C859=WOCHE!$B$3,1,0),0)</f>
        <v/>
      </c>
      <c r="X859">
        <f>N(X858)+IF(AND(V859&lt;&gt;"",T859&lt;&gt;""),IF(V859=MONAT!$AZ$3,1,0),0)</f>
        <v/>
      </c>
    </row>
    <row r="860">
      <c r="A860" s="19" t="n"/>
      <c r="B860" s="20">
        <f>IF(A860="","",CHOOSE(WEEKDAY(A860,2),"Mo","Di","Mi","Do","Fr","Sa","So"))</f>
        <v/>
      </c>
      <c r="C860" s="20">
        <f>IF(A860="","",INT((A860-DATE(YEAR(A860-WEEKDAY(A860-1)+4),1,3)+WEEKDAY(DATE(YEAR(A860-WEEKDAY(A860-1)+4),1,3))+5)/7))</f>
        <v/>
      </c>
      <c r="D860" s="21" t="n"/>
      <c r="E860" s="22" t="n"/>
      <c r="F860" s="23" t="n"/>
      <c r="G860" s="23" t="n"/>
      <c r="H860" s="23" t="n"/>
      <c r="I860" s="20">
        <f>IF(COUNT(F860:H860)=0,"",SUM(F860:H860))</f>
        <v/>
      </c>
      <c r="J860" s="23" t="n"/>
      <c r="K860" s="23" t="n"/>
      <c r="L860" s="23" t="n"/>
      <c r="M860" s="23" t="n"/>
      <c r="N860" s="23" t="n"/>
      <c r="O860" s="20">
        <f>IF(OR(I860="",COUNT(J860:N860)=0),"",IF(SUM(J860:N860)=I860,"✓","⚠ "&amp;SUM(J860:N860)&amp;" statt "&amp;I860))</f>
        <v/>
      </c>
      <c r="P860" s="21" t="n"/>
      <c r="Q860" s="21" t="n"/>
      <c r="R860" s="21" t="n"/>
      <c r="S860" s="24" t="n"/>
      <c r="T860" s="24" t="n"/>
      <c r="V860">
        <f>IF(A860="","",MONTH(A860))</f>
        <v/>
      </c>
      <c r="W860">
        <f>N(W859)+IF(AND(C860&lt;&gt;"",T860&lt;&gt;""),IF(C860=WOCHE!$B$3,1,0),0)</f>
        <v/>
      </c>
      <c r="X860">
        <f>N(X859)+IF(AND(V860&lt;&gt;"",T860&lt;&gt;""),IF(V860=MONAT!$AZ$3,1,0),0)</f>
        <v/>
      </c>
    </row>
    <row r="861">
      <c r="A861" s="19" t="n"/>
      <c r="B861" s="20">
        <f>IF(A861="","",CHOOSE(WEEKDAY(A861,2),"Mo","Di","Mi","Do","Fr","Sa","So"))</f>
        <v/>
      </c>
      <c r="C861" s="20">
        <f>IF(A861="","",INT((A861-DATE(YEAR(A861-WEEKDAY(A861-1)+4),1,3)+WEEKDAY(DATE(YEAR(A861-WEEKDAY(A861-1)+4),1,3))+5)/7))</f>
        <v/>
      </c>
      <c r="D861" s="21" t="n"/>
      <c r="E861" s="22" t="n"/>
      <c r="F861" s="23" t="n"/>
      <c r="G861" s="23" t="n"/>
      <c r="H861" s="23" t="n"/>
      <c r="I861" s="20">
        <f>IF(COUNT(F861:H861)=0,"",SUM(F861:H861))</f>
        <v/>
      </c>
      <c r="J861" s="23" t="n"/>
      <c r="K861" s="23" t="n"/>
      <c r="L861" s="23" t="n"/>
      <c r="M861" s="23" t="n"/>
      <c r="N861" s="23" t="n"/>
      <c r="O861" s="20">
        <f>IF(OR(I861="",COUNT(J861:N861)=0),"",IF(SUM(J861:N861)=I861,"✓","⚠ "&amp;SUM(J861:N861)&amp;" statt "&amp;I861))</f>
        <v/>
      </c>
      <c r="P861" s="21" t="n"/>
      <c r="Q861" s="21" t="n"/>
      <c r="R861" s="21" t="n"/>
      <c r="S861" s="24" t="n"/>
      <c r="T861" s="24" t="n"/>
      <c r="V861">
        <f>IF(A861="","",MONTH(A861))</f>
        <v/>
      </c>
      <c r="W861">
        <f>N(W860)+IF(AND(C861&lt;&gt;"",T861&lt;&gt;""),IF(C861=WOCHE!$B$3,1,0),0)</f>
        <v/>
      </c>
      <c r="X861">
        <f>N(X860)+IF(AND(V861&lt;&gt;"",T861&lt;&gt;""),IF(V861=MONAT!$AZ$3,1,0),0)</f>
        <v/>
      </c>
    </row>
    <row r="862">
      <c r="A862" s="19" t="n"/>
      <c r="B862" s="20">
        <f>IF(A862="","",CHOOSE(WEEKDAY(A862,2),"Mo","Di","Mi","Do","Fr","Sa","So"))</f>
        <v/>
      </c>
      <c r="C862" s="20">
        <f>IF(A862="","",INT((A862-DATE(YEAR(A862-WEEKDAY(A862-1)+4),1,3)+WEEKDAY(DATE(YEAR(A862-WEEKDAY(A862-1)+4),1,3))+5)/7))</f>
        <v/>
      </c>
      <c r="D862" s="21" t="n"/>
      <c r="E862" s="22" t="n"/>
      <c r="F862" s="23" t="n"/>
      <c r="G862" s="23" t="n"/>
      <c r="H862" s="23" t="n"/>
      <c r="I862" s="20">
        <f>IF(COUNT(F862:H862)=0,"",SUM(F862:H862))</f>
        <v/>
      </c>
      <c r="J862" s="23" t="n"/>
      <c r="K862" s="23" t="n"/>
      <c r="L862" s="23" t="n"/>
      <c r="M862" s="23" t="n"/>
      <c r="N862" s="23" t="n"/>
      <c r="O862" s="20">
        <f>IF(OR(I862="",COUNT(J862:N862)=0),"",IF(SUM(J862:N862)=I862,"✓","⚠ "&amp;SUM(J862:N862)&amp;" statt "&amp;I862))</f>
        <v/>
      </c>
      <c r="P862" s="21" t="n"/>
      <c r="Q862" s="21" t="n"/>
      <c r="R862" s="21" t="n"/>
      <c r="S862" s="24" t="n"/>
      <c r="T862" s="24" t="n"/>
      <c r="V862">
        <f>IF(A862="","",MONTH(A862))</f>
        <v/>
      </c>
      <c r="W862">
        <f>N(W861)+IF(AND(C862&lt;&gt;"",T862&lt;&gt;""),IF(C862=WOCHE!$B$3,1,0),0)</f>
        <v/>
      </c>
      <c r="X862">
        <f>N(X861)+IF(AND(V862&lt;&gt;"",T862&lt;&gt;""),IF(V862=MONAT!$AZ$3,1,0),0)</f>
        <v/>
      </c>
    </row>
    <row r="863">
      <c r="A863" s="19" t="n"/>
      <c r="B863" s="20">
        <f>IF(A863="","",CHOOSE(WEEKDAY(A863,2),"Mo","Di","Mi","Do","Fr","Sa","So"))</f>
        <v/>
      </c>
      <c r="C863" s="20">
        <f>IF(A863="","",INT((A863-DATE(YEAR(A863-WEEKDAY(A863-1)+4),1,3)+WEEKDAY(DATE(YEAR(A863-WEEKDAY(A863-1)+4),1,3))+5)/7))</f>
        <v/>
      </c>
      <c r="D863" s="21" t="n"/>
      <c r="E863" s="22" t="n"/>
      <c r="F863" s="23" t="n"/>
      <c r="G863" s="23" t="n"/>
      <c r="H863" s="23" t="n"/>
      <c r="I863" s="20">
        <f>IF(COUNT(F863:H863)=0,"",SUM(F863:H863))</f>
        <v/>
      </c>
      <c r="J863" s="23" t="n"/>
      <c r="K863" s="23" t="n"/>
      <c r="L863" s="23" t="n"/>
      <c r="M863" s="23" t="n"/>
      <c r="N863" s="23" t="n"/>
      <c r="O863" s="20">
        <f>IF(OR(I863="",COUNT(J863:N863)=0),"",IF(SUM(J863:N863)=I863,"✓","⚠ "&amp;SUM(J863:N863)&amp;" statt "&amp;I863))</f>
        <v/>
      </c>
      <c r="P863" s="21" t="n"/>
      <c r="Q863" s="21" t="n"/>
      <c r="R863" s="21" t="n"/>
      <c r="S863" s="24" t="n"/>
      <c r="T863" s="24" t="n"/>
      <c r="V863">
        <f>IF(A863="","",MONTH(A863))</f>
        <v/>
      </c>
      <c r="W863">
        <f>N(W862)+IF(AND(C863&lt;&gt;"",T863&lt;&gt;""),IF(C863=WOCHE!$B$3,1,0),0)</f>
        <v/>
      </c>
      <c r="X863">
        <f>N(X862)+IF(AND(V863&lt;&gt;"",T863&lt;&gt;""),IF(V863=MONAT!$AZ$3,1,0),0)</f>
        <v/>
      </c>
    </row>
    <row r="864">
      <c r="A864" s="19" t="n"/>
      <c r="B864" s="20">
        <f>IF(A864="","",CHOOSE(WEEKDAY(A864,2),"Mo","Di","Mi","Do","Fr","Sa","So"))</f>
        <v/>
      </c>
      <c r="C864" s="20">
        <f>IF(A864="","",INT((A864-DATE(YEAR(A864-WEEKDAY(A864-1)+4),1,3)+WEEKDAY(DATE(YEAR(A864-WEEKDAY(A864-1)+4),1,3))+5)/7))</f>
        <v/>
      </c>
      <c r="D864" s="21" t="n"/>
      <c r="E864" s="22" t="n"/>
      <c r="F864" s="23" t="n"/>
      <c r="G864" s="23" t="n"/>
      <c r="H864" s="23" t="n"/>
      <c r="I864" s="20">
        <f>IF(COUNT(F864:H864)=0,"",SUM(F864:H864))</f>
        <v/>
      </c>
      <c r="J864" s="23" t="n"/>
      <c r="K864" s="23" t="n"/>
      <c r="L864" s="23" t="n"/>
      <c r="M864" s="23" t="n"/>
      <c r="N864" s="23" t="n"/>
      <c r="O864" s="20">
        <f>IF(OR(I864="",COUNT(J864:N864)=0),"",IF(SUM(J864:N864)=I864,"✓","⚠ "&amp;SUM(J864:N864)&amp;" statt "&amp;I864))</f>
        <v/>
      </c>
      <c r="P864" s="21" t="n"/>
      <c r="Q864" s="21" t="n"/>
      <c r="R864" s="21" t="n"/>
      <c r="S864" s="24" t="n"/>
      <c r="T864" s="24" t="n"/>
      <c r="V864">
        <f>IF(A864="","",MONTH(A864))</f>
        <v/>
      </c>
      <c r="W864">
        <f>N(W863)+IF(AND(C864&lt;&gt;"",T864&lt;&gt;""),IF(C864=WOCHE!$B$3,1,0),0)</f>
        <v/>
      </c>
      <c r="X864">
        <f>N(X863)+IF(AND(V864&lt;&gt;"",T864&lt;&gt;""),IF(V864=MONAT!$AZ$3,1,0),0)</f>
        <v/>
      </c>
    </row>
    <row r="865">
      <c r="A865" s="19" t="n"/>
      <c r="B865" s="20">
        <f>IF(A865="","",CHOOSE(WEEKDAY(A865,2),"Mo","Di","Mi","Do","Fr","Sa","So"))</f>
        <v/>
      </c>
      <c r="C865" s="20">
        <f>IF(A865="","",INT((A865-DATE(YEAR(A865-WEEKDAY(A865-1)+4),1,3)+WEEKDAY(DATE(YEAR(A865-WEEKDAY(A865-1)+4),1,3))+5)/7))</f>
        <v/>
      </c>
      <c r="D865" s="21" t="n"/>
      <c r="E865" s="22" t="n"/>
      <c r="F865" s="23" t="n"/>
      <c r="G865" s="23" t="n"/>
      <c r="H865" s="23" t="n"/>
      <c r="I865" s="20">
        <f>IF(COUNT(F865:H865)=0,"",SUM(F865:H865))</f>
        <v/>
      </c>
      <c r="J865" s="23" t="n"/>
      <c r="K865" s="23" t="n"/>
      <c r="L865" s="23" t="n"/>
      <c r="M865" s="23" t="n"/>
      <c r="N865" s="23" t="n"/>
      <c r="O865" s="20">
        <f>IF(OR(I865="",COUNT(J865:N865)=0),"",IF(SUM(J865:N865)=I865,"✓","⚠ "&amp;SUM(J865:N865)&amp;" statt "&amp;I865))</f>
        <v/>
      </c>
      <c r="P865" s="21" t="n"/>
      <c r="Q865" s="21" t="n"/>
      <c r="R865" s="21" t="n"/>
      <c r="S865" s="24" t="n"/>
      <c r="T865" s="24" t="n"/>
      <c r="V865">
        <f>IF(A865="","",MONTH(A865))</f>
        <v/>
      </c>
      <c r="W865">
        <f>N(W864)+IF(AND(C865&lt;&gt;"",T865&lt;&gt;""),IF(C865=WOCHE!$B$3,1,0),0)</f>
        <v/>
      </c>
      <c r="X865">
        <f>N(X864)+IF(AND(V865&lt;&gt;"",T865&lt;&gt;""),IF(V865=MONAT!$AZ$3,1,0),0)</f>
        <v/>
      </c>
    </row>
    <row r="866">
      <c r="A866" s="19" t="n"/>
      <c r="B866" s="20">
        <f>IF(A866="","",CHOOSE(WEEKDAY(A866,2),"Mo","Di","Mi","Do","Fr","Sa","So"))</f>
        <v/>
      </c>
      <c r="C866" s="20">
        <f>IF(A866="","",INT((A866-DATE(YEAR(A866-WEEKDAY(A866-1)+4),1,3)+WEEKDAY(DATE(YEAR(A866-WEEKDAY(A866-1)+4),1,3))+5)/7))</f>
        <v/>
      </c>
      <c r="D866" s="21" t="n"/>
      <c r="E866" s="22" t="n"/>
      <c r="F866" s="23" t="n"/>
      <c r="G866" s="23" t="n"/>
      <c r="H866" s="23" t="n"/>
      <c r="I866" s="20">
        <f>IF(COUNT(F866:H866)=0,"",SUM(F866:H866))</f>
        <v/>
      </c>
      <c r="J866" s="23" t="n"/>
      <c r="K866" s="23" t="n"/>
      <c r="L866" s="23" t="n"/>
      <c r="M866" s="23" t="n"/>
      <c r="N866" s="23" t="n"/>
      <c r="O866" s="20">
        <f>IF(OR(I866="",COUNT(J866:N866)=0),"",IF(SUM(J866:N866)=I866,"✓","⚠ "&amp;SUM(J866:N866)&amp;" statt "&amp;I866))</f>
        <v/>
      </c>
      <c r="P866" s="21" t="n"/>
      <c r="Q866" s="21" t="n"/>
      <c r="R866" s="21" t="n"/>
      <c r="S866" s="24" t="n"/>
      <c r="T866" s="24" t="n"/>
      <c r="V866">
        <f>IF(A866="","",MONTH(A866))</f>
        <v/>
      </c>
      <c r="W866">
        <f>N(W865)+IF(AND(C866&lt;&gt;"",T866&lt;&gt;""),IF(C866=WOCHE!$B$3,1,0),0)</f>
        <v/>
      </c>
      <c r="X866">
        <f>N(X865)+IF(AND(V866&lt;&gt;"",T866&lt;&gt;""),IF(V866=MONAT!$AZ$3,1,0),0)</f>
        <v/>
      </c>
    </row>
    <row r="867">
      <c r="A867" s="19" t="n"/>
      <c r="B867" s="20">
        <f>IF(A867="","",CHOOSE(WEEKDAY(A867,2),"Mo","Di","Mi","Do","Fr","Sa","So"))</f>
        <v/>
      </c>
      <c r="C867" s="20">
        <f>IF(A867="","",INT((A867-DATE(YEAR(A867-WEEKDAY(A867-1)+4),1,3)+WEEKDAY(DATE(YEAR(A867-WEEKDAY(A867-1)+4),1,3))+5)/7))</f>
        <v/>
      </c>
      <c r="D867" s="21" t="n"/>
      <c r="E867" s="22" t="n"/>
      <c r="F867" s="23" t="n"/>
      <c r="G867" s="23" t="n"/>
      <c r="H867" s="23" t="n"/>
      <c r="I867" s="20">
        <f>IF(COUNT(F867:H867)=0,"",SUM(F867:H867))</f>
        <v/>
      </c>
      <c r="J867" s="23" t="n"/>
      <c r="K867" s="23" t="n"/>
      <c r="L867" s="23" t="n"/>
      <c r="M867" s="23" t="n"/>
      <c r="N867" s="23" t="n"/>
      <c r="O867" s="20">
        <f>IF(OR(I867="",COUNT(J867:N867)=0),"",IF(SUM(J867:N867)=I867,"✓","⚠ "&amp;SUM(J867:N867)&amp;" statt "&amp;I867))</f>
        <v/>
      </c>
      <c r="P867" s="21" t="n"/>
      <c r="Q867" s="21" t="n"/>
      <c r="R867" s="21" t="n"/>
      <c r="S867" s="24" t="n"/>
      <c r="T867" s="24" t="n"/>
      <c r="V867">
        <f>IF(A867="","",MONTH(A867))</f>
        <v/>
      </c>
      <c r="W867">
        <f>N(W866)+IF(AND(C867&lt;&gt;"",T867&lt;&gt;""),IF(C867=WOCHE!$B$3,1,0),0)</f>
        <v/>
      </c>
      <c r="X867">
        <f>N(X866)+IF(AND(V867&lt;&gt;"",T867&lt;&gt;""),IF(V867=MONAT!$AZ$3,1,0),0)</f>
        <v/>
      </c>
    </row>
    <row r="868">
      <c r="A868" s="19" t="n"/>
      <c r="B868" s="20">
        <f>IF(A868="","",CHOOSE(WEEKDAY(A868,2),"Mo","Di","Mi","Do","Fr","Sa","So"))</f>
        <v/>
      </c>
      <c r="C868" s="20">
        <f>IF(A868="","",INT((A868-DATE(YEAR(A868-WEEKDAY(A868-1)+4),1,3)+WEEKDAY(DATE(YEAR(A868-WEEKDAY(A868-1)+4),1,3))+5)/7))</f>
        <v/>
      </c>
      <c r="D868" s="21" t="n"/>
      <c r="E868" s="22" t="n"/>
      <c r="F868" s="23" t="n"/>
      <c r="G868" s="23" t="n"/>
      <c r="H868" s="23" t="n"/>
      <c r="I868" s="20">
        <f>IF(COUNT(F868:H868)=0,"",SUM(F868:H868))</f>
        <v/>
      </c>
      <c r="J868" s="23" t="n"/>
      <c r="K868" s="23" t="n"/>
      <c r="L868" s="23" t="n"/>
      <c r="M868" s="23" t="n"/>
      <c r="N868" s="23" t="n"/>
      <c r="O868" s="20">
        <f>IF(OR(I868="",COUNT(J868:N868)=0),"",IF(SUM(J868:N868)=I868,"✓","⚠ "&amp;SUM(J868:N868)&amp;" statt "&amp;I868))</f>
        <v/>
      </c>
      <c r="P868" s="21" t="n"/>
      <c r="Q868" s="21" t="n"/>
      <c r="R868" s="21" t="n"/>
      <c r="S868" s="24" t="n"/>
      <c r="T868" s="24" t="n"/>
      <c r="V868">
        <f>IF(A868="","",MONTH(A868))</f>
        <v/>
      </c>
      <c r="W868">
        <f>N(W867)+IF(AND(C868&lt;&gt;"",T868&lt;&gt;""),IF(C868=WOCHE!$B$3,1,0),0)</f>
        <v/>
      </c>
      <c r="X868">
        <f>N(X867)+IF(AND(V868&lt;&gt;"",T868&lt;&gt;""),IF(V868=MONAT!$AZ$3,1,0),0)</f>
        <v/>
      </c>
    </row>
    <row r="869">
      <c r="A869" s="19" t="n"/>
      <c r="B869" s="20">
        <f>IF(A869="","",CHOOSE(WEEKDAY(A869,2),"Mo","Di","Mi","Do","Fr","Sa","So"))</f>
        <v/>
      </c>
      <c r="C869" s="20">
        <f>IF(A869="","",INT((A869-DATE(YEAR(A869-WEEKDAY(A869-1)+4),1,3)+WEEKDAY(DATE(YEAR(A869-WEEKDAY(A869-1)+4),1,3))+5)/7))</f>
        <v/>
      </c>
      <c r="D869" s="21" t="n"/>
      <c r="E869" s="22" t="n"/>
      <c r="F869" s="23" t="n"/>
      <c r="G869" s="23" t="n"/>
      <c r="H869" s="23" t="n"/>
      <c r="I869" s="20">
        <f>IF(COUNT(F869:H869)=0,"",SUM(F869:H869))</f>
        <v/>
      </c>
      <c r="J869" s="23" t="n"/>
      <c r="K869" s="23" t="n"/>
      <c r="L869" s="23" t="n"/>
      <c r="M869" s="23" t="n"/>
      <c r="N869" s="23" t="n"/>
      <c r="O869" s="20">
        <f>IF(OR(I869="",COUNT(J869:N869)=0),"",IF(SUM(J869:N869)=I869,"✓","⚠ "&amp;SUM(J869:N869)&amp;" statt "&amp;I869))</f>
        <v/>
      </c>
      <c r="P869" s="21" t="n"/>
      <c r="Q869" s="21" t="n"/>
      <c r="R869" s="21" t="n"/>
      <c r="S869" s="24" t="n"/>
      <c r="T869" s="24" t="n"/>
      <c r="V869">
        <f>IF(A869="","",MONTH(A869))</f>
        <v/>
      </c>
      <c r="W869">
        <f>N(W868)+IF(AND(C869&lt;&gt;"",T869&lt;&gt;""),IF(C869=WOCHE!$B$3,1,0),0)</f>
        <v/>
      </c>
      <c r="X869">
        <f>N(X868)+IF(AND(V869&lt;&gt;"",T869&lt;&gt;""),IF(V869=MONAT!$AZ$3,1,0),0)</f>
        <v/>
      </c>
    </row>
    <row r="870">
      <c r="A870" s="19" t="n"/>
      <c r="B870" s="20">
        <f>IF(A870="","",CHOOSE(WEEKDAY(A870,2),"Mo","Di","Mi","Do","Fr","Sa","So"))</f>
        <v/>
      </c>
      <c r="C870" s="20">
        <f>IF(A870="","",INT((A870-DATE(YEAR(A870-WEEKDAY(A870-1)+4),1,3)+WEEKDAY(DATE(YEAR(A870-WEEKDAY(A870-1)+4),1,3))+5)/7))</f>
        <v/>
      </c>
      <c r="D870" s="21" t="n"/>
      <c r="E870" s="22" t="n"/>
      <c r="F870" s="23" t="n"/>
      <c r="G870" s="23" t="n"/>
      <c r="H870" s="23" t="n"/>
      <c r="I870" s="20">
        <f>IF(COUNT(F870:H870)=0,"",SUM(F870:H870))</f>
        <v/>
      </c>
      <c r="J870" s="23" t="n"/>
      <c r="K870" s="23" t="n"/>
      <c r="L870" s="23" t="n"/>
      <c r="M870" s="23" t="n"/>
      <c r="N870" s="23" t="n"/>
      <c r="O870" s="20">
        <f>IF(OR(I870="",COUNT(J870:N870)=0),"",IF(SUM(J870:N870)=I870,"✓","⚠ "&amp;SUM(J870:N870)&amp;" statt "&amp;I870))</f>
        <v/>
      </c>
      <c r="P870" s="21" t="n"/>
      <c r="Q870" s="21" t="n"/>
      <c r="R870" s="21" t="n"/>
      <c r="S870" s="24" t="n"/>
      <c r="T870" s="24" t="n"/>
      <c r="V870">
        <f>IF(A870="","",MONTH(A870))</f>
        <v/>
      </c>
      <c r="W870">
        <f>N(W869)+IF(AND(C870&lt;&gt;"",T870&lt;&gt;""),IF(C870=WOCHE!$B$3,1,0),0)</f>
        <v/>
      </c>
      <c r="X870">
        <f>N(X869)+IF(AND(V870&lt;&gt;"",T870&lt;&gt;""),IF(V870=MONAT!$AZ$3,1,0),0)</f>
        <v/>
      </c>
    </row>
    <row r="871">
      <c r="A871" s="19" t="n"/>
      <c r="B871" s="20">
        <f>IF(A871="","",CHOOSE(WEEKDAY(A871,2),"Mo","Di","Mi","Do","Fr","Sa","So"))</f>
        <v/>
      </c>
      <c r="C871" s="20">
        <f>IF(A871="","",INT((A871-DATE(YEAR(A871-WEEKDAY(A871-1)+4),1,3)+WEEKDAY(DATE(YEAR(A871-WEEKDAY(A871-1)+4),1,3))+5)/7))</f>
        <v/>
      </c>
      <c r="D871" s="21" t="n"/>
      <c r="E871" s="22" t="n"/>
      <c r="F871" s="23" t="n"/>
      <c r="G871" s="23" t="n"/>
      <c r="H871" s="23" t="n"/>
      <c r="I871" s="20">
        <f>IF(COUNT(F871:H871)=0,"",SUM(F871:H871))</f>
        <v/>
      </c>
      <c r="J871" s="23" t="n"/>
      <c r="K871" s="23" t="n"/>
      <c r="L871" s="23" t="n"/>
      <c r="M871" s="23" t="n"/>
      <c r="N871" s="23" t="n"/>
      <c r="O871" s="20">
        <f>IF(OR(I871="",COUNT(J871:N871)=0),"",IF(SUM(J871:N871)=I871,"✓","⚠ "&amp;SUM(J871:N871)&amp;" statt "&amp;I871))</f>
        <v/>
      </c>
      <c r="P871" s="21" t="n"/>
      <c r="Q871" s="21" t="n"/>
      <c r="R871" s="21" t="n"/>
      <c r="S871" s="24" t="n"/>
      <c r="T871" s="24" t="n"/>
      <c r="V871">
        <f>IF(A871="","",MONTH(A871))</f>
        <v/>
      </c>
      <c r="W871">
        <f>N(W870)+IF(AND(C871&lt;&gt;"",T871&lt;&gt;""),IF(C871=WOCHE!$B$3,1,0),0)</f>
        <v/>
      </c>
      <c r="X871">
        <f>N(X870)+IF(AND(V871&lt;&gt;"",T871&lt;&gt;""),IF(V871=MONAT!$AZ$3,1,0),0)</f>
        <v/>
      </c>
    </row>
    <row r="872">
      <c r="A872" s="19" t="n"/>
      <c r="B872" s="20">
        <f>IF(A872="","",CHOOSE(WEEKDAY(A872,2),"Mo","Di","Mi","Do","Fr","Sa","So"))</f>
        <v/>
      </c>
      <c r="C872" s="20">
        <f>IF(A872="","",INT((A872-DATE(YEAR(A872-WEEKDAY(A872-1)+4),1,3)+WEEKDAY(DATE(YEAR(A872-WEEKDAY(A872-1)+4),1,3))+5)/7))</f>
        <v/>
      </c>
      <c r="D872" s="21" t="n"/>
      <c r="E872" s="22" t="n"/>
      <c r="F872" s="23" t="n"/>
      <c r="G872" s="23" t="n"/>
      <c r="H872" s="23" t="n"/>
      <c r="I872" s="20">
        <f>IF(COUNT(F872:H872)=0,"",SUM(F872:H872))</f>
        <v/>
      </c>
      <c r="J872" s="23" t="n"/>
      <c r="K872" s="23" t="n"/>
      <c r="L872" s="23" t="n"/>
      <c r="M872" s="23" t="n"/>
      <c r="N872" s="23" t="n"/>
      <c r="O872" s="20">
        <f>IF(OR(I872="",COUNT(J872:N872)=0),"",IF(SUM(J872:N872)=I872,"✓","⚠ "&amp;SUM(J872:N872)&amp;" statt "&amp;I872))</f>
        <v/>
      </c>
      <c r="P872" s="21" t="n"/>
      <c r="Q872" s="21" t="n"/>
      <c r="R872" s="21" t="n"/>
      <c r="S872" s="24" t="n"/>
      <c r="T872" s="24" t="n"/>
      <c r="V872">
        <f>IF(A872="","",MONTH(A872))</f>
        <v/>
      </c>
      <c r="W872">
        <f>N(W871)+IF(AND(C872&lt;&gt;"",T872&lt;&gt;""),IF(C872=WOCHE!$B$3,1,0),0)</f>
        <v/>
      </c>
      <c r="X872">
        <f>N(X871)+IF(AND(V872&lt;&gt;"",T872&lt;&gt;""),IF(V872=MONAT!$AZ$3,1,0),0)</f>
        <v/>
      </c>
    </row>
    <row r="873">
      <c r="A873" s="19" t="n"/>
      <c r="B873" s="20">
        <f>IF(A873="","",CHOOSE(WEEKDAY(A873,2),"Mo","Di","Mi","Do","Fr","Sa","So"))</f>
        <v/>
      </c>
      <c r="C873" s="20">
        <f>IF(A873="","",INT((A873-DATE(YEAR(A873-WEEKDAY(A873-1)+4),1,3)+WEEKDAY(DATE(YEAR(A873-WEEKDAY(A873-1)+4),1,3))+5)/7))</f>
        <v/>
      </c>
      <c r="D873" s="21" t="n"/>
      <c r="E873" s="22" t="n"/>
      <c r="F873" s="23" t="n"/>
      <c r="G873" s="23" t="n"/>
      <c r="H873" s="23" t="n"/>
      <c r="I873" s="20">
        <f>IF(COUNT(F873:H873)=0,"",SUM(F873:H873))</f>
        <v/>
      </c>
      <c r="J873" s="23" t="n"/>
      <c r="K873" s="23" t="n"/>
      <c r="L873" s="23" t="n"/>
      <c r="M873" s="23" t="n"/>
      <c r="N873" s="23" t="n"/>
      <c r="O873" s="20">
        <f>IF(OR(I873="",COUNT(J873:N873)=0),"",IF(SUM(J873:N873)=I873,"✓","⚠ "&amp;SUM(J873:N873)&amp;" statt "&amp;I873))</f>
        <v/>
      </c>
      <c r="P873" s="21" t="n"/>
      <c r="Q873" s="21" t="n"/>
      <c r="R873" s="21" t="n"/>
      <c r="S873" s="24" t="n"/>
      <c r="T873" s="24" t="n"/>
      <c r="V873">
        <f>IF(A873="","",MONTH(A873))</f>
        <v/>
      </c>
      <c r="W873">
        <f>N(W872)+IF(AND(C873&lt;&gt;"",T873&lt;&gt;""),IF(C873=WOCHE!$B$3,1,0),0)</f>
        <v/>
      </c>
      <c r="X873">
        <f>N(X872)+IF(AND(V873&lt;&gt;"",T873&lt;&gt;""),IF(V873=MONAT!$AZ$3,1,0),0)</f>
        <v/>
      </c>
    </row>
    <row r="874">
      <c r="A874" s="19" t="n"/>
      <c r="B874" s="20">
        <f>IF(A874="","",CHOOSE(WEEKDAY(A874,2),"Mo","Di","Mi","Do","Fr","Sa","So"))</f>
        <v/>
      </c>
      <c r="C874" s="20">
        <f>IF(A874="","",INT((A874-DATE(YEAR(A874-WEEKDAY(A874-1)+4),1,3)+WEEKDAY(DATE(YEAR(A874-WEEKDAY(A874-1)+4),1,3))+5)/7))</f>
        <v/>
      </c>
      <c r="D874" s="21" t="n"/>
      <c r="E874" s="22" t="n"/>
      <c r="F874" s="23" t="n"/>
      <c r="G874" s="23" t="n"/>
      <c r="H874" s="23" t="n"/>
      <c r="I874" s="20">
        <f>IF(COUNT(F874:H874)=0,"",SUM(F874:H874))</f>
        <v/>
      </c>
      <c r="J874" s="23" t="n"/>
      <c r="K874" s="23" t="n"/>
      <c r="L874" s="23" t="n"/>
      <c r="M874" s="23" t="n"/>
      <c r="N874" s="23" t="n"/>
      <c r="O874" s="20">
        <f>IF(OR(I874="",COUNT(J874:N874)=0),"",IF(SUM(J874:N874)=I874,"✓","⚠ "&amp;SUM(J874:N874)&amp;" statt "&amp;I874))</f>
        <v/>
      </c>
      <c r="P874" s="21" t="n"/>
      <c r="Q874" s="21" t="n"/>
      <c r="R874" s="21" t="n"/>
      <c r="S874" s="24" t="n"/>
      <c r="T874" s="24" t="n"/>
      <c r="V874">
        <f>IF(A874="","",MONTH(A874))</f>
        <v/>
      </c>
      <c r="W874">
        <f>N(W873)+IF(AND(C874&lt;&gt;"",T874&lt;&gt;""),IF(C874=WOCHE!$B$3,1,0),0)</f>
        <v/>
      </c>
      <c r="X874">
        <f>N(X873)+IF(AND(V874&lt;&gt;"",T874&lt;&gt;""),IF(V874=MONAT!$AZ$3,1,0),0)</f>
        <v/>
      </c>
    </row>
    <row r="875">
      <c r="A875" s="19" t="n"/>
      <c r="B875" s="20">
        <f>IF(A875="","",CHOOSE(WEEKDAY(A875,2),"Mo","Di","Mi","Do","Fr","Sa","So"))</f>
        <v/>
      </c>
      <c r="C875" s="20">
        <f>IF(A875="","",INT((A875-DATE(YEAR(A875-WEEKDAY(A875-1)+4),1,3)+WEEKDAY(DATE(YEAR(A875-WEEKDAY(A875-1)+4),1,3))+5)/7))</f>
        <v/>
      </c>
      <c r="D875" s="21" t="n"/>
      <c r="E875" s="22" t="n"/>
      <c r="F875" s="23" t="n"/>
      <c r="G875" s="23" t="n"/>
      <c r="H875" s="23" t="n"/>
      <c r="I875" s="20">
        <f>IF(COUNT(F875:H875)=0,"",SUM(F875:H875))</f>
        <v/>
      </c>
      <c r="J875" s="23" t="n"/>
      <c r="K875" s="23" t="n"/>
      <c r="L875" s="23" t="n"/>
      <c r="M875" s="23" t="n"/>
      <c r="N875" s="23" t="n"/>
      <c r="O875" s="20">
        <f>IF(OR(I875="",COUNT(J875:N875)=0),"",IF(SUM(J875:N875)=I875,"✓","⚠ "&amp;SUM(J875:N875)&amp;" statt "&amp;I875))</f>
        <v/>
      </c>
      <c r="P875" s="21" t="n"/>
      <c r="Q875" s="21" t="n"/>
      <c r="R875" s="21" t="n"/>
      <c r="S875" s="24" t="n"/>
      <c r="T875" s="24" t="n"/>
      <c r="V875">
        <f>IF(A875="","",MONTH(A875))</f>
        <v/>
      </c>
      <c r="W875">
        <f>N(W874)+IF(AND(C875&lt;&gt;"",T875&lt;&gt;""),IF(C875=WOCHE!$B$3,1,0),0)</f>
        <v/>
      </c>
      <c r="X875">
        <f>N(X874)+IF(AND(V875&lt;&gt;"",T875&lt;&gt;""),IF(V875=MONAT!$AZ$3,1,0),0)</f>
        <v/>
      </c>
    </row>
    <row r="876">
      <c r="A876" s="19" t="n"/>
      <c r="B876" s="20">
        <f>IF(A876="","",CHOOSE(WEEKDAY(A876,2),"Mo","Di","Mi","Do","Fr","Sa","So"))</f>
        <v/>
      </c>
      <c r="C876" s="20">
        <f>IF(A876="","",INT((A876-DATE(YEAR(A876-WEEKDAY(A876-1)+4),1,3)+WEEKDAY(DATE(YEAR(A876-WEEKDAY(A876-1)+4),1,3))+5)/7))</f>
        <v/>
      </c>
      <c r="D876" s="21" t="n"/>
      <c r="E876" s="22" t="n"/>
      <c r="F876" s="23" t="n"/>
      <c r="G876" s="23" t="n"/>
      <c r="H876" s="23" t="n"/>
      <c r="I876" s="20">
        <f>IF(COUNT(F876:H876)=0,"",SUM(F876:H876))</f>
        <v/>
      </c>
      <c r="J876" s="23" t="n"/>
      <c r="K876" s="23" t="n"/>
      <c r="L876" s="23" t="n"/>
      <c r="M876" s="23" t="n"/>
      <c r="N876" s="23" t="n"/>
      <c r="O876" s="20">
        <f>IF(OR(I876="",COUNT(J876:N876)=0),"",IF(SUM(J876:N876)=I876,"✓","⚠ "&amp;SUM(J876:N876)&amp;" statt "&amp;I876))</f>
        <v/>
      </c>
      <c r="P876" s="21" t="n"/>
      <c r="Q876" s="21" t="n"/>
      <c r="R876" s="21" t="n"/>
      <c r="S876" s="24" t="n"/>
      <c r="T876" s="24" t="n"/>
      <c r="V876">
        <f>IF(A876="","",MONTH(A876))</f>
        <v/>
      </c>
      <c r="W876">
        <f>N(W875)+IF(AND(C876&lt;&gt;"",T876&lt;&gt;""),IF(C876=WOCHE!$B$3,1,0),0)</f>
        <v/>
      </c>
      <c r="X876">
        <f>N(X875)+IF(AND(V876&lt;&gt;"",T876&lt;&gt;""),IF(V876=MONAT!$AZ$3,1,0),0)</f>
        <v/>
      </c>
    </row>
    <row r="877">
      <c r="A877" s="19" t="n"/>
      <c r="B877" s="20">
        <f>IF(A877="","",CHOOSE(WEEKDAY(A877,2),"Mo","Di","Mi","Do","Fr","Sa","So"))</f>
        <v/>
      </c>
      <c r="C877" s="20">
        <f>IF(A877="","",INT((A877-DATE(YEAR(A877-WEEKDAY(A877-1)+4),1,3)+WEEKDAY(DATE(YEAR(A877-WEEKDAY(A877-1)+4),1,3))+5)/7))</f>
        <v/>
      </c>
      <c r="D877" s="21" t="n"/>
      <c r="E877" s="22" t="n"/>
      <c r="F877" s="23" t="n"/>
      <c r="G877" s="23" t="n"/>
      <c r="H877" s="23" t="n"/>
      <c r="I877" s="20">
        <f>IF(COUNT(F877:H877)=0,"",SUM(F877:H877))</f>
        <v/>
      </c>
      <c r="J877" s="23" t="n"/>
      <c r="K877" s="23" t="n"/>
      <c r="L877" s="23" t="n"/>
      <c r="M877" s="23" t="n"/>
      <c r="N877" s="23" t="n"/>
      <c r="O877" s="20">
        <f>IF(OR(I877="",COUNT(J877:N877)=0),"",IF(SUM(J877:N877)=I877,"✓","⚠ "&amp;SUM(J877:N877)&amp;" statt "&amp;I877))</f>
        <v/>
      </c>
      <c r="P877" s="21" t="n"/>
      <c r="Q877" s="21" t="n"/>
      <c r="R877" s="21" t="n"/>
      <c r="S877" s="24" t="n"/>
      <c r="T877" s="24" t="n"/>
      <c r="V877">
        <f>IF(A877="","",MONTH(A877))</f>
        <v/>
      </c>
      <c r="W877">
        <f>N(W876)+IF(AND(C877&lt;&gt;"",T877&lt;&gt;""),IF(C877=WOCHE!$B$3,1,0),0)</f>
        <v/>
      </c>
      <c r="X877">
        <f>N(X876)+IF(AND(V877&lt;&gt;"",T877&lt;&gt;""),IF(V877=MONAT!$AZ$3,1,0),0)</f>
        <v/>
      </c>
    </row>
    <row r="878">
      <c r="A878" s="19" t="n"/>
      <c r="B878" s="20">
        <f>IF(A878="","",CHOOSE(WEEKDAY(A878,2),"Mo","Di","Mi","Do","Fr","Sa","So"))</f>
        <v/>
      </c>
      <c r="C878" s="20">
        <f>IF(A878="","",INT((A878-DATE(YEAR(A878-WEEKDAY(A878-1)+4),1,3)+WEEKDAY(DATE(YEAR(A878-WEEKDAY(A878-1)+4),1,3))+5)/7))</f>
        <v/>
      </c>
      <c r="D878" s="21" t="n"/>
      <c r="E878" s="22" t="n"/>
      <c r="F878" s="23" t="n"/>
      <c r="G878" s="23" t="n"/>
      <c r="H878" s="23" t="n"/>
      <c r="I878" s="20">
        <f>IF(COUNT(F878:H878)=0,"",SUM(F878:H878))</f>
        <v/>
      </c>
      <c r="J878" s="23" t="n"/>
      <c r="K878" s="23" t="n"/>
      <c r="L878" s="23" t="n"/>
      <c r="M878" s="23" t="n"/>
      <c r="N878" s="23" t="n"/>
      <c r="O878" s="20">
        <f>IF(OR(I878="",COUNT(J878:N878)=0),"",IF(SUM(J878:N878)=I878,"✓","⚠ "&amp;SUM(J878:N878)&amp;" statt "&amp;I878))</f>
        <v/>
      </c>
      <c r="P878" s="21" t="n"/>
      <c r="Q878" s="21" t="n"/>
      <c r="R878" s="21" t="n"/>
      <c r="S878" s="24" t="n"/>
      <c r="T878" s="24" t="n"/>
      <c r="V878">
        <f>IF(A878="","",MONTH(A878))</f>
        <v/>
      </c>
      <c r="W878">
        <f>N(W877)+IF(AND(C878&lt;&gt;"",T878&lt;&gt;""),IF(C878=WOCHE!$B$3,1,0),0)</f>
        <v/>
      </c>
      <c r="X878">
        <f>N(X877)+IF(AND(V878&lt;&gt;"",T878&lt;&gt;""),IF(V878=MONAT!$AZ$3,1,0),0)</f>
        <v/>
      </c>
    </row>
    <row r="879">
      <c r="A879" s="19" t="n"/>
      <c r="B879" s="20">
        <f>IF(A879="","",CHOOSE(WEEKDAY(A879,2),"Mo","Di","Mi","Do","Fr","Sa","So"))</f>
        <v/>
      </c>
      <c r="C879" s="20">
        <f>IF(A879="","",INT((A879-DATE(YEAR(A879-WEEKDAY(A879-1)+4),1,3)+WEEKDAY(DATE(YEAR(A879-WEEKDAY(A879-1)+4),1,3))+5)/7))</f>
        <v/>
      </c>
      <c r="D879" s="21" t="n"/>
      <c r="E879" s="22" t="n"/>
      <c r="F879" s="23" t="n"/>
      <c r="G879" s="23" t="n"/>
      <c r="H879" s="23" t="n"/>
      <c r="I879" s="20">
        <f>IF(COUNT(F879:H879)=0,"",SUM(F879:H879))</f>
        <v/>
      </c>
      <c r="J879" s="23" t="n"/>
      <c r="K879" s="23" t="n"/>
      <c r="L879" s="23" t="n"/>
      <c r="M879" s="23" t="n"/>
      <c r="N879" s="23" t="n"/>
      <c r="O879" s="20">
        <f>IF(OR(I879="",COUNT(J879:N879)=0),"",IF(SUM(J879:N879)=I879,"✓","⚠ "&amp;SUM(J879:N879)&amp;" statt "&amp;I879))</f>
        <v/>
      </c>
      <c r="P879" s="21" t="n"/>
      <c r="Q879" s="21" t="n"/>
      <c r="R879" s="21" t="n"/>
      <c r="S879" s="24" t="n"/>
      <c r="T879" s="24" t="n"/>
      <c r="V879">
        <f>IF(A879="","",MONTH(A879))</f>
        <v/>
      </c>
      <c r="W879">
        <f>N(W878)+IF(AND(C879&lt;&gt;"",T879&lt;&gt;""),IF(C879=WOCHE!$B$3,1,0),0)</f>
        <v/>
      </c>
      <c r="X879">
        <f>N(X878)+IF(AND(V879&lt;&gt;"",T879&lt;&gt;""),IF(V879=MONAT!$AZ$3,1,0),0)</f>
        <v/>
      </c>
    </row>
    <row r="880">
      <c r="A880" s="19" t="n"/>
      <c r="B880" s="20">
        <f>IF(A880="","",CHOOSE(WEEKDAY(A880,2),"Mo","Di","Mi","Do","Fr","Sa","So"))</f>
        <v/>
      </c>
      <c r="C880" s="20">
        <f>IF(A880="","",INT((A880-DATE(YEAR(A880-WEEKDAY(A880-1)+4),1,3)+WEEKDAY(DATE(YEAR(A880-WEEKDAY(A880-1)+4),1,3))+5)/7))</f>
        <v/>
      </c>
      <c r="D880" s="21" t="n"/>
      <c r="E880" s="22" t="n"/>
      <c r="F880" s="23" t="n"/>
      <c r="G880" s="23" t="n"/>
      <c r="H880" s="23" t="n"/>
      <c r="I880" s="20">
        <f>IF(COUNT(F880:H880)=0,"",SUM(F880:H880))</f>
        <v/>
      </c>
      <c r="J880" s="23" t="n"/>
      <c r="K880" s="23" t="n"/>
      <c r="L880" s="23" t="n"/>
      <c r="M880" s="23" t="n"/>
      <c r="N880" s="23" t="n"/>
      <c r="O880" s="20">
        <f>IF(OR(I880="",COUNT(J880:N880)=0),"",IF(SUM(J880:N880)=I880,"✓","⚠ "&amp;SUM(J880:N880)&amp;" statt "&amp;I880))</f>
        <v/>
      </c>
      <c r="P880" s="21" t="n"/>
      <c r="Q880" s="21" t="n"/>
      <c r="R880" s="21" t="n"/>
      <c r="S880" s="24" t="n"/>
      <c r="T880" s="24" t="n"/>
      <c r="V880">
        <f>IF(A880="","",MONTH(A880))</f>
        <v/>
      </c>
      <c r="W880">
        <f>N(W879)+IF(AND(C880&lt;&gt;"",T880&lt;&gt;""),IF(C880=WOCHE!$B$3,1,0),0)</f>
        <v/>
      </c>
      <c r="X880">
        <f>N(X879)+IF(AND(V880&lt;&gt;"",T880&lt;&gt;""),IF(V880=MONAT!$AZ$3,1,0),0)</f>
        <v/>
      </c>
    </row>
    <row r="881">
      <c r="A881" s="19" t="n"/>
      <c r="B881" s="20">
        <f>IF(A881="","",CHOOSE(WEEKDAY(A881,2),"Mo","Di","Mi","Do","Fr","Sa","So"))</f>
        <v/>
      </c>
      <c r="C881" s="20">
        <f>IF(A881="","",INT((A881-DATE(YEAR(A881-WEEKDAY(A881-1)+4),1,3)+WEEKDAY(DATE(YEAR(A881-WEEKDAY(A881-1)+4),1,3))+5)/7))</f>
        <v/>
      </c>
      <c r="D881" s="21" t="n"/>
      <c r="E881" s="22" t="n"/>
      <c r="F881" s="23" t="n"/>
      <c r="G881" s="23" t="n"/>
      <c r="H881" s="23" t="n"/>
      <c r="I881" s="20">
        <f>IF(COUNT(F881:H881)=0,"",SUM(F881:H881))</f>
        <v/>
      </c>
      <c r="J881" s="23" t="n"/>
      <c r="K881" s="23" t="n"/>
      <c r="L881" s="23" t="n"/>
      <c r="M881" s="23" t="n"/>
      <c r="N881" s="23" t="n"/>
      <c r="O881" s="20">
        <f>IF(OR(I881="",COUNT(J881:N881)=0),"",IF(SUM(J881:N881)=I881,"✓","⚠ "&amp;SUM(J881:N881)&amp;" statt "&amp;I881))</f>
        <v/>
      </c>
      <c r="P881" s="21" t="n"/>
      <c r="Q881" s="21" t="n"/>
      <c r="R881" s="21" t="n"/>
      <c r="S881" s="24" t="n"/>
      <c r="T881" s="24" t="n"/>
      <c r="V881">
        <f>IF(A881="","",MONTH(A881))</f>
        <v/>
      </c>
      <c r="W881">
        <f>N(W880)+IF(AND(C881&lt;&gt;"",T881&lt;&gt;""),IF(C881=WOCHE!$B$3,1,0),0)</f>
        <v/>
      </c>
      <c r="X881">
        <f>N(X880)+IF(AND(V881&lt;&gt;"",T881&lt;&gt;""),IF(V881=MONAT!$AZ$3,1,0),0)</f>
        <v/>
      </c>
    </row>
    <row r="882">
      <c r="A882" s="19" t="n"/>
      <c r="B882" s="20">
        <f>IF(A882="","",CHOOSE(WEEKDAY(A882,2),"Mo","Di","Mi","Do","Fr","Sa","So"))</f>
        <v/>
      </c>
      <c r="C882" s="20">
        <f>IF(A882="","",INT((A882-DATE(YEAR(A882-WEEKDAY(A882-1)+4),1,3)+WEEKDAY(DATE(YEAR(A882-WEEKDAY(A882-1)+4),1,3))+5)/7))</f>
        <v/>
      </c>
      <c r="D882" s="21" t="n"/>
      <c r="E882" s="22" t="n"/>
      <c r="F882" s="23" t="n"/>
      <c r="G882" s="23" t="n"/>
      <c r="H882" s="23" t="n"/>
      <c r="I882" s="20">
        <f>IF(COUNT(F882:H882)=0,"",SUM(F882:H882))</f>
        <v/>
      </c>
      <c r="J882" s="23" t="n"/>
      <c r="K882" s="23" t="n"/>
      <c r="L882" s="23" t="n"/>
      <c r="M882" s="23" t="n"/>
      <c r="N882" s="23" t="n"/>
      <c r="O882" s="20">
        <f>IF(OR(I882="",COUNT(J882:N882)=0),"",IF(SUM(J882:N882)=I882,"✓","⚠ "&amp;SUM(J882:N882)&amp;" statt "&amp;I882))</f>
        <v/>
      </c>
      <c r="P882" s="21" t="n"/>
      <c r="Q882" s="21" t="n"/>
      <c r="R882" s="21" t="n"/>
      <c r="S882" s="24" t="n"/>
      <c r="T882" s="24" t="n"/>
      <c r="V882">
        <f>IF(A882="","",MONTH(A882))</f>
        <v/>
      </c>
      <c r="W882">
        <f>N(W881)+IF(AND(C882&lt;&gt;"",T882&lt;&gt;""),IF(C882=WOCHE!$B$3,1,0),0)</f>
        <v/>
      </c>
      <c r="X882">
        <f>N(X881)+IF(AND(V882&lt;&gt;"",T882&lt;&gt;""),IF(V882=MONAT!$AZ$3,1,0),0)</f>
        <v/>
      </c>
    </row>
    <row r="883">
      <c r="A883" s="19" t="n"/>
      <c r="B883" s="20">
        <f>IF(A883="","",CHOOSE(WEEKDAY(A883,2),"Mo","Di","Mi","Do","Fr","Sa","So"))</f>
        <v/>
      </c>
      <c r="C883" s="20">
        <f>IF(A883="","",INT((A883-DATE(YEAR(A883-WEEKDAY(A883-1)+4),1,3)+WEEKDAY(DATE(YEAR(A883-WEEKDAY(A883-1)+4),1,3))+5)/7))</f>
        <v/>
      </c>
      <c r="D883" s="21" t="n"/>
      <c r="E883" s="22" t="n"/>
      <c r="F883" s="23" t="n"/>
      <c r="G883" s="23" t="n"/>
      <c r="H883" s="23" t="n"/>
      <c r="I883" s="20">
        <f>IF(COUNT(F883:H883)=0,"",SUM(F883:H883))</f>
        <v/>
      </c>
      <c r="J883" s="23" t="n"/>
      <c r="K883" s="23" t="n"/>
      <c r="L883" s="23" t="n"/>
      <c r="M883" s="23" t="n"/>
      <c r="N883" s="23" t="n"/>
      <c r="O883" s="20">
        <f>IF(OR(I883="",COUNT(J883:N883)=0),"",IF(SUM(J883:N883)=I883,"✓","⚠ "&amp;SUM(J883:N883)&amp;" statt "&amp;I883))</f>
        <v/>
      </c>
      <c r="P883" s="21" t="n"/>
      <c r="Q883" s="21" t="n"/>
      <c r="R883" s="21" t="n"/>
      <c r="S883" s="24" t="n"/>
      <c r="T883" s="24" t="n"/>
      <c r="V883">
        <f>IF(A883="","",MONTH(A883))</f>
        <v/>
      </c>
      <c r="W883">
        <f>N(W882)+IF(AND(C883&lt;&gt;"",T883&lt;&gt;""),IF(C883=WOCHE!$B$3,1,0),0)</f>
        <v/>
      </c>
      <c r="X883">
        <f>N(X882)+IF(AND(V883&lt;&gt;"",T883&lt;&gt;""),IF(V883=MONAT!$AZ$3,1,0),0)</f>
        <v/>
      </c>
    </row>
    <row r="884">
      <c r="A884" s="19" t="n"/>
      <c r="B884" s="20">
        <f>IF(A884="","",CHOOSE(WEEKDAY(A884,2),"Mo","Di","Mi","Do","Fr","Sa","So"))</f>
        <v/>
      </c>
      <c r="C884" s="20">
        <f>IF(A884="","",INT((A884-DATE(YEAR(A884-WEEKDAY(A884-1)+4),1,3)+WEEKDAY(DATE(YEAR(A884-WEEKDAY(A884-1)+4),1,3))+5)/7))</f>
        <v/>
      </c>
      <c r="D884" s="21" t="n"/>
      <c r="E884" s="22" t="n"/>
      <c r="F884" s="23" t="n"/>
      <c r="G884" s="23" t="n"/>
      <c r="H884" s="23" t="n"/>
      <c r="I884" s="20">
        <f>IF(COUNT(F884:H884)=0,"",SUM(F884:H884))</f>
        <v/>
      </c>
      <c r="J884" s="23" t="n"/>
      <c r="K884" s="23" t="n"/>
      <c r="L884" s="23" t="n"/>
      <c r="M884" s="23" t="n"/>
      <c r="N884" s="23" t="n"/>
      <c r="O884" s="20">
        <f>IF(OR(I884="",COUNT(J884:N884)=0),"",IF(SUM(J884:N884)=I884,"✓","⚠ "&amp;SUM(J884:N884)&amp;" statt "&amp;I884))</f>
        <v/>
      </c>
      <c r="P884" s="21" t="n"/>
      <c r="Q884" s="21" t="n"/>
      <c r="R884" s="21" t="n"/>
      <c r="S884" s="24" t="n"/>
      <c r="T884" s="24" t="n"/>
      <c r="V884">
        <f>IF(A884="","",MONTH(A884))</f>
        <v/>
      </c>
      <c r="W884">
        <f>N(W883)+IF(AND(C884&lt;&gt;"",T884&lt;&gt;""),IF(C884=WOCHE!$B$3,1,0),0)</f>
        <v/>
      </c>
      <c r="X884">
        <f>N(X883)+IF(AND(V884&lt;&gt;"",T884&lt;&gt;""),IF(V884=MONAT!$AZ$3,1,0),0)</f>
        <v/>
      </c>
    </row>
    <row r="885">
      <c r="A885" s="19" t="n"/>
      <c r="B885" s="20">
        <f>IF(A885="","",CHOOSE(WEEKDAY(A885,2),"Mo","Di","Mi","Do","Fr","Sa","So"))</f>
        <v/>
      </c>
      <c r="C885" s="20">
        <f>IF(A885="","",INT((A885-DATE(YEAR(A885-WEEKDAY(A885-1)+4),1,3)+WEEKDAY(DATE(YEAR(A885-WEEKDAY(A885-1)+4),1,3))+5)/7))</f>
        <v/>
      </c>
      <c r="D885" s="21" t="n"/>
      <c r="E885" s="22" t="n"/>
      <c r="F885" s="23" t="n"/>
      <c r="G885" s="23" t="n"/>
      <c r="H885" s="23" t="n"/>
      <c r="I885" s="20">
        <f>IF(COUNT(F885:H885)=0,"",SUM(F885:H885))</f>
        <v/>
      </c>
      <c r="J885" s="23" t="n"/>
      <c r="K885" s="23" t="n"/>
      <c r="L885" s="23" t="n"/>
      <c r="M885" s="23" t="n"/>
      <c r="N885" s="23" t="n"/>
      <c r="O885" s="20">
        <f>IF(OR(I885="",COUNT(J885:N885)=0),"",IF(SUM(J885:N885)=I885,"✓","⚠ "&amp;SUM(J885:N885)&amp;" statt "&amp;I885))</f>
        <v/>
      </c>
      <c r="P885" s="21" t="n"/>
      <c r="Q885" s="21" t="n"/>
      <c r="R885" s="21" t="n"/>
      <c r="S885" s="24" t="n"/>
      <c r="T885" s="24" t="n"/>
      <c r="V885">
        <f>IF(A885="","",MONTH(A885))</f>
        <v/>
      </c>
      <c r="W885">
        <f>N(W884)+IF(AND(C885&lt;&gt;"",T885&lt;&gt;""),IF(C885=WOCHE!$B$3,1,0),0)</f>
        <v/>
      </c>
      <c r="X885">
        <f>N(X884)+IF(AND(V885&lt;&gt;"",T885&lt;&gt;""),IF(V885=MONAT!$AZ$3,1,0),0)</f>
        <v/>
      </c>
    </row>
    <row r="886">
      <c r="A886" s="19" t="n"/>
      <c r="B886" s="20">
        <f>IF(A886="","",CHOOSE(WEEKDAY(A886,2),"Mo","Di","Mi","Do","Fr","Sa","So"))</f>
        <v/>
      </c>
      <c r="C886" s="20">
        <f>IF(A886="","",INT((A886-DATE(YEAR(A886-WEEKDAY(A886-1)+4),1,3)+WEEKDAY(DATE(YEAR(A886-WEEKDAY(A886-1)+4),1,3))+5)/7))</f>
        <v/>
      </c>
      <c r="D886" s="21" t="n"/>
      <c r="E886" s="22" t="n"/>
      <c r="F886" s="23" t="n"/>
      <c r="G886" s="23" t="n"/>
      <c r="H886" s="23" t="n"/>
      <c r="I886" s="20">
        <f>IF(COUNT(F886:H886)=0,"",SUM(F886:H886))</f>
        <v/>
      </c>
      <c r="J886" s="23" t="n"/>
      <c r="K886" s="23" t="n"/>
      <c r="L886" s="23" t="n"/>
      <c r="M886" s="23" t="n"/>
      <c r="N886" s="23" t="n"/>
      <c r="O886" s="20">
        <f>IF(OR(I886="",COUNT(J886:N886)=0),"",IF(SUM(J886:N886)=I886,"✓","⚠ "&amp;SUM(J886:N886)&amp;" statt "&amp;I886))</f>
        <v/>
      </c>
      <c r="P886" s="21" t="n"/>
      <c r="Q886" s="21" t="n"/>
      <c r="R886" s="21" t="n"/>
      <c r="S886" s="24" t="n"/>
      <c r="T886" s="24" t="n"/>
      <c r="V886">
        <f>IF(A886="","",MONTH(A886))</f>
        <v/>
      </c>
      <c r="W886">
        <f>N(W885)+IF(AND(C886&lt;&gt;"",T886&lt;&gt;""),IF(C886=WOCHE!$B$3,1,0),0)</f>
        <v/>
      </c>
      <c r="X886">
        <f>N(X885)+IF(AND(V886&lt;&gt;"",T886&lt;&gt;""),IF(V886=MONAT!$AZ$3,1,0),0)</f>
        <v/>
      </c>
    </row>
    <row r="887">
      <c r="A887" s="19" t="n"/>
      <c r="B887" s="20">
        <f>IF(A887="","",CHOOSE(WEEKDAY(A887,2),"Mo","Di","Mi","Do","Fr","Sa","So"))</f>
        <v/>
      </c>
      <c r="C887" s="20">
        <f>IF(A887="","",INT((A887-DATE(YEAR(A887-WEEKDAY(A887-1)+4),1,3)+WEEKDAY(DATE(YEAR(A887-WEEKDAY(A887-1)+4),1,3))+5)/7))</f>
        <v/>
      </c>
      <c r="D887" s="21" t="n"/>
      <c r="E887" s="22" t="n"/>
      <c r="F887" s="23" t="n"/>
      <c r="G887" s="23" t="n"/>
      <c r="H887" s="23" t="n"/>
      <c r="I887" s="20">
        <f>IF(COUNT(F887:H887)=0,"",SUM(F887:H887))</f>
        <v/>
      </c>
      <c r="J887" s="23" t="n"/>
      <c r="K887" s="23" t="n"/>
      <c r="L887" s="23" t="n"/>
      <c r="M887" s="23" t="n"/>
      <c r="N887" s="23" t="n"/>
      <c r="O887" s="20">
        <f>IF(OR(I887="",COUNT(J887:N887)=0),"",IF(SUM(J887:N887)=I887,"✓","⚠ "&amp;SUM(J887:N887)&amp;" statt "&amp;I887))</f>
        <v/>
      </c>
      <c r="P887" s="21" t="n"/>
      <c r="Q887" s="21" t="n"/>
      <c r="R887" s="21" t="n"/>
      <c r="S887" s="24" t="n"/>
      <c r="T887" s="24" t="n"/>
      <c r="V887">
        <f>IF(A887="","",MONTH(A887))</f>
        <v/>
      </c>
      <c r="W887">
        <f>N(W886)+IF(AND(C887&lt;&gt;"",T887&lt;&gt;""),IF(C887=WOCHE!$B$3,1,0),0)</f>
        <v/>
      </c>
      <c r="X887">
        <f>N(X886)+IF(AND(V887&lt;&gt;"",T887&lt;&gt;""),IF(V887=MONAT!$AZ$3,1,0),0)</f>
        <v/>
      </c>
    </row>
    <row r="888">
      <c r="A888" s="19" t="n"/>
      <c r="B888" s="20">
        <f>IF(A888="","",CHOOSE(WEEKDAY(A888,2),"Mo","Di","Mi","Do","Fr","Sa","So"))</f>
        <v/>
      </c>
      <c r="C888" s="20">
        <f>IF(A888="","",INT((A888-DATE(YEAR(A888-WEEKDAY(A888-1)+4),1,3)+WEEKDAY(DATE(YEAR(A888-WEEKDAY(A888-1)+4),1,3))+5)/7))</f>
        <v/>
      </c>
      <c r="D888" s="21" t="n"/>
      <c r="E888" s="22" t="n"/>
      <c r="F888" s="23" t="n"/>
      <c r="G888" s="23" t="n"/>
      <c r="H888" s="23" t="n"/>
      <c r="I888" s="20">
        <f>IF(COUNT(F888:H888)=0,"",SUM(F888:H888))</f>
        <v/>
      </c>
      <c r="J888" s="23" t="n"/>
      <c r="K888" s="23" t="n"/>
      <c r="L888" s="23" t="n"/>
      <c r="M888" s="23" t="n"/>
      <c r="N888" s="23" t="n"/>
      <c r="O888" s="20">
        <f>IF(OR(I888="",COUNT(J888:N888)=0),"",IF(SUM(J888:N888)=I888,"✓","⚠ "&amp;SUM(J888:N888)&amp;" statt "&amp;I888))</f>
        <v/>
      </c>
      <c r="P888" s="21" t="n"/>
      <c r="Q888" s="21" t="n"/>
      <c r="R888" s="21" t="n"/>
      <c r="S888" s="24" t="n"/>
      <c r="T888" s="24" t="n"/>
      <c r="V888">
        <f>IF(A888="","",MONTH(A888))</f>
        <v/>
      </c>
      <c r="W888">
        <f>N(W887)+IF(AND(C888&lt;&gt;"",T888&lt;&gt;""),IF(C888=WOCHE!$B$3,1,0),0)</f>
        <v/>
      </c>
      <c r="X888">
        <f>N(X887)+IF(AND(V888&lt;&gt;"",T888&lt;&gt;""),IF(V888=MONAT!$AZ$3,1,0),0)</f>
        <v/>
      </c>
    </row>
    <row r="889">
      <c r="A889" s="19" t="n"/>
      <c r="B889" s="20">
        <f>IF(A889="","",CHOOSE(WEEKDAY(A889,2),"Mo","Di","Mi","Do","Fr","Sa","So"))</f>
        <v/>
      </c>
      <c r="C889" s="20">
        <f>IF(A889="","",INT((A889-DATE(YEAR(A889-WEEKDAY(A889-1)+4),1,3)+WEEKDAY(DATE(YEAR(A889-WEEKDAY(A889-1)+4),1,3))+5)/7))</f>
        <v/>
      </c>
      <c r="D889" s="21" t="n"/>
      <c r="E889" s="22" t="n"/>
      <c r="F889" s="23" t="n"/>
      <c r="G889" s="23" t="n"/>
      <c r="H889" s="23" t="n"/>
      <c r="I889" s="20">
        <f>IF(COUNT(F889:H889)=0,"",SUM(F889:H889))</f>
        <v/>
      </c>
      <c r="J889" s="23" t="n"/>
      <c r="K889" s="23" t="n"/>
      <c r="L889" s="23" t="n"/>
      <c r="M889" s="23" t="n"/>
      <c r="N889" s="23" t="n"/>
      <c r="O889" s="20">
        <f>IF(OR(I889="",COUNT(J889:N889)=0),"",IF(SUM(J889:N889)=I889,"✓","⚠ "&amp;SUM(J889:N889)&amp;" statt "&amp;I889))</f>
        <v/>
      </c>
      <c r="P889" s="21" t="n"/>
      <c r="Q889" s="21" t="n"/>
      <c r="R889" s="21" t="n"/>
      <c r="S889" s="24" t="n"/>
      <c r="T889" s="24" t="n"/>
      <c r="V889">
        <f>IF(A889="","",MONTH(A889))</f>
        <v/>
      </c>
      <c r="W889">
        <f>N(W888)+IF(AND(C889&lt;&gt;"",T889&lt;&gt;""),IF(C889=WOCHE!$B$3,1,0),0)</f>
        <v/>
      </c>
      <c r="X889">
        <f>N(X888)+IF(AND(V889&lt;&gt;"",T889&lt;&gt;""),IF(V889=MONAT!$AZ$3,1,0),0)</f>
        <v/>
      </c>
    </row>
    <row r="890">
      <c r="A890" s="19" t="n"/>
      <c r="B890" s="20">
        <f>IF(A890="","",CHOOSE(WEEKDAY(A890,2),"Mo","Di","Mi","Do","Fr","Sa","So"))</f>
        <v/>
      </c>
      <c r="C890" s="20">
        <f>IF(A890="","",INT((A890-DATE(YEAR(A890-WEEKDAY(A890-1)+4),1,3)+WEEKDAY(DATE(YEAR(A890-WEEKDAY(A890-1)+4),1,3))+5)/7))</f>
        <v/>
      </c>
      <c r="D890" s="21" t="n"/>
      <c r="E890" s="22" t="n"/>
      <c r="F890" s="23" t="n"/>
      <c r="G890" s="23" t="n"/>
      <c r="H890" s="23" t="n"/>
      <c r="I890" s="20">
        <f>IF(COUNT(F890:H890)=0,"",SUM(F890:H890))</f>
        <v/>
      </c>
      <c r="J890" s="23" t="n"/>
      <c r="K890" s="23" t="n"/>
      <c r="L890" s="23" t="n"/>
      <c r="M890" s="23" t="n"/>
      <c r="N890" s="23" t="n"/>
      <c r="O890" s="20">
        <f>IF(OR(I890="",COUNT(J890:N890)=0),"",IF(SUM(J890:N890)=I890,"✓","⚠ "&amp;SUM(J890:N890)&amp;" statt "&amp;I890))</f>
        <v/>
      </c>
      <c r="P890" s="21" t="n"/>
      <c r="Q890" s="21" t="n"/>
      <c r="R890" s="21" t="n"/>
      <c r="S890" s="24" t="n"/>
      <c r="T890" s="24" t="n"/>
      <c r="V890">
        <f>IF(A890="","",MONTH(A890))</f>
        <v/>
      </c>
      <c r="W890">
        <f>N(W889)+IF(AND(C890&lt;&gt;"",T890&lt;&gt;""),IF(C890=WOCHE!$B$3,1,0),0)</f>
        <v/>
      </c>
      <c r="X890">
        <f>N(X889)+IF(AND(V890&lt;&gt;"",T890&lt;&gt;""),IF(V890=MONAT!$AZ$3,1,0),0)</f>
        <v/>
      </c>
    </row>
    <row r="891">
      <c r="A891" s="19" t="n"/>
      <c r="B891" s="20">
        <f>IF(A891="","",CHOOSE(WEEKDAY(A891,2),"Mo","Di","Mi","Do","Fr","Sa","So"))</f>
        <v/>
      </c>
      <c r="C891" s="20">
        <f>IF(A891="","",INT((A891-DATE(YEAR(A891-WEEKDAY(A891-1)+4),1,3)+WEEKDAY(DATE(YEAR(A891-WEEKDAY(A891-1)+4),1,3))+5)/7))</f>
        <v/>
      </c>
      <c r="D891" s="21" t="n"/>
      <c r="E891" s="22" t="n"/>
      <c r="F891" s="23" t="n"/>
      <c r="G891" s="23" t="n"/>
      <c r="H891" s="23" t="n"/>
      <c r="I891" s="20">
        <f>IF(COUNT(F891:H891)=0,"",SUM(F891:H891))</f>
        <v/>
      </c>
      <c r="J891" s="23" t="n"/>
      <c r="K891" s="23" t="n"/>
      <c r="L891" s="23" t="n"/>
      <c r="M891" s="23" t="n"/>
      <c r="N891" s="23" t="n"/>
      <c r="O891" s="20">
        <f>IF(OR(I891="",COUNT(J891:N891)=0),"",IF(SUM(J891:N891)=I891,"✓","⚠ "&amp;SUM(J891:N891)&amp;" statt "&amp;I891))</f>
        <v/>
      </c>
      <c r="P891" s="21" t="n"/>
      <c r="Q891" s="21" t="n"/>
      <c r="R891" s="21" t="n"/>
      <c r="S891" s="24" t="n"/>
      <c r="T891" s="24" t="n"/>
      <c r="V891">
        <f>IF(A891="","",MONTH(A891))</f>
        <v/>
      </c>
      <c r="W891">
        <f>N(W890)+IF(AND(C891&lt;&gt;"",T891&lt;&gt;""),IF(C891=WOCHE!$B$3,1,0),0)</f>
        <v/>
      </c>
      <c r="X891">
        <f>N(X890)+IF(AND(V891&lt;&gt;"",T891&lt;&gt;""),IF(V891=MONAT!$AZ$3,1,0),0)</f>
        <v/>
      </c>
    </row>
    <row r="892">
      <c r="A892" s="19" t="n"/>
      <c r="B892" s="20">
        <f>IF(A892="","",CHOOSE(WEEKDAY(A892,2),"Mo","Di","Mi","Do","Fr","Sa","So"))</f>
        <v/>
      </c>
      <c r="C892" s="20">
        <f>IF(A892="","",INT((A892-DATE(YEAR(A892-WEEKDAY(A892-1)+4),1,3)+WEEKDAY(DATE(YEAR(A892-WEEKDAY(A892-1)+4),1,3))+5)/7))</f>
        <v/>
      </c>
      <c r="D892" s="21" t="n"/>
      <c r="E892" s="22" t="n"/>
      <c r="F892" s="23" t="n"/>
      <c r="G892" s="23" t="n"/>
      <c r="H892" s="23" t="n"/>
      <c r="I892" s="20">
        <f>IF(COUNT(F892:H892)=0,"",SUM(F892:H892))</f>
        <v/>
      </c>
      <c r="J892" s="23" t="n"/>
      <c r="K892" s="23" t="n"/>
      <c r="L892" s="23" t="n"/>
      <c r="M892" s="23" t="n"/>
      <c r="N892" s="23" t="n"/>
      <c r="O892" s="20">
        <f>IF(OR(I892="",COUNT(J892:N892)=0),"",IF(SUM(J892:N892)=I892,"✓","⚠ "&amp;SUM(J892:N892)&amp;" statt "&amp;I892))</f>
        <v/>
      </c>
      <c r="P892" s="21" t="n"/>
      <c r="Q892" s="21" t="n"/>
      <c r="R892" s="21" t="n"/>
      <c r="S892" s="24" t="n"/>
      <c r="T892" s="24" t="n"/>
      <c r="V892">
        <f>IF(A892="","",MONTH(A892))</f>
        <v/>
      </c>
      <c r="W892">
        <f>N(W891)+IF(AND(C892&lt;&gt;"",T892&lt;&gt;""),IF(C892=WOCHE!$B$3,1,0),0)</f>
        <v/>
      </c>
      <c r="X892">
        <f>N(X891)+IF(AND(V892&lt;&gt;"",T892&lt;&gt;""),IF(V892=MONAT!$AZ$3,1,0),0)</f>
        <v/>
      </c>
    </row>
    <row r="893">
      <c r="A893" s="19" t="n"/>
      <c r="B893" s="20">
        <f>IF(A893="","",CHOOSE(WEEKDAY(A893,2),"Mo","Di","Mi","Do","Fr","Sa","So"))</f>
        <v/>
      </c>
      <c r="C893" s="20">
        <f>IF(A893="","",INT((A893-DATE(YEAR(A893-WEEKDAY(A893-1)+4),1,3)+WEEKDAY(DATE(YEAR(A893-WEEKDAY(A893-1)+4),1,3))+5)/7))</f>
        <v/>
      </c>
      <c r="D893" s="21" t="n"/>
      <c r="E893" s="22" t="n"/>
      <c r="F893" s="23" t="n"/>
      <c r="G893" s="23" t="n"/>
      <c r="H893" s="23" t="n"/>
      <c r="I893" s="20">
        <f>IF(COUNT(F893:H893)=0,"",SUM(F893:H893))</f>
        <v/>
      </c>
      <c r="J893" s="23" t="n"/>
      <c r="K893" s="23" t="n"/>
      <c r="L893" s="23" t="n"/>
      <c r="M893" s="23" t="n"/>
      <c r="N893" s="23" t="n"/>
      <c r="O893" s="20">
        <f>IF(OR(I893="",COUNT(J893:N893)=0),"",IF(SUM(J893:N893)=I893,"✓","⚠ "&amp;SUM(J893:N893)&amp;" statt "&amp;I893))</f>
        <v/>
      </c>
      <c r="P893" s="21" t="n"/>
      <c r="Q893" s="21" t="n"/>
      <c r="R893" s="21" t="n"/>
      <c r="S893" s="24" t="n"/>
      <c r="T893" s="24" t="n"/>
      <c r="V893">
        <f>IF(A893="","",MONTH(A893))</f>
        <v/>
      </c>
      <c r="W893">
        <f>N(W892)+IF(AND(C893&lt;&gt;"",T893&lt;&gt;""),IF(C893=WOCHE!$B$3,1,0),0)</f>
        <v/>
      </c>
      <c r="X893">
        <f>N(X892)+IF(AND(V893&lt;&gt;"",T893&lt;&gt;""),IF(V893=MONAT!$AZ$3,1,0),0)</f>
        <v/>
      </c>
    </row>
    <row r="894">
      <c r="A894" s="19" t="n"/>
      <c r="B894" s="20">
        <f>IF(A894="","",CHOOSE(WEEKDAY(A894,2),"Mo","Di","Mi","Do","Fr","Sa","So"))</f>
        <v/>
      </c>
      <c r="C894" s="20">
        <f>IF(A894="","",INT((A894-DATE(YEAR(A894-WEEKDAY(A894-1)+4),1,3)+WEEKDAY(DATE(YEAR(A894-WEEKDAY(A894-1)+4),1,3))+5)/7))</f>
        <v/>
      </c>
      <c r="D894" s="21" t="n"/>
      <c r="E894" s="22" t="n"/>
      <c r="F894" s="23" t="n"/>
      <c r="G894" s="23" t="n"/>
      <c r="H894" s="23" t="n"/>
      <c r="I894" s="20">
        <f>IF(COUNT(F894:H894)=0,"",SUM(F894:H894))</f>
        <v/>
      </c>
      <c r="J894" s="23" t="n"/>
      <c r="K894" s="23" t="n"/>
      <c r="L894" s="23" t="n"/>
      <c r="M894" s="23" t="n"/>
      <c r="N894" s="23" t="n"/>
      <c r="O894" s="20">
        <f>IF(OR(I894="",COUNT(J894:N894)=0),"",IF(SUM(J894:N894)=I894,"✓","⚠ "&amp;SUM(J894:N894)&amp;" statt "&amp;I894))</f>
        <v/>
      </c>
      <c r="P894" s="21" t="n"/>
      <c r="Q894" s="21" t="n"/>
      <c r="R894" s="21" t="n"/>
      <c r="S894" s="24" t="n"/>
      <c r="T894" s="24" t="n"/>
      <c r="V894">
        <f>IF(A894="","",MONTH(A894))</f>
        <v/>
      </c>
      <c r="W894">
        <f>N(W893)+IF(AND(C894&lt;&gt;"",T894&lt;&gt;""),IF(C894=WOCHE!$B$3,1,0),0)</f>
        <v/>
      </c>
      <c r="X894">
        <f>N(X893)+IF(AND(V894&lt;&gt;"",T894&lt;&gt;""),IF(V894=MONAT!$AZ$3,1,0),0)</f>
        <v/>
      </c>
    </row>
    <row r="895">
      <c r="A895" s="19" t="n"/>
      <c r="B895" s="20">
        <f>IF(A895="","",CHOOSE(WEEKDAY(A895,2),"Mo","Di","Mi","Do","Fr","Sa","So"))</f>
        <v/>
      </c>
      <c r="C895" s="20">
        <f>IF(A895="","",INT((A895-DATE(YEAR(A895-WEEKDAY(A895-1)+4),1,3)+WEEKDAY(DATE(YEAR(A895-WEEKDAY(A895-1)+4),1,3))+5)/7))</f>
        <v/>
      </c>
      <c r="D895" s="21" t="n"/>
      <c r="E895" s="22" t="n"/>
      <c r="F895" s="23" t="n"/>
      <c r="G895" s="23" t="n"/>
      <c r="H895" s="23" t="n"/>
      <c r="I895" s="20">
        <f>IF(COUNT(F895:H895)=0,"",SUM(F895:H895))</f>
        <v/>
      </c>
      <c r="J895" s="23" t="n"/>
      <c r="K895" s="23" t="n"/>
      <c r="L895" s="23" t="n"/>
      <c r="M895" s="23" t="n"/>
      <c r="N895" s="23" t="n"/>
      <c r="O895" s="20">
        <f>IF(OR(I895="",COUNT(J895:N895)=0),"",IF(SUM(J895:N895)=I895,"✓","⚠ "&amp;SUM(J895:N895)&amp;" statt "&amp;I895))</f>
        <v/>
      </c>
      <c r="P895" s="21" t="n"/>
      <c r="Q895" s="21" t="n"/>
      <c r="R895" s="21" t="n"/>
      <c r="S895" s="24" t="n"/>
      <c r="T895" s="24" t="n"/>
      <c r="V895">
        <f>IF(A895="","",MONTH(A895))</f>
        <v/>
      </c>
      <c r="W895">
        <f>N(W894)+IF(AND(C895&lt;&gt;"",T895&lt;&gt;""),IF(C895=WOCHE!$B$3,1,0),0)</f>
        <v/>
      </c>
      <c r="X895">
        <f>N(X894)+IF(AND(V895&lt;&gt;"",T895&lt;&gt;""),IF(V895=MONAT!$AZ$3,1,0),0)</f>
        <v/>
      </c>
    </row>
    <row r="896">
      <c r="A896" s="19" t="n"/>
      <c r="B896" s="20">
        <f>IF(A896="","",CHOOSE(WEEKDAY(A896,2),"Mo","Di","Mi","Do","Fr","Sa","So"))</f>
        <v/>
      </c>
      <c r="C896" s="20">
        <f>IF(A896="","",INT((A896-DATE(YEAR(A896-WEEKDAY(A896-1)+4),1,3)+WEEKDAY(DATE(YEAR(A896-WEEKDAY(A896-1)+4),1,3))+5)/7))</f>
        <v/>
      </c>
      <c r="D896" s="21" t="n"/>
      <c r="E896" s="22" t="n"/>
      <c r="F896" s="23" t="n"/>
      <c r="G896" s="23" t="n"/>
      <c r="H896" s="23" t="n"/>
      <c r="I896" s="20">
        <f>IF(COUNT(F896:H896)=0,"",SUM(F896:H896))</f>
        <v/>
      </c>
      <c r="J896" s="23" t="n"/>
      <c r="K896" s="23" t="n"/>
      <c r="L896" s="23" t="n"/>
      <c r="M896" s="23" t="n"/>
      <c r="N896" s="23" t="n"/>
      <c r="O896" s="20">
        <f>IF(OR(I896="",COUNT(J896:N896)=0),"",IF(SUM(J896:N896)=I896,"✓","⚠ "&amp;SUM(J896:N896)&amp;" statt "&amp;I896))</f>
        <v/>
      </c>
      <c r="P896" s="21" t="n"/>
      <c r="Q896" s="21" t="n"/>
      <c r="R896" s="21" t="n"/>
      <c r="S896" s="24" t="n"/>
      <c r="T896" s="24" t="n"/>
      <c r="V896">
        <f>IF(A896="","",MONTH(A896))</f>
        <v/>
      </c>
      <c r="W896">
        <f>N(W895)+IF(AND(C896&lt;&gt;"",T896&lt;&gt;""),IF(C896=WOCHE!$B$3,1,0),0)</f>
        <v/>
      </c>
      <c r="X896">
        <f>N(X895)+IF(AND(V896&lt;&gt;"",T896&lt;&gt;""),IF(V896=MONAT!$AZ$3,1,0),0)</f>
        <v/>
      </c>
    </row>
    <row r="897">
      <c r="A897" s="19" t="n"/>
      <c r="B897" s="20">
        <f>IF(A897="","",CHOOSE(WEEKDAY(A897,2),"Mo","Di","Mi","Do","Fr","Sa","So"))</f>
        <v/>
      </c>
      <c r="C897" s="20">
        <f>IF(A897="","",INT((A897-DATE(YEAR(A897-WEEKDAY(A897-1)+4),1,3)+WEEKDAY(DATE(YEAR(A897-WEEKDAY(A897-1)+4),1,3))+5)/7))</f>
        <v/>
      </c>
      <c r="D897" s="21" t="n"/>
      <c r="E897" s="22" t="n"/>
      <c r="F897" s="23" t="n"/>
      <c r="G897" s="23" t="n"/>
      <c r="H897" s="23" t="n"/>
      <c r="I897" s="20">
        <f>IF(COUNT(F897:H897)=0,"",SUM(F897:H897))</f>
        <v/>
      </c>
      <c r="J897" s="23" t="n"/>
      <c r="K897" s="23" t="n"/>
      <c r="L897" s="23" t="n"/>
      <c r="M897" s="23" t="n"/>
      <c r="N897" s="23" t="n"/>
      <c r="O897" s="20">
        <f>IF(OR(I897="",COUNT(J897:N897)=0),"",IF(SUM(J897:N897)=I897,"✓","⚠ "&amp;SUM(J897:N897)&amp;" statt "&amp;I897))</f>
        <v/>
      </c>
      <c r="P897" s="21" t="n"/>
      <c r="Q897" s="21" t="n"/>
      <c r="R897" s="21" t="n"/>
      <c r="S897" s="24" t="n"/>
      <c r="T897" s="24" t="n"/>
      <c r="V897">
        <f>IF(A897="","",MONTH(A897))</f>
        <v/>
      </c>
      <c r="W897">
        <f>N(W896)+IF(AND(C897&lt;&gt;"",T897&lt;&gt;""),IF(C897=WOCHE!$B$3,1,0),0)</f>
        <v/>
      </c>
      <c r="X897">
        <f>N(X896)+IF(AND(V897&lt;&gt;"",T897&lt;&gt;""),IF(V897=MONAT!$AZ$3,1,0),0)</f>
        <v/>
      </c>
    </row>
    <row r="898">
      <c r="A898" s="19" t="n"/>
      <c r="B898" s="20">
        <f>IF(A898="","",CHOOSE(WEEKDAY(A898,2),"Mo","Di","Mi","Do","Fr","Sa","So"))</f>
        <v/>
      </c>
      <c r="C898" s="20">
        <f>IF(A898="","",INT((A898-DATE(YEAR(A898-WEEKDAY(A898-1)+4),1,3)+WEEKDAY(DATE(YEAR(A898-WEEKDAY(A898-1)+4),1,3))+5)/7))</f>
        <v/>
      </c>
      <c r="D898" s="21" t="n"/>
      <c r="E898" s="22" t="n"/>
      <c r="F898" s="23" t="n"/>
      <c r="G898" s="23" t="n"/>
      <c r="H898" s="23" t="n"/>
      <c r="I898" s="20">
        <f>IF(COUNT(F898:H898)=0,"",SUM(F898:H898))</f>
        <v/>
      </c>
      <c r="J898" s="23" t="n"/>
      <c r="K898" s="23" t="n"/>
      <c r="L898" s="23" t="n"/>
      <c r="M898" s="23" t="n"/>
      <c r="N898" s="23" t="n"/>
      <c r="O898" s="20">
        <f>IF(OR(I898="",COUNT(J898:N898)=0),"",IF(SUM(J898:N898)=I898,"✓","⚠ "&amp;SUM(J898:N898)&amp;" statt "&amp;I898))</f>
        <v/>
      </c>
      <c r="P898" s="21" t="n"/>
      <c r="Q898" s="21" t="n"/>
      <c r="R898" s="21" t="n"/>
      <c r="S898" s="24" t="n"/>
      <c r="T898" s="24" t="n"/>
      <c r="V898">
        <f>IF(A898="","",MONTH(A898))</f>
        <v/>
      </c>
      <c r="W898">
        <f>N(W897)+IF(AND(C898&lt;&gt;"",T898&lt;&gt;""),IF(C898=WOCHE!$B$3,1,0),0)</f>
        <v/>
      </c>
      <c r="X898">
        <f>N(X897)+IF(AND(V898&lt;&gt;"",T898&lt;&gt;""),IF(V898=MONAT!$AZ$3,1,0),0)</f>
        <v/>
      </c>
    </row>
    <row r="899">
      <c r="A899" s="19" t="n"/>
      <c r="B899" s="20">
        <f>IF(A899="","",CHOOSE(WEEKDAY(A899,2),"Mo","Di","Mi","Do","Fr","Sa","So"))</f>
        <v/>
      </c>
      <c r="C899" s="20">
        <f>IF(A899="","",INT((A899-DATE(YEAR(A899-WEEKDAY(A899-1)+4),1,3)+WEEKDAY(DATE(YEAR(A899-WEEKDAY(A899-1)+4),1,3))+5)/7))</f>
        <v/>
      </c>
      <c r="D899" s="21" t="n"/>
      <c r="E899" s="22" t="n"/>
      <c r="F899" s="23" t="n"/>
      <c r="G899" s="23" t="n"/>
      <c r="H899" s="23" t="n"/>
      <c r="I899" s="20">
        <f>IF(COUNT(F899:H899)=0,"",SUM(F899:H899))</f>
        <v/>
      </c>
      <c r="J899" s="23" t="n"/>
      <c r="K899" s="23" t="n"/>
      <c r="L899" s="23" t="n"/>
      <c r="M899" s="23" t="n"/>
      <c r="N899" s="23" t="n"/>
      <c r="O899" s="20">
        <f>IF(OR(I899="",COUNT(J899:N899)=0),"",IF(SUM(J899:N899)=I899,"✓","⚠ "&amp;SUM(J899:N899)&amp;" statt "&amp;I899))</f>
        <v/>
      </c>
      <c r="P899" s="21" t="n"/>
      <c r="Q899" s="21" t="n"/>
      <c r="R899" s="21" t="n"/>
      <c r="S899" s="24" t="n"/>
      <c r="T899" s="24" t="n"/>
      <c r="V899">
        <f>IF(A899="","",MONTH(A899))</f>
        <v/>
      </c>
      <c r="W899">
        <f>N(W898)+IF(AND(C899&lt;&gt;"",T899&lt;&gt;""),IF(C899=WOCHE!$B$3,1,0),0)</f>
        <v/>
      </c>
      <c r="X899">
        <f>N(X898)+IF(AND(V899&lt;&gt;"",T899&lt;&gt;""),IF(V899=MONAT!$AZ$3,1,0),0)</f>
        <v/>
      </c>
    </row>
    <row r="900">
      <c r="A900" s="19" t="n"/>
      <c r="B900" s="20">
        <f>IF(A900="","",CHOOSE(WEEKDAY(A900,2),"Mo","Di","Mi","Do","Fr","Sa","So"))</f>
        <v/>
      </c>
      <c r="C900" s="20">
        <f>IF(A900="","",INT((A900-DATE(YEAR(A900-WEEKDAY(A900-1)+4),1,3)+WEEKDAY(DATE(YEAR(A900-WEEKDAY(A900-1)+4),1,3))+5)/7))</f>
        <v/>
      </c>
      <c r="D900" s="21" t="n"/>
      <c r="E900" s="22" t="n"/>
      <c r="F900" s="23" t="n"/>
      <c r="G900" s="23" t="n"/>
      <c r="H900" s="23" t="n"/>
      <c r="I900" s="20">
        <f>IF(COUNT(F900:H900)=0,"",SUM(F900:H900))</f>
        <v/>
      </c>
      <c r="J900" s="23" t="n"/>
      <c r="K900" s="23" t="n"/>
      <c r="L900" s="23" t="n"/>
      <c r="M900" s="23" t="n"/>
      <c r="N900" s="23" t="n"/>
      <c r="O900" s="20">
        <f>IF(OR(I900="",COUNT(J900:N900)=0),"",IF(SUM(J900:N900)=I900,"✓","⚠ "&amp;SUM(J900:N900)&amp;" statt "&amp;I900))</f>
        <v/>
      </c>
      <c r="P900" s="21" t="n"/>
      <c r="Q900" s="21" t="n"/>
      <c r="R900" s="21" t="n"/>
      <c r="S900" s="24" t="n"/>
      <c r="T900" s="24" t="n"/>
      <c r="V900">
        <f>IF(A900="","",MONTH(A900))</f>
        <v/>
      </c>
      <c r="W900">
        <f>N(W899)+IF(AND(C900&lt;&gt;"",T900&lt;&gt;""),IF(C900=WOCHE!$B$3,1,0),0)</f>
        <v/>
      </c>
      <c r="X900">
        <f>N(X899)+IF(AND(V900&lt;&gt;"",T900&lt;&gt;""),IF(V900=MONAT!$AZ$3,1,0),0)</f>
        <v/>
      </c>
    </row>
    <row r="901">
      <c r="A901" s="19" t="n"/>
      <c r="B901" s="20">
        <f>IF(A901="","",CHOOSE(WEEKDAY(A901,2),"Mo","Di","Mi","Do","Fr","Sa","So"))</f>
        <v/>
      </c>
      <c r="C901" s="20">
        <f>IF(A901="","",INT((A901-DATE(YEAR(A901-WEEKDAY(A901-1)+4),1,3)+WEEKDAY(DATE(YEAR(A901-WEEKDAY(A901-1)+4),1,3))+5)/7))</f>
        <v/>
      </c>
      <c r="D901" s="21" t="n"/>
      <c r="E901" s="22" t="n"/>
      <c r="F901" s="23" t="n"/>
      <c r="G901" s="23" t="n"/>
      <c r="H901" s="23" t="n"/>
      <c r="I901" s="20">
        <f>IF(COUNT(F901:H901)=0,"",SUM(F901:H901))</f>
        <v/>
      </c>
      <c r="J901" s="23" t="n"/>
      <c r="K901" s="23" t="n"/>
      <c r="L901" s="23" t="n"/>
      <c r="M901" s="23" t="n"/>
      <c r="N901" s="23" t="n"/>
      <c r="O901" s="20">
        <f>IF(OR(I901="",COUNT(J901:N901)=0),"",IF(SUM(J901:N901)=I901,"✓","⚠ "&amp;SUM(J901:N901)&amp;" statt "&amp;I901))</f>
        <v/>
      </c>
      <c r="P901" s="21" t="n"/>
      <c r="Q901" s="21" t="n"/>
      <c r="R901" s="21" t="n"/>
      <c r="S901" s="24" t="n"/>
      <c r="T901" s="24" t="n"/>
      <c r="V901">
        <f>IF(A901="","",MONTH(A901))</f>
        <v/>
      </c>
      <c r="W901">
        <f>N(W900)+IF(AND(C901&lt;&gt;"",T901&lt;&gt;""),IF(C901=WOCHE!$B$3,1,0),0)</f>
        <v/>
      </c>
      <c r="X901">
        <f>N(X900)+IF(AND(V901&lt;&gt;"",T901&lt;&gt;""),IF(V901=MONAT!$AZ$3,1,0),0)</f>
        <v/>
      </c>
    </row>
    <row r="902">
      <c r="A902" s="19" t="n"/>
      <c r="B902" s="20">
        <f>IF(A902="","",CHOOSE(WEEKDAY(A902,2),"Mo","Di","Mi","Do","Fr","Sa","So"))</f>
        <v/>
      </c>
      <c r="C902" s="20">
        <f>IF(A902="","",INT((A902-DATE(YEAR(A902-WEEKDAY(A902-1)+4),1,3)+WEEKDAY(DATE(YEAR(A902-WEEKDAY(A902-1)+4),1,3))+5)/7))</f>
        <v/>
      </c>
      <c r="D902" s="21" t="n"/>
      <c r="E902" s="22" t="n"/>
      <c r="F902" s="23" t="n"/>
      <c r="G902" s="23" t="n"/>
      <c r="H902" s="23" t="n"/>
      <c r="I902" s="20">
        <f>IF(COUNT(F902:H902)=0,"",SUM(F902:H902))</f>
        <v/>
      </c>
      <c r="J902" s="23" t="n"/>
      <c r="K902" s="23" t="n"/>
      <c r="L902" s="23" t="n"/>
      <c r="M902" s="23" t="n"/>
      <c r="N902" s="23" t="n"/>
      <c r="O902" s="20">
        <f>IF(OR(I902="",COUNT(J902:N902)=0),"",IF(SUM(J902:N902)=I902,"✓","⚠ "&amp;SUM(J902:N902)&amp;" statt "&amp;I902))</f>
        <v/>
      </c>
      <c r="P902" s="21" t="n"/>
      <c r="Q902" s="21" t="n"/>
      <c r="R902" s="21" t="n"/>
      <c r="S902" s="24" t="n"/>
      <c r="T902" s="24" t="n"/>
      <c r="V902">
        <f>IF(A902="","",MONTH(A902))</f>
        <v/>
      </c>
      <c r="W902">
        <f>N(W901)+IF(AND(C902&lt;&gt;"",T902&lt;&gt;""),IF(C902=WOCHE!$B$3,1,0),0)</f>
        <v/>
      </c>
      <c r="X902">
        <f>N(X901)+IF(AND(V902&lt;&gt;"",T902&lt;&gt;""),IF(V902=MONAT!$AZ$3,1,0),0)</f>
        <v/>
      </c>
    </row>
    <row r="903">
      <c r="A903" s="19" t="n"/>
      <c r="B903" s="20">
        <f>IF(A903="","",CHOOSE(WEEKDAY(A903,2),"Mo","Di","Mi","Do","Fr","Sa","So"))</f>
        <v/>
      </c>
      <c r="C903" s="20">
        <f>IF(A903="","",INT((A903-DATE(YEAR(A903-WEEKDAY(A903-1)+4),1,3)+WEEKDAY(DATE(YEAR(A903-WEEKDAY(A903-1)+4),1,3))+5)/7))</f>
        <v/>
      </c>
      <c r="D903" s="21" t="n"/>
      <c r="E903" s="22" t="n"/>
      <c r="F903" s="23" t="n"/>
      <c r="G903" s="23" t="n"/>
      <c r="H903" s="23" t="n"/>
      <c r="I903" s="20">
        <f>IF(COUNT(F903:H903)=0,"",SUM(F903:H903))</f>
        <v/>
      </c>
      <c r="J903" s="23" t="n"/>
      <c r="K903" s="23" t="n"/>
      <c r="L903" s="23" t="n"/>
      <c r="M903" s="23" t="n"/>
      <c r="N903" s="23" t="n"/>
      <c r="O903" s="20">
        <f>IF(OR(I903="",COUNT(J903:N903)=0),"",IF(SUM(J903:N903)=I903,"✓","⚠ "&amp;SUM(J903:N903)&amp;" statt "&amp;I903))</f>
        <v/>
      </c>
      <c r="P903" s="21" t="n"/>
      <c r="Q903" s="21" t="n"/>
      <c r="R903" s="21" t="n"/>
      <c r="S903" s="24" t="n"/>
      <c r="T903" s="24" t="n"/>
      <c r="V903">
        <f>IF(A903="","",MONTH(A903))</f>
        <v/>
      </c>
      <c r="W903">
        <f>N(W902)+IF(AND(C903&lt;&gt;"",T903&lt;&gt;""),IF(C903=WOCHE!$B$3,1,0),0)</f>
        <v/>
      </c>
      <c r="X903">
        <f>N(X902)+IF(AND(V903&lt;&gt;"",T903&lt;&gt;""),IF(V903=MONAT!$AZ$3,1,0),0)</f>
        <v/>
      </c>
    </row>
    <row r="904">
      <c r="A904" s="19" t="n"/>
      <c r="B904" s="20">
        <f>IF(A904="","",CHOOSE(WEEKDAY(A904,2),"Mo","Di","Mi","Do","Fr","Sa","So"))</f>
        <v/>
      </c>
      <c r="C904" s="20">
        <f>IF(A904="","",INT((A904-DATE(YEAR(A904-WEEKDAY(A904-1)+4),1,3)+WEEKDAY(DATE(YEAR(A904-WEEKDAY(A904-1)+4),1,3))+5)/7))</f>
        <v/>
      </c>
      <c r="D904" s="21" t="n"/>
      <c r="E904" s="22" t="n"/>
      <c r="F904" s="23" t="n"/>
      <c r="G904" s="23" t="n"/>
      <c r="H904" s="23" t="n"/>
      <c r="I904" s="20">
        <f>IF(COUNT(F904:H904)=0,"",SUM(F904:H904))</f>
        <v/>
      </c>
      <c r="J904" s="23" t="n"/>
      <c r="K904" s="23" t="n"/>
      <c r="L904" s="23" t="n"/>
      <c r="M904" s="23" t="n"/>
      <c r="N904" s="23" t="n"/>
      <c r="O904" s="20">
        <f>IF(OR(I904="",COUNT(J904:N904)=0),"",IF(SUM(J904:N904)=I904,"✓","⚠ "&amp;SUM(J904:N904)&amp;" statt "&amp;I904))</f>
        <v/>
      </c>
      <c r="P904" s="21" t="n"/>
      <c r="Q904" s="21" t="n"/>
      <c r="R904" s="21" t="n"/>
      <c r="S904" s="24" t="n"/>
      <c r="T904" s="24" t="n"/>
      <c r="V904">
        <f>IF(A904="","",MONTH(A904))</f>
        <v/>
      </c>
      <c r="W904">
        <f>N(W903)+IF(AND(C904&lt;&gt;"",T904&lt;&gt;""),IF(C904=WOCHE!$B$3,1,0),0)</f>
        <v/>
      </c>
      <c r="X904">
        <f>N(X903)+IF(AND(V904&lt;&gt;"",T904&lt;&gt;""),IF(V904=MONAT!$AZ$3,1,0),0)</f>
        <v/>
      </c>
    </row>
    <row r="905">
      <c r="A905" s="19" t="n"/>
      <c r="B905" s="20">
        <f>IF(A905="","",CHOOSE(WEEKDAY(A905,2),"Mo","Di","Mi","Do","Fr","Sa","So"))</f>
        <v/>
      </c>
      <c r="C905" s="20">
        <f>IF(A905="","",INT((A905-DATE(YEAR(A905-WEEKDAY(A905-1)+4),1,3)+WEEKDAY(DATE(YEAR(A905-WEEKDAY(A905-1)+4),1,3))+5)/7))</f>
        <v/>
      </c>
      <c r="D905" s="21" t="n"/>
      <c r="E905" s="22" t="n"/>
      <c r="F905" s="23" t="n"/>
      <c r="G905" s="23" t="n"/>
      <c r="H905" s="23" t="n"/>
      <c r="I905" s="20">
        <f>IF(COUNT(F905:H905)=0,"",SUM(F905:H905))</f>
        <v/>
      </c>
      <c r="J905" s="23" t="n"/>
      <c r="K905" s="23" t="n"/>
      <c r="L905" s="23" t="n"/>
      <c r="M905" s="23" t="n"/>
      <c r="N905" s="23" t="n"/>
      <c r="O905" s="20">
        <f>IF(OR(I905="",COUNT(J905:N905)=0),"",IF(SUM(J905:N905)=I905,"✓","⚠ "&amp;SUM(J905:N905)&amp;" statt "&amp;I905))</f>
        <v/>
      </c>
      <c r="P905" s="21" t="n"/>
      <c r="Q905" s="21" t="n"/>
      <c r="R905" s="21" t="n"/>
      <c r="S905" s="24" t="n"/>
      <c r="T905" s="24" t="n"/>
      <c r="V905">
        <f>IF(A905="","",MONTH(A905))</f>
        <v/>
      </c>
      <c r="W905">
        <f>N(W904)+IF(AND(C905&lt;&gt;"",T905&lt;&gt;""),IF(C905=WOCHE!$B$3,1,0),0)</f>
        <v/>
      </c>
      <c r="X905">
        <f>N(X904)+IF(AND(V905&lt;&gt;"",T905&lt;&gt;""),IF(V905=MONAT!$AZ$3,1,0),0)</f>
        <v/>
      </c>
    </row>
    <row r="906">
      <c r="A906" s="19" t="n"/>
      <c r="B906" s="20">
        <f>IF(A906="","",CHOOSE(WEEKDAY(A906,2),"Mo","Di","Mi","Do","Fr","Sa","So"))</f>
        <v/>
      </c>
      <c r="C906" s="20">
        <f>IF(A906="","",INT((A906-DATE(YEAR(A906-WEEKDAY(A906-1)+4),1,3)+WEEKDAY(DATE(YEAR(A906-WEEKDAY(A906-1)+4),1,3))+5)/7))</f>
        <v/>
      </c>
      <c r="D906" s="21" t="n"/>
      <c r="E906" s="22" t="n"/>
      <c r="F906" s="23" t="n"/>
      <c r="G906" s="23" t="n"/>
      <c r="H906" s="23" t="n"/>
      <c r="I906" s="20">
        <f>IF(COUNT(F906:H906)=0,"",SUM(F906:H906))</f>
        <v/>
      </c>
      <c r="J906" s="23" t="n"/>
      <c r="K906" s="23" t="n"/>
      <c r="L906" s="23" t="n"/>
      <c r="M906" s="23" t="n"/>
      <c r="N906" s="23" t="n"/>
      <c r="O906" s="20">
        <f>IF(OR(I906="",COUNT(J906:N906)=0),"",IF(SUM(J906:N906)=I906,"✓","⚠ "&amp;SUM(J906:N906)&amp;" statt "&amp;I906))</f>
        <v/>
      </c>
      <c r="P906" s="21" t="n"/>
      <c r="Q906" s="21" t="n"/>
      <c r="R906" s="21" t="n"/>
      <c r="S906" s="24" t="n"/>
      <c r="T906" s="24" t="n"/>
      <c r="V906">
        <f>IF(A906="","",MONTH(A906))</f>
        <v/>
      </c>
      <c r="W906">
        <f>N(W905)+IF(AND(C906&lt;&gt;"",T906&lt;&gt;""),IF(C906=WOCHE!$B$3,1,0),0)</f>
        <v/>
      </c>
      <c r="X906">
        <f>N(X905)+IF(AND(V906&lt;&gt;"",T906&lt;&gt;""),IF(V906=MONAT!$AZ$3,1,0),0)</f>
        <v/>
      </c>
    </row>
    <row r="907">
      <c r="A907" s="19" t="n"/>
      <c r="B907" s="20">
        <f>IF(A907="","",CHOOSE(WEEKDAY(A907,2),"Mo","Di","Mi","Do","Fr","Sa","So"))</f>
        <v/>
      </c>
      <c r="C907" s="20">
        <f>IF(A907="","",INT((A907-DATE(YEAR(A907-WEEKDAY(A907-1)+4),1,3)+WEEKDAY(DATE(YEAR(A907-WEEKDAY(A907-1)+4),1,3))+5)/7))</f>
        <v/>
      </c>
      <c r="D907" s="21" t="n"/>
      <c r="E907" s="22" t="n"/>
      <c r="F907" s="23" t="n"/>
      <c r="G907" s="23" t="n"/>
      <c r="H907" s="23" t="n"/>
      <c r="I907" s="20">
        <f>IF(COUNT(F907:H907)=0,"",SUM(F907:H907))</f>
        <v/>
      </c>
      <c r="J907" s="23" t="n"/>
      <c r="K907" s="23" t="n"/>
      <c r="L907" s="23" t="n"/>
      <c r="M907" s="23" t="n"/>
      <c r="N907" s="23" t="n"/>
      <c r="O907" s="20">
        <f>IF(OR(I907="",COUNT(J907:N907)=0),"",IF(SUM(J907:N907)=I907,"✓","⚠ "&amp;SUM(J907:N907)&amp;" statt "&amp;I907))</f>
        <v/>
      </c>
      <c r="P907" s="21" t="n"/>
      <c r="Q907" s="21" t="n"/>
      <c r="R907" s="21" t="n"/>
      <c r="S907" s="24" t="n"/>
      <c r="T907" s="24" t="n"/>
      <c r="V907">
        <f>IF(A907="","",MONTH(A907))</f>
        <v/>
      </c>
      <c r="W907">
        <f>N(W906)+IF(AND(C907&lt;&gt;"",T907&lt;&gt;""),IF(C907=WOCHE!$B$3,1,0),0)</f>
        <v/>
      </c>
      <c r="X907">
        <f>N(X906)+IF(AND(V907&lt;&gt;"",T907&lt;&gt;""),IF(V907=MONAT!$AZ$3,1,0),0)</f>
        <v/>
      </c>
    </row>
    <row r="908">
      <c r="A908" s="19" t="n"/>
      <c r="B908" s="20">
        <f>IF(A908="","",CHOOSE(WEEKDAY(A908,2),"Mo","Di","Mi","Do","Fr","Sa","So"))</f>
        <v/>
      </c>
      <c r="C908" s="20">
        <f>IF(A908="","",INT((A908-DATE(YEAR(A908-WEEKDAY(A908-1)+4),1,3)+WEEKDAY(DATE(YEAR(A908-WEEKDAY(A908-1)+4),1,3))+5)/7))</f>
        <v/>
      </c>
      <c r="D908" s="21" t="n"/>
      <c r="E908" s="22" t="n"/>
      <c r="F908" s="23" t="n"/>
      <c r="G908" s="23" t="n"/>
      <c r="H908" s="23" t="n"/>
      <c r="I908" s="20">
        <f>IF(COUNT(F908:H908)=0,"",SUM(F908:H908))</f>
        <v/>
      </c>
      <c r="J908" s="23" t="n"/>
      <c r="K908" s="23" t="n"/>
      <c r="L908" s="23" t="n"/>
      <c r="M908" s="23" t="n"/>
      <c r="N908" s="23" t="n"/>
      <c r="O908" s="20">
        <f>IF(OR(I908="",COUNT(J908:N908)=0),"",IF(SUM(J908:N908)=I908,"✓","⚠ "&amp;SUM(J908:N908)&amp;" statt "&amp;I908))</f>
        <v/>
      </c>
      <c r="P908" s="21" t="n"/>
      <c r="Q908" s="21" t="n"/>
      <c r="R908" s="21" t="n"/>
      <c r="S908" s="24" t="n"/>
      <c r="T908" s="24" t="n"/>
      <c r="V908">
        <f>IF(A908="","",MONTH(A908))</f>
        <v/>
      </c>
      <c r="W908">
        <f>N(W907)+IF(AND(C908&lt;&gt;"",T908&lt;&gt;""),IF(C908=WOCHE!$B$3,1,0),0)</f>
        <v/>
      </c>
      <c r="X908">
        <f>N(X907)+IF(AND(V908&lt;&gt;"",T908&lt;&gt;""),IF(V908=MONAT!$AZ$3,1,0),0)</f>
        <v/>
      </c>
    </row>
    <row r="909">
      <c r="A909" s="19" t="n"/>
      <c r="B909" s="20">
        <f>IF(A909="","",CHOOSE(WEEKDAY(A909,2),"Mo","Di","Mi","Do","Fr","Sa","So"))</f>
        <v/>
      </c>
      <c r="C909" s="20">
        <f>IF(A909="","",INT((A909-DATE(YEAR(A909-WEEKDAY(A909-1)+4),1,3)+WEEKDAY(DATE(YEAR(A909-WEEKDAY(A909-1)+4),1,3))+5)/7))</f>
        <v/>
      </c>
      <c r="D909" s="21" t="n"/>
      <c r="E909" s="22" t="n"/>
      <c r="F909" s="23" t="n"/>
      <c r="G909" s="23" t="n"/>
      <c r="H909" s="23" t="n"/>
      <c r="I909" s="20">
        <f>IF(COUNT(F909:H909)=0,"",SUM(F909:H909))</f>
        <v/>
      </c>
      <c r="J909" s="23" t="n"/>
      <c r="K909" s="23" t="n"/>
      <c r="L909" s="23" t="n"/>
      <c r="M909" s="23" t="n"/>
      <c r="N909" s="23" t="n"/>
      <c r="O909" s="20">
        <f>IF(OR(I909="",COUNT(J909:N909)=0),"",IF(SUM(J909:N909)=I909,"✓","⚠ "&amp;SUM(J909:N909)&amp;" statt "&amp;I909))</f>
        <v/>
      </c>
      <c r="P909" s="21" t="n"/>
      <c r="Q909" s="21" t="n"/>
      <c r="R909" s="21" t="n"/>
      <c r="S909" s="24" t="n"/>
      <c r="T909" s="24" t="n"/>
      <c r="V909">
        <f>IF(A909="","",MONTH(A909))</f>
        <v/>
      </c>
      <c r="W909">
        <f>N(W908)+IF(AND(C909&lt;&gt;"",T909&lt;&gt;""),IF(C909=WOCHE!$B$3,1,0),0)</f>
        <v/>
      </c>
      <c r="X909">
        <f>N(X908)+IF(AND(V909&lt;&gt;"",T909&lt;&gt;""),IF(V909=MONAT!$AZ$3,1,0),0)</f>
        <v/>
      </c>
    </row>
    <row r="910">
      <c r="A910" s="19" t="n"/>
      <c r="B910" s="20">
        <f>IF(A910="","",CHOOSE(WEEKDAY(A910,2),"Mo","Di","Mi","Do","Fr","Sa","So"))</f>
        <v/>
      </c>
      <c r="C910" s="20">
        <f>IF(A910="","",INT((A910-DATE(YEAR(A910-WEEKDAY(A910-1)+4),1,3)+WEEKDAY(DATE(YEAR(A910-WEEKDAY(A910-1)+4),1,3))+5)/7))</f>
        <v/>
      </c>
      <c r="D910" s="21" t="n"/>
      <c r="E910" s="22" t="n"/>
      <c r="F910" s="23" t="n"/>
      <c r="G910" s="23" t="n"/>
      <c r="H910" s="23" t="n"/>
      <c r="I910" s="20">
        <f>IF(COUNT(F910:H910)=0,"",SUM(F910:H910))</f>
        <v/>
      </c>
      <c r="J910" s="23" t="n"/>
      <c r="K910" s="23" t="n"/>
      <c r="L910" s="23" t="n"/>
      <c r="M910" s="23" t="n"/>
      <c r="N910" s="23" t="n"/>
      <c r="O910" s="20">
        <f>IF(OR(I910="",COUNT(J910:N910)=0),"",IF(SUM(J910:N910)=I910,"✓","⚠ "&amp;SUM(J910:N910)&amp;" statt "&amp;I910))</f>
        <v/>
      </c>
      <c r="P910" s="21" t="n"/>
      <c r="Q910" s="21" t="n"/>
      <c r="R910" s="21" t="n"/>
      <c r="S910" s="24" t="n"/>
      <c r="T910" s="24" t="n"/>
      <c r="V910">
        <f>IF(A910="","",MONTH(A910))</f>
        <v/>
      </c>
      <c r="W910">
        <f>N(W909)+IF(AND(C910&lt;&gt;"",T910&lt;&gt;""),IF(C910=WOCHE!$B$3,1,0),0)</f>
        <v/>
      </c>
      <c r="X910">
        <f>N(X909)+IF(AND(V910&lt;&gt;"",T910&lt;&gt;""),IF(V910=MONAT!$AZ$3,1,0),0)</f>
        <v/>
      </c>
    </row>
    <row r="911">
      <c r="A911" s="19" t="n"/>
      <c r="B911" s="20">
        <f>IF(A911="","",CHOOSE(WEEKDAY(A911,2),"Mo","Di","Mi","Do","Fr","Sa","So"))</f>
        <v/>
      </c>
      <c r="C911" s="20">
        <f>IF(A911="","",INT((A911-DATE(YEAR(A911-WEEKDAY(A911-1)+4),1,3)+WEEKDAY(DATE(YEAR(A911-WEEKDAY(A911-1)+4),1,3))+5)/7))</f>
        <v/>
      </c>
      <c r="D911" s="21" t="n"/>
      <c r="E911" s="22" t="n"/>
      <c r="F911" s="23" t="n"/>
      <c r="G911" s="23" t="n"/>
      <c r="H911" s="23" t="n"/>
      <c r="I911" s="20">
        <f>IF(COUNT(F911:H911)=0,"",SUM(F911:H911))</f>
        <v/>
      </c>
      <c r="J911" s="23" t="n"/>
      <c r="K911" s="23" t="n"/>
      <c r="L911" s="23" t="n"/>
      <c r="M911" s="23" t="n"/>
      <c r="N911" s="23" t="n"/>
      <c r="O911" s="20">
        <f>IF(OR(I911="",COUNT(J911:N911)=0),"",IF(SUM(J911:N911)=I911,"✓","⚠ "&amp;SUM(J911:N911)&amp;" statt "&amp;I911))</f>
        <v/>
      </c>
      <c r="P911" s="21" t="n"/>
      <c r="Q911" s="21" t="n"/>
      <c r="R911" s="21" t="n"/>
      <c r="S911" s="24" t="n"/>
      <c r="T911" s="24" t="n"/>
      <c r="V911">
        <f>IF(A911="","",MONTH(A911))</f>
        <v/>
      </c>
      <c r="W911">
        <f>N(W910)+IF(AND(C911&lt;&gt;"",T911&lt;&gt;""),IF(C911=WOCHE!$B$3,1,0),0)</f>
        <v/>
      </c>
      <c r="X911">
        <f>N(X910)+IF(AND(V911&lt;&gt;"",T911&lt;&gt;""),IF(V911=MONAT!$AZ$3,1,0),0)</f>
        <v/>
      </c>
    </row>
    <row r="912">
      <c r="A912" s="19" t="n"/>
      <c r="B912" s="20">
        <f>IF(A912="","",CHOOSE(WEEKDAY(A912,2),"Mo","Di","Mi","Do","Fr","Sa","So"))</f>
        <v/>
      </c>
      <c r="C912" s="20">
        <f>IF(A912="","",INT((A912-DATE(YEAR(A912-WEEKDAY(A912-1)+4),1,3)+WEEKDAY(DATE(YEAR(A912-WEEKDAY(A912-1)+4),1,3))+5)/7))</f>
        <v/>
      </c>
      <c r="D912" s="21" t="n"/>
      <c r="E912" s="22" t="n"/>
      <c r="F912" s="23" t="n"/>
      <c r="G912" s="23" t="n"/>
      <c r="H912" s="23" t="n"/>
      <c r="I912" s="20">
        <f>IF(COUNT(F912:H912)=0,"",SUM(F912:H912))</f>
        <v/>
      </c>
      <c r="J912" s="23" t="n"/>
      <c r="K912" s="23" t="n"/>
      <c r="L912" s="23" t="n"/>
      <c r="M912" s="23" t="n"/>
      <c r="N912" s="23" t="n"/>
      <c r="O912" s="20">
        <f>IF(OR(I912="",COUNT(J912:N912)=0),"",IF(SUM(J912:N912)=I912,"✓","⚠ "&amp;SUM(J912:N912)&amp;" statt "&amp;I912))</f>
        <v/>
      </c>
      <c r="P912" s="21" t="n"/>
      <c r="Q912" s="21" t="n"/>
      <c r="R912" s="21" t="n"/>
      <c r="S912" s="24" t="n"/>
      <c r="T912" s="24" t="n"/>
      <c r="V912">
        <f>IF(A912="","",MONTH(A912))</f>
        <v/>
      </c>
      <c r="W912">
        <f>N(W911)+IF(AND(C912&lt;&gt;"",T912&lt;&gt;""),IF(C912=WOCHE!$B$3,1,0),0)</f>
        <v/>
      </c>
      <c r="X912">
        <f>N(X911)+IF(AND(V912&lt;&gt;"",T912&lt;&gt;""),IF(V912=MONAT!$AZ$3,1,0),0)</f>
        <v/>
      </c>
    </row>
    <row r="913">
      <c r="A913" s="19" t="n"/>
      <c r="B913" s="20">
        <f>IF(A913="","",CHOOSE(WEEKDAY(A913,2),"Mo","Di","Mi","Do","Fr","Sa","So"))</f>
        <v/>
      </c>
      <c r="C913" s="20">
        <f>IF(A913="","",INT((A913-DATE(YEAR(A913-WEEKDAY(A913-1)+4),1,3)+WEEKDAY(DATE(YEAR(A913-WEEKDAY(A913-1)+4),1,3))+5)/7))</f>
        <v/>
      </c>
      <c r="D913" s="21" t="n"/>
      <c r="E913" s="22" t="n"/>
      <c r="F913" s="23" t="n"/>
      <c r="G913" s="23" t="n"/>
      <c r="H913" s="23" t="n"/>
      <c r="I913" s="20">
        <f>IF(COUNT(F913:H913)=0,"",SUM(F913:H913))</f>
        <v/>
      </c>
      <c r="J913" s="23" t="n"/>
      <c r="K913" s="23" t="n"/>
      <c r="L913" s="23" t="n"/>
      <c r="M913" s="23" t="n"/>
      <c r="N913" s="23" t="n"/>
      <c r="O913" s="20">
        <f>IF(OR(I913="",COUNT(J913:N913)=0),"",IF(SUM(J913:N913)=I913,"✓","⚠ "&amp;SUM(J913:N913)&amp;" statt "&amp;I913))</f>
        <v/>
      </c>
      <c r="P913" s="21" t="n"/>
      <c r="Q913" s="21" t="n"/>
      <c r="R913" s="21" t="n"/>
      <c r="S913" s="24" t="n"/>
      <c r="T913" s="24" t="n"/>
      <c r="V913">
        <f>IF(A913="","",MONTH(A913))</f>
        <v/>
      </c>
      <c r="W913">
        <f>N(W912)+IF(AND(C913&lt;&gt;"",T913&lt;&gt;""),IF(C913=WOCHE!$B$3,1,0),0)</f>
        <v/>
      </c>
      <c r="X913">
        <f>N(X912)+IF(AND(V913&lt;&gt;"",T913&lt;&gt;""),IF(V913=MONAT!$AZ$3,1,0),0)</f>
        <v/>
      </c>
    </row>
    <row r="914">
      <c r="A914" s="19" t="n"/>
      <c r="B914" s="20">
        <f>IF(A914="","",CHOOSE(WEEKDAY(A914,2),"Mo","Di","Mi","Do","Fr","Sa","So"))</f>
        <v/>
      </c>
      <c r="C914" s="20">
        <f>IF(A914="","",INT((A914-DATE(YEAR(A914-WEEKDAY(A914-1)+4),1,3)+WEEKDAY(DATE(YEAR(A914-WEEKDAY(A914-1)+4),1,3))+5)/7))</f>
        <v/>
      </c>
      <c r="D914" s="21" t="n"/>
      <c r="E914" s="22" t="n"/>
      <c r="F914" s="23" t="n"/>
      <c r="G914" s="23" t="n"/>
      <c r="H914" s="23" t="n"/>
      <c r="I914" s="20">
        <f>IF(COUNT(F914:H914)=0,"",SUM(F914:H914))</f>
        <v/>
      </c>
      <c r="J914" s="23" t="n"/>
      <c r="K914" s="23" t="n"/>
      <c r="L914" s="23" t="n"/>
      <c r="M914" s="23" t="n"/>
      <c r="N914" s="23" t="n"/>
      <c r="O914" s="20">
        <f>IF(OR(I914="",COUNT(J914:N914)=0),"",IF(SUM(J914:N914)=I914,"✓","⚠ "&amp;SUM(J914:N914)&amp;" statt "&amp;I914))</f>
        <v/>
      </c>
      <c r="P914" s="21" t="n"/>
      <c r="Q914" s="21" t="n"/>
      <c r="R914" s="21" t="n"/>
      <c r="S914" s="24" t="n"/>
      <c r="T914" s="24" t="n"/>
      <c r="V914">
        <f>IF(A914="","",MONTH(A914))</f>
        <v/>
      </c>
      <c r="W914">
        <f>N(W913)+IF(AND(C914&lt;&gt;"",T914&lt;&gt;""),IF(C914=WOCHE!$B$3,1,0),0)</f>
        <v/>
      </c>
      <c r="X914">
        <f>N(X913)+IF(AND(V914&lt;&gt;"",T914&lt;&gt;""),IF(V914=MONAT!$AZ$3,1,0),0)</f>
        <v/>
      </c>
    </row>
    <row r="915">
      <c r="A915" s="19" t="n"/>
      <c r="B915" s="20">
        <f>IF(A915="","",CHOOSE(WEEKDAY(A915,2),"Mo","Di","Mi","Do","Fr","Sa","So"))</f>
        <v/>
      </c>
      <c r="C915" s="20">
        <f>IF(A915="","",INT((A915-DATE(YEAR(A915-WEEKDAY(A915-1)+4),1,3)+WEEKDAY(DATE(YEAR(A915-WEEKDAY(A915-1)+4),1,3))+5)/7))</f>
        <v/>
      </c>
      <c r="D915" s="21" t="n"/>
      <c r="E915" s="22" t="n"/>
      <c r="F915" s="23" t="n"/>
      <c r="G915" s="23" t="n"/>
      <c r="H915" s="23" t="n"/>
      <c r="I915" s="20">
        <f>IF(COUNT(F915:H915)=0,"",SUM(F915:H915))</f>
        <v/>
      </c>
      <c r="J915" s="23" t="n"/>
      <c r="K915" s="23" t="n"/>
      <c r="L915" s="23" t="n"/>
      <c r="M915" s="23" t="n"/>
      <c r="N915" s="23" t="n"/>
      <c r="O915" s="20">
        <f>IF(OR(I915="",COUNT(J915:N915)=0),"",IF(SUM(J915:N915)=I915,"✓","⚠ "&amp;SUM(J915:N915)&amp;" statt "&amp;I915))</f>
        <v/>
      </c>
      <c r="P915" s="21" t="n"/>
      <c r="Q915" s="21" t="n"/>
      <c r="R915" s="21" t="n"/>
      <c r="S915" s="24" t="n"/>
      <c r="T915" s="24" t="n"/>
      <c r="V915">
        <f>IF(A915="","",MONTH(A915))</f>
        <v/>
      </c>
      <c r="W915">
        <f>N(W914)+IF(AND(C915&lt;&gt;"",T915&lt;&gt;""),IF(C915=WOCHE!$B$3,1,0),0)</f>
        <v/>
      </c>
      <c r="X915">
        <f>N(X914)+IF(AND(V915&lt;&gt;"",T915&lt;&gt;""),IF(V915=MONAT!$AZ$3,1,0),0)</f>
        <v/>
      </c>
    </row>
    <row r="916">
      <c r="A916" s="19" t="n"/>
      <c r="B916" s="20">
        <f>IF(A916="","",CHOOSE(WEEKDAY(A916,2),"Mo","Di","Mi","Do","Fr","Sa","So"))</f>
        <v/>
      </c>
      <c r="C916" s="20">
        <f>IF(A916="","",INT((A916-DATE(YEAR(A916-WEEKDAY(A916-1)+4),1,3)+WEEKDAY(DATE(YEAR(A916-WEEKDAY(A916-1)+4),1,3))+5)/7))</f>
        <v/>
      </c>
      <c r="D916" s="21" t="n"/>
      <c r="E916" s="22" t="n"/>
      <c r="F916" s="23" t="n"/>
      <c r="G916" s="23" t="n"/>
      <c r="H916" s="23" t="n"/>
      <c r="I916" s="20">
        <f>IF(COUNT(F916:H916)=0,"",SUM(F916:H916))</f>
        <v/>
      </c>
      <c r="J916" s="23" t="n"/>
      <c r="K916" s="23" t="n"/>
      <c r="L916" s="23" t="n"/>
      <c r="M916" s="23" t="n"/>
      <c r="N916" s="23" t="n"/>
      <c r="O916" s="20">
        <f>IF(OR(I916="",COUNT(J916:N916)=0),"",IF(SUM(J916:N916)=I916,"✓","⚠ "&amp;SUM(J916:N916)&amp;" statt "&amp;I916))</f>
        <v/>
      </c>
      <c r="P916" s="21" t="n"/>
      <c r="Q916" s="21" t="n"/>
      <c r="R916" s="21" t="n"/>
      <c r="S916" s="24" t="n"/>
      <c r="T916" s="24" t="n"/>
      <c r="V916">
        <f>IF(A916="","",MONTH(A916))</f>
        <v/>
      </c>
      <c r="W916">
        <f>N(W915)+IF(AND(C916&lt;&gt;"",T916&lt;&gt;""),IF(C916=WOCHE!$B$3,1,0),0)</f>
        <v/>
      </c>
      <c r="X916">
        <f>N(X915)+IF(AND(V916&lt;&gt;"",T916&lt;&gt;""),IF(V916=MONAT!$AZ$3,1,0),0)</f>
        <v/>
      </c>
    </row>
    <row r="917">
      <c r="A917" s="19" t="n"/>
      <c r="B917" s="20">
        <f>IF(A917="","",CHOOSE(WEEKDAY(A917,2),"Mo","Di","Mi","Do","Fr","Sa","So"))</f>
        <v/>
      </c>
      <c r="C917" s="20">
        <f>IF(A917="","",INT((A917-DATE(YEAR(A917-WEEKDAY(A917-1)+4),1,3)+WEEKDAY(DATE(YEAR(A917-WEEKDAY(A917-1)+4),1,3))+5)/7))</f>
        <v/>
      </c>
      <c r="D917" s="21" t="n"/>
      <c r="E917" s="22" t="n"/>
      <c r="F917" s="23" t="n"/>
      <c r="G917" s="23" t="n"/>
      <c r="H917" s="23" t="n"/>
      <c r="I917" s="20">
        <f>IF(COUNT(F917:H917)=0,"",SUM(F917:H917))</f>
        <v/>
      </c>
      <c r="J917" s="23" t="n"/>
      <c r="K917" s="23" t="n"/>
      <c r="L917" s="23" t="n"/>
      <c r="M917" s="23" t="n"/>
      <c r="N917" s="23" t="n"/>
      <c r="O917" s="20">
        <f>IF(OR(I917="",COUNT(J917:N917)=0),"",IF(SUM(J917:N917)=I917,"✓","⚠ "&amp;SUM(J917:N917)&amp;" statt "&amp;I917))</f>
        <v/>
      </c>
      <c r="P917" s="21" t="n"/>
      <c r="Q917" s="21" t="n"/>
      <c r="R917" s="21" t="n"/>
      <c r="S917" s="24" t="n"/>
      <c r="T917" s="24" t="n"/>
      <c r="V917">
        <f>IF(A917="","",MONTH(A917))</f>
        <v/>
      </c>
      <c r="W917">
        <f>N(W916)+IF(AND(C917&lt;&gt;"",T917&lt;&gt;""),IF(C917=WOCHE!$B$3,1,0),0)</f>
        <v/>
      </c>
      <c r="X917">
        <f>N(X916)+IF(AND(V917&lt;&gt;"",T917&lt;&gt;""),IF(V917=MONAT!$AZ$3,1,0),0)</f>
        <v/>
      </c>
    </row>
    <row r="918">
      <c r="A918" s="19" t="n"/>
      <c r="B918" s="20">
        <f>IF(A918="","",CHOOSE(WEEKDAY(A918,2),"Mo","Di","Mi","Do","Fr","Sa","So"))</f>
        <v/>
      </c>
      <c r="C918" s="20">
        <f>IF(A918="","",INT((A918-DATE(YEAR(A918-WEEKDAY(A918-1)+4),1,3)+WEEKDAY(DATE(YEAR(A918-WEEKDAY(A918-1)+4),1,3))+5)/7))</f>
        <v/>
      </c>
      <c r="D918" s="21" t="n"/>
      <c r="E918" s="22" t="n"/>
      <c r="F918" s="23" t="n"/>
      <c r="G918" s="23" t="n"/>
      <c r="H918" s="23" t="n"/>
      <c r="I918" s="20">
        <f>IF(COUNT(F918:H918)=0,"",SUM(F918:H918))</f>
        <v/>
      </c>
      <c r="J918" s="23" t="n"/>
      <c r="K918" s="23" t="n"/>
      <c r="L918" s="23" t="n"/>
      <c r="M918" s="23" t="n"/>
      <c r="N918" s="23" t="n"/>
      <c r="O918" s="20">
        <f>IF(OR(I918="",COUNT(J918:N918)=0),"",IF(SUM(J918:N918)=I918,"✓","⚠ "&amp;SUM(J918:N918)&amp;" statt "&amp;I918))</f>
        <v/>
      </c>
      <c r="P918" s="21" t="n"/>
      <c r="Q918" s="21" t="n"/>
      <c r="R918" s="21" t="n"/>
      <c r="S918" s="24" t="n"/>
      <c r="T918" s="24" t="n"/>
      <c r="V918">
        <f>IF(A918="","",MONTH(A918))</f>
        <v/>
      </c>
      <c r="W918">
        <f>N(W917)+IF(AND(C918&lt;&gt;"",T918&lt;&gt;""),IF(C918=WOCHE!$B$3,1,0),0)</f>
        <v/>
      </c>
      <c r="X918">
        <f>N(X917)+IF(AND(V918&lt;&gt;"",T918&lt;&gt;""),IF(V918=MONAT!$AZ$3,1,0),0)</f>
        <v/>
      </c>
    </row>
    <row r="919">
      <c r="A919" s="19" t="n"/>
      <c r="B919" s="20">
        <f>IF(A919="","",CHOOSE(WEEKDAY(A919,2),"Mo","Di","Mi","Do","Fr","Sa","So"))</f>
        <v/>
      </c>
      <c r="C919" s="20">
        <f>IF(A919="","",INT((A919-DATE(YEAR(A919-WEEKDAY(A919-1)+4),1,3)+WEEKDAY(DATE(YEAR(A919-WEEKDAY(A919-1)+4),1,3))+5)/7))</f>
        <v/>
      </c>
      <c r="D919" s="21" t="n"/>
      <c r="E919" s="22" t="n"/>
      <c r="F919" s="23" t="n"/>
      <c r="G919" s="23" t="n"/>
      <c r="H919" s="23" t="n"/>
      <c r="I919" s="20">
        <f>IF(COUNT(F919:H919)=0,"",SUM(F919:H919))</f>
        <v/>
      </c>
      <c r="J919" s="23" t="n"/>
      <c r="K919" s="23" t="n"/>
      <c r="L919" s="23" t="n"/>
      <c r="M919" s="23" t="n"/>
      <c r="N919" s="23" t="n"/>
      <c r="O919" s="20">
        <f>IF(OR(I919="",COUNT(J919:N919)=0),"",IF(SUM(J919:N919)=I919,"✓","⚠ "&amp;SUM(J919:N919)&amp;" statt "&amp;I919))</f>
        <v/>
      </c>
      <c r="P919" s="21" t="n"/>
      <c r="Q919" s="21" t="n"/>
      <c r="R919" s="21" t="n"/>
      <c r="S919" s="24" t="n"/>
      <c r="T919" s="24" t="n"/>
      <c r="V919">
        <f>IF(A919="","",MONTH(A919))</f>
        <v/>
      </c>
      <c r="W919">
        <f>N(W918)+IF(AND(C919&lt;&gt;"",T919&lt;&gt;""),IF(C919=WOCHE!$B$3,1,0),0)</f>
        <v/>
      </c>
      <c r="X919">
        <f>N(X918)+IF(AND(V919&lt;&gt;"",T919&lt;&gt;""),IF(V919=MONAT!$AZ$3,1,0),0)</f>
        <v/>
      </c>
    </row>
    <row r="920">
      <c r="A920" s="19" t="n"/>
      <c r="B920" s="20">
        <f>IF(A920="","",CHOOSE(WEEKDAY(A920,2),"Mo","Di","Mi","Do","Fr","Sa","So"))</f>
        <v/>
      </c>
      <c r="C920" s="20">
        <f>IF(A920="","",INT((A920-DATE(YEAR(A920-WEEKDAY(A920-1)+4),1,3)+WEEKDAY(DATE(YEAR(A920-WEEKDAY(A920-1)+4),1,3))+5)/7))</f>
        <v/>
      </c>
      <c r="D920" s="21" t="n"/>
      <c r="E920" s="22" t="n"/>
      <c r="F920" s="23" t="n"/>
      <c r="G920" s="23" t="n"/>
      <c r="H920" s="23" t="n"/>
      <c r="I920" s="20">
        <f>IF(COUNT(F920:H920)=0,"",SUM(F920:H920))</f>
        <v/>
      </c>
      <c r="J920" s="23" t="n"/>
      <c r="K920" s="23" t="n"/>
      <c r="L920" s="23" t="n"/>
      <c r="M920" s="23" t="n"/>
      <c r="N920" s="23" t="n"/>
      <c r="O920" s="20">
        <f>IF(OR(I920="",COUNT(J920:N920)=0),"",IF(SUM(J920:N920)=I920,"✓","⚠ "&amp;SUM(J920:N920)&amp;" statt "&amp;I920))</f>
        <v/>
      </c>
      <c r="P920" s="21" t="n"/>
      <c r="Q920" s="21" t="n"/>
      <c r="R920" s="21" t="n"/>
      <c r="S920" s="24" t="n"/>
      <c r="T920" s="24" t="n"/>
      <c r="V920">
        <f>IF(A920="","",MONTH(A920))</f>
        <v/>
      </c>
      <c r="W920">
        <f>N(W919)+IF(AND(C920&lt;&gt;"",T920&lt;&gt;""),IF(C920=WOCHE!$B$3,1,0),0)</f>
        <v/>
      </c>
      <c r="X920">
        <f>N(X919)+IF(AND(V920&lt;&gt;"",T920&lt;&gt;""),IF(V920=MONAT!$AZ$3,1,0),0)</f>
        <v/>
      </c>
    </row>
    <row r="921">
      <c r="A921" s="19" t="n"/>
      <c r="B921" s="20">
        <f>IF(A921="","",CHOOSE(WEEKDAY(A921,2),"Mo","Di","Mi","Do","Fr","Sa","So"))</f>
        <v/>
      </c>
      <c r="C921" s="20">
        <f>IF(A921="","",INT((A921-DATE(YEAR(A921-WEEKDAY(A921-1)+4),1,3)+WEEKDAY(DATE(YEAR(A921-WEEKDAY(A921-1)+4),1,3))+5)/7))</f>
        <v/>
      </c>
      <c r="D921" s="21" t="n"/>
      <c r="E921" s="22" t="n"/>
      <c r="F921" s="23" t="n"/>
      <c r="G921" s="23" t="n"/>
      <c r="H921" s="23" t="n"/>
      <c r="I921" s="20">
        <f>IF(COUNT(F921:H921)=0,"",SUM(F921:H921))</f>
        <v/>
      </c>
      <c r="J921" s="23" t="n"/>
      <c r="K921" s="23" t="n"/>
      <c r="L921" s="23" t="n"/>
      <c r="M921" s="23" t="n"/>
      <c r="N921" s="23" t="n"/>
      <c r="O921" s="20">
        <f>IF(OR(I921="",COUNT(J921:N921)=0),"",IF(SUM(J921:N921)=I921,"✓","⚠ "&amp;SUM(J921:N921)&amp;" statt "&amp;I921))</f>
        <v/>
      </c>
      <c r="P921" s="21" t="n"/>
      <c r="Q921" s="21" t="n"/>
      <c r="R921" s="21" t="n"/>
      <c r="S921" s="24" t="n"/>
      <c r="T921" s="24" t="n"/>
      <c r="V921">
        <f>IF(A921="","",MONTH(A921))</f>
        <v/>
      </c>
      <c r="W921">
        <f>N(W920)+IF(AND(C921&lt;&gt;"",T921&lt;&gt;""),IF(C921=WOCHE!$B$3,1,0),0)</f>
        <v/>
      </c>
      <c r="X921">
        <f>N(X920)+IF(AND(V921&lt;&gt;"",T921&lt;&gt;""),IF(V921=MONAT!$AZ$3,1,0),0)</f>
        <v/>
      </c>
    </row>
    <row r="922">
      <c r="A922" s="19" t="n"/>
      <c r="B922" s="20">
        <f>IF(A922="","",CHOOSE(WEEKDAY(A922,2),"Mo","Di","Mi","Do","Fr","Sa","So"))</f>
        <v/>
      </c>
      <c r="C922" s="20">
        <f>IF(A922="","",INT((A922-DATE(YEAR(A922-WEEKDAY(A922-1)+4),1,3)+WEEKDAY(DATE(YEAR(A922-WEEKDAY(A922-1)+4),1,3))+5)/7))</f>
        <v/>
      </c>
      <c r="D922" s="21" t="n"/>
      <c r="E922" s="22" t="n"/>
      <c r="F922" s="23" t="n"/>
      <c r="G922" s="23" t="n"/>
      <c r="H922" s="23" t="n"/>
      <c r="I922" s="20">
        <f>IF(COUNT(F922:H922)=0,"",SUM(F922:H922))</f>
        <v/>
      </c>
      <c r="J922" s="23" t="n"/>
      <c r="K922" s="23" t="n"/>
      <c r="L922" s="23" t="n"/>
      <c r="M922" s="23" t="n"/>
      <c r="N922" s="23" t="n"/>
      <c r="O922" s="20">
        <f>IF(OR(I922="",COUNT(J922:N922)=0),"",IF(SUM(J922:N922)=I922,"✓","⚠ "&amp;SUM(J922:N922)&amp;" statt "&amp;I922))</f>
        <v/>
      </c>
      <c r="P922" s="21" t="n"/>
      <c r="Q922" s="21" t="n"/>
      <c r="R922" s="21" t="n"/>
      <c r="S922" s="24" t="n"/>
      <c r="T922" s="24" t="n"/>
      <c r="V922">
        <f>IF(A922="","",MONTH(A922))</f>
        <v/>
      </c>
      <c r="W922">
        <f>N(W921)+IF(AND(C922&lt;&gt;"",T922&lt;&gt;""),IF(C922=WOCHE!$B$3,1,0),0)</f>
        <v/>
      </c>
      <c r="X922">
        <f>N(X921)+IF(AND(V922&lt;&gt;"",T922&lt;&gt;""),IF(V922=MONAT!$AZ$3,1,0),0)</f>
        <v/>
      </c>
    </row>
    <row r="923">
      <c r="A923" s="19" t="n"/>
      <c r="B923" s="20">
        <f>IF(A923="","",CHOOSE(WEEKDAY(A923,2),"Mo","Di","Mi","Do","Fr","Sa","So"))</f>
        <v/>
      </c>
      <c r="C923" s="20">
        <f>IF(A923="","",INT((A923-DATE(YEAR(A923-WEEKDAY(A923-1)+4),1,3)+WEEKDAY(DATE(YEAR(A923-WEEKDAY(A923-1)+4),1,3))+5)/7))</f>
        <v/>
      </c>
      <c r="D923" s="21" t="n"/>
      <c r="E923" s="22" t="n"/>
      <c r="F923" s="23" t="n"/>
      <c r="G923" s="23" t="n"/>
      <c r="H923" s="23" t="n"/>
      <c r="I923" s="20">
        <f>IF(COUNT(F923:H923)=0,"",SUM(F923:H923))</f>
        <v/>
      </c>
      <c r="J923" s="23" t="n"/>
      <c r="K923" s="23" t="n"/>
      <c r="L923" s="23" t="n"/>
      <c r="M923" s="23" t="n"/>
      <c r="N923" s="23" t="n"/>
      <c r="O923" s="20">
        <f>IF(OR(I923="",COUNT(J923:N923)=0),"",IF(SUM(J923:N923)=I923,"✓","⚠ "&amp;SUM(J923:N923)&amp;" statt "&amp;I923))</f>
        <v/>
      </c>
      <c r="P923" s="21" t="n"/>
      <c r="Q923" s="21" t="n"/>
      <c r="R923" s="21" t="n"/>
      <c r="S923" s="24" t="n"/>
      <c r="T923" s="24" t="n"/>
      <c r="V923">
        <f>IF(A923="","",MONTH(A923))</f>
        <v/>
      </c>
      <c r="W923">
        <f>N(W922)+IF(AND(C923&lt;&gt;"",T923&lt;&gt;""),IF(C923=WOCHE!$B$3,1,0),0)</f>
        <v/>
      </c>
      <c r="X923">
        <f>N(X922)+IF(AND(V923&lt;&gt;"",T923&lt;&gt;""),IF(V923=MONAT!$AZ$3,1,0),0)</f>
        <v/>
      </c>
    </row>
    <row r="924">
      <c r="A924" s="19" t="n"/>
      <c r="B924" s="20">
        <f>IF(A924="","",CHOOSE(WEEKDAY(A924,2),"Mo","Di","Mi","Do","Fr","Sa","So"))</f>
        <v/>
      </c>
      <c r="C924" s="20">
        <f>IF(A924="","",INT((A924-DATE(YEAR(A924-WEEKDAY(A924-1)+4),1,3)+WEEKDAY(DATE(YEAR(A924-WEEKDAY(A924-1)+4),1,3))+5)/7))</f>
        <v/>
      </c>
      <c r="D924" s="21" t="n"/>
      <c r="E924" s="22" t="n"/>
      <c r="F924" s="23" t="n"/>
      <c r="G924" s="23" t="n"/>
      <c r="H924" s="23" t="n"/>
      <c r="I924" s="20">
        <f>IF(COUNT(F924:H924)=0,"",SUM(F924:H924))</f>
        <v/>
      </c>
      <c r="J924" s="23" t="n"/>
      <c r="K924" s="23" t="n"/>
      <c r="L924" s="23" t="n"/>
      <c r="M924" s="23" t="n"/>
      <c r="N924" s="23" t="n"/>
      <c r="O924" s="20">
        <f>IF(OR(I924="",COUNT(J924:N924)=0),"",IF(SUM(J924:N924)=I924,"✓","⚠ "&amp;SUM(J924:N924)&amp;" statt "&amp;I924))</f>
        <v/>
      </c>
      <c r="P924" s="21" t="n"/>
      <c r="Q924" s="21" t="n"/>
      <c r="R924" s="21" t="n"/>
      <c r="S924" s="24" t="n"/>
      <c r="T924" s="24" t="n"/>
      <c r="V924">
        <f>IF(A924="","",MONTH(A924))</f>
        <v/>
      </c>
      <c r="W924">
        <f>N(W923)+IF(AND(C924&lt;&gt;"",T924&lt;&gt;""),IF(C924=WOCHE!$B$3,1,0),0)</f>
        <v/>
      </c>
      <c r="X924">
        <f>N(X923)+IF(AND(V924&lt;&gt;"",T924&lt;&gt;""),IF(V924=MONAT!$AZ$3,1,0),0)</f>
        <v/>
      </c>
    </row>
    <row r="925">
      <c r="A925" s="19" t="n"/>
      <c r="B925" s="20">
        <f>IF(A925="","",CHOOSE(WEEKDAY(A925,2),"Mo","Di","Mi","Do","Fr","Sa","So"))</f>
        <v/>
      </c>
      <c r="C925" s="20">
        <f>IF(A925="","",INT((A925-DATE(YEAR(A925-WEEKDAY(A925-1)+4),1,3)+WEEKDAY(DATE(YEAR(A925-WEEKDAY(A925-1)+4),1,3))+5)/7))</f>
        <v/>
      </c>
      <c r="D925" s="21" t="n"/>
      <c r="E925" s="22" t="n"/>
      <c r="F925" s="23" t="n"/>
      <c r="G925" s="23" t="n"/>
      <c r="H925" s="23" t="n"/>
      <c r="I925" s="20">
        <f>IF(COUNT(F925:H925)=0,"",SUM(F925:H925))</f>
        <v/>
      </c>
      <c r="J925" s="23" t="n"/>
      <c r="K925" s="23" t="n"/>
      <c r="L925" s="23" t="n"/>
      <c r="M925" s="23" t="n"/>
      <c r="N925" s="23" t="n"/>
      <c r="O925" s="20">
        <f>IF(OR(I925="",COUNT(J925:N925)=0),"",IF(SUM(J925:N925)=I925,"✓","⚠ "&amp;SUM(J925:N925)&amp;" statt "&amp;I925))</f>
        <v/>
      </c>
      <c r="P925" s="21" t="n"/>
      <c r="Q925" s="21" t="n"/>
      <c r="R925" s="21" t="n"/>
      <c r="S925" s="24" t="n"/>
      <c r="T925" s="24" t="n"/>
      <c r="V925">
        <f>IF(A925="","",MONTH(A925))</f>
        <v/>
      </c>
      <c r="W925">
        <f>N(W924)+IF(AND(C925&lt;&gt;"",T925&lt;&gt;""),IF(C925=WOCHE!$B$3,1,0),0)</f>
        <v/>
      </c>
      <c r="X925">
        <f>N(X924)+IF(AND(V925&lt;&gt;"",T925&lt;&gt;""),IF(V925=MONAT!$AZ$3,1,0),0)</f>
        <v/>
      </c>
    </row>
    <row r="926">
      <c r="A926" s="19" t="n"/>
      <c r="B926" s="20">
        <f>IF(A926="","",CHOOSE(WEEKDAY(A926,2),"Mo","Di","Mi","Do","Fr","Sa","So"))</f>
        <v/>
      </c>
      <c r="C926" s="20">
        <f>IF(A926="","",INT((A926-DATE(YEAR(A926-WEEKDAY(A926-1)+4),1,3)+WEEKDAY(DATE(YEAR(A926-WEEKDAY(A926-1)+4),1,3))+5)/7))</f>
        <v/>
      </c>
      <c r="D926" s="21" t="n"/>
      <c r="E926" s="22" t="n"/>
      <c r="F926" s="23" t="n"/>
      <c r="G926" s="23" t="n"/>
      <c r="H926" s="23" t="n"/>
      <c r="I926" s="20">
        <f>IF(COUNT(F926:H926)=0,"",SUM(F926:H926))</f>
        <v/>
      </c>
      <c r="J926" s="23" t="n"/>
      <c r="K926" s="23" t="n"/>
      <c r="L926" s="23" t="n"/>
      <c r="M926" s="23" t="n"/>
      <c r="N926" s="23" t="n"/>
      <c r="O926" s="20">
        <f>IF(OR(I926="",COUNT(J926:N926)=0),"",IF(SUM(J926:N926)=I926,"✓","⚠ "&amp;SUM(J926:N926)&amp;" statt "&amp;I926))</f>
        <v/>
      </c>
      <c r="P926" s="21" t="n"/>
      <c r="Q926" s="21" t="n"/>
      <c r="R926" s="21" t="n"/>
      <c r="S926" s="24" t="n"/>
      <c r="T926" s="24" t="n"/>
      <c r="V926">
        <f>IF(A926="","",MONTH(A926))</f>
        <v/>
      </c>
      <c r="W926">
        <f>N(W925)+IF(AND(C926&lt;&gt;"",T926&lt;&gt;""),IF(C926=WOCHE!$B$3,1,0),0)</f>
        <v/>
      </c>
      <c r="X926">
        <f>N(X925)+IF(AND(V926&lt;&gt;"",T926&lt;&gt;""),IF(V926=MONAT!$AZ$3,1,0),0)</f>
        <v/>
      </c>
    </row>
    <row r="927">
      <c r="A927" s="19" t="n"/>
      <c r="B927" s="20">
        <f>IF(A927="","",CHOOSE(WEEKDAY(A927,2),"Mo","Di","Mi","Do","Fr","Sa","So"))</f>
        <v/>
      </c>
      <c r="C927" s="20">
        <f>IF(A927="","",INT((A927-DATE(YEAR(A927-WEEKDAY(A927-1)+4),1,3)+WEEKDAY(DATE(YEAR(A927-WEEKDAY(A927-1)+4),1,3))+5)/7))</f>
        <v/>
      </c>
      <c r="D927" s="21" t="n"/>
      <c r="E927" s="22" t="n"/>
      <c r="F927" s="23" t="n"/>
      <c r="G927" s="23" t="n"/>
      <c r="H927" s="23" t="n"/>
      <c r="I927" s="20">
        <f>IF(COUNT(F927:H927)=0,"",SUM(F927:H927))</f>
        <v/>
      </c>
      <c r="J927" s="23" t="n"/>
      <c r="K927" s="23" t="n"/>
      <c r="L927" s="23" t="n"/>
      <c r="M927" s="23" t="n"/>
      <c r="N927" s="23" t="n"/>
      <c r="O927" s="20">
        <f>IF(OR(I927="",COUNT(J927:N927)=0),"",IF(SUM(J927:N927)=I927,"✓","⚠ "&amp;SUM(J927:N927)&amp;" statt "&amp;I927))</f>
        <v/>
      </c>
      <c r="P927" s="21" t="n"/>
      <c r="Q927" s="21" t="n"/>
      <c r="R927" s="21" t="n"/>
      <c r="S927" s="24" t="n"/>
      <c r="T927" s="24" t="n"/>
      <c r="V927">
        <f>IF(A927="","",MONTH(A927))</f>
        <v/>
      </c>
      <c r="W927">
        <f>N(W926)+IF(AND(C927&lt;&gt;"",T927&lt;&gt;""),IF(C927=WOCHE!$B$3,1,0),0)</f>
        <v/>
      </c>
      <c r="X927">
        <f>N(X926)+IF(AND(V927&lt;&gt;"",T927&lt;&gt;""),IF(V927=MONAT!$AZ$3,1,0),0)</f>
        <v/>
      </c>
    </row>
    <row r="928">
      <c r="A928" s="19" t="n"/>
      <c r="B928" s="20">
        <f>IF(A928="","",CHOOSE(WEEKDAY(A928,2),"Mo","Di","Mi","Do","Fr","Sa","So"))</f>
        <v/>
      </c>
      <c r="C928" s="20">
        <f>IF(A928="","",INT((A928-DATE(YEAR(A928-WEEKDAY(A928-1)+4),1,3)+WEEKDAY(DATE(YEAR(A928-WEEKDAY(A928-1)+4),1,3))+5)/7))</f>
        <v/>
      </c>
      <c r="D928" s="21" t="n"/>
      <c r="E928" s="22" t="n"/>
      <c r="F928" s="23" t="n"/>
      <c r="G928" s="23" t="n"/>
      <c r="H928" s="23" t="n"/>
      <c r="I928" s="20">
        <f>IF(COUNT(F928:H928)=0,"",SUM(F928:H928))</f>
        <v/>
      </c>
      <c r="J928" s="23" t="n"/>
      <c r="K928" s="23" t="n"/>
      <c r="L928" s="23" t="n"/>
      <c r="M928" s="23" t="n"/>
      <c r="N928" s="23" t="n"/>
      <c r="O928" s="20">
        <f>IF(OR(I928="",COUNT(J928:N928)=0),"",IF(SUM(J928:N928)=I928,"✓","⚠ "&amp;SUM(J928:N928)&amp;" statt "&amp;I928))</f>
        <v/>
      </c>
      <c r="P928" s="21" t="n"/>
      <c r="Q928" s="21" t="n"/>
      <c r="R928" s="21" t="n"/>
      <c r="S928" s="24" t="n"/>
      <c r="T928" s="24" t="n"/>
      <c r="V928">
        <f>IF(A928="","",MONTH(A928))</f>
        <v/>
      </c>
      <c r="W928">
        <f>N(W927)+IF(AND(C928&lt;&gt;"",T928&lt;&gt;""),IF(C928=WOCHE!$B$3,1,0),0)</f>
        <v/>
      </c>
      <c r="X928">
        <f>N(X927)+IF(AND(V928&lt;&gt;"",T928&lt;&gt;""),IF(V928=MONAT!$AZ$3,1,0),0)</f>
        <v/>
      </c>
    </row>
    <row r="929">
      <c r="A929" s="19" t="n"/>
      <c r="B929" s="20">
        <f>IF(A929="","",CHOOSE(WEEKDAY(A929,2),"Mo","Di","Mi","Do","Fr","Sa","So"))</f>
        <v/>
      </c>
      <c r="C929" s="20">
        <f>IF(A929="","",INT((A929-DATE(YEAR(A929-WEEKDAY(A929-1)+4),1,3)+WEEKDAY(DATE(YEAR(A929-WEEKDAY(A929-1)+4),1,3))+5)/7))</f>
        <v/>
      </c>
      <c r="D929" s="21" t="n"/>
      <c r="E929" s="22" t="n"/>
      <c r="F929" s="23" t="n"/>
      <c r="G929" s="23" t="n"/>
      <c r="H929" s="23" t="n"/>
      <c r="I929" s="20">
        <f>IF(COUNT(F929:H929)=0,"",SUM(F929:H929))</f>
        <v/>
      </c>
      <c r="J929" s="23" t="n"/>
      <c r="K929" s="23" t="n"/>
      <c r="L929" s="23" t="n"/>
      <c r="M929" s="23" t="n"/>
      <c r="N929" s="23" t="n"/>
      <c r="O929" s="20">
        <f>IF(OR(I929="",COUNT(J929:N929)=0),"",IF(SUM(J929:N929)=I929,"✓","⚠ "&amp;SUM(J929:N929)&amp;" statt "&amp;I929))</f>
        <v/>
      </c>
      <c r="P929" s="21" t="n"/>
      <c r="Q929" s="21" t="n"/>
      <c r="R929" s="21" t="n"/>
      <c r="S929" s="24" t="n"/>
      <c r="T929" s="24" t="n"/>
      <c r="V929">
        <f>IF(A929="","",MONTH(A929))</f>
        <v/>
      </c>
      <c r="W929">
        <f>N(W928)+IF(AND(C929&lt;&gt;"",T929&lt;&gt;""),IF(C929=WOCHE!$B$3,1,0),0)</f>
        <v/>
      </c>
      <c r="X929">
        <f>N(X928)+IF(AND(V929&lt;&gt;"",T929&lt;&gt;""),IF(V929=MONAT!$AZ$3,1,0),0)</f>
        <v/>
      </c>
    </row>
    <row r="930">
      <c r="A930" s="19" t="n"/>
      <c r="B930" s="20">
        <f>IF(A930="","",CHOOSE(WEEKDAY(A930,2),"Mo","Di","Mi","Do","Fr","Sa","So"))</f>
        <v/>
      </c>
      <c r="C930" s="20">
        <f>IF(A930="","",INT((A930-DATE(YEAR(A930-WEEKDAY(A930-1)+4),1,3)+WEEKDAY(DATE(YEAR(A930-WEEKDAY(A930-1)+4),1,3))+5)/7))</f>
        <v/>
      </c>
      <c r="D930" s="21" t="n"/>
      <c r="E930" s="22" t="n"/>
      <c r="F930" s="23" t="n"/>
      <c r="G930" s="23" t="n"/>
      <c r="H930" s="23" t="n"/>
      <c r="I930" s="20">
        <f>IF(COUNT(F930:H930)=0,"",SUM(F930:H930))</f>
        <v/>
      </c>
      <c r="J930" s="23" t="n"/>
      <c r="K930" s="23" t="n"/>
      <c r="L930" s="23" t="n"/>
      <c r="M930" s="23" t="n"/>
      <c r="N930" s="23" t="n"/>
      <c r="O930" s="20">
        <f>IF(OR(I930="",COUNT(J930:N930)=0),"",IF(SUM(J930:N930)=I930,"✓","⚠ "&amp;SUM(J930:N930)&amp;" statt "&amp;I930))</f>
        <v/>
      </c>
      <c r="P930" s="21" t="n"/>
      <c r="Q930" s="21" t="n"/>
      <c r="R930" s="21" t="n"/>
      <c r="S930" s="24" t="n"/>
      <c r="T930" s="24" t="n"/>
      <c r="V930">
        <f>IF(A930="","",MONTH(A930))</f>
        <v/>
      </c>
      <c r="W930">
        <f>N(W929)+IF(AND(C930&lt;&gt;"",T930&lt;&gt;""),IF(C930=WOCHE!$B$3,1,0),0)</f>
        <v/>
      </c>
      <c r="X930">
        <f>N(X929)+IF(AND(V930&lt;&gt;"",T930&lt;&gt;""),IF(V930=MONAT!$AZ$3,1,0),0)</f>
        <v/>
      </c>
    </row>
    <row r="931">
      <c r="A931" s="19" t="n"/>
      <c r="B931" s="20">
        <f>IF(A931="","",CHOOSE(WEEKDAY(A931,2),"Mo","Di","Mi","Do","Fr","Sa","So"))</f>
        <v/>
      </c>
      <c r="C931" s="20">
        <f>IF(A931="","",INT((A931-DATE(YEAR(A931-WEEKDAY(A931-1)+4),1,3)+WEEKDAY(DATE(YEAR(A931-WEEKDAY(A931-1)+4),1,3))+5)/7))</f>
        <v/>
      </c>
      <c r="D931" s="21" t="n"/>
      <c r="E931" s="22" t="n"/>
      <c r="F931" s="23" t="n"/>
      <c r="G931" s="23" t="n"/>
      <c r="H931" s="23" t="n"/>
      <c r="I931" s="20">
        <f>IF(COUNT(F931:H931)=0,"",SUM(F931:H931))</f>
        <v/>
      </c>
      <c r="J931" s="23" t="n"/>
      <c r="K931" s="23" t="n"/>
      <c r="L931" s="23" t="n"/>
      <c r="M931" s="23" t="n"/>
      <c r="N931" s="23" t="n"/>
      <c r="O931" s="20">
        <f>IF(OR(I931="",COUNT(J931:N931)=0),"",IF(SUM(J931:N931)=I931,"✓","⚠ "&amp;SUM(J931:N931)&amp;" statt "&amp;I931))</f>
        <v/>
      </c>
      <c r="P931" s="21" t="n"/>
      <c r="Q931" s="21" t="n"/>
      <c r="R931" s="21" t="n"/>
      <c r="S931" s="24" t="n"/>
      <c r="T931" s="24" t="n"/>
      <c r="V931">
        <f>IF(A931="","",MONTH(A931))</f>
        <v/>
      </c>
      <c r="W931">
        <f>N(W930)+IF(AND(C931&lt;&gt;"",T931&lt;&gt;""),IF(C931=WOCHE!$B$3,1,0),0)</f>
        <v/>
      </c>
      <c r="X931">
        <f>N(X930)+IF(AND(V931&lt;&gt;"",T931&lt;&gt;""),IF(V931=MONAT!$AZ$3,1,0),0)</f>
        <v/>
      </c>
    </row>
    <row r="932">
      <c r="A932" s="19" t="n"/>
      <c r="B932" s="20">
        <f>IF(A932="","",CHOOSE(WEEKDAY(A932,2),"Mo","Di","Mi","Do","Fr","Sa","So"))</f>
        <v/>
      </c>
      <c r="C932" s="20">
        <f>IF(A932="","",INT((A932-DATE(YEAR(A932-WEEKDAY(A932-1)+4),1,3)+WEEKDAY(DATE(YEAR(A932-WEEKDAY(A932-1)+4),1,3))+5)/7))</f>
        <v/>
      </c>
      <c r="D932" s="21" t="n"/>
      <c r="E932" s="22" t="n"/>
      <c r="F932" s="23" t="n"/>
      <c r="G932" s="23" t="n"/>
      <c r="H932" s="23" t="n"/>
      <c r="I932" s="20">
        <f>IF(COUNT(F932:H932)=0,"",SUM(F932:H932))</f>
        <v/>
      </c>
      <c r="J932" s="23" t="n"/>
      <c r="K932" s="23" t="n"/>
      <c r="L932" s="23" t="n"/>
      <c r="M932" s="23" t="n"/>
      <c r="N932" s="23" t="n"/>
      <c r="O932" s="20">
        <f>IF(OR(I932="",COUNT(J932:N932)=0),"",IF(SUM(J932:N932)=I932,"✓","⚠ "&amp;SUM(J932:N932)&amp;" statt "&amp;I932))</f>
        <v/>
      </c>
      <c r="P932" s="21" t="n"/>
      <c r="Q932" s="21" t="n"/>
      <c r="R932" s="21" t="n"/>
      <c r="S932" s="24" t="n"/>
      <c r="T932" s="24" t="n"/>
      <c r="V932">
        <f>IF(A932="","",MONTH(A932))</f>
        <v/>
      </c>
      <c r="W932">
        <f>N(W931)+IF(AND(C932&lt;&gt;"",T932&lt;&gt;""),IF(C932=WOCHE!$B$3,1,0),0)</f>
        <v/>
      </c>
      <c r="X932">
        <f>N(X931)+IF(AND(V932&lt;&gt;"",T932&lt;&gt;""),IF(V932=MONAT!$AZ$3,1,0),0)</f>
        <v/>
      </c>
    </row>
    <row r="933">
      <c r="A933" s="19" t="n"/>
      <c r="B933" s="20">
        <f>IF(A933="","",CHOOSE(WEEKDAY(A933,2),"Mo","Di","Mi","Do","Fr","Sa","So"))</f>
        <v/>
      </c>
      <c r="C933" s="20">
        <f>IF(A933="","",INT((A933-DATE(YEAR(A933-WEEKDAY(A933-1)+4),1,3)+WEEKDAY(DATE(YEAR(A933-WEEKDAY(A933-1)+4),1,3))+5)/7))</f>
        <v/>
      </c>
      <c r="D933" s="21" t="n"/>
      <c r="E933" s="22" t="n"/>
      <c r="F933" s="23" t="n"/>
      <c r="G933" s="23" t="n"/>
      <c r="H933" s="23" t="n"/>
      <c r="I933" s="20">
        <f>IF(COUNT(F933:H933)=0,"",SUM(F933:H933))</f>
        <v/>
      </c>
      <c r="J933" s="23" t="n"/>
      <c r="K933" s="23" t="n"/>
      <c r="L933" s="23" t="n"/>
      <c r="M933" s="23" t="n"/>
      <c r="N933" s="23" t="n"/>
      <c r="O933" s="20">
        <f>IF(OR(I933="",COUNT(J933:N933)=0),"",IF(SUM(J933:N933)=I933,"✓","⚠ "&amp;SUM(J933:N933)&amp;" statt "&amp;I933))</f>
        <v/>
      </c>
      <c r="P933" s="21" t="n"/>
      <c r="Q933" s="21" t="n"/>
      <c r="R933" s="21" t="n"/>
      <c r="S933" s="24" t="n"/>
      <c r="T933" s="24" t="n"/>
      <c r="V933">
        <f>IF(A933="","",MONTH(A933))</f>
        <v/>
      </c>
      <c r="W933">
        <f>N(W932)+IF(AND(C933&lt;&gt;"",T933&lt;&gt;""),IF(C933=WOCHE!$B$3,1,0),0)</f>
        <v/>
      </c>
      <c r="X933">
        <f>N(X932)+IF(AND(V933&lt;&gt;"",T933&lt;&gt;""),IF(V933=MONAT!$AZ$3,1,0),0)</f>
        <v/>
      </c>
    </row>
    <row r="934">
      <c r="A934" s="19" t="n"/>
      <c r="B934" s="20">
        <f>IF(A934="","",CHOOSE(WEEKDAY(A934,2),"Mo","Di","Mi","Do","Fr","Sa","So"))</f>
        <v/>
      </c>
      <c r="C934" s="20">
        <f>IF(A934="","",INT((A934-DATE(YEAR(A934-WEEKDAY(A934-1)+4),1,3)+WEEKDAY(DATE(YEAR(A934-WEEKDAY(A934-1)+4),1,3))+5)/7))</f>
        <v/>
      </c>
      <c r="D934" s="21" t="n"/>
      <c r="E934" s="22" t="n"/>
      <c r="F934" s="23" t="n"/>
      <c r="G934" s="23" t="n"/>
      <c r="H934" s="23" t="n"/>
      <c r="I934" s="20">
        <f>IF(COUNT(F934:H934)=0,"",SUM(F934:H934))</f>
        <v/>
      </c>
      <c r="J934" s="23" t="n"/>
      <c r="K934" s="23" t="n"/>
      <c r="L934" s="23" t="n"/>
      <c r="M934" s="23" t="n"/>
      <c r="N934" s="23" t="n"/>
      <c r="O934" s="20">
        <f>IF(OR(I934="",COUNT(J934:N934)=0),"",IF(SUM(J934:N934)=I934,"✓","⚠ "&amp;SUM(J934:N934)&amp;" statt "&amp;I934))</f>
        <v/>
      </c>
      <c r="P934" s="21" t="n"/>
      <c r="Q934" s="21" t="n"/>
      <c r="R934" s="21" t="n"/>
      <c r="S934" s="24" t="n"/>
      <c r="T934" s="24" t="n"/>
      <c r="V934">
        <f>IF(A934="","",MONTH(A934))</f>
        <v/>
      </c>
      <c r="W934">
        <f>N(W933)+IF(AND(C934&lt;&gt;"",T934&lt;&gt;""),IF(C934=WOCHE!$B$3,1,0),0)</f>
        <v/>
      </c>
      <c r="X934">
        <f>N(X933)+IF(AND(V934&lt;&gt;"",T934&lt;&gt;""),IF(V934=MONAT!$AZ$3,1,0),0)</f>
        <v/>
      </c>
    </row>
    <row r="935">
      <c r="A935" s="19" t="n"/>
      <c r="B935" s="20">
        <f>IF(A935="","",CHOOSE(WEEKDAY(A935,2),"Mo","Di","Mi","Do","Fr","Sa","So"))</f>
        <v/>
      </c>
      <c r="C935" s="20">
        <f>IF(A935="","",INT((A935-DATE(YEAR(A935-WEEKDAY(A935-1)+4),1,3)+WEEKDAY(DATE(YEAR(A935-WEEKDAY(A935-1)+4),1,3))+5)/7))</f>
        <v/>
      </c>
      <c r="D935" s="21" t="n"/>
      <c r="E935" s="22" t="n"/>
      <c r="F935" s="23" t="n"/>
      <c r="G935" s="23" t="n"/>
      <c r="H935" s="23" t="n"/>
      <c r="I935" s="20">
        <f>IF(COUNT(F935:H935)=0,"",SUM(F935:H935))</f>
        <v/>
      </c>
      <c r="J935" s="23" t="n"/>
      <c r="K935" s="23" t="n"/>
      <c r="L935" s="23" t="n"/>
      <c r="M935" s="23" t="n"/>
      <c r="N935" s="23" t="n"/>
      <c r="O935" s="20">
        <f>IF(OR(I935="",COUNT(J935:N935)=0),"",IF(SUM(J935:N935)=I935,"✓","⚠ "&amp;SUM(J935:N935)&amp;" statt "&amp;I935))</f>
        <v/>
      </c>
      <c r="P935" s="21" t="n"/>
      <c r="Q935" s="21" t="n"/>
      <c r="R935" s="21" t="n"/>
      <c r="S935" s="24" t="n"/>
      <c r="T935" s="24" t="n"/>
      <c r="V935">
        <f>IF(A935="","",MONTH(A935))</f>
        <v/>
      </c>
      <c r="W935">
        <f>N(W934)+IF(AND(C935&lt;&gt;"",T935&lt;&gt;""),IF(C935=WOCHE!$B$3,1,0),0)</f>
        <v/>
      </c>
      <c r="X935">
        <f>N(X934)+IF(AND(V935&lt;&gt;"",T935&lt;&gt;""),IF(V935=MONAT!$AZ$3,1,0),0)</f>
        <v/>
      </c>
    </row>
    <row r="936">
      <c r="A936" s="19" t="n"/>
      <c r="B936" s="20">
        <f>IF(A936="","",CHOOSE(WEEKDAY(A936,2),"Mo","Di","Mi","Do","Fr","Sa","So"))</f>
        <v/>
      </c>
      <c r="C936" s="20">
        <f>IF(A936="","",INT((A936-DATE(YEAR(A936-WEEKDAY(A936-1)+4),1,3)+WEEKDAY(DATE(YEAR(A936-WEEKDAY(A936-1)+4),1,3))+5)/7))</f>
        <v/>
      </c>
      <c r="D936" s="21" t="n"/>
      <c r="E936" s="22" t="n"/>
      <c r="F936" s="23" t="n"/>
      <c r="G936" s="23" t="n"/>
      <c r="H936" s="23" t="n"/>
      <c r="I936" s="20">
        <f>IF(COUNT(F936:H936)=0,"",SUM(F936:H936))</f>
        <v/>
      </c>
      <c r="J936" s="23" t="n"/>
      <c r="K936" s="23" t="n"/>
      <c r="L936" s="23" t="n"/>
      <c r="M936" s="23" t="n"/>
      <c r="N936" s="23" t="n"/>
      <c r="O936" s="20">
        <f>IF(OR(I936="",COUNT(J936:N936)=0),"",IF(SUM(J936:N936)=I936,"✓","⚠ "&amp;SUM(J936:N936)&amp;" statt "&amp;I936))</f>
        <v/>
      </c>
      <c r="P936" s="21" t="n"/>
      <c r="Q936" s="21" t="n"/>
      <c r="R936" s="21" t="n"/>
      <c r="S936" s="24" t="n"/>
      <c r="T936" s="24" t="n"/>
      <c r="V936">
        <f>IF(A936="","",MONTH(A936))</f>
        <v/>
      </c>
      <c r="W936">
        <f>N(W935)+IF(AND(C936&lt;&gt;"",T936&lt;&gt;""),IF(C936=WOCHE!$B$3,1,0),0)</f>
        <v/>
      </c>
      <c r="X936">
        <f>N(X935)+IF(AND(V936&lt;&gt;"",T936&lt;&gt;""),IF(V936=MONAT!$AZ$3,1,0),0)</f>
        <v/>
      </c>
    </row>
    <row r="937">
      <c r="A937" s="19" t="n"/>
      <c r="B937" s="20">
        <f>IF(A937="","",CHOOSE(WEEKDAY(A937,2),"Mo","Di","Mi","Do","Fr","Sa","So"))</f>
        <v/>
      </c>
      <c r="C937" s="20">
        <f>IF(A937="","",INT((A937-DATE(YEAR(A937-WEEKDAY(A937-1)+4),1,3)+WEEKDAY(DATE(YEAR(A937-WEEKDAY(A937-1)+4),1,3))+5)/7))</f>
        <v/>
      </c>
      <c r="D937" s="21" t="n"/>
      <c r="E937" s="22" t="n"/>
      <c r="F937" s="23" t="n"/>
      <c r="G937" s="23" t="n"/>
      <c r="H937" s="23" t="n"/>
      <c r="I937" s="20">
        <f>IF(COUNT(F937:H937)=0,"",SUM(F937:H937))</f>
        <v/>
      </c>
      <c r="J937" s="23" t="n"/>
      <c r="K937" s="23" t="n"/>
      <c r="L937" s="23" t="n"/>
      <c r="M937" s="23" t="n"/>
      <c r="N937" s="23" t="n"/>
      <c r="O937" s="20">
        <f>IF(OR(I937="",COUNT(J937:N937)=0),"",IF(SUM(J937:N937)=I937,"✓","⚠ "&amp;SUM(J937:N937)&amp;" statt "&amp;I937))</f>
        <v/>
      </c>
      <c r="P937" s="21" t="n"/>
      <c r="Q937" s="21" t="n"/>
      <c r="R937" s="21" t="n"/>
      <c r="S937" s="24" t="n"/>
      <c r="T937" s="24" t="n"/>
      <c r="V937">
        <f>IF(A937="","",MONTH(A937))</f>
        <v/>
      </c>
      <c r="W937">
        <f>N(W936)+IF(AND(C937&lt;&gt;"",T937&lt;&gt;""),IF(C937=WOCHE!$B$3,1,0),0)</f>
        <v/>
      </c>
      <c r="X937">
        <f>N(X936)+IF(AND(V937&lt;&gt;"",T937&lt;&gt;""),IF(V937=MONAT!$AZ$3,1,0),0)</f>
        <v/>
      </c>
    </row>
    <row r="938">
      <c r="A938" s="19" t="n"/>
      <c r="B938" s="20">
        <f>IF(A938="","",CHOOSE(WEEKDAY(A938,2),"Mo","Di","Mi","Do","Fr","Sa","So"))</f>
        <v/>
      </c>
      <c r="C938" s="20">
        <f>IF(A938="","",INT((A938-DATE(YEAR(A938-WEEKDAY(A938-1)+4),1,3)+WEEKDAY(DATE(YEAR(A938-WEEKDAY(A938-1)+4),1,3))+5)/7))</f>
        <v/>
      </c>
      <c r="D938" s="21" t="n"/>
      <c r="E938" s="22" t="n"/>
      <c r="F938" s="23" t="n"/>
      <c r="G938" s="23" t="n"/>
      <c r="H938" s="23" t="n"/>
      <c r="I938" s="20">
        <f>IF(COUNT(F938:H938)=0,"",SUM(F938:H938))</f>
        <v/>
      </c>
      <c r="J938" s="23" t="n"/>
      <c r="K938" s="23" t="n"/>
      <c r="L938" s="23" t="n"/>
      <c r="M938" s="23" t="n"/>
      <c r="N938" s="23" t="n"/>
      <c r="O938" s="20">
        <f>IF(OR(I938="",COUNT(J938:N938)=0),"",IF(SUM(J938:N938)=I938,"✓","⚠ "&amp;SUM(J938:N938)&amp;" statt "&amp;I938))</f>
        <v/>
      </c>
      <c r="P938" s="21" t="n"/>
      <c r="Q938" s="21" t="n"/>
      <c r="R938" s="21" t="n"/>
      <c r="S938" s="24" t="n"/>
      <c r="T938" s="24" t="n"/>
      <c r="V938">
        <f>IF(A938="","",MONTH(A938))</f>
        <v/>
      </c>
      <c r="W938">
        <f>N(W937)+IF(AND(C938&lt;&gt;"",T938&lt;&gt;""),IF(C938=WOCHE!$B$3,1,0),0)</f>
        <v/>
      </c>
      <c r="X938">
        <f>N(X937)+IF(AND(V938&lt;&gt;"",T938&lt;&gt;""),IF(V938=MONAT!$AZ$3,1,0),0)</f>
        <v/>
      </c>
    </row>
    <row r="939">
      <c r="A939" s="19" t="n"/>
      <c r="B939" s="20">
        <f>IF(A939="","",CHOOSE(WEEKDAY(A939,2),"Mo","Di","Mi","Do","Fr","Sa","So"))</f>
        <v/>
      </c>
      <c r="C939" s="20">
        <f>IF(A939="","",INT((A939-DATE(YEAR(A939-WEEKDAY(A939-1)+4),1,3)+WEEKDAY(DATE(YEAR(A939-WEEKDAY(A939-1)+4),1,3))+5)/7))</f>
        <v/>
      </c>
      <c r="D939" s="21" t="n"/>
      <c r="E939" s="22" t="n"/>
      <c r="F939" s="23" t="n"/>
      <c r="G939" s="23" t="n"/>
      <c r="H939" s="23" t="n"/>
      <c r="I939" s="20">
        <f>IF(COUNT(F939:H939)=0,"",SUM(F939:H939))</f>
        <v/>
      </c>
      <c r="J939" s="23" t="n"/>
      <c r="K939" s="23" t="n"/>
      <c r="L939" s="23" t="n"/>
      <c r="M939" s="23" t="n"/>
      <c r="N939" s="23" t="n"/>
      <c r="O939" s="20">
        <f>IF(OR(I939="",COUNT(J939:N939)=0),"",IF(SUM(J939:N939)=I939,"✓","⚠ "&amp;SUM(J939:N939)&amp;" statt "&amp;I939))</f>
        <v/>
      </c>
      <c r="P939" s="21" t="n"/>
      <c r="Q939" s="21" t="n"/>
      <c r="R939" s="21" t="n"/>
      <c r="S939" s="24" t="n"/>
      <c r="T939" s="24" t="n"/>
      <c r="V939">
        <f>IF(A939="","",MONTH(A939))</f>
        <v/>
      </c>
      <c r="W939">
        <f>N(W938)+IF(AND(C939&lt;&gt;"",T939&lt;&gt;""),IF(C939=WOCHE!$B$3,1,0),0)</f>
        <v/>
      </c>
      <c r="X939">
        <f>N(X938)+IF(AND(V939&lt;&gt;"",T939&lt;&gt;""),IF(V939=MONAT!$AZ$3,1,0),0)</f>
        <v/>
      </c>
    </row>
    <row r="940">
      <c r="A940" s="19" t="n"/>
      <c r="B940" s="20">
        <f>IF(A940="","",CHOOSE(WEEKDAY(A940,2),"Mo","Di","Mi","Do","Fr","Sa","So"))</f>
        <v/>
      </c>
      <c r="C940" s="20">
        <f>IF(A940="","",INT((A940-DATE(YEAR(A940-WEEKDAY(A940-1)+4),1,3)+WEEKDAY(DATE(YEAR(A940-WEEKDAY(A940-1)+4),1,3))+5)/7))</f>
        <v/>
      </c>
      <c r="D940" s="21" t="n"/>
      <c r="E940" s="22" t="n"/>
      <c r="F940" s="23" t="n"/>
      <c r="G940" s="23" t="n"/>
      <c r="H940" s="23" t="n"/>
      <c r="I940" s="20">
        <f>IF(COUNT(F940:H940)=0,"",SUM(F940:H940))</f>
        <v/>
      </c>
      <c r="J940" s="23" t="n"/>
      <c r="K940" s="23" t="n"/>
      <c r="L940" s="23" t="n"/>
      <c r="M940" s="23" t="n"/>
      <c r="N940" s="23" t="n"/>
      <c r="O940" s="20">
        <f>IF(OR(I940="",COUNT(J940:N940)=0),"",IF(SUM(J940:N940)=I940,"✓","⚠ "&amp;SUM(J940:N940)&amp;" statt "&amp;I940))</f>
        <v/>
      </c>
      <c r="P940" s="21" t="n"/>
      <c r="Q940" s="21" t="n"/>
      <c r="R940" s="21" t="n"/>
      <c r="S940" s="24" t="n"/>
      <c r="T940" s="24" t="n"/>
      <c r="V940">
        <f>IF(A940="","",MONTH(A940))</f>
        <v/>
      </c>
      <c r="W940">
        <f>N(W939)+IF(AND(C940&lt;&gt;"",T940&lt;&gt;""),IF(C940=WOCHE!$B$3,1,0),0)</f>
        <v/>
      </c>
      <c r="X940">
        <f>N(X939)+IF(AND(V940&lt;&gt;"",T940&lt;&gt;""),IF(V940=MONAT!$AZ$3,1,0),0)</f>
        <v/>
      </c>
    </row>
    <row r="941">
      <c r="A941" s="19" t="n"/>
      <c r="B941" s="20">
        <f>IF(A941="","",CHOOSE(WEEKDAY(A941,2),"Mo","Di","Mi","Do","Fr","Sa","So"))</f>
        <v/>
      </c>
      <c r="C941" s="20">
        <f>IF(A941="","",INT((A941-DATE(YEAR(A941-WEEKDAY(A941-1)+4),1,3)+WEEKDAY(DATE(YEAR(A941-WEEKDAY(A941-1)+4),1,3))+5)/7))</f>
        <v/>
      </c>
      <c r="D941" s="21" t="n"/>
      <c r="E941" s="22" t="n"/>
      <c r="F941" s="23" t="n"/>
      <c r="G941" s="23" t="n"/>
      <c r="H941" s="23" t="n"/>
      <c r="I941" s="20">
        <f>IF(COUNT(F941:H941)=0,"",SUM(F941:H941))</f>
        <v/>
      </c>
      <c r="J941" s="23" t="n"/>
      <c r="K941" s="23" t="n"/>
      <c r="L941" s="23" t="n"/>
      <c r="M941" s="23" t="n"/>
      <c r="N941" s="23" t="n"/>
      <c r="O941" s="20">
        <f>IF(OR(I941="",COUNT(J941:N941)=0),"",IF(SUM(J941:N941)=I941,"✓","⚠ "&amp;SUM(J941:N941)&amp;" statt "&amp;I941))</f>
        <v/>
      </c>
      <c r="P941" s="21" t="n"/>
      <c r="Q941" s="21" t="n"/>
      <c r="R941" s="21" t="n"/>
      <c r="S941" s="24" t="n"/>
      <c r="T941" s="24" t="n"/>
      <c r="V941">
        <f>IF(A941="","",MONTH(A941))</f>
        <v/>
      </c>
      <c r="W941">
        <f>N(W940)+IF(AND(C941&lt;&gt;"",T941&lt;&gt;""),IF(C941=WOCHE!$B$3,1,0),0)</f>
        <v/>
      </c>
      <c r="X941">
        <f>N(X940)+IF(AND(V941&lt;&gt;"",T941&lt;&gt;""),IF(V941=MONAT!$AZ$3,1,0),0)</f>
        <v/>
      </c>
    </row>
    <row r="942">
      <c r="A942" s="19" t="n"/>
      <c r="B942" s="20">
        <f>IF(A942="","",CHOOSE(WEEKDAY(A942,2),"Mo","Di","Mi","Do","Fr","Sa","So"))</f>
        <v/>
      </c>
      <c r="C942" s="20">
        <f>IF(A942="","",INT((A942-DATE(YEAR(A942-WEEKDAY(A942-1)+4),1,3)+WEEKDAY(DATE(YEAR(A942-WEEKDAY(A942-1)+4),1,3))+5)/7))</f>
        <v/>
      </c>
      <c r="D942" s="21" t="n"/>
      <c r="E942" s="22" t="n"/>
      <c r="F942" s="23" t="n"/>
      <c r="G942" s="23" t="n"/>
      <c r="H942" s="23" t="n"/>
      <c r="I942" s="20">
        <f>IF(COUNT(F942:H942)=0,"",SUM(F942:H942))</f>
        <v/>
      </c>
      <c r="J942" s="23" t="n"/>
      <c r="K942" s="23" t="n"/>
      <c r="L942" s="23" t="n"/>
      <c r="M942" s="23" t="n"/>
      <c r="N942" s="23" t="n"/>
      <c r="O942" s="20">
        <f>IF(OR(I942="",COUNT(J942:N942)=0),"",IF(SUM(J942:N942)=I942,"✓","⚠ "&amp;SUM(J942:N942)&amp;" statt "&amp;I942))</f>
        <v/>
      </c>
      <c r="P942" s="21" t="n"/>
      <c r="Q942" s="21" t="n"/>
      <c r="R942" s="21" t="n"/>
      <c r="S942" s="24" t="n"/>
      <c r="T942" s="24" t="n"/>
      <c r="V942">
        <f>IF(A942="","",MONTH(A942))</f>
        <v/>
      </c>
      <c r="W942">
        <f>N(W941)+IF(AND(C942&lt;&gt;"",T942&lt;&gt;""),IF(C942=WOCHE!$B$3,1,0),0)</f>
        <v/>
      </c>
      <c r="X942">
        <f>N(X941)+IF(AND(V942&lt;&gt;"",T942&lt;&gt;""),IF(V942=MONAT!$AZ$3,1,0),0)</f>
        <v/>
      </c>
    </row>
    <row r="943">
      <c r="A943" s="19" t="n"/>
      <c r="B943" s="20">
        <f>IF(A943="","",CHOOSE(WEEKDAY(A943,2),"Mo","Di","Mi","Do","Fr","Sa","So"))</f>
        <v/>
      </c>
      <c r="C943" s="20">
        <f>IF(A943="","",INT((A943-DATE(YEAR(A943-WEEKDAY(A943-1)+4),1,3)+WEEKDAY(DATE(YEAR(A943-WEEKDAY(A943-1)+4),1,3))+5)/7))</f>
        <v/>
      </c>
      <c r="D943" s="21" t="n"/>
      <c r="E943" s="22" t="n"/>
      <c r="F943" s="23" t="n"/>
      <c r="G943" s="23" t="n"/>
      <c r="H943" s="23" t="n"/>
      <c r="I943" s="20">
        <f>IF(COUNT(F943:H943)=0,"",SUM(F943:H943))</f>
        <v/>
      </c>
      <c r="J943" s="23" t="n"/>
      <c r="K943" s="23" t="n"/>
      <c r="L943" s="23" t="n"/>
      <c r="M943" s="23" t="n"/>
      <c r="N943" s="23" t="n"/>
      <c r="O943" s="20">
        <f>IF(OR(I943="",COUNT(J943:N943)=0),"",IF(SUM(J943:N943)=I943,"✓","⚠ "&amp;SUM(J943:N943)&amp;" statt "&amp;I943))</f>
        <v/>
      </c>
      <c r="P943" s="21" t="n"/>
      <c r="Q943" s="21" t="n"/>
      <c r="R943" s="21" t="n"/>
      <c r="S943" s="24" t="n"/>
      <c r="T943" s="24" t="n"/>
      <c r="V943">
        <f>IF(A943="","",MONTH(A943))</f>
        <v/>
      </c>
      <c r="W943">
        <f>N(W942)+IF(AND(C943&lt;&gt;"",T943&lt;&gt;""),IF(C943=WOCHE!$B$3,1,0),0)</f>
        <v/>
      </c>
      <c r="X943">
        <f>N(X942)+IF(AND(V943&lt;&gt;"",T943&lt;&gt;""),IF(V943=MONAT!$AZ$3,1,0),0)</f>
        <v/>
      </c>
    </row>
    <row r="944">
      <c r="A944" s="19" t="n"/>
      <c r="B944" s="20">
        <f>IF(A944="","",CHOOSE(WEEKDAY(A944,2),"Mo","Di","Mi","Do","Fr","Sa","So"))</f>
        <v/>
      </c>
      <c r="C944" s="20">
        <f>IF(A944="","",INT((A944-DATE(YEAR(A944-WEEKDAY(A944-1)+4),1,3)+WEEKDAY(DATE(YEAR(A944-WEEKDAY(A944-1)+4),1,3))+5)/7))</f>
        <v/>
      </c>
      <c r="D944" s="21" t="n"/>
      <c r="E944" s="22" t="n"/>
      <c r="F944" s="23" t="n"/>
      <c r="G944" s="23" t="n"/>
      <c r="H944" s="23" t="n"/>
      <c r="I944" s="20">
        <f>IF(COUNT(F944:H944)=0,"",SUM(F944:H944))</f>
        <v/>
      </c>
      <c r="J944" s="23" t="n"/>
      <c r="K944" s="23" t="n"/>
      <c r="L944" s="23" t="n"/>
      <c r="M944" s="23" t="n"/>
      <c r="N944" s="23" t="n"/>
      <c r="O944" s="20">
        <f>IF(OR(I944="",COUNT(J944:N944)=0),"",IF(SUM(J944:N944)=I944,"✓","⚠ "&amp;SUM(J944:N944)&amp;" statt "&amp;I944))</f>
        <v/>
      </c>
      <c r="P944" s="21" t="n"/>
      <c r="Q944" s="21" t="n"/>
      <c r="R944" s="21" t="n"/>
      <c r="S944" s="24" t="n"/>
      <c r="T944" s="24" t="n"/>
      <c r="V944">
        <f>IF(A944="","",MONTH(A944))</f>
        <v/>
      </c>
      <c r="W944">
        <f>N(W943)+IF(AND(C944&lt;&gt;"",T944&lt;&gt;""),IF(C944=WOCHE!$B$3,1,0),0)</f>
        <v/>
      </c>
      <c r="X944">
        <f>N(X943)+IF(AND(V944&lt;&gt;"",T944&lt;&gt;""),IF(V944=MONAT!$AZ$3,1,0),0)</f>
        <v/>
      </c>
    </row>
    <row r="945">
      <c r="A945" s="19" t="n"/>
      <c r="B945" s="20">
        <f>IF(A945="","",CHOOSE(WEEKDAY(A945,2),"Mo","Di","Mi","Do","Fr","Sa","So"))</f>
        <v/>
      </c>
      <c r="C945" s="20">
        <f>IF(A945="","",INT((A945-DATE(YEAR(A945-WEEKDAY(A945-1)+4),1,3)+WEEKDAY(DATE(YEAR(A945-WEEKDAY(A945-1)+4),1,3))+5)/7))</f>
        <v/>
      </c>
      <c r="D945" s="21" t="n"/>
      <c r="E945" s="22" t="n"/>
      <c r="F945" s="23" t="n"/>
      <c r="G945" s="23" t="n"/>
      <c r="H945" s="23" t="n"/>
      <c r="I945" s="20">
        <f>IF(COUNT(F945:H945)=0,"",SUM(F945:H945))</f>
        <v/>
      </c>
      <c r="J945" s="23" t="n"/>
      <c r="K945" s="23" t="n"/>
      <c r="L945" s="23" t="n"/>
      <c r="M945" s="23" t="n"/>
      <c r="N945" s="23" t="n"/>
      <c r="O945" s="20">
        <f>IF(OR(I945="",COUNT(J945:N945)=0),"",IF(SUM(J945:N945)=I945,"✓","⚠ "&amp;SUM(J945:N945)&amp;" statt "&amp;I945))</f>
        <v/>
      </c>
      <c r="P945" s="21" t="n"/>
      <c r="Q945" s="21" t="n"/>
      <c r="R945" s="21" t="n"/>
      <c r="S945" s="24" t="n"/>
      <c r="T945" s="24" t="n"/>
      <c r="V945">
        <f>IF(A945="","",MONTH(A945))</f>
        <v/>
      </c>
      <c r="W945">
        <f>N(W944)+IF(AND(C945&lt;&gt;"",T945&lt;&gt;""),IF(C945=WOCHE!$B$3,1,0),0)</f>
        <v/>
      </c>
      <c r="X945">
        <f>N(X944)+IF(AND(V945&lt;&gt;"",T945&lt;&gt;""),IF(V945=MONAT!$AZ$3,1,0),0)</f>
        <v/>
      </c>
    </row>
    <row r="946">
      <c r="A946" s="19" t="n"/>
      <c r="B946" s="20">
        <f>IF(A946="","",CHOOSE(WEEKDAY(A946,2),"Mo","Di","Mi","Do","Fr","Sa","So"))</f>
        <v/>
      </c>
      <c r="C946" s="20">
        <f>IF(A946="","",INT((A946-DATE(YEAR(A946-WEEKDAY(A946-1)+4),1,3)+WEEKDAY(DATE(YEAR(A946-WEEKDAY(A946-1)+4),1,3))+5)/7))</f>
        <v/>
      </c>
      <c r="D946" s="21" t="n"/>
      <c r="E946" s="22" t="n"/>
      <c r="F946" s="23" t="n"/>
      <c r="G946" s="23" t="n"/>
      <c r="H946" s="23" t="n"/>
      <c r="I946" s="20">
        <f>IF(COUNT(F946:H946)=0,"",SUM(F946:H946))</f>
        <v/>
      </c>
      <c r="J946" s="23" t="n"/>
      <c r="K946" s="23" t="n"/>
      <c r="L946" s="23" t="n"/>
      <c r="M946" s="23" t="n"/>
      <c r="N946" s="23" t="n"/>
      <c r="O946" s="20">
        <f>IF(OR(I946="",COUNT(J946:N946)=0),"",IF(SUM(J946:N946)=I946,"✓","⚠ "&amp;SUM(J946:N946)&amp;" statt "&amp;I946))</f>
        <v/>
      </c>
      <c r="P946" s="21" t="n"/>
      <c r="Q946" s="21" t="n"/>
      <c r="R946" s="21" t="n"/>
      <c r="S946" s="24" t="n"/>
      <c r="T946" s="24" t="n"/>
      <c r="V946">
        <f>IF(A946="","",MONTH(A946))</f>
        <v/>
      </c>
      <c r="W946">
        <f>N(W945)+IF(AND(C946&lt;&gt;"",T946&lt;&gt;""),IF(C946=WOCHE!$B$3,1,0),0)</f>
        <v/>
      </c>
      <c r="X946">
        <f>N(X945)+IF(AND(V946&lt;&gt;"",T946&lt;&gt;""),IF(V946=MONAT!$AZ$3,1,0),0)</f>
        <v/>
      </c>
    </row>
    <row r="947">
      <c r="A947" s="19" t="n"/>
      <c r="B947" s="20">
        <f>IF(A947="","",CHOOSE(WEEKDAY(A947,2),"Mo","Di","Mi","Do","Fr","Sa","So"))</f>
        <v/>
      </c>
      <c r="C947" s="20">
        <f>IF(A947="","",INT((A947-DATE(YEAR(A947-WEEKDAY(A947-1)+4),1,3)+WEEKDAY(DATE(YEAR(A947-WEEKDAY(A947-1)+4),1,3))+5)/7))</f>
        <v/>
      </c>
      <c r="D947" s="21" t="n"/>
      <c r="E947" s="22" t="n"/>
      <c r="F947" s="23" t="n"/>
      <c r="G947" s="23" t="n"/>
      <c r="H947" s="23" t="n"/>
      <c r="I947" s="20">
        <f>IF(COUNT(F947:H947)=0,"",SUM(F947:H947))</f>
        <v/>
      </c>
      <c r="J947" s="23" t="n"/>
      <c r="K947" s="23" t="n"/>
      <c r="L947" s="23" t="n"/>
      <c r="M947" s="23" t="n"/>
      <c r="N947" s="23" t="n"/>
      <c r="O947" s="20">
        <f>IF(OR(I947="",COUNT(J947:N947)=0),"",IF(SUM(J947:N947)=I947,"✓","⚠ "&amp;SUM(J947:N947)&amp;" statt "&amp;I947))</f>
        <v/>
      </c>
      <c r="P947" s="21" t="n"/>
      <c r="Q947" s="21" t="n"/>
      <c r="R947" s="21" t="n"/>
      <c r="S947" s="24" t="n"/>
      <c r="T947" s="24" t="n"/>
      <c r="V947">
        <f>IF(A947="","",MONTH(A947))</f>
        <v/>
      </c>
      <c r="W947">
        <f>N(W946)+IF(AND(C947&lt;&gt;"",T947&lt;&gt;""),IF(C947=WOCHE!$B$3,1,0),0)</f>
        <v/>
      </c>
      <c r="X947">
        <f>N(X946)+IF(AND(V947&lt;&gt;"",T947&lt;&gt;""),IF(V947=MONAT!$AZ$3,1,0),0)</f>
        <v/>
      </c>
    </row>
    <row r="948">
      <c r="A948" s="19" t="n"/>
      <c r="B948" s="20">
        <f>IF(A948="","",CHOOSE(WEEKDAY(A948,2),"Mo","Di","Mi","Do","Fr","Sa","So"))</f>
        <v/>
      </c>
      <c r="C948" s="20">
        <f>IF(A948="","",INT((A948-DATE(YEAR(A948-WEEKDAY(A948-1)+4),1,3)+WEEKDAY(DATE(YEAR(A948-WEEKDAY(A948-1)+4),1,3))+5)/7))</f>
        <v/>
      </c>
      <c r="D948" s="21" t="n"/>
      <c r="E948" s="22" t="n"/>
      <c r="F948" s="23" t="n"/>
      <c r="G948" s="23" t="n"/>
      <c r="H948" s="23" t="n"/>
      <c r="I948" s="20">
        <f>IF(COUNT(F948:H948)=0,"",SUM(F948:H948))</f>
        <v/>
      </c>
      <c r="J948" s="23" t="n"/>
      <c r="K948" s="23" t="n"/>
      <c r="L948" s="23" t="n"/>
      <c r="M948" s="23" t="n"/>
      <c r="N948" s="23" t="n"/>
      <c r="O948" s="20">
        <f>IF(OR(I948="",COUNT(J948:N948)=0),"",IF(SUM(J948:N948)=I948,"✓","⚠ "&amp;SUM(J948:N948)&amp;" statt "&amp;I948))</f>
        <v/>
      </c>
      <c r="P948" s="21" t="n"/>
      <c r="Q948" s="21" t="n"/>
      <c r="R948" s="21" t="n"/>
      <c r="S948" s="24" t="n"/>
      <c r="T948" s="24" t="n"/>
      <c r="V948">
        <f>IF(A948="","",MONTH(A948))</f>
        <v/>
      </c>
      <c r="W948">
        <f>N(W947)+IF(AND(C948&lt;&gt;"",T948&lt;&gt;""),IF(C948=WOCHE!$B$3,1,0),0)</f>
        <v/>
      </c>
      <c r="X948">
        <f>N(X947)+IF(AND(V948&lt;&gt;"",T948&lt;&gt;""),IF(V948=MONAT!$AZ$3,1,0),0)</f>
        <v/>
      </c>
    </row>
    <row r="949">
      <c r="A949" s="19" t="n"/>
      <c r="B949" s="20">
        <f>IF(A949="","",CHOOSE(WEEKDAY(A949,2),"Mo","Di","Mi","Do","Fr","Sa","So"))</f>
        <v/>
      </c>
      <c r="C949" s="20">
        <f>IF(A949="","",INT((A949-DATE(YEAR(A949-WEEKDAY(A949-1)+4),1,3)+WEEKDAY(DATE(YEAR(A949-WEEKDAY(A949-1)+4),1,3))+5)/7))</f>
        <v/>
      </c>
      <c r="D949" s="21" t="n"/>
      <c r="E949" s="22" t="n"/>
      <c r="F949" s="23" t="n"/>
      <c r="G949" s="23" t="n"/>
      <c r="H949" s="23" t="n"/>
      <c r="I949" s="20">
        <f>IF(COUNT(F949:H949)=0,"",SUM(F949:H949))</f>
        <v/>
      </c>
      <c r="J949" s="23" t="n"/>
      <c r="K949" s="23" t="n"/>
      <c r="L949" s="23" t="n"/>
      <c r="M949" s="23" t="n"/>
      <c r="N949" s="23" t="n"/>
      <c r="O949" s="20">
        <f>IF(OR(I949="",COUNT(J949:N949)=0),"",IF(SUM(J949:N949)=I949,"✓","⚠ "&amp;SUM(J949:N949)&amp;" statt "&amp;I949))</f>
        <v/>
      </c>
      <c r="P949" s="21" t="n"/>
      <c r="Q949" s="21" t="n"/>
      <c r="R949" s="21" t="n"/>
      <c r="S949" s="24" t="n"/>
      <c r="T949" s="24" t="n"/>
      <c r="V949">
        <f>IF(A949="","",MONTH(A949))</f>
        <v/>
      </c>
      <c r="W949">
        <f>N(W948)+IF(AND(C949&lt;&gt;"",T949&lt;&gt;""),IF(C949=WOCHE!$B$3,1,0),0)</f>
        <v/>
      </c>
      <c r="X949">
        <f>N(X948)+IF(AND(V949&lt;&gt;"",T949&lt;&gt;""),IF(V949=MONAT!$AZ$3,1,0),0)</f>
        <v/>
      </c>
    </row>
    <row r="950">
      <c r="A950" s="19" t="n"/>
      <c r="B950" s="20">
        <f>IF(A950="","",CHOOSE(WEEKDAY(A950,2),"Mo","Di","Mi","Do","Fr","Sa","So"))</f>
        <v/>
      </c>
      <c r="C950" s="20">
        <f>IF(A950="","",INT((A950-DATE(YEAR(A950-WEEKDAY(A950-1)+4),1,3)+WEEKDAY(DATE(YEAR(A950-WEEKDAY(A950-1)+4),1,3))+5)/7))</f>
        <v/>
      </c>
      <c r="D950" s="21" t="n"/>
      <c r="E950" s="22" t="n"/>
      <c r="F950" s="23" t="n"/>
      <c r="G950" s="23" t="n"/>
      <c r="H950" s="23" t="n"/>
      <c r="I950" s="20">
        <f>IF(COUNT(F950:H950)=0,"",SUM(F950:H950))</f>
        <v/>
      </c>
      <c r="J950" s="23" t="n"/>
      <c r="K950" s="23" t="n"/>
      <c r="L950" s="23" t="n"/>
      <c r="M950" s="23" t="n"/>
      <c r="N950" s="23" t="n"/>
      <c r="O950" s="20">
        <f>IF(OR(I950="",COUNT(J950:N950)=0),"",IF(SUM(J950:N950)=I950,"✓","⚠ "&amp;SUM(J950:N950)&amp;" statt "&amp;I950))</f>
        <v/>
      </c>
      <c r="P950" s="21" t="n"/>
      <c r="Q950" s="21" t="n"/>
      <c r="R950" s="21" t="n"/>
      <c r="S950" s="24" t="n"/>
      <c r="T950" s="24" t="n"/>
      <c r="V950">
        <f>IF(A950="","",MONTH(A950))</f>
        <v/>
      </c>
      <c r="W950">
        <f>N(W949)+IF(AND(C950&lt;&gt;"",T950&lt;&gt;""),IF(C950=WOCHE!$B$3,1,0),0)</f>
        <v/>
      </c>
      <c r="X950">
        <f>N(X949)+IF(AND(V950&lt;&gt;"",T950&lt;&gt;""),IF(V950=MONAT!$AZ$3,1,0),0)</f>
        <v/>
      </c>
    </row>
    <row r="951">
      <c r="A951" s="19" t="n"/>
      <c r="B951" s="20">
        <f>IF(A951="","",CHOOSE(WEEKDAY(A951,2),"Mo","Di","Mi","Do","Fr","Sa","So"))</f>
        <v/>
      </c>
      <c r="C951" s="20">
        <f>IF(A951="","",INT((A951-DATE(YEAR(A951-WEEKDAY(A951-1)+4),1,3)+WEEKDAY(DATE(YEAR(A951-WEEKDAY(A951-1)+4),1,3))+5)/7))</f>
        <v/>
      </c>
      <c r="D951" s="21" t="n"/>
      <c r="E951" s="22" t="n"/>
      <c r="F951" s="23" t="n"/>
      <c r="G951" s="23" t="n"/>
      <c r="H951" s="23" t="n"/>
      <c r="I951" s="20">
        <f>IF(COUNT(F951:H951)=0,"",SUM(F951:H951))</f>
        <v/>
      </c>
      <c r="J951" s="23" t="n"/>
      <c r="K951" s="23" t="n"/>
      <c r="L951" s="23" t="n"/>
      <c r="M951" s="23" t="n"/>
      <c r="N951" s="23" t="n"/>
      <c r="O951" s="20">
        <f>IF(OR(I951="",COUNT(J951:N951)=0),"",IF(SUM(J951:N951)=I951,"✓","⚠ "&amp;SUM(J951:N951)&amp;" statt "&amp;I951))</f>
        <v/>
      </c>
      <c r="P951" s="21" t="n"/>
      <c r="Q951" s="21" t="n"/>
      <c r="R951" s="21" t="n"/>
      <c r="S951" s="24" t="n"/>
      <c r="T951" s="24" t="n"/>
      <c r="V951">
        <f>IF(A951="","",MONTH(A951))</f>
        <v/>
      </c>
      <c r="W951">
        <f>N(W950)+IF(AND(C951&lt;&gt;"",T951&lt;&gt;""),IF(C951=WOCHE!$B$3,1,0),0)</f>
        <v/>
      </c>
      <c r="X951">
        <f>N(X950)+IF(AND(V951&lt;&gt;"",T951&lt;&gt;""),IF(V951=MONAT!$AZ$3,1,0),0)</f>
        <v/>
      </c>
    </row>
    <row r="952">
      <c r="A952" s="19" t="n"/>
      <c r="B952" s="20">
        <f>IF(A952="","",CHOOSE(WEEKDAY(A952,2),"Mo","Di","Mi","Do","Fr","Sa","So"))</f>
        <v/>
      </c>
      <c r="C952" s="20">
        <f>IF(A952="","",INT((A952-DATE(YEAR(A952-WEEKDAY(A952-1)+4),1,3)+WEEKDAY(DATE(YEAR(A952-WEEKDAY(A952-1)+4),1,3))+5)/7))</f>
        <v/>
      </c>
      <c r="D952" s="21" t="n"/>
      <c r="E952" s="22" t="n"/>
      <c r="F952" s="23" t="n"/>
      <c r="G952" s="23" t="n"/>
      <c r="H952" s="23" t="n"/>
      <c r="I952" s="20">
        <f>IF(COUNT(F952:H952)=0,"",SUM(F952:H952))</f>
        <v/>
      </c>
      <c r="J952" s="23" t="n"/>
      <c r="K952" s="23" t="n"/>
      <c r="L952" s="23" t="n"/>
      <c r="M952" s="23" t="n"/>
      <c r="N952" s="23" t="n"/>
      <c r="O952" s="20">
        <f>IF(OR(I952="",COUNT(J952:N952)=0),"",IF(SUM(J952:N952)=I952,"✓","⚠ "&amp;SUM(J952:N952)&amp;" statt "&amp;I952))</f>
        <v/>
      </c>
      <c r="P952" s="21" t="n"/>
      <c r="Q952" s="21" t="n"/>
      <c r="R952" s="21" t="n"/>
      <c r="S952" s="24" t="n"/>
      <c r="T952" s="24" t="n"/>
      <c r="V952">
        <f>IF(A952="","",MONTH(A952))</f>
        <v/>
      </c>
      <c r="W952">
        <f>N(W951)+IF(AND(C952&lt;&gt;"",T952&lt;&gt;""),IF(C952=WOCHE!$B$3,1,0),0)</f>
        <v/>
      </c>
      <c r="X952">
        <f>N(X951)+IF(AND(V952&lt;&gt;"",T952&lt;&gt;""),IF(V952=MONAT!$AZ$3,1,0),0)</f>
        <v/>
      </c>
    </row>
    <row r="953">
      <c r="A953" s="19" t="n"/>
      <c r="B953" s="20">
        <f>IF(A953="","",CHOOSE(WEEKDAY(A953,2),"Mo","Di","Mi","Do","Fr","Sa","So"))</f>
        <v/>
      </c>
      <c r="C953" s="20">
        <f>IF(A953="","",INT((A953-DATE(YEAR(A953-WEEKDAY(A953-1)+4),1,3)+WEEKDAY(DATE(YEAR(A953-WEEKDAY(A953-1)+4),1,3))+5)/7))</f>
        <v/>
      </c>
      <c r="D953" s="21" t="n"/>
      <c r="E953" s="22" t="n"/>
      <c r="F953" s="23" t="n"/>
      <c r="G953" s="23" t="n"/>
      <c r="H953" s="23" t="n"/>
      <c r="I953" s="20">
        <f>IF(COUNT(F953:H953)=0,"",SUM(F953:H953))</f>
        <v/>
      </c>
      <c r="J953" s="23" t="n"/>
      <c r="K953" s="23" t="n"/>
      <c r="L953" s="23" t="n"/>
      <c r="M953" s="23" t="n"/>
      <c r="N953" s="23" t="n"/>
      <c r="O953" s="20">
        <f>IF(OR(I953="",COUNT(J953:N953)=0),"",IF(SUM(J953:N953)=I953,"✓","⚠ "&amp;SUM(J953:N953)&amp;" statt "&amp;I953))</f>
        <v/>
      </c>
      <c r="P953" s="21" t="n"/>
      <c r="Q953" s="21" t="n"/>
      <c r="R953" s="21" t="n"/>
      <c r="S953" s="24" t="n"/>
      <c r="T953" s="24" t="n"/>
      <c r="V953">
        <f>IF(A953="","",MONTH(A953))</f>
        <v/>
      </c>
      <c r="W953">
        <f>N(W952)+IF(AND(C953&lt;&gt;"",T953&lt;&gt;""),IF(C953=WOCHE!$B$3,1,0),0)</f>
        <v/>
      </c>
      <c r="X953">
        <f>N(X952)+IF(AND(V953&lt;&gt;"",T953&lt;&gt;""),IF(V953=MONAT!$AZ$3,1,0),0)</f>
        <v/>
      </c>
    </row>
    <row r="954">
      <c r="A954" s="19" t="n"/>
      <c r="B954" s="20">
        <f>IF(A954="","",CHOOSE(WEEKDAY(A954,2),"Mo","Di","Mi","Do","Fr","Sa","So"))</f>
        <v/>
      </c>
      <c r="C954" s="20">
        <f>IF(A954="","",INT((A954-DATE(YEAR(A954-WEEKDAY(A954-1)+4),1,3)+WEEKDAY(DATE(YEAR(A954-WEEKDAY(A954-1)+4),1,3))+5)/7))</f>
        <v/>
      </c>
      <c r="D954" s="21" t="n"/>
      <c r="E954" s="22" t="n"/>
      <c r="F954" s="23" t="n"/>
      <c r="G954" s="23" t="n"/>
      <c r="H954" s="23" t="n"/>
      <c r="I954" s="20">
        <f>IF(COUNT(F954:H954)=0,"",SUM(F954:H954))</f>
        <v/>
      </c>
      <c r="J954" s="23" t="n"/>
      <c r="K954" s="23" t="n"/>
      <c r="L954" s="23" t="n"/>
      <c r="M954" s="23" t="n"/>
      <c r="N954" s="23" t="n"/>
      <c r="O954" s="20">
        <f>IF(OR(I954="",COUNT(J954:N954)=0),"",IF(SUM(J954:N954)=I954,"✓","⚠ "&amp;SUM(J954:N954)&amp;" statt "&amp;I954))</f>
        <v/>
      </c>
      <c r="P954" s="21" t="n"/>
      <c r="Q954" s="21" t="n"/>
      <c r="R954" s="21" t="n"/>
      <c r="S954" s="24" t="n"/>
      <c r="T954" s="24" t="n"/>
      <c r="V954">
        <f>IF(A954="","",MONTH(A954))</f>
        <v/>
      </c>
      <c r="W954">
        <f>N(W953)+IF(AND(C954&lt;&gt;"",T954&lt;&gt;""),IF(C954=WOCHE!$B$3,1,0),0)</f>
        <v/>
      </c>
      <c r="X954">
        <f>N(X953)+IF(AND(V954&lt;&gt;"",T954&lt;&gt;""),IF(V954=MONAT!$AZ$3,1,0),0)</f>
        <v/>
      </c>
    </row>
    <row r="955">
      <c r="A955" s="19" t="n"/>
      <c r="B955" s="20">
        <f>IF(A955="","",CHOOSE(WEEKDAY(A955,2),"Mo","Di","Mi","Do","Fr","Sa","So"))</f>
        <v/>
      </c>
      <c r="C955" s="20">
        <f>IF(A955="","",INT((A955-DATE(YEAR(A955-WEEKDAY(A955-1)+4),1,3)+WEEKDAY(DATE(YEAR(A955-WEEKDAY(A955-1)+4),1,3))+5)/7))</f>
        <v/>
      </c>
      <c r="D955" s="21" t="n"/>
      <c r="E955" s="22" t="n"/>
      <c r="F955" s="23" t="n"/>
      <c r="G955" s="23" t="n"/>
      <c r="H955" s="23" t="n"/>
      <c r="I955" s="20">
        <f>IF(COUNT(F955:H955)=0,"",SUM(F955:H955))</f>
        <v/>
      </c>
      <c r="J955" s="23" t="n"/>
      <c r="K955" s="23" t="n"/>
      <c r="L955" s="23" t="n"/>
      <c r="M955" s="23" t="n"/>
      <c r="N955" s="23" t="n"/>
      <c r="O955" s="20">
        <f>IF(OR(I955="",COUNT(J955:N955)=0),"",IF(SUM(J955:N955)=I955,"✓","⚠ "&amp;SUM(J955:N955)&amp;" statt "&amp;I955))</f>
        <v/>
      </c>
      <c r="P955" s="21" t="n"/>
      <c r="Q955" s="21" t="n"/>
      <c r="R955" s="21" t="n"/>
      <c r="S955" s="24" t="n"/>
      <c r="T955" s="24" t="n"/>
      <c r="V955">
        <f>IF(A955="","",MONTH(A955))</f>
        <v/>
      </c>
      <c r="W955">
        <f>N(W954)+IF(AND(C955&lt;&gt;"",T955&lt;&gt;""),IF(C955=WOCHE!$B$3,1,0),0)</f>
        <v/>
      </c>
      <c r="X955">
        <f>N(X954)+IF(AND(V955&lt;&gt;"",T955&lt;&gt;""),IF(V955=MONAT!$AZ$3,1,0),0)</f>
        <v/>
      </c>
    </row>
    <row r="956">
      <c r="A956" s="19" t="n"/>
      <c r="B956" s="20">
        <f>IF(A956="","",CHOOSE(WEEKDAY(A956,2),"Mo","Di","Mi","Do","Fr","Sa","So"))</f>
        <v/>
      </c>
      <c r="C956" s="20">
        <f>IF(A956="","",INT((A956-DATE(YEAR(A956-WEEKDAY(A956-1)+4),1,3)+WEEKDAY(DATE(YEAR(A956-WEEKDAY(A956-1)+4),1,3))+5)/7))</f>
        <v/>
      </c>
      <c r="D956" s="21" t="n"/>
      <c r="E956" s="22" t="n"/>
      <c r="F956" s="23" t="n"/>
      <c r="G956" s="23" t="n"/>
      <c r="H956" s="23" t="n"/>
      <c r="I956" s="20">
        <f>IF(COUNT(F956:H956)=0,"",SUM(F956:H956))</f>
        <v/>
      </c>
      <c r="J956" s="23" t="n"/>
      <c r="K956" s="23" t="n"/>
      <c r="L956" s="23" t="n"/>
      <c r="M956" s="23" t="n"/>
      <c r="N956" s="23" t="n"/>
      <c r="O956" s="20">
        <f>IF(OR(I956="",COUNT(J956:N956)=0),"",IF(SUM(J956:N956)=I956,"✓","⚠ "&amp;SUM(J956:N956)&amp;" statt "&amp;I956))</f>
        <v/>
      </c>
      <c r="P956" s="21" t="n"/>
      <c r="Q956" s="21" t="n"/>
      <c r="R956" s="21" t="n"/>
      <c r="S956" s="24" t="n"/>
      <c r="T956" s="24" t="n"/>
      <c r="V956">
        <f>IF(A956="","",MONTH(A956))</f>
        <v/>
      </c>
      <c r="W956">
        <f>N(W955)+IF(AND(C956&lt;&gt;"",T956&lt;&gt;""),IF(C956=WOCHE!$B$3,1,0),0)</f>
        <v/>
      </c>
      <c r="X956">
        <f>N(X955)+IF(AND(V956&lt;&gt;"",T956&lt;&gt;""),IF(V956=MONAT!$AZ$3,1,0),0)</f>
        <v/>
      </c>
    </row>
    <row r="957">
      <c r="A957" s="19" t="n"/>
      <c r="B957" s="20">
        <f>IF(A957="","",CHOOSE(WEEKDAY(A957,2),"Mo","Di","Mi","Do","Fr","Sa","So"))</f>
        <v/>
      </c>
      <c r="C957" s="20">
        <f>IF(A957="","",INT((A957-DATE(YEAR(A957-WEEKDAY(A957-1)+4),1,3)+WEEKDAY(DATE(YEAR(A957-WEEKDAY(A957-1)+4),1,3))+5)/7))</f>
        <v/>
      </c>
      <c r="D957" s="21" t="n"/>
      <c r="E957" s="22" t="n"/>
      <c r="F957" s="23" t="n"/>
      <c r="G957" s="23" t="n"/>
      <c r="H957" s="23" t="n"/>
      <c r="I957" s="20">
        <f>IF(COUNT(F957:H957)=0,"",SUM(F957:H957))</f>
        <v/>
      </c>
      <c r="J957" s="23" t="n"/>
      <c r="K957" s="23" t="n"/>
      <c r="L957" s="23" t="n"/>
      <c r="M957" s="23" t="n"/>
      <c r="N957" s="23" t="n"/>
      <c r="O957" s="20">
        <f>IF(OR(I957="",COUNT(J957:N957)=0),"",IF(SUM(J957:N957)=I957,"✓","⚠ "&amp;SUM(J957:N957)&amp;" statt "&amp;I957))</f>
        <v/>
      </c>
      <c r="P957" s="21" t="n"/>
      <c r="Q957" s="21" t="n"/>
      <c r="R957" s="21" t="n"/>
      <c r="S957" s="24" t="n"/>
      <c r="T957" s="24" t="n"/>
      <c r="V957">
        <f>IF(A957="","",MONTH(A957))</f>
        <v/>
      </c>
      <c r="W957">
        <f>N(W956)+IF(AND(C957&lt;&gt;"",T957&lt;&gt;""),IF(C957=WOCHE!$B$3,1,0),0)</f>
        <v/>
      </c>
      <c r="X957">
        <f>N(X956)+IF(AND(V957&lt;&gt;"",T957&lt;&gt;""),IF(V957=MONAT!$AZ$3,1,0),0)</f>
        <v/>
      </c>
    </row>
    <row r="958">
      <c r="A958" s="19" t="n"/>
      <c r="B958" s="20">
        <f>IF(A958="","",CHOOSE(WEEKDAY(A958,2),"Mo","Di","Mi","Do","Fr","Sa","So"))</f>
        <v/>
      </c>
      <c r="C958" s="20">
        <f>IF(A958="","",INT((A958-DATE(YEAR(A958-WEEKDAY(A958-1)+4),1,3)+WEEKDAY(DATE(YEAR(A958-WEEKDAY(A958-1)+4),1,3))+5)/7))</f>
        <v/>
      </c>
      <c r="D958" s="21" t="n"/>
      <c r="E958" s="22" t="n"/>
      <c r="F958" s="23" t="n"/>
      <c r="G958" s="23" t="n"/>
      <c r="H958" s="23" t="n"/>
      <c r="I958" s="20">
        <f>IF(COUNT(F958:H958)=0,"",SUM(F958:H958))</f>
        <v/>
      </c>
      <c r="J958" s="23" t="n"/>
      <c r="K958" s="23" t="n"/>
      <c r="L958" s="23" t="n"/>
      <c r="M958" s="23" t="n"/>
      <c r="N958" s="23" t="n"/>
      <c r="O958" s="20">
        <f>IF(OR(I958="",COUNT(J958:N958)=0),"",IF(SUM(J958:N958)=I958,"✓","⚠ "&amp;SUM(J958:N958)&amp;" statt "&amp;I958))</f>
        <v/>
      </c>
      <c r="P958" s="21" t="n"/>
      <c r="Q958" s="21" t="n"/>
      <c r="R958" s="21" t="n"/>
      <c r="S958" s="24" t="n"/>
      <c r="T958" s="24" t="n"/>
      <c r="V958">
        <f>IF(A958="","",MONTH(A958))</f>
        <v/>
      </c>
      <c r="W958">
        <f>N(W957)+IF(AND(C958&lt;&gt;"",T958&lt;&gt;""),IF(C958=WOCHE!$B$3,1,0),0)</f>
        <v/>
      </c>
      <c r="X958">
        <f>N(X957)+IF(AND(V958&lt;&gt;"",T958&lt;&gt;""),IF(V958=MONAT!$AZ$3,1,0),0)</f>
        <v/>
      </c>
    </row>
    <row r="959">
      <c r="A959" s="19" t="n"/>
      <c r="B959" s="20">
        <f>IF(A959="","",CHOOSE(WEEKDAY(A959,2),"Mo","Di","Mi","Do","Fr","Sa","So"))</f>
        <v/>
      </c>
      <c r="C959" s="20">
        <f>IF(A959="","",INT((A959-DATE(YEAR(A959-WEEKDAY(A959-1)+4),1,3)+WEEKDAY(DATE(YEAR(A959-WEEKDAY(A959-1)+4),1,3))+5)/7))</f>
        <v/>
      </c>
      <c r="D959" s="21" t="n"/>
      <c r="E959" s="22" t="n"/>
      <c r="F959" s="23" t="n"/>
      <c r="G959" s="23" t="n"/>
      <c r="H959" s="23" t="n"/>
      <c r="I959" s="20">
        <f>IF(COUNT(F959:H959)=0,"",SUM(F959:H959))</f>
        <v/>
      </c>
      <c r="J959" s="23" t="n"/>
      <c r="K959" s="23" t="n"/>
      <c r="L959" s="23" t="n"/>
      <c r="M959" s="23" t="n"/>
      <c r="N959" s="23" t="n"/>
      <c r="O959" s="20">
        <f>IF(OR(I959="",COUNT(J959:N959)=0),"",IF(SUM(J959:N959)=I959,"✓","⚠ "&amp;SUM(J959:N959)&amp;" statt "&amp;I959))</f>
        <v/>
      </c>
      <c r="P959" s="21" t="n"/>
      <c r="Q959" s="21" t="n"/>
      <c r="R959" s="21" t="n"/>
      <c r="S959" s="24" t="n"/>
      <c r="T959" s="24" t="n"/>
      <c r="V959">
        <f>IF(A959="","",MONTH(A959))</f>
        <v/>
      </c>
      <c r="W959">
        <f>N(W958)+IF(AND(C959&lt;&gt;"",T959&lt;&gt;""),IF(C959=WOCHE!$B$3,1,0),0)</f>
        <v/>
      </c>
      <c r="X959">
        <f>N(X958)+IF(AND(V959&lt;&gt;"",T959&lt;&gt;""),IF(V959=MONAT!$AZ$3,1,0),0)</f>
        <v/>
      </c>
    </row>
    <row r="960">
      <c r="A960" s="19" t="n"/>
      <c r="B960" s="20">
        <f>IF(A960="","",CHOOSE(WEEKDAY(A960,2),"Mo","Di","Mi","Do","Fr","Sa","So"))</f>
        <v/>
      </c>
      <c r="C960" s="20">
        <f>IF(A960="","",INT((A960-DATE(YEAR(A960-WEEKDAY(A960-1)+4),1,3)+WEEKDAY(DATE(YEAR(A960-WEEKDAY(A960-1)+4),1,3))+5)/7))</f>
        <v/>
      </c>
      <c r="D960" s="21" t="n"/>
      <c r="E960" s="22" t="n"/>
      <c r="F960" s="23" t="n"/>
      <c r="G960" s="23" t="n"/>
      <c r="H960" s="23" t="n"/>
      <c r="I960" s="20">
        <f>IF(COUNT(F960:H960)=0,"",SUM(F960:H960))</f>
        <v/>
      </c>
      <c r="J960" s="23" t="n"/>
      <c r="K960" s="23" t="n"/>
      <c r="L960" s="23" t="n"/>
      <c r="M960" s="23" t="n"/>
      <c r="N960" s="23" t="n"/>
      <c r="O960" s="20">
        <f>IF(OR(I960="",COUNT(J960:N960)=0),"",IF(SUM(J960:N960)=I960,"✓","⚠ "&amp;SUM(J960:N960)&amp;" statt "&amp;I960))</f>
        <v/>
      </c>
      <c r="P960" s="21" t="n"/>
      <c r="Q960" s="21" t="n"/>
      <c r="R960" s="21" t="n"/>
      <c r="S960" s="24" t="n"/>
      <c r="T960" s="24" t="n"/>
      <c r="V960">
        <f>IF(A960="","",MONTH(A960))</f>
        <v/>
      </c>
      <c r="W960">
        <f>N(W959)+IF(AND(C960&lt;&gt;"",T960&lt;&gt;""),IF(C960=WOCHE!$B$3,1,0),0)</f>
        <v/>
      </c>
      <c r="X960">
        <f>N(X959)+IF(AND(V960&lt;&gt;"",T960&lt;&gt;""),IF(V960=MONAT!$AZ$3,1,0),0)</f>
        <v/>
      </c>
    </row>
    <row r="961">
      <c r="A961" s="19" t="n"/>
      <c r="B961" s="20">
        <f>IF(A961="","",CHOOSE(WEEKDAY(A961,2),"Mo","Di","Mi","Do","Fr","Sa","So"))</f>
        <v/>
      </c>
      <c r="C961" s="20">
        <f>IF(A961="","",INT((A961-DATE(YEAR(A961-WEEKDAY(A961-1)+4),1,3)+WEEKDAY(DATE(YEAR(A961-WEEKDAY(A961-1)+4),1,3))+5)/7))</f>
        <v/>
      </c>
      <c r="D961" s="21" t="n"/>
      <c r="E961" s="22" t="n"/>
      <c r="F961" s="23" t="n"/>
      <c r="G961" s="23" t="n"/>
      <c r="H961" s="23" t="n"/>
      <c r="I961" s="20">
        <f>IF(COUNT(F961:H961)=0,"",SUM(F961:H961))</f>
        <v/>
      </c>
      <c r="J961" s="23" t="n"/>
      <c r="K961" s="23" t="n"/>
      <c r="L961" s="23" t="n"/>
      <c r="M961" s="23" t="n"/>
      <c r="N961" s="23" t="n"/>
      <c r="O961" s="20">
        <f>IF(OR(I961="",COUNT(J961:N961)=0),"",IF(SUM(J961:N961)=I961,"✓","⚠ "&amp;SUM(J961:N961)&amp;" statt "&amp;I961))</f>
        <v/>
      </c>
      <c r="P961" s="21" t="n"/>
      <c r="Q961" s="21" t="n"/>
      <c r="R961" s="21" t="n"/>
      <c r="S961" s="24" t="n"/>
      <c r="T961" s="24" t="n"/>
      <c r="V961">
        <f>IF(A961="","",MONTH(A961))</f>
        <v/>
      </c>
      <c r="W961">
        <f>N(W960)+IF(AND(C961&lt;&gt;"",T961&lt;&gt;""),IF(C961=WOCHE!$B$3,1,0),0)</f>
        <v/>
      </c>
      <c r="X961">
        <f>N(X960)+IF(AND(V961&lt;&gt;"",T961&lt;&gt;""),IF(V961=MONAT!$AZ$3,1,0),0)</f>
        <v/>
      </c>
    </row>
    <row r="962">
      <c r="A962" s="19" t="n"/>
      <c r="B962" s="20">
        <f>IF(A962="","",CHOOSE(WEEKDAY(A962,2),"Mo","Di","Mi","Do","Fr","Sa","So"))</f>
        <v/>
      </c>
      <c r="C962" s="20">
        <f>IF(A962="","",INT((A962-DATE(YEAR(A962-WEEKDAY(A962-1)+4),1,3)+WEEKDAY(DATE(YEAR(A962-WEEKDAY(A962-1)+4),1,3))+5)/7))</f>
        <v/>
      </c>
      <c r="D962" s="21" t="n"/>
      <c r="E962" s="22" t="n"/>
      <c r="F962" s="23" t="n"/>
      <c r="G962" s="23" t="n"/>
      <c r="H962" s="23" t="n"/>
      <c r="I962" s="20">
        <f>IF(COUNT(F962:H962)=0,"",SUM(F962:H962))</f>
        <v/>
      </c>
      <c r="J962" s="23" t="n"/>
      <c r="K962" s="23" t="n"/>
      <c r="L962" s="23" t="n"/>
      <c r="M962" s="23" t="n"/>
      <c r="N962" s="23" t="n"/>
      <c r="O962" s="20">
        <f>IF(OR(I962="",COUNT(J962:N962)=0),"",IF(SUM(J962:N962)=I962,"✓","⚠ "&amp;SUM(J962:N962)&amp;" statt "&amp;I962))</f>
        <v/>
      </c>
      <c r="P962" s="21" t="n"/>
      <c r="Q962" s="21" t="n"/>
      <c r="R962" s="21" t="n"/>
      <c r="S962" s="24" t="n"/>
      <c r="T962" s="24" t="n"/>
      <c r="V962">
        <f>IF(A962="","",MONTH(A962))</f>
        <v/>
      </c>
      <c r="W962">
        <f>N(W961)+IF(AND(C962&lt;&gt;"",T962&lt;&gt;""),IF(C962=WOCHE!$B$3,1,0),0)</f>
        <v/>
      </c>
      <c r="X962">
        <f>N(X961)+IF(AND(V962&lt;&gt;"",T962&lt;&gt;""),IF(V962=MONAT!$AZ$3,1,0),0)</f>
        <v/>
      </c>
    </row>
    <row r="963">
      <c r="A963" s="19" t="n"/>
      <c r="B963" s="20">
        <f>IF(A963="","",CHOOSE(WEEKDAY(A963,2),"Mo","Di","Mi","Do","Fr","Sa","So"))</f>
        <v/>
      </c>
      <c r="C963" s="20">
        <f>IF(A963="","",INT((A963-DATE(YEAR(A963-WEEKDAY(A963-1)+4),1,3)+WEEKDAY(DATE(YEAR(A963-WEEKDAY(A963-1)+4),1,3))+5)/7))</f>
        <v/>
      </c>
      <c r="D963" s="21" t="n"/>
      <c r="E963" s="22" t="n"/>
      <c r="F963" s="23" t="n"/>
      <c r="G963" s="23" t="n"/>
      <c r="H963" s="23" t="n"/>
      <c r="I963" s="20">
        <f>IF(COUNT(F963:H963)=0,"",SUM(F963:H963))</f>
        <v/>
      </c>
      <c r="J963" s="23" t="n"/>
      <c r="K963" s="23" t="n"/>
      <c r="L963" s="23" t="n"/>
      <c r="M963" s="23" t="n"/>
      <c r="N963" s="23" t="n"/>
      <c r="O963" s="20">
        <f>IF(OR(I963="",COUNT(J963:N963)=0),"",IF(SUM(J963:N963)=I963,"✓","⚠ "&amp;SUM(J963:N963)&amp;" statt "&amp;I963))</f>
        <v/>
      </c>
      <c r="P963" s="21" t="n"/>
      <c r="Q963" s="21" t="n"/>
      <c r="R963" s="21" t="n"/>
      <c r="S963" s="24" t="n"/>
      <c r="T963" s="24" t="n"/>
      <c r="V963">
        <f>IF(A963="","",MONTH(A963))</f>
        <v/>
      </c>
      <c r="W963">
        <f>N(W962)+IF(AND(C963&lt;&gt;"",T963&lt;&gt;""),IF(C963=WOCHE!$B$3,1,0),0)</f>
        <v/>
      </c>
      <c r="X963">
        <f>N(X962)+IF(AND(V963&lt;&gt;"",T963&lt;&gt;""),IF(V963=MONAT!$AZ$3,1,0),0)</f>
        <v/>
      </c>
    </row>
    <row r="964">
      <c r="A964" s="19" t="n"/>
      <c r="B964" s="20">
        <f>IF(A964="","",CHOOSE(WEEKDAY(A964,2),"Mo","Di","Mi","Do","Fr","Sa","So"))</f>
        <v/>
      </c>
      <c r="C964" s="20">
        <f>IF(A964="","",INT((A964-DATE(YEAR(A964-WEEKDAY(A964-1)+4),1,3)+WEEKDAY(DATE(YEAR(A964-WEEKDAY(A964-1)+4),1,3))+5)/7))</f>
        <v/>
      </c>
      <c r="D964" s="21" t="n"/>
      <c r="E964" s="22" t="n"/>
      <c r="F964" s="23" t="n"/>
      <c r="G964" s="23" t="n"/>
      <c r="H964" s="23" t="n"/>
      <c r="I964" s="20">
        <f>IF(COUNT(F964:H964)=0,"",SUM(F964:H964))</f>
        <v/>
      </c>
      <c r="J964" s="23" t="n"/>
      <c r="K964" s="23" t="n"/>
      <c r="L964" s="23" t="n"/>
      <c r="M964" s="23" t="n"/>
      <c r="N964" s="23" t="n"/>
      <c r="O964" s="20">
        <f>IF(OR(I964="",COUNT(J964:N964)=0),"",IF(SUM(J964:N964)=I964,"✓","⚠ "&amp;SUM(J964:N964)&amp;" statt "&amp;I964))</f>
        <v/>
      </c>
      <c r="P964" s="21" t="n"/>
      <c r="Q964" s="21" t="n"/>
      <c r="R964" s="21" t="n"/>
      <c r="S964" s="24" t="n"/>
      <c r="T964" s="24" t="n"/>
      <c r="V964">
        <f>IF(A964="","",MONTH(A964))</f>
        <v/>
      </c>
      <c r="W964">
        <f>N(W963)+IF(AND(C964&lt;&gt;"",T964&lt;&gt;""),IF(C964=WOCHE!$B$3,1,0),0)</f>
        <v/>
      </c>
      <c r="X964">
        <f>N(X963)+IF(AND(V964&lt;&gt;"",T964&lt;&gt;""),IF(V964=MONAT!$AZ$3,1,0),0)</f>
        <v/>
      </c>
    </row>
    <row r="965">
      <c r="A965" s="19" t="n"/>
      <c r="B965" s="20">
        <f>IF(A965="","",CHOOSE(WEEKDAY(A965,2),"Mo","Di","Mi","Do","Fr","Sa","So"))</f>
        <v/>
      </c>
      <c r="C965" s="20">
        <f>IF(A965="","",INT((A965-DATE(YEAR(A965-WEEKDAY(A965-1)+4),1,3)+WEEKDAY(DATE(YEAR(A965-WEEKDAY(A965-1)+4),1,3))+5)/7))</f>
        <v/>
      </c>
      <c r="D965" s="21" t="n"/>
      <c r="E965" s="22" t="n"/>
      <c r="F965" s="23" t="n"/>
      <c r="G965" s="23" t="n"/>
      <c r="H965" s="23" t="n"/>
      <c r="I965" s="20">
        <f>IF(COUNT(F965:H965)=0,"",SUM(F965:H965))</f>
        <v/>
      </c>
      <c r="J965" s="23" t="n"/>
      <c r="K965" s="23" t="n"/>
      <c r="L965" s="23" t="n"/>
      <c r="M965" s="23" t="n"/>
      <c r="N965" s="23" t="n"/>
      <c r="O965" s="20">
        <f>IF(OR(I965="",COUNT(J965:N965)=0),"",IF(SUM(J965:N965)=I965,"✓","⚠ "&amp;SUM(J965:N965)&amp;" statt "&amp;I965))</f>
        <v/>
      </c>
      <c r="P965" s="21" t="n"/>
      <c r="Q965" s="21" t="n"/>
      <c r="R965" s="21" t="n"/>
      <c r="S965" s="24" t="n"/>
      <c r="T965" s="24" t="n"/>
      <c r="V965">
        <f>IF(A965="","",MONTH(A965))</f>
        <v/>
      </c>
      <c r="W965">
        <f>N(W964)+IF(AND(C965&lt;&gt;"",T965&lt;&gt;""),IF(C965=WOCHE!$B$3,1,0),0)</f>
        <v/>
      </c>
      <c r="X965">
        <f>N(X964)+IF(AND(V965&lt;&gt;"",T965&lt;&gt;""),IF(V965=MONAT!$AZ$3,1,0),0)</f>
        <v/>
      </c>
    </row>
    <row r="966">
      <c r="A966" s="19" t="n"/>
      <c r="B966" s="20">
        <f>IF(A966="","",CHOOSE(WEEKDAY(A966,2),"Mo","Di","Mi","Do","Fr","Sa","So"))</f>
        <v/>
      </c>
      <c r="C966" s="20">
        <f>IF(A966="","",INT((A966-DATE(YEAR(A966-WEEKDAY(A966-1)+4),1,3)+WEEKDAY(DATE(YEAR(A966-WEEKDAY(A966-1)+4),1,3))+5)/7))</f>
        <v/>
      </c>
      <c r="D966" s="21" t="n"/>
      <c r="E966" s="22" t="n"/>
      <c r="F966" s="23" t="n"/>
      <c r="G966" s="23" t="n"/>
      <c r="H966" s="23" t="n"/>
      <c r="I966" s="20">
        <f>IF(COUNT(F966:H966)=0,"",SUM(F966:H966))</f>
        <v/>
      </c>
      <c r="J966" s="23" t="n"/>
      <c r="K966" s="23" t="n"/>
      <c r="L966" s="23" t="n"/>
      <c r="M966" s="23" t="n"/>
      <c r="N966" s="23" t="n"/>
      <c r="O966" s="20">
        <f>IF(OR(I966="",COUNT(J966:N966)=0),"",IF(SUM(J966:N966)=I966,"✓","⚠ "&amp;SUM(J966:N966)&amp;" statt "&amp;I966))</f>
        <v/>
      </c>
      <c r="P966" s="21" t="n"/>
      <c r="Q966" s="21" t="n"/>
      <c r="R966" s="21" t="n"/>
      <c r="S966" s="24" t="n"/>
      <c r="T966" s="24" t="n"/>
      <c r="V966">
        <f>IF(A966="","",MONTH(A966))</f>
        <v/>
      </c>
      <c r="W966">
        <f>N(W965)+IF(AND(C966&lt;&gt;"",T966&lt;&gt;""),IF(C966=WOCHE!$B$3,1,0),0)</f>
        <v/>
      </c>
      <c r="X966">
        <f>N(X965)+IF(AND(V966&lt;&gt;"",T966&lt;&gt;""),IF(V966=MONAT!$AZ$3,1,0),0)</f>
        <v/>
      </c>
    </row>
    <row r="967">
      <c r="A967" s="19" t="n"/>
      <c r="B967" s="20">
        <f>IF(A967="","",CHOOSE(WEEKDAY(A967,2),"Mo","Di","Mi","Do","Fr","Sa","So"))</f>
        <v/>
      </c>
      <c r="C967" s="20">
        <f>IF(A967="","",INT((A967-DATE(YEAR(A967-WEEKDAY(A967-1)+4),1,3)+WEEKDAY(DATE(YEAR(A967-WEEKDAY(A967-1)+4),1,3))+5)/7))</f>
        <v/>
      </c>
      <c r="D967" s="21" t="n"/>
      <c r="E967" s="22" t="n"/>
      <c r="F967" s="23" t="n"/>
      <c r="G967" s="23" t="n"/>
      <c r="H967" s="23" t="n"/>
      <c r="I967" s="20">
        <f>IF(COUNT(F967:H967)=0,"",SUM(F967:H967))</f>
        <v/>
      </c>
      <c r="J967" s="23" t="n"/>
      <c r="K967" s="23" t="n"/>
      <c r="L967" s="23" t="n"/>
      <c r="M967" s="23" t="n"/>
      <c r="N967" s="23" t="n"/>
      <c r="O967" s="20">
        <f>IF(OR(I967="",COUNT(J967:N967)=0),"",IF(SUM(J967:N967)=I967,"✓","⚠ "&amp;SUM(J967:N967)&amp;" statt "&amp;I967))</f>
        <v/>
      </c>
      <c r="P967" s="21" t="n"/>
      <c r="Q967" s="21" t="n"/>
      <c r="R967" s="21" t="n"/>
      <c r="S967" s="24" t="n"/>
      <c r="T967" s="24" t="n"/>
      <c r="V967">
        <f>IF(A967="","",MONTH(A967))</f>
        <v/>
      </c>
      <c r="W967">
        <f>N(W966)+IF(AND(C967&lt;&gt;"",T967&lt;&gt;""),IF(C967=WOCHE!$B$3,1,0),0)</f>
        <v/>
      </c>
      <c r="X967">
        <f>N(X966)+IF(AND(V967&lt;&gt;"",T967&lt;&gt;""),IF(V967=MONAT!$AZ$3,1,0),0)</f>
        <v/>
      </c>
    </row>
    <row r="968">
      <c r="A968" s="19" t="n"/>
      <c r="B968" s="20">
        <f>IF(A968="","",CHOOSE(WEEKDAY(A968,2),"Mo","Di","Mi","Do","Fr","Sa","So"))</f>
        <v/>
      </c>
      <c r="C968" s="20">
        <f>IF(A968="","",INT((A968-DATE(YEAR(A968-WEEKDAY(A968-1)+4),1,3)+WEEKDAY(DATE(YEAR(A968-WEEKDAY(A968-1)+4),1,3))+5)/7))</f>
        <v/>
      </c>
      <c r="D968" s="21" t="n"/>
      <c r="E968" s="22" t="n"/>
      <c r="F968" s="23" t="n"/>
      <c r="G968" s="23" t="n"/>
      <c r="H968" s="23" t="n"/>
      <c r="I968" s="20">
        <f>IF(COUNT(F968:H968)=0,"",SUM(F968:H968))</f>
        <v/>
      </c>
      <c r="J968" s="23" t="n"/>
      <c r="K968" s="23" t="n"/>
      <c r="L968" s="23" t="n"/>
      <c r="M968" s="23" t="n"/>
      <c r="N968" s="23" t="n"/>
      <c r="O968" s="20">
        <f>IF(OR(I968="",COUNT(J968:N968)=0),"",IF(SUM(J968:N968)=I968,"✓","⚠ "&amp;SUM(J968:N968)&amp;" statt "&amp;I968))</f>
        <v/>
      </c>
      <c r="P968" s="21" t="n"/>
      <c r="Q968" s="21" t="n"/>
      <c r="R968" s="21" t="n"/>
      <c r="S968" s="24" t="n"/>
      <c r="T968" s="24" t="n"/>
      <c r="V968">
        <f>IF(A968="","",MONTH(A968))</f>
        <v/>
      </c>
      <c r="W968">
        <f>N(W967)+IF(AND(C968&lt;&gt;"",T968&lt;&gt;""),IF(C968=WOCHE!$B$3,1,0),0)</f>
        <v/>
      </c>
      <c r="X968">
        <f>N(X967)+IF(AND(V968&lt;&gt;"",T968&lt;&gt;""),IF(V968=MONAT!$AZ$3,1,0),0)</f>
        <v/>
      </c>
    </row>
    <row r="969">
      <c r="A969" s="19" t="n"/>
      <c r="B969" s="20">
        <f>IF(A969="","",CHOOSE(WEEKDAY(A969,2),"Mo","Di","Mi","Do","Fr","Sa","So"))</f>
        <v/>
      </c>
      <c r="C969" s="20">
        <f>IF(A969="","",INT((A969-DATE(YEAR(A969-WEEKDAY(A969-1)+4),1,3)+WEEKDAY(DATE(YEAR(A969-WEEKDAY(A969-1)+4),1,3))+5)/7))</f>
        <v/>
      </c>
      <c r="D969" s="21" t="n"/>
      <c r="E969" s="22" t="n"/>
      <c r="F969" s="23" t="n"/>
      <c r="G969" s="23" t="n"/>
      <c r="H969" s="23" t="n"/>
      <c r="I969" s="20">
        <f>IF(COUNT(F969:H969)=0,"",SUM(F969:H969))</f>
        <v/>
      </c>
      <c r="J969" s="23" t="n"/>
      <c r="K969" s="23" t="n"/>
      <c r="L969" s="23" t="n"/>
      <c r="M969" s="23" t="n"/>
      <c r="N969" s="23" t="n"/>
      <c r="O969" s="20">
        <f>IF(OR(I969="",COUNT(J969:N969)=0),"",IF(SUM(J969:N969)=I969,"✓","⚠ "&amp;SUM(J969:N969)&amp;" statt "&amp;I969))</f>
        <v/>
      </c>
      <c r="P969" s="21" t="n"/>
      <c r="Q969" s="21" t="n"/>
      <c r="R969" s="21" t="n"/>
      <c r="S969" s="24" t="n"/>
      <c r="T969" s="24" t="n"/>
      <c r="V969">
        <f>IF(A969="","",MONTH(A969))</f>
        <v/>
      </c>
      <c r="W969">
        <f>N(W968)+IF(AND(C969&lt;&gt;"",T969&lt;&gt;""),IF(C969=WOCHE!$B$3,1,0),0)</f>
        <v/>
      </c>
      <c r="X969">
        <f>N(X968)+IF(AND(V969&lt;&gt;"",T969&lt;&gt;""),IF(V969=MONAT!$AZ$3,1,0),0)</f>
        <v/>
      </c>
    </row>
    <row r="970">
      <c r="A970" s="19" t="n"/>
      <c r="B970" s="20">
        <f>IF(A970="","",CHOOSE(WEEKDAY(A970,2),"Mo","Di","Mi","Do","Fr","Sa","So"))</f>
        <v/>
      </c>
      <c r="C970" s="20">
        <f>IF(A970="","",INT((A970-DATE(YEAR(A970-WEEKDAY(A970-1)+4),1,3)+WEEKDAY(DATE(YEAR(A970-WEEKDAY(A970-1)+4),1,3))+5)/7))</f>
        <v/>
      </c>
      <c r="D970" s="21" t="n"/>
      <c r="E970" s="22" t="n"/>
      <c r="F970" s="23" t="n"/>
      <c r="G970" s="23" t="n"/>
      <c r="H970" s="23" t="n"/>
      <c r="I970" s="20">
        <f>IF(COUNT(F970:H970)=0,"",SUM(F970:H970))</f>
        <v/>
      </c>
      <c r="J970" s="23" t="n"/>
      <c r="K970" s="23" t="n"/>
      <c r="L970" s="23" t="n"/>
      <c r="M970" s="23" t="n"/>
      <c r="N970" s="23" t="n"/>
      <c r="O970" s="20">
        <f>IF(OR(I970="",COUNT(J970:N970)=0),"",IF(SUM(J970:N970)=I970,"✓","⚠ "&amp;SUM(J970:N970)&amp;" statt "&amp;I970))</f>
        <v/>
      </c>
      <c r="P970" s="21" t="n"/>
      <c r="Q970" s="21" t="n"/>
      <c r="R970" s="21" t="n"/>
      <c r="S970" s="24" t="n"/>
      <c r="T970" s="24" t="n"/>
      <c r="V970">
        <f>IF(A970="","",MONTH(A970))</f>
        <v/>
      </c>
      <c r="W970">
        <f>N(W969)+IF(AND(C970&lt;&gt;"",T970&lt;&gt;""),IF(C970=WOCHE!$B$3,1,0),0)</f>
        <v/>
      </c>
      <c r="X970">
        <f>N(X969)+IF(AND(V970&lt;&gt;"",T970&lt;&gt;""),IF(V970=MONAT!$AZ$3,1,0),0)</f>
        <v/>
      </c>
    </row>
    <row r="971">
      <c r="A971" s="19" t="n"/>
      <c r="B971" s="20">
        <f>IF(A971="","",CHOOSE(WEEKDAY(A971,2),"Mo","Di","Mi","Do","Fr","Sa","So"))</f>
        <v/>
      </c>
      <c r="C971" s="20">
        <f>IF(A971="","",INT((A971-DATE(YEAR(A971-WEEKDAY(A971-1)+4),1,3)+WEEKDAY(DATE(YEAR(A971-WEEKDAY(A971-1)+4),1,3))+5)/7))</f>
        <v/>
      </c>
      <c r="D971" s="21" t="n"/>
      <c r="E971" s="22" t="n"/>
      <c r="F971" s="23" t="n"/>
      <c r="G971" s="23" t="n"/>
      <c r="H971" s="23" t="n"/>
      <c r="I971" s="20">
        <f>IF(COUNT(F971:H971)=0,"",SUM(F971:H971))</f>
        <v/>
      </c>
      <c r="J971" s="23" t="n"/>
      <c r="K971" s="23" t="n"/>
      <c r="L971" s="23" t="n"/>
      <c r="M971" s="23" t="n"/>
      <c r="N971" s="23" t="n"/>
      <c r="O971" s="20">
        <f>IF(OR(I971="",COUNT(J971:N971)=0),"",IF(SUM(J971:N971)=I971,"✓","⚠ "&amp;SUM(J971:N971)&amp;" statt "&amp;I971))</f>
        <v/>
      </c>
      <c r="P971" s="21" t="n"/>
      <c r="Q971" s="21" t="n"/>
      <c r="R971" s="21" t="n"/>
      <c r="S971" s="24" t="n"/>
      <c r="T971" s="24" t="n"/>
      <c r="V971">
        <f>IF(A971="","",MONTH(A971))</f>
        <v/>
      </c>
      <c r="W971">
        <f>N(W970)+IF(AND(C971&lt;&gt;"",T971&lt;&gt;""),IF(C971=WOCHE!$B$3,1,0),0)</f>
        <v/>
      </c>
      <c r="X971">
        <f>N(X970)+IF(AND(V971&lt;&gt;"",T971&lt;&gt;""),IF(V971=MONAT!$AZ$3,1,0),0)</f>
        <v/>
      </c>
    </row>
    <row r="972">
      <c r="A972" s="19" t="n"/>
      <c r="B972" s="20">
        <f>IF(A972="","",CHOOSE(WEEKDAY(A972,2),"Mo","Di","Mi","Do","Fr","Sa","So"))</f>
        <v/>
      </c>
      <c r="C972" s="20">
        <f>IF(A972="","",INT((A972-DATE(YEAR(A972-WEEKDAY(A972-1)+4),1,3)+WEEKDAY(DATE(YEAR(A972-WEEKDAY(A972-1)+4),1,3))+5)/7))</f>
        <v/>
      </c>
      <c r="D972" s="21" t="n"/>
      <c r="E972" s="22" t="n"/>
      <c r="F972" s="23" t="n"/>
      <c r="G972" s="23" t="n"/>
      <c r="H972" s="23" t="n"/>
      <c r="I972" s="20">
        <f>IF(COUNT(F972:H972)=0,"",SUM(F972:H972))</f>
        <v/>
      </c>
      <c r="J972" s="23" t="n"/>
      <c r="K972" s="23" t="n"/>
      <c r="L972" s="23" t="n"/>
      <c r="M972" s="23" t="n"/>
      <c r="N972" s="23" t="n"/>
      <c r="O972" s="20">
        <f>IF(OR(I972="",COUNT(J972:N972)=0),"",IF(SUM(J972:N972)=I972,"✓","⚠ "&amp;SUM(J972:N972)&amp;" statt "&amp;I972))</f>
        <v/>
      </c>
      <c r="P972" s="21" t="n"/>
      <c r="Q972" s="21" t="n"/>
      <c r="R972" s="21" t="n"/>
      <c r="S972" s="24" t="n"/>
      <c r="T972" s="24" t="n"/>
      <c r="V972">
        <f>IF(A972="","",MONTH(A972))</f>
        <v/>
      </c>
      <c r="W972">
        <f>N(W971)+IF(AND(C972&lt;&gt;"",T972&lt;&gt;""),IF(C972=WOCHE!$B$3,1,0),0)</f>
        <v/>
      </c>
      <c r="X972">
        <f>N(X971)+IF(AND(V972&lt;&gt;"",T972&lt;&gt;""),IF(V972=MONAT!$AZ$3,1,0),0)</f>
        <v/>
      </c>
    </row>
    <row r="973">
      <c r="A973" s="19" t="n"/>
      <c r="B973" s="20">
        <f>IF(A973="","",CHOOSE(WEEKDAY(A973,2),"Mo","Di","Mi","Do","Fr","Sa","So"))</f>
        <v/>
      </c>
      <c r="C973" s="20">
        <f>IF(A973="","",INT((A973-DATE(YEAR(A973-WEEKDAY(A973-1)+4),1,3)+WEEKDAY(DATE(YEAR(A973-WEEKDAY(A973-1)+4),1,3))+5)/7))</f>
        <v/>
      </c>
      <c r="D973" s="21" t="n"/>
      <c r="E973" s="22" t="n"/>
      <c r="F973" s="23" t="n"/>
      <c r="G973" s="23" t="n"/>
      <c r="H973" s="23" t="n"/>
      <c r="I973" s="20">
        <f>IF(COUNT(F973:H973)=0,"",SUM(F973:H973))</f>
        <v/>
      </c>
      <c r="J973" s="23" t="n"/>
      <c r="K973" s="23" t="n"/>
      <c r="L973" s="23" t="n"/>
      <c r="M973" s="23" t="n"/>
      <c r="N973" s="23" t="n"/>
      <c r="O973" s="20">
        <f>IF(OR(I973="",COUNT(J973:N973)=0),"",IF(SUM(J973:N973)=I973,"✓","⚠ "&amp;SUM(J973:N973)&amp;" statt "&amp;I973))</f>
        <v/>
      </c>
      <c r="P973" s="21" t="n"/>
      <c r="Q973" s="21" t="n"/>
      <c r="R973" s="21" t="n"/>
      <c r="S973" s="24" t="n"/>
      <c r="T973" s="24" t="n"/>
      <c r="V973">
        <f>IF(A973="","",MONTH(A973))</f>
        <v/>
      </c>
      <c r="W973">
        <f>N(W972)+IF(AND(C973&lt;&gt;"",T973&lt;&gt;""),IF(C973=WOCHE!$B$3,1,0),0)</f>
        <v/>
      </c>
      <c r="X973">
        <f>N(X972)+IF(AND(V973&lt;&gt;"",T973&lt;&gt;""),IF(V973=MONAT!$AZ$3,1,0),0)</f>
        <v/>
      </c>
    </row>
    <row r="974">
      <c r="A974" s="19" t="n"/>
      <c r="B974" s="20">
        <f>IF(A974="","",CHOOSE(WEEKDAY(A974,2),"Mo","Di","Mi","Do","Fr","Sa","So"))</f>
        <v/>
      </c>
      <c r="C974" s="20">
        <f>IF(A974="","",INT((A974-DATE(YEAR(A974-WEEKDAY(A974-1)+4),1,3)+WEEKDAY(DATE(YEAR(A974-WEEKDAY(A974-1)+4),1,3))+5)/7))</f>
        <v/>
      </c>
      <c r="D974" s="21" t="n"/>
      <c r="E974" s="22" t="n"/>
      <c r="F974" s="23" t="n"/>
      <c r="G974" s="23" t="n"/>
      <c r="H974" s="23" t="n"/>
      <c r="I974" s="20">
        <f>IF(COUNT(F974:H974)=0,"",SUM(F974:H974))</f>
        <v/>
      </c>
      <c r="J974" s="23" t="n"/>
      <c r="K974" s="23" t="n"/>
      <c r="L974" s="23" t="n"/>
      <c r="M974" s="23" t="n"/>
      <c r="N974" s="23" t="n"/>
      <c r="O974" s="20">
        <f>IF(OR(I974="",COUNT(J974:N974)=0),"",IF(SUM(J974:N974)=I974,"✓","⚠ "&amp;SUM(J974:N974)&amp;" statt "&amp;I974))</f>
        <v/>
      </c>
      <c r="P974" s="21" t="n"/>
      <c r="Q974" s="21" t="n"/>
      <c r="R974" s="21" t="n"/>
      <c r="S974" s="24" t="n"/>
      <c r="T974" s="24" t="n"/>
      <c r="V974">
        <f>IF(A974="","",MONTH(A974))</f>
        <v/>
      </c>
      <c r="W974">
        <f>N(W973)+IF(AND(C974&lt;&gt;"",T974&lt;&gt;""),IF(C974=WOCHE!$B$3,1,0),0)</f>
        <v/>
      </c>
      <c r="X974">
        <f>N(X973)+IF(AND(V974&lt;&gt;"",T974&lt;&gt;""),IF(V974=MONAT!$AZ$3,1,0),0)</f>
        <v/>
      </c>
    </row>
    <row r="975">
      <c r="A975" s="19" t="n"/>
      <c r="B975" s="20">
        <f>IF(A975="","",CHOOSE(WEEKDAY(A975,2),"Mo","Di","Mi","Do","Fr","Sa","So"))</f>
        <v/>
      </c>
      <c r="C975" s="20">
        <f>IF(A975="","",INT((A975-DATE(YEAR(A975-WEEKDAY(A975-1)+4),1,3)+WEEKDAY(DATE(YEAR(A975-WEEKDAY(A975-1)+4),1,3))+5)/7))</f>
        <v/>
      </c>
      <c r="D975" s="21" t="n"/>
      <c r="E975" s="22" t="n"/>
      <c r="F975" s="23" t="n"/>
      <c r="G975" s="23" t="n"/>
      <c r="H975" s="23" t="n"/>
      <c r="I975" s="20">
        <f>IF(COUNT(F975:H975)=0,"",SUM(F975:H975))</f>
        <v/>
      </c>
      <c r="J975" s="23" t="n"/>
      <c r="K975" s="23" t="n"/>
      <c r="L975" s="23" t="n"/>
      <c r="M975" s="23" t="n"/>
      <c r="N975" s="23" t="n"/>
      <c r="O975" s="20">
        <f>IF(OR(I975="",COUNT(J975:N975)=0),"",IF(SUM(J975:N975)=I975,"✓","⚠ "&amp;SUM(J975:N975)&amp;" statt "&amp;I975))</f>
        <v/>
      </c>
      <c r="P975" s="21" t="n"/>
      <c r="Q975" s="21" t="n"/>
      <c r="R975" s="21" t="n"/>
      <c r="S975" s="24" t="n"/>
      <c r="T975" s="24" t="n"/>
      <c r="V975">
        <f>IF(A975="","",MONTH(A975))</f>
        <v/>
      </c>
      <c r="W975">
        <f>N(W974)+IF(AND(C975&lt;&gt;"",T975&lt;&gt;""),IF(C975=WOCHE!$B$3,1,0),0)</f>
        <v/>
      </c>
      <c r="X975">
        <f>N(X974)+IF(AND(V975&lt;&gt;"",T975&lt;&gt;""),IF(V975=MONAT!$AZ$3,1,0),0)</f>
        <v/>
      </c>
    </row>
    <row r="976">
      <c r="A976" s="19" t="n"/>
      <c r="B976" s="20">
        <f>IF(A976="","",CHOOSE(WEEKDAY(A976,2),"Mo","Di","Mi","Do","Fr","Sa","So"))</f>
        <v/>
      </c>
      <c r="C976" s="20">
        <f>IF(A976="","",INT((A976-DATE(YEAR(A976-WEEKDAY(A976-1)+4),1,3)+WEEKDAY(DATE(YEAR(A976-WEEKDAY(A976-1)+4),1,3))+5)/7))</f>
        <v/>
      </c>
      <c r="D976" s="21" t="n"/>
      <c r="E976" s="22" t="n"/>
      <c r="F976" s="23" t="n"/>
      <c r="G976" s="23" t="n"/>
      <c r="H976" s="23" t="n"/>
      <c r="I976" s="20">
        <f>IF(COUNT(F976:H976)=0,"",SUM(F976:H976))</f>
        <v/>
      </c>
      <c r="J976" s="23" t="n"/>
      <c r="K976" s="23" t="n"/>
      <c r="L976" s="23" t="n"/>
      <c r="M976" s="23" t="n"/>
      <c r="N976" s="23" t="n"/>
      <c r="O976" s="20">
        <f>IF(OR(I976="",COUNT(J976:N976)=0),"",IF(SUM(J976:N976)=I976,"✓","⚠ "&amp;SUM(J976:N976)&amp;" statt "&amp;I976))</f>
        <v/>
      </c>
      <c r="P976" s="21" t="n"/>
      <c r="Q976" s="21" t="n"/>
      <c r="R976" s="21" t="n"/>
      <c r="S976" s="24" t="n"/>
      <c r="T976" s="24" t="n"/>
      <c r="V976">
        <f>IF(A976="","",MONTH(A976))</f>
        <v/>
      </c>
      <c r="W976">
        <f>N(W975)+IF(AND(C976&lt;&gt;"",T976&lt;&gt;""),IF(C976=WOCHE!$B$3,1,0),0)</f>
        <v/>
      </c>
      <c r="X976">
        <f>N(X975)+IF(AND(V976&lt;&gt;"",T976&lt;&gt;""),IF(V976=MONAT!$AZ$3,1,0),0)</f>
        <v/>
      </c>
    </row>
    <row r="977">
      <c r="A977" s="19" t="n"/>
      <c r="B977" s="20">
        <f>IF(A977="","",CHOOSE(WEEKDAY(A977,2),"Mo","Di","Mi","Do","Fr","Sa","So"))</f>
        <v/>
      </c>
      <c r="C977" s="20">
        <f>IF(A977="","",INT((A977-DATE(YEAR(A977-WEEKDAY(A977-1)+4),1,3)+WEEKDAY(DATE(YEAR(A977-WEEKDAY(A977-1)+4),1,3))+5)/7))</f>
        <v/>
      </c>
      <c r="D977" s="21" t="n"/>
      <c r="E977" s="22" t="n"/>
      <c r="F977" s="23" t="n"/>
      <c r="G977" s="23" t="n"/>
      <c r="H977" s="23" t="n"/>
      <c r="I977" s="20">
        <f>IF(COUNT(F977:H977)=0,"",SUM(F977:H977))</f>
        <v/>
      </c>
      <c r="J977" s="23" t="n"/>
      <c r="K977" s="23" t="n"/>
      <c r="L977" s="23" t="n"/>
      <c r="M977" s="23" t="n"/>
      <c r="N977" s="23" t="n"/>
      <c r="O977" s="20">
        <f>IF(OR(I977="",COUNT(J977:N977)=0),"",IF(SUM(J977:N977)=I977,"✓","⚠ "&amp;SUM(J977:N977)&amp;" statt "&amp;I977))</f>
        <v/>
      </c>
      <c r="P977" s="21" t="n"/>
      <c r="Q977" s="21" t="n"/>
      <c r="R977" s="21" t="n"/>
      <c r="S977" s="24" t="n"/>
      <c r="T977" s="24" t="n"/>
      <c r="V977">
        <f>IF(A977="","",MONTH(A977))</f>
        <v/>
      </c>
      <c r="W977">
        <f>N(W976)+IF(AND(C977&lt;&gt;"",T977&lt;&gt;""),IF(C977=WOCHE!$B$3,1,0),0)</f>
        <v/>
      </c>
      <c r="X977">
        <f>N(X976)+IF(AND(V977&lt;&gt;"",T977&lt;&gt;""),IF(V977=MONAT!$AZ$3,1,0),0)</f>
        <v/>
      </c>
    </row>
    <row r="978">
      <c r="A978" s="19" t="n"/>
      <c r="B978" s="20">
        <f>IF(A978="","",CHOOSE(WEEKDAY(A978,2),"Mo","Di","Mi","Do","Fr","Sa","So"))</f>
        <v/>
      </c>
      <c r="C978" s="20">
        <f>IF(A978="","",INT((A978-DATE(YEAR(A978-WEEKDAY(A978-1)+4),1,3)+WEEKDAY(DATE(YEAR(A978-WEEKDAY(A978-1)+4),1,3))+5)/7))</f>
        <v/>
      </c>
      <c r="D978" s="21" t="n"/>
      <c r="E978" s="22" t="n"/>
      <c r="F978" s="23" t="n"/>
      <c r="G978" s="23" t="n"/>
      <c r="H978" s="23" t="n"/>
      <c r="I978" s="20">
        <f>IF(COUNT(F978:H978)=0,"",SUM(F978:H978))</f>
        <v/>
      </c>
      <c r="J978" s="23" t="n"/>
      <c r="K978" s="23" t="n"/>
      <c r="L978" s="23" t="n"/>
      <c r="M978" s="23" t="n"/>
      <c r="N978" s="23" t="n"/>
      <c r="O978" s="20">
        <f>IF(OR(I978="",COUNT(J978:N978)=0),"",IF(SUM(J978:N978)=I978,"✓","⚠ "&amp;SUM(J978:N978)&amp;" statt "&amp;I978))</f>
        <v/>
      </c>
      <c r="P978" s="21" t="n"/>
      <c r="Q978" s="21" t="n"/>
      <c r="R978" s="21" t="n"/>
      <c r="S978" s="24" t="n"/>
      <c r="T978" s="24" t="n"/>
      <c r="V978">
        <f>IF(A978="","",MONTH(A978))</f>
        <v/>
      </c>
      <c r="W978">
        <f>N(W977)+IF(AND(C978&lt;&gt;"",T978&lt;&gt;""),IF(C978=WOCHE!$B$3,1,0),0)</f>
        <v/>
      </c>
      <c r="X978">
        <f>N(X977)+IF(AND(V978&lt;&gt;"",T978&lt;&gt;""),IF(V978=MONAT!$AZ$3,1,0),0)</f>
        <v/>
      </c>
    </row>
    <row r="979">
      <c r="A979" s="19" t="n"/>
      <c r="B979" s="20">
        <f>IF(A979="","",CHOOSE(WEEKDAY(A979,2),"Mo","Di","Mi","Do","Fr","Sa","So"))</f>
        <v/>
      </c>
      <c r="C979" s="20">
        <f>IF(A979="","",INT((A979-DATE(YEAR(A979-WEEKDAY(A979-1)+4),1,3)+WEEKDAY(DATE(YEAR(A979-WEEKDAY(A979-1)+4),1,3))+5)/7))</f>
        <v/>
      </c>
      <c r="D979" s="21" t="n"/>
      <c r="E979" s="22" t="n"/>
      <c r="F979" s="23" t="n"/>
      <c r="G979" s="23" t="n"/>
      <c r="H979" s="23" t="n"/>
      <c r="I979" s="20">
        <f>IF(COUNT(F979:H979)=0,"",SUM(F979:H979))</f>
        <v/>
      </c>
      <c r="J979" s="23" t="n"/>
      <c r="K979" s="23" t="n"/>
      <c r="L979" s="23" t="n"/>
      <c r="M979" s="23" t="n"/>
      <c r="N979" s="23" t="n"/>
      <c r="O979" s="20">
        <f>IF(OR(I979="",COUNT(J979:N979)=0),"",IF(SUM(J979:N979)=I979,"✓","⚠ "&amp;SUM(J979:N979)&amp;" statt "&amp;I979))</f>
        <v/>
      </c>
      <c r="P979" s="21" t="n"/>
      <c r="Q979" s="21" t="n"/>
      <c r="R979" s="21" t="n"/>
      <c r="S979" s="24" t="n"/>
      <c r="T979" s="24" t="n"/>
      <c r="V979">
        <f>IF(A979="","",MONTH(A979))</f>
        <v/>
      </c>
      <c r="W979">
        <f>N(W978)+IF(AND(C979&lt;&gt;"",T979&lt;&gt;""),IF(C979=WOCHE!$B$3,1,0),0)</f>
        <v/>
      </c>
      <c r="X979">
        <f>N(X978)+IF(AND(V979&lt;&gt;"",T979&lt;&gt;""),IF(V979=MONAT!$AZ$3,1,0),0)</f>
        <v/>
      </c>
    </row>
    <row r="980">
      <c r="A980" s="19" t="n"/>
      <c r="B980" s="20">
        <f>IF(A980="","",CHOOSE(WEEKDAY(A980,2),"Mo","Di","Mi","Do","Fr","Sa","So"))</f>
        <v/>
      </c>
      <c r="C980" s="20">
        <f>IF(A980="","",INT((A980-DATE(YEAR(A980-WEEKDAY(A980-1)+4),1,3)+WEEKDAY(DATE(YEAR(A980-WEEKDAY(A980-1)+4),1,3))+5)/7))</f>
        <v/>
      </c>
      <c r="D980" s="21" t="n"/>
      <c r="E980" s="22" t="n"/>
      <c r="F980" s="23" t="n"/>
      <c r="G980" s="23" t="n"/>
      <c r="H980" s="23" t="n"/>
      <c r="I980" s="20">
        <f>IF(COUNT(F980:H980)=0,"",SUM(F980:H980))</f>
        <v/>
      </c>
      <c r="J980" s="23" t="n"/>
      <c r="K980" s="23" t="n"/>
      <c r="L980" s="23" t="n"/>
      <c r="M980" s="23" t="n"/>
      <c r="N980" s="23" t="n"/>
      <c r="O980" s="20">
        <f>IF(OR(I980="",COUNT(J980:N980)=0),"",IF(SUM(J980:N980)=I980,"✓","⚠ "&amp;SUM(J980:N980)&amp;" statt "&amp;I980))</f>
        <v/>
      </c>
      <c r="P980" s="21" t="n"/>
      <c r="Q980" s="21" t="n"/>
      <c r="R980" s="21" t="n"/>
      <c r="S980" s="24" t="n"/>
      <c r="T980" s="24" t="n"/>
      <c r="V980">
        <f>IF(A980="","",MONTH(A980))</f>
        <v/>
      </c>
      <c r="W980">
        <f>N(W979)+IF(AND(C980&lt;&gt;"",T980&lt;&gt;""),IF(C980=WOCHE!$B$3,1,0),0)</f>
        <v/>
      </c>
      <c r="X980">
        <f>N(X979)+IF(AND(V980&lt;&gt;"",T980&lt;&gt;""),IF(V980=MONAT!$AZ$3,1,0),0)</f>
        <v/>
      </c>
    </row>
    <row r="981">
      <c r="A981" s="19" t="n"/>
      <c r="B981" s="20">
        <f>IF(A981="","",CHOOSE(WEEKDAY(A981,2),"Mo","Di","Mi","Do","Fr","Sa","So"))</f>
        <v/>
      </c>
      <c r="C981" s="20">
        <f>IF(A981="","",INT((A981-DATE(YEAR(A981-WEEKDAY(A981-1)+4),1,3)+WEEKDAY(DATE(YEAR(A981-WEEKDAY(A981-1)+4),1,3))+5)/7))</f>
        <v/>
      </c>
      <c r="D981" s="21" t="n"/>
      <c r="E981" s="22" t="n"/>
      <c r="F981" s="23" t="n"/>
      <c r="G981" s="23" t="n"/>
      <c r="H981" s="23" t="n"/>
      <c r="I981" s="20">
        <f>IF(COUNT(F981:H981)=0,"",SUM(F981:H981))</f>
        <v/>
      </c>
      <c r="J981" s="23" t="n"/>
      <c r="K981" s="23" t="n"/>
      <c r="L981" s="23" t="n"/>
      <c r="M981" s="23" t="n"/>
      <c r="N981" s="23" t="n"/>
      <c r="O981" s="20">
        <f>IF(OR(I981="",COUNT(J981:N981)=0),"",IF(SUM(J981:N981)=I981,"✓","⚠ "&amp;SUM(J981:N981)&amp;" statt "&amp;I981))</f>
        <v/>
      </c>
      <c r="P981" s="21" t="n"/>
      <c r="Q981" s="21" t="n"/>
      <c r="R981" s="21" t="n"/>
      <c r="S981" s="24" t="n"/>
      <c r="T981" s="24" t="n"/>
      <c r="V981">
        <f>IF(A981="","",MONTH(A981))</f>
        <v/>
      </c>
      <c r="W981">
        <f>N(W980)+IF(AND(C981&lt;&gt;"",T981&lt;&gt;""),IF(C981=WOCHE!$B$3,1,0),0)</f>
        <v/>
      </c>
      <c r="X981">
        <f>N(X980)+IF(AND(V981&lt;&gt;"",T981&lt;&gt;""),IF(V981=MONAT!$AZ$3,1,0),0)</f>
        <v/>
      </c>
    </row>
    <row r="982">
      <c r="A982" s="19" t="n"/>
      <c r="B982" s="20">
        <f>IF(A982="","",CHOOSE(WEEKDAY(A982,2),"Mo","Di","Mi","Do","Fr","Sa","So"))</f>
        <v/>
      </c>
      <c r="C982" s="20">
        <f>IF(A982="","",INT((A982-DATE(YEAR(A982-WEEKDAY(A982-1)+4),1,3)+WEEKDAY(DATE(YEAR(A982-WEEKDAY(A982-1)+4),1,3))+5)/7))</f>
        <v/>
      </c>
      <c r="D982" s="21" t="n"/>
      <c r="E982" s="22" t="n"/>
      <c r="F982" s="23" t="n"/>
      <c r="G982" s="23" t="n"/>
      <c r="H982" s="23" t="n"/>
      <c r="I982" s="20">
        <f>IF(COUNT(F982:H982)=0,"",SUM(F982:H982))</f>
        <v/>
      </c>
      <c r="J982" s="23" t="n"/>
      <c r="K982" s="23" t="n"/>
      <c r="L982" s="23" t="n"/>
      <c r="M982" s="23" t="n"/>
      <c r="N982" s="23" t="n"/>
      <c r="O982" s="20">
        <f>IF(OR(I982="",COUNT(J982:N982)=0),"",IF(SUM(J982:N982)=I982,"✓","⚠ "&amp;SUM(J982:N982)&amp;" statt "&amp;I982))</f>
        <v/>
      </c>
      <c r="P982" s="21" t="n"/>
      <c r="Q982" s="21" t="n"/>
      <c r="R982" s="21" t="n"/>
      <c r="S982" s="24" t="n"/>
      <c r="T982" s="24" t="n"/>
      <c r="V982">
        <f>IF(A982="","",MONTH(A982))</f>
        <v/>
      </c>
      <c r="W982">
        <f>N(W981)+IF(AND(C982&lt;&gt;"",T982&lt;&gt;""),IF(C982=WOCHE!$B$3,1,0),0)</f>
        <v/>
      </c>
      <c r="X982">
        <f>N(X981)+IF(AND(V982&lt;&gt;"",T982&lt;&gt;""),IF(V982=MONAT!$AZ$3,1,0),0)</f>
        <v/>
      </c>
    </row>
    <row r="983">
      <c r="A983" s="19" t="n"/>
      <c r="B983" s="20">
        <f>IF(A983="","",CHOOSE(WEEKDAY(A983,2),"Mo","Di","Mi","Do","Fr","Sa","So"))</f>
        <v/>
      </c>
      <c r="C983" s="20">
        <f>IF(A983="","",INT((A983-DATE(YEAR(A983-WEEKDAY(A983-1)+4),1,3)+WEEKDAY(DATE(YEAR(A983-WEEKDAY(A983-1)+4),1,3))+5)/7))</f>
        <v/>
      </c>
      <c r="D983" s="21" t="n"/>
      <c r="E983" s="22" t="n"/>
      <c r="F983" s="23" t="n"/>
      <c r="G983" s="23" t="n"/>
      <c r="H983" s="23" t="n"/>
      <c r="I983" s="20">
        <f>IF(COUNT(F983:H983)=0,"",SUM(F983:H983))</f>
        <v/>
      </c>
      <c r="J983" s="23" t="n"/>
      <c r="K983" s="23" t="n"/>
      <c r="L983" s="23" t="n"/>
      <c r="M983" s="23" t="n"/>
      <c r="N983" s="23" t="n"/>
      <c r="O983" s="20">
        <f>IF(OR(I983="",COUNT(J983:N983)=0),"",IF(SUM(J983:N983)=I983,"✓","⚠ "&amp;SUM(J983:N983)&amp;" statt "&amp;I983))</f>
        <v/>
      </c>
      <c r="P983" s="21" t="n"/>
      <c r="Q983" s="21" t="n"/>
      <c r="R983" s="21" t="n"/>
      <c r="S983" s="24" t="n"/>
      <c r="T983" s="24" t="n"/>
      <c r="V983">
        <f>IF(A983="","",MONTH(A983))</f>
        <v/>
      </c>
      <c r="W983">
        <f>N(W982)+IF(AND(C983&lt;&gt;"",T983&lt;&gt;""),IF(C983=WOCHE!$B$3,1,0),0)</f>
        <v/>
      </c>
      <c r="X983">
        <f>N(X982)+IF(AND(V983&lt;&gt;"",T983&lt;&gt;""),IF(V983=MONAT!$AZ$3,1,0),0)</f>
        <v/>
      </c>
    </row>
    <row r="984">
      <c r="A984" s="19" t="n"/>
      <c r="B984" s="20">
        <f>IF(A984="","",CHOOSE(WEEKDAY(A984,2),"Mo","Di","Mi","Do","Fr","Sa","So"))</f>
        <v/>
      </c>
      <c r="C984" s="20">
        <f>IF(A984="","",INT((A984-DATE(YEAR(A984-WEEKDAY(A984-1)+4),1,3)+WEEKDAY(DATE(YEAR(A984-WEEKDAY(A984-1)+4),1,3))+5)/7))</f>
        <v/>
      </c>
      <c r="D984" s="21" t="n"/>
      <c r="E984" s="22" t="n"/>
      <c r="F984" s="23" t="n"/>
      <c r="G984" s="23" t="n"/>
      <c r="H984" s="23" t="n"/>
      <c r="I984" s="20">
        <f>IF(COUNT(F984:H984)=0,"",SUM(F984:H984))</f>
        <v/>
      </c>
      <c r="J984" s="23" t="n"/>
      <c r="K984" s="23" t="n"/>
      <c r="L984" s="23" t="n"/>
      <c r="M984" s="23" t="n"/>
      <c r="N984" s="23" t="n"/>
      <c r="O984" s="20">
        <f>IF(OR(I984="",COUNT(J984:N984)=0),"",IF(SUM(J984:N984)=I984,"✓","⚠ "&amp;SUM(J984:N984)&amp;" statt "&amp;I984))</f>
        <v/>
      </c>
      <c r="P984" s="21" t="n"/>
      <c r="Q984" s="21" t="n"/>
      <c r="R984" s="21" t="n"/>
      <c r="S984" s="24" t="n"/>
      <c r="T984" s="24" t="n"/>
      <c r="V984">
        <f>IF(A984="","",MONTH(A984))</f>
        <v/>
      </c>
      <c r="W984">
        <f>N(W983)+IF(AND(C984&lt;&gt;"",T984&lt;&gt;""),IF(C984=WOCHE!$B$3,1,0),0)</f>
        <v/>
      </c>
      <c r="X984">
        <f>N(X983)+IF(AND(V984&lt;&gt;"",T984&lt;&gt;""),IF(V984=MONAT!$AZ$3,1,0),0)</f>
        <v/>
      </c>
    </row>
    <row r="985">
      <c r="A985" s="19" t="n"/>
      <c r="B985" s="20">
        <f>IF(A985="","",CHOOSE(WEEKDAY(A985,2),"Mo","Di","Mi","Do","Fr","Sa","So"))</f>
        <v/>
      </c>
      <c r="C985" s="20">
        <f>IF(A985="","",INT((A985-DATE(YEAR(A985-WEEKDAY(A985-1)+4),1,3)+WEEKDAY(DATE(YEAR(A985-WEEKDAY(A985-1)+4),1,3))+5)/7))</f>
        <v/>
      </c>
      <c r="D985" s="21" t="n"/>
      <c r="E985" s="22" t="n"/>
      <c r="F985" s="23" t="n"/>
      <c r="G985" s="23" t="n"/>
      <c r="H985" s="23" t="n"/>
      <c r="I985" s="20">
        <f>IF(COUNT(F985:H985)=0,"",SUM(F985:H985))</f>
        <v/>
      </c>
      <c r="J985" s="23" t="n"/>
      <c r="K985" s="23" t="n"/>
      <c r="L985" s="23" t="n"/>
      <c r="M985" s="23" t="n"/>
      <c r="N985" s="23" t="n"/>
      <c r="O985" s="20">
        <f>IF(OR(I985="",COUNT(J985:N985)=0),"",IF(SUM(J985:N985)=I985,"✓","⚠ "&amp;SUM(J985:N985)&amp;" statt "&amp;I985))</f>
        <v/>
      </c>
      <c r="P985" s="21" t="n"/>
      <c r="Q985" s="21" t="n"/>
      <c r="R985" s="21" t="n"/>
      <c r="S985" s="24" t="n"/>
      <c r="T985" s="24" t="n"/>
      <c r="V985">
        <f>IF(A985="","",MONTH(A985))</f>
        <v/>
      </c>
      <c r="W985">
        <f>N(W984)+IF(AND(C985&lt;&gt;"",T985&lt;&gt;""),IF(C985=WOCHE!$B$3,1,0),0)</f>
        <v/>
      </c>
      <c r="X985">
        <f>N(X984)+IF(AND(V985&lt;&gt;"",T985&lt;&gt;""),IF(V985=MONAT!$AZ$3,1,0),0)</f>
        <v/>
      </c>
    </row>
    <row r="986">
      <c r="A986" s="19" t="n"/>
      <c r="B986" s="20">
        <f>IF(A986="","",CHOOSE(WEEKDAY(A986,2),"Mo","Di","Mi","Do","Fr","Sa","So"))</f>
        <v/>
      </c>
      <c r="C986" s="20">
        <f>IF(A986="","",INT((A986-DATE(YEAR(A986-WEEKDAY(A986-1)+4),1,3)+WEEKDAY(DATE(YEAR(A986-WEEKDAY(A986-1)+4),1,3))+5)/7))</f>
        <v/>
      </c>
      <c r="D986" s="21" t="n"/>
      <c r="E986" s="22" t="n"/>
      <c r="F986" s="23" t="n"/>
      <c r="G986" s="23" t="n"/>
      <c r="H986" s="23" t="n"/>
      <c r="I986" s="20">
        <f>IF(COUNT(F986:H986)=0,"",SUM(F986:H986))</f>
        <v/>
      </c>
      <c r="J986" s="23" t="n"/>
      <c r="K986" s="23" t="n"/>
      <c r="L986" s="23" t="n"/>
      <c r="M986" s="23" t="n"/>
      <c r="N986" s="23" t="n"/>
      <c r="O986" s="20">
        <f>IF(OR(I986="",COUNT(J986:N986)=0),"",IF(SUM(J986:N986)=I986,"✓","⚠ "&amp;SUM(J986:N986)&amp;" statt "&amp;I986))</f>
        <v/>
      </c>
      <c r="P986" s="21" t="n"/>
      <c r="Q986" s="21" t="n"/>
      <c r="R986" s="21" t="n"/>
      <c r="S986" s="24" t="n"/>
      <c r="T986" s="24" t="n"/>
      <c r="V986">
        <f>IF(A986="","",MONTH(A986))</f>
        <v/>
      </c>
      <c r="W986">
        <f>N(W985)+IF(AND(C986&lt;&gt;"",T986&lt;&gt;""),IF(C986=WOCHE!$B$3,1,0),0)</f>
        <v/>
      </c>
      <c r="X986">
        <f>N(X985)+IF(AND(V986&lt;&gt;"",T986&lt;&gt;""),IF(V986=MONAT!$AZ$3,1,0),0)</f>
        <v/>
      </c>
    </row>
    <row r="987">
      <c r="A987" s="19" t="n"/>
      <c r="B987" s="20">
        <f>IF(A987="","",CHOOSE(WEEKDAY(A987,2),"Mo","Di","Mi","Do","Fr","Sa","So"))</f>
        <v/>
      </c>
      <c r="C987" s="20">
        <f>IF(A987="","",INT((A987-DATE(YEAR(A987-WEEKDAY(A987-1)+4),1,3)+WEEKDAY(DATE(YEAR(A987-WEEKDAY(A987-1)+4),1,3))+5)/7))</f>
        <v/>
      </c>
      <c r="D987" s="21" t="n"/>
      <c r="E987" s="22" t="n"/>
      <c r="F987" s="23" t="n"/>
      <c r="G987" s="23" t="n"/>
      <c r="H987" s="23" t="n"/>
      <c r="I987" s="20">
        <f>IF(COUNT(F987:H987)=0,"",SUM(F987:H987))</f>
        <v/>
      </c>
      <c r="J987" s="23" t="n"/>
      <c r="K987" s="23" t="n"/>
      <c r="L987" s="23" t="n"/>
      <c r="M987" s="23" t="n"/>
      <c r="N987" s="23" t="n"/>
      <c r="O987" s="20">
        <f>IF(OR(I987="",COUNT(J987:N987)=0),"",IF(SUM(J987:N987)=I987,"✓","⚠ "&amp;SUM(J987:N987)&amp;" statt "&amp;I987))</f>
        <v/>
      </c>
      <c r="P987" s="21" t="n"/>
      <c r="Q987" s="21" t="n"/>
      <c r="R987" s="21" t="n"/>
      <c r="S987" s="24" t="n"/>
      <c r="T987" s="24" t="n"/>
      <c r="V987">
        <f>IF(A987="","",MONTH(A987))</f>
        <v/>
      </c>
      <c r="W987">
        <f>N(W986)+IF(AND(C987&lt;&gt;"",T987&lt;&gt;""),IF(C987=WOCHE!$B$3,1,0),0)</f>
        <v/>
      </c>
      <c r="X987">
        <f>N(X986)+IF(AND(V987&lt;&gt;"",T987&lt;&gt;""),IF(V987=MONAT!$AZ$3,1,0),0)</f>
        <v/>
      </c>
    </row>
    <row r="988">
      <c r="A988" s="19" t="n"/>
      <c r="B988" s="20">
        <f>IF(A988="","",CHOOSE(WEEKDAY(A988,2),"Mo","Di","Mi","Do","Fr","Sa","So"))</f>
        <v/>
      </c>
      <c r="C988" s="20">
        <f>IF(A988="","",INT((A988-DATE(YEAR(A988-WEEKDAY(A988-1)+4),1,3)+WEEKDAY(DATE(YEAR(A988-WEEKDAY(A988-1)+4),1,3))+5)/7))</f>
        <v/>
      </c>
      <c r="D988" s="21" t="n"/>
      <c r="E988" s="22" t="n"/>
      <c r="F988" s="23" t="n"/>
      <c r="G988" s="23" t="n"/>
      <c r="H988" s="23" t="n"/>
      <c r="I988" s="20">
        <f>IF(COUNT(F988:H988)=0,"",SUM(F988:H988))</f>
        <v/>
      </c>
      <c r="J988" s="23" t="n"/>
      <c r="K988" s="23" t="n"/>
      <c r="L988" s="23" t="n"/>
      <c r="M988" s="23" t="n"/>
      <c r="N988" s="23" t="n"/>
      <c r="O988" s="20">
        <f>IF(OR(I988="",COUNT(J988:N988)=0),"",IF(SUM(J988:N988)=I988,"✓","⚠ "&amp;SUM(J988:N988)&amp;" statt "&amp;I988))</f>
        <v/>
      </c>
      <c r="P988" s="21" t="n"/>
      <c r="Q988" s="21" t="n"/>
      <c r="R988" s="21" t="n"/>
      <c r="S988" s="24" t="n"/>
      <c r="T988" s="24" t="n"/>
      <c r="V988">
        <f>IF(A988="","",MONTH(A988))</f>
        <v/>
      </c>
      <c r="W988">
        <f>N(W987)+IF(AND(C988&lt;&gt;"",T988&lt;&gt;""),IF(C988=WOCHE!$B$3,1,0),0)</f>
        <v/>
      </c>
      <c r="X988">
        <f>N(X987)+IF(AND(V988&lt;&gt;"",T988&lt;&gt;""),IF(V988=MONAT!$AZ$3,1,0),0)</f>
        <v/>
      </c>
    </row>
    <row r="989">
      <c r="A989" s="19" t="n"/>
      <c r="B989" s="20">
        <f>IF(A989="","",CHOOSE(WEEKDAY(A989,2),"Mo","Di","Mi","Do","Fr","Sa","So"))</f>
        <v/>
      </c>
      <c r="C989" s="20">
        <f>IF(A989="","",INT((A989-DATE(YEAR(A989-WEEKDAY(A989-1)+4),1,3)+WEEKDAY(DATE(YEAR(A989-WEEKDAY(A989-1)+4),1,3))+5)/7))</f>
        <v/>
      </c>
      <c r="D989" s="21" t="n"/>
      <c r="E989" s="22" t="n"/>
      <c r="F989" s="23" t="n"/>
      <c r="G989" s="23" t="n"/>
      <c r="H989" s="23" t="n"/>
      <c r="I989" s="20">
        <f>IF(COUNT(F989:H989)=0,"",SUM(F989:H989))</f>
        <v/>
      </c>
      <c r="J989" s="23" t="n"/>
      <c r="K989" s="23" t="n"/>
      <c r="L989" s="23" t="n"/>
      <c r="M989" s="23" t="n"/>
      <c r="N989" s="23" t="n"/>
      <c r="O989" s="20">
        <f>IF(OR(I989="",COUNT(J989:N989)=0),"",IF(SUM(J989:N989)=I989,"✓","⚠ "&amp;SUM(J989:N989)&amp;" statt "&amp;I989))</f>
        <v/>
      </c>
      <c r="P989" s="21" t="n"/>
      <c r="Q989" s="21" t="n"/>
      <c r="R989" s="21" t="n"/>
      <c r="S989" s="24" t="n"/>
      <c r="T989" s="24" t="n"/>
      <c r="V989">
        <f>IF(A989="","",MONTH(A989))</f>
        <v/>
      </c>
      <c r="W989">
        <f>N(W988)+IF(AND(C989&lt;&gt;"",T989&lt;&gt;""),IF(C989=WOCHE!$B$3,1,0),0)</f>
        <v/>
      </c>
      <c r="X989">
        <f>N(X988)+IF(AND(V989&lt;&gt;"",T989&lt;&gt;""),IF(V989=MONAT!$AZ$3,1,0),0)</f>
        <v/>
      </c>
    </row>
    <row r="990">
      <c r="A990" s="19" t="n"/>
      <c r="B990" s="20">
        <f>IF(A990="","",CHOOSE(WEEKDAY(A990,2),"Mo","Di","Mi","Do","Fr","Sa","So"))</f>
        <v/>
      </c>
      <c r="C990" s="20">
        <f>IF(A990="","",INT((A990-DATE(YEAR(A990-WEEKDAY(A990-1)+4),1,3)+WEEKDAY(DATE(YEAR(A990-WEEKDAY(A990-1)+4),1,3))+5)/7))</f>
        <v/>
      </c>
      <c r="D990" s="21" t="n"/>
      <c r="E990" s="22" t="n"/>
      <c r="F990" s="23" t="n"/>
      <c r="G990" s="23" t="n"/>
      <c r="H990" s="23" t="n"/>
      <c r="I990" s="20">
        <f>IF(COUNT(F990:H990)=0,"",SUM(F990:H990))</f>
        <v/>
      </c>
      <c r="J990" s="23" t="n"/>
      <c r="K990" s="23" t="n"/>
      <c r="L990" s="23" t="n"/>
      <c r="M990" s="23" t="n"/>
      <c r="N990" s="23" t="n"/>
      <c r="O990" s="20">
        <f>IF(OR(I990="",COUNT(J990:N990)=0),"",IF(SUM(J990:N990)=I990,"✓","⚠ "&amp;SUM(J990:N990)&amp;" statt "&amp;I990))</f>
        <v/>
      </c>
      <c r="P990" s="21" t="n"/>
      <c r="Q990" s="21" t="n"/>
      <c r="R990" s="21" t="n"/>
      <c r="S990" s="24" t="n"/>
      <c r="T990" s="24" t="n"/>
      <c r="V990">
        <f>IF(A990="","",MONTH(A990))</f>
        <v/>
      </c>
      <c r="W990">
        <f>N(W989)+IF(AND(C990&lt;&gt;"",T990&lt;&gt;""),IF(C990=WOCHE!$B$3,1,0),0)</f>
        <v/>
      </c>
      <c r="X990">
        <f>N(X989)+IF(AND(V990&lt;&gt;"",T990&lt;&gt;""),IF(V990=MONAT!$AZ$3,1,0),0)</f>
        <v/>
      </c>
    </row>
    <row r="991">
      <c r="A991" s="19" t="n"/>
      <c r="B991" s="20">
        <f>IF(A991="","",CHOOSE(WEEKDAY(A991,2),"Mo","Di","Mi","Do","Fr","Sa","So"))</f>
        <v/>
      </c>
      <c r="C991" s="20">
        <f>IF(A991="","",INT((A991-DATE(YEAR(A991-WEEKDAY(A991-1)+4),1,3)+WEEKDAY(DATE(YEAR(A991-WEEKDAY(A991-1)+4),1,3))+5)/7))</f>
        <v/>
      </c>
      <c r="D991" s="21" t="n"/>
      <c r="E991" s="22" t="n"/>
      <c r="F991" s="23" t="n"/>
      <c r="G991" s="23" t="n"/>
      <c r="H991" s="23" t="n"/>
      <c r="I991" s="20">
        <f>IF(COUNT(F991:H991)=0,"",SUM(F991:H991))</f>
        <v/>
      </c>
      <c r="J991" s="23" t="n"/>
      <c r="K991" s="23" t="n"/>
      <c r="L991" s="23" t="n"/>
      <c r="M991" s="23" t="n"/>
      <c r="N991" s="23" t="n"/>
      <c r="O991" s="20">
        <f>IF(OR(I991="",COUNT(J991:N991)=0),"",IF(SUM(J991:N991)=I991,"✓","⚠ "&amp;SUM(J991:N991)&amp;" statt "&amp;I991))</f>
        <v/>
      </c>
      <c r="P991" s="21" t="n"/>
      <c r="Q991" s="21" t="n"/>
      <c r="R991" s="21" t="n"/>
      <c r="S991" s="24" t="n"/>
      <c r="T991" s="24" t="n"/>
      <c r="V991">
        <f>IF(A991="","",MONTH(A991))</f>
        <v/>
      </c>
      <c r="W991">
        <f>N(W990)+IF(AND(C991&lt;&gt;"",T991&lt;&gt;""),IF(C991=WOCHE!$B$3,1,0),0)</f>
        <v/>
      </c>
      <c r="X991">
        <f>N(X990)+IF(AND(V991&lt;&gt;"",T991&lt;&gt;""),IF(V991=MONAT!$AZ$3,1,0),0)</f>
        <v/>
      </c>
    </row>
    <row r="992">
      <c r="A992" s="19" t="n"/>
      <c r="B992" s="20">
        <f>IF(A992="","",CHOOSE(WEEKDAY(A992,2),"Mo","Di","Mi","Do","Fr","Sa","So"))</f>
        <v/>
      </c>
      <c r="C992" s="20">
        <f>IF(A992="","",INT((A992-DATE(YEAR(A992-WEEKDAY(A992-1)+4),1,3)+WEEKDAY(DATE(YEAR(A992-WEEKDAY(A992-1)+4),1,3))+5)/7))</f>
        <v/>
      </c>
      <c r="D992" s="21" t="n"/>
      <c r="E992" s="22" t="n"/>
      <c r="F992" s="23" t="n"/>
      <c r="G992" s="23" t="n"/>
      <c r="H992" s="23" t="n"/>
      <c r="I992" s="20">
        <f>IF(COUNT(F992:H992)=0,"",SUM(F992:H992))</f>
        <v/>
      </c>
      <c r="J992" s="23" t="n"/>
      <c r="K992" s="23" t="n"/>
      <c r="L992" s="23" t="n"/>
      <c r="M992" s="23" t="n"/>
      <c r="N992" s="23" t="n"/>
      <c r="O992" s="20">
        <f>IF(OR(I992="",COUNT(J992:N992)=0),"",IF(SUM(J992:N992)=I992,"✓","⚠ "&amp;SUM(J992:N992)&amp;" statt "&amp;I992))</f>
        <v/>
      </c>
      <c r="P992" s="21" t="n"/>
      <c r="Q992" s="21" t="n"/>
      <c r="R992" s="21" t="n"/>
      <c r="S992" s="24" t="n"/>
      <c r="T992" s="24" t="n"/>
      <c r="V992">
        <f>IF(A992="","",MONTH(A992))</f>
        <v/>
      </c>
      <c r="W992">
        <f>N(W991)+IF(AND(C992&lt;&gt;"",T992&lt;&gt;""),IF(C992=WOCHE!$B$3,1,0),0)</f>
        <v/>
      </c>
      <c r="X992">
        <f>N(X991)+IF(AND(V992&lt;&gt;"",T992&lt;&gt;""),IF(V992=MONAT!$AZ$3,1,0),0)</f>
        <v/>
      </c>
    </row>
    <row r="993">
      <c r="A993" s="19" t="n"/>
      <c r="B993" s="20">
        <f>IF(A993="","",CHOOSE(WEEKDAY(A993,2),"Mo","Di","Mi","Do","Fr","Sa","So"))</f>
        <v/>
      </c>
      <c r="C993" s="20">
        <f>IF(A993="","",INT((A993-DATE(YEAR(A993-WEEKDAY(A993-1)+4),1,3)+WEEKDAY(DATE(YEAR(A993-WEEKDAY(A993-1)+4),1,3))+5)/7))</f>
        <v/>
      </c>
      <c r="D993" s="21" t="n"/>
      <c r="E993" s="22" t="n"/>
      <c r="F993" s="23" t="n"/>
      <c r="G993" s="23" t="n"/>
      <c r="H993" s="23" t="n"/>
      <c r="I993" s="20">
        <f>IF(COUNT(F993:H993)=0,"",SUM(F993:H993))</f>
        <v/>
      </c>
      <c r="J993" s="23" t="n"/>
      <c r="K993" s="23" t="n"/>
      <c r="L993" s="23" t="n"/>
      <c r="M993" s="23" t="n"/>
      <c r="N993" s="23" t="n"/>
      <c r="O993" s="20">
        <f>IF(OR(I993="",COUNT(J993:N993)=0),"",IF(SUM(J993:N993)=I993,"✓","⚠ "&amp;SUM(J993:N993)&amp;" statt "&amp;I993))</f>
        <v/>
      </c>
      <c r="P993" s="21" t="n"/>
      <c r="Q993" s="21" t="n"/>
      <c r="R993" s="21" t="n"/>
      <c r="S993" s="24" t="n"/>
      <c r="T993" s="24" t="n"/>
      <c r="V993">
        <f>IF(A993="","",MONTH(A993))</f>
        <v/>
      </c>
      <c r="W993">
        <f>N(W992)+IF(AND(C993&lt;&gt;"",T993&lt;&gt;""),IF(C993=WOCHE!$B$3,1,0),0)</f>
        <v/>
      </c>
      <c r="X993">
        <f>N(X992)+IF(AND(V993&lt;&gt;"",T993&lt;&gt;""),IF(V993=MONAT!$AZ$3,1,0),0)</f>
        <v/>
      </c>
    </row>
    <row r="994">
      <c r="A994" s="19" t="n"/>
      <c r="B994" s="20">
        <f>IF(A994="","",CHOOSE(WEEKDAY(A994,2),"Mo","Di","Mi","Do","Fr","Sa","So"))</f>
        <v/>
      </c>
      <c r="C994" s="20">
        <f>IF(A994="","",INT((A994-DATE(YEAR(A994-WEEKDAY(A994-1)+4),1,3)+WEEKDAY(DATE(YEAR(A994-WEEKDAY(A994-1)+4),1,3))+5)/7))</f>
        <v/>
      </c>
      <c r="D994" s="21" t="n"/>
      <c r="E994" s="22" t="n"/>
      <c r="F994" s="23" t="n"/>
      <c r="G994" s="23" t="n"/>
      <c r="H994" s="23" t="n"/>
      <c r="I994" s="20">
        <f>IF(COUNT(F994:H994)=0,"",SUM(F994:H994))</f>
        <v/>
      </c>
      <c r="J994" s="23" t="n"/>
      <c r="K994" s="23" t="n"/>
      <c r="L994" s="23" t="n"/>
      <c r="M994" s="23" t="n"/>
      <c r="N994" s="23" t="n"/>
      <c r="O994" s="20">
        <f>IF(OR(I994="",COUNT(J994:N994)=0),"",IF(SUM(J994:N994)=I994,"✓","⚠ "&amp;SUM(J994:N994)&amp;" statt "&amp;I994))</f>
        <v/>
      </c>
      <c r="P994" s="21" t="n"/>
      <c r="Q994" s="21" t="n"/>
      <c r="R994" s="21" t="n"/>
      <c r="S994" s="24" t="n"/>
      <c r="T994" s="24" t="n"/>
      <c r="V994">
        <f>IF(A994="","",MONTH(A994))</f>
        <v/>
      </c>
      <c r="W994">
        <f>N(W993)+IF(AND(C994&lt;&gt;"",T994&lt;&gt;""),IF(C994=WOCHE!$B$3,1,0),0)</f>
        <v/>
      </c>
      <c r="X994">
        <f>N(X993)+IF(AND(V994&lt;&gt;"",T994&lt;&gt;""),IF(V994=MONAT!$AZ$3,1,0),0)</f>
        <v/>
      </c>
    </row>
    <row r="995">
      <c r="A995" s="19" t="n"/>
      <c r="B995" s="20">
        <f>IF(A995="","",CHOOSE(WEEKDAY(A995,2),"Mo","Di","Mi","Do","Fr","Sa","So"))</f>
        <v/>
      </c>
      <c r="C995" s="20">
        <f>IF(A995="","",INT((A995-DATE(YEAR(A995-WEEKDAY(A995-1)+4),1,3)+WEEKDAY(DATE(YEAR(A995-WEEKDAY(A995-1)+4),1,3))+5)/7))</f>
        <v/>
      </c>
      <c r="D995" s="21" t="n"/>
      <c r="E995" s="22" t="n"/>
      <c r="F995" s="23" t="n"/>
      <c r="G995" s="23" t="n"/>
      <c r="H995" s="23" t="n"/>
      <c r="I995" s="20">
        <f>IF(COUNT(F995:H995)=0,"",SUM(F995:H995))</f>
        <v/>
      </c>
      <c r="J995" s="23" t="n"/>
      <c r="K995" s="23" t="n"/>
      <c r="L995" s="23" t="n"/>
      <c r="M995" s="23" t="n"/>
      <c r="N995" s="23" t="n"/>
      <c r="O995" s="20">
        <f>IF(OR(I995="",COUNT(J995:N995)=0),"",IF(SUM(J995:N995)=I995,"✓","⚠ "&amp;SUM(J995:N995)&amp;" statt "&amp;I995))</f>
        <v/>
      </c>
      <c r="P995" s="21" t="n"/>
      <c r="Q995" s="21" t="n"/>
      <c r="R995" s="21" t="n"/>
      <c r="S995" s="24" t="n"/>
      <c r="T995" s="24" t="n"/>
      <c r="V995">
        <f>IF(A995="","",MONTH(A995))</f>
        <v/>
      </c>
      <c r="W995">
        <f>N(W994)+IF(AND(C995&lt;&gt;"",T995&lt;&gt;""),IF(C995=WOCHE!$B$3,1,0),0)</f>
        <v/>
      </c>
      <c r="X995">
        <f>N(X994)+IF(AND(V995&lt;&gt;"",T995&lt;&gt;""),IF(V995=MONAT!$AZ$3,1,0),0)</f>
        <v/>
      </c>
    </row>
    <row r="996">
      <c r="A996" s="19" t="n"/>
      <c r="B996" s="20">
        <f>IF(A996="","",CHOOSE(WEEKDAY(A996,2),"Mo","Di","Mi","Do","Fr","Sa","So"))</f>
        <v/>
      </c>
      <c r="C996" s="20">
        <f>IF(A996="","",INT((A996-DATE(YEAR(A996-WEEKDAY(A996-1)+4),1,3)+WEEKDAY(DATE(YEAR(A996-WEEKDAY(A996-1)+4),1,3))+5)/7))</f>
        <v/>
      </c>
      <c r="D996" s="21" t="n"/>
      <c r="E996" s="22" t="n"/>
      <c r="F996" s="23" t="n"/>
      <c r="G996" s="23" t="n"/>
      <c r="H996" s="23" t="n"/>
      <c r="I996" s="20">
        <f>IF(COUNT(F996:H996)=0,"",SUM(F996:H996))</f>
        <v/>
      </c>
      <c r="J996" s="23" t="n"/>
      <c r="K996" s="23" t="n"/>
      <c r="L996" s="23" t="n"/>
      <c r="M996" s="23" t="n"/>
      <c r="N996" s="23" t="n"/>
      <c r="O996" s="20">
        <f>IF(OR(I996="",COUNT(J996:N996)=0),"",IF(SUM(J996:N996)=I996,"✓","⚠ "&amp;SUM(J996:N996)&amp;" statt "&amp;I996))</f>
        <v/>
      </c>
      <c r="P996" s="21" t="n"/>
      <c r="Q996" s="21" t="n"/>
      <c r="R996" s="21" t="n"/>
      <c r="S996" s="24" t="n"/>
      <c r="T996" s="24" t="n"/>
      <c r="V996">
        <f>IF(A996="","",MONTH(A996))</f>
        <v/>
      </c>
      <c r="W996">
        <f>N(W995)+IF(AND(C996&lt;&gt;"",T996&lt;&gt;""),IF(C996=WOCHE!$B$3,1,0),0)</f>
        <v/>
      </c>
      <c r="X996">
        <f>N(X995)+IF(AND(V996&lt;&gt;"",T996&lt;&gt;""),IF(V996=MONAT!$AZ$3,1,0),0)</f>
        <v/>
      </c>
    </row>
    <row r="997">
      <c r="A997" s="19" t="n"/>
      <c r="B997" s="20">
        <f>IF(A997="","",CHOOSE(WEEKDAY(A997,2),"Mo","Di","Mi","Do","Fr","Sa","So"))</f>
        <v/>
      </c>
      <c r="C997" s="20">
        <f>IF(A997="","",INT((A997-DATE(YEAR(A997-WEEKDAY(A997-1)+4),1,3)+WEEKDAY(DATE(YEAR(A997-WEEKDAY(A997-1)+4),1,3))+5)/7))</f>
        <v/>
      </c>
      <c r="D997" s="21" t="n"/>
      <c r="E997" s="22" t="n"/>
      <c r="F997" s="23" t="n"/>
      <c r="G997" s="23" t="n"/>
      <c r="H997" s="23" t="n"/>
      <c r="I997" s="20">
        <f>IF(COUNT(F997:H997)=0,"",SUM(F997:H997))</f>
        <v/>
      </c>
      <c r="J997" s="23" t="n"/>
      <c r="K997" s="23" t="n"/>
      <c r="L997" s="23" t="n"/>
      <c r="M997" s="23" t="n"/>
      <c r="N997" s="23" t="n"/>
      <c r="O997" s="20">
        <f>IF(OR(I997="",COUNT(J997:N997)=0),"",IF(SUM(J997:N997)=I997,"✓","⚠ "&amp;SUM(J997:N997)&amp;" statt "&amp;I997))</f>
        <v/>
      </c>
      <c r="P997" s="21" t="n"/>
      <c r="Q997" s="21" t="n"/>
      <c r="R997" s="21" t="n"/>
      <c r="S997" s="24" t="n"/>
      <c r="T997" s="24" t="n"/>
      <c r="V997">
        <f>IF(A997="","",MONTH(A997))</f>
        <v/>
      </c>
      <c r="W997">
        <f>N(W996)+IF(AND(C997&lt;&gt;"",T997&lt;&gt;""),IF(C997=WOCHE!$B$3,1,0),0)</f>
        <v/>
      </c>
      <c r="X997">
        <f>N(X996)+IF(AND(V997&lt;&gt;"",T997&lt;&gt;""),IF(V997=MONAT!$AZ$3,1,0),0)</f>
        <v/>
      </c>
    </row>
    <row r="998">
      <c r="A998" s="19" t="n"/>
      <c r="B998" s="20">
        <f>IF(A998="","",CHOOSE(WEEKDAY(A998,2),"Mo","Di","Mi","Do","Fr","Sa","So"))</f>
        <v/>
      </c>
      <c r="C998" s="20">
        <f>IF(A998="","",INT((A998-DATE(YEAR(A998-WEEKDAY(A998-1)+4),1,3)+WEEKDAY(DATE(YEAR(A998-WEEKDAY(A998-1)+4),1,3))+5)/7))</f>
        <v/>
      </c>
      <c r="D998" s="21" t="n"/>
      <c r="E998" s="22" t="n"/>
      <c r="F998" s="23" t="n"/>
      <c r="G998" s="23" t="n"/>
      <c r="H998" s="23" t="n"/>
      <c r="I998" s="20">
        <f>IF(COUNT(F998:H998)=0,"",SUM(F998:H998))</f>
        <v/>
      </c>
      <c r="J998" s="23" t="n"/>
      <c r="K998" s="23" t="n"/>
      <c r="L998" s="23" t="n"/>
      <c r="M998" s="23" t="n"/>
      <c r="N998" s="23" t="n"/>
      <c r="O998" s="20">
        <f>IF(OR(I998="",COUNT(J998:N998)=0),"",IF(SUM(J998:N998)=I998,"✓","⚠ "&amp;SUM(J998:N998)&amp;" statt "&amp;I998))</f>
        <v/>
      </c>
      <c r="P998" s="21" t="n"/>
      <c r="Q998" s="21" t="n"/>
      <c r="R998" s="21" t="n"/>
      <c r="S998" s="24" t="n"/>
      <c r="T998" s="24" t="n"/>
      <c r="V998">
        <f>IF(A998="","",MONTH(A998))</f>
        <v/>
      </c>
      <c r="W998">
        <f>N(W997)+IF(AND(C998&lt;&gt;"",T998&lt;&gt;""),IF(C998=WOCHE!$B$3,1,0),0)</f>
        <v/>
      </c>
      <c r="X998">
        <f>N(X997)+IF(AND(V998&lt;&gt;"",T998&lt;&gt;""),IF(V998=MONAT!$AZ$3,1,0),0)</f>
        <v/>
      </c>
    </row>
    <row r="999">
      <c r="A999" s="19" t="n"/>
      <c r="B999" s="20">
        <f>IF(A999="","",CHOOSE(WEEKDAY(A999,2),"Mo","Di","Mi","Do","Fr","Sa","So"))</f>
        <v/>
      </c>
      <c r="C999" s="20">
        <f>IF(A999="","",INT((A999-DATE(YEAR(A999-WEEKDAY(A999-1)+4),1,3)+WEEKDAY(DATE(YEAR(A999-WEEKDAY(A999-1)+4),1,3))+5)/7))</f>
        <v/>
      </c>
      <c r="D999" s="21" t="n"/>
      <c r="E999" s="22" t="n"/>
      <c r="F999" s="23" t="n"/>
      <c r="G999" s="23" t="n"/>
      <c r="H999" s="23" t="n"/>
      <c r="I999" s="20">
        <f>IF(COUNT(F999:H999)=0,"",SUM(F999:H999))</f>
        <v/>
      </c>
      <c r="J999" s="23" t="n"/>
      <c r="K999" s="23" t="n"/>
      <c r="L999" s="23" t="n"/>
      <c r="M999" s="23" t="n"/>
      <c r="N999" s="23" t="n"/>
      <c r="O999" s="20">
        <f>IF(OR(I999="",COUNT(J999:N999)=0),"",IF(SUM(J999:N999)=I999,"✓","⚠ "&amp;SUM(J999:N999)&amp;" statt "&amp;I999))</f>
        <v/>
      </c>
      <c r="P999" s="21" t="n"/>
      <c r="Q999" s="21" t="n"/>
      <c r="R999" s="21" t="n"/>
      <c r="S999" s="24" t="n"/>
      <c r="T999" s="24" t="n"/>
      <c r="V999">
        <f>IF(A999="","",MONTH(A999))</f>
        <v/>
      </c>
      <c r="W999">
        <f>N(W998)+IF(AND(C999&lt;&gt;"",T999&lt;&gt;""),IF(C999=WOCHE!$B$3,1,0),0)</f>
        <v/>
      </c>
      <c r="X999">
        <f>N(X998)+IF(AND(V999&lt;&gt;"",T999&lt;&gt;""),IF(V999=MONAT!$AZ$3,1,0),0)</f>
        <v/>
      </c>
    </row>
    <row r="1000">
      <c r="A1000" s="19" t="n"/>
      <c r="B1000" s="20">
        <f>IF(A1000="","",CHOOSE(WEEKDAY(A1000,2),"Mo","Di","Mi","Do","Fr","Sa","So"))</f>
        <v/>
      </c>
      <c r="C1000" s="20">
        <f>IF(A1000="","",INT((A1000-DATE(YEAR(A1000-WEEKDAY(A1000-1)+4),1,3)+WEEKDAY(DATE(YEAR(A1000-WEEKDAY(A1000-1)+4),1,3))+5)/7))</f>
        <v/>
      </c>
      <c r="D1000" s="21" t="n"/>
      <c r="E1000" s="22" t="n"/>
      <c r="F1000" s="23" t="n"/>
      <c r="G1000" s="23" t="n"/>
      <c r="H1000" s="23" t="n"/>
      <c r="I1000" s="20">
        <f>IF(COUNT(F1000:H1000)=0,"",SUM(F1000:H1000))</f>
        <v/>
      </c>
      <c r="J1000" s="23" t="n"/>
      <c r="K1000" s="23" t="n"/>
      <c r="L1000" s="23" t="n"/>
      <c r="M1000" s="23" t="n"/>
      <c r="N1000" s="23" t="n"/>
      <c r="O1000" s="20">
        <f>IF(OR(I1000="",COUNT(J1000:N1000)=0),"",IF(SUM(J1000:N1000)=I1000,"✓","⚠ "&amp;SUM(J1000:N1000)&amp;" statt "&amp;I1000))</f>
        <v/>
      </c>
      <c r="P1000" s="21" t="n"/>
      <c r="Q1000" s="21" t="n"/>
      <c r="R1000" s="21" t="n"/>
      <c r="S1000" s="24" t="n"/>
      <c r="T1000" s="24" t="n"/>
      <c r="V1000">
        <f>IF(A1000="","",MONTH(A1000))</f>
        <v/>
      </c>
      <c r="W1000">
        <f>N(W999)+IF(AND(C1000&lt;&gt;"",T1000&lt;&gt;""),IF(C1000=WOCHE!$B$3,1,0),0)</f>
        <v/>
      </c>
      <c r="X1000">
        <f>N(X999)+IF(AND(V1000&lt;&gt;"",T1000&lt;&gt;""),IF(V1000=MONAT!$AZ$3,1,0),0)</f>
        <v/>
      </c>
    </row>
    <row r="1001">
      <c r="A1001" s="19" t="n"/>
      <c r="B1001" s="20">
        <f>IF(A1001="","",CHOOSE(WEEKDAY(A1001,2),"Mo","Di","Mi","Do","Fr","Sa","So"))</f>
        <v/>
      </c>
      <c r="C1001" s="20">
        <f>IF(A1001="","",INT((A1001-DATE(YEAR(A1001-WEEKDAY(A1001-1)+4),1,3)+WEEKDAY(DATE(YEAR(A1001-WEEKDAY(A1001-1)+4),1,3))+5)/7))</f>
        <v/>
      </c>
      <c r="D1001" s="21" t="n"/>
      <c r="E1001" s="22" t="n"/>
      <c r="F1001" s="23" t="n"/>
      <c r="G1001" s="23" t="n"/>
      <c r="H1001" s="23" t="n"/>
      <c r="I1001" s="20">
        <f>IF(COUNT(F1001:H1001)=0,"",SUM(F1001:H1001))</f>
        <v/>
      </c>
      <c r="J1001" s="23" t="n"/>
      <c r="K1001" s="23" t="n"/>
      <c r="L1001" s="23" t="n"/>
      <c r="M1001" s="23" t="n"/>
      <c r="N1001" s="23" t="n"/>
      <c r="O1001" s="20">
        <f>IF(OR(I1001="",COUNT(J1001:N1001)=0),"",IF(SUM(J1001:N1001)=I1001,"✓","⚠ "&amp;SUM(J1001:N1001)&amp;" statt "&amp;I1001))</f>
        <v/>
      </c>
      <c r="P1001" s="21" t="n"/>
      <c r="Q1001" s="21" t="n"/>
      <c r="R1001" s="21" t="n"/>
      <c r="S1001" s="24" t="n"/>
      <c r="T1001" s="24" t="n"/>
      <c r="V1001">
        <f>IF(A1001="","",MONTH(A1001))</f>
        <v/>
      </c>
      <c r="W1001">
        <f>N(W1000)+IF(AND(C1001&lt;&gt;"",T1001&lt;&gt;""),IF(C1001=WOCHE!$B$3,1,0),0)</f>
        <v/>
      </c>
      <c r="X1001">
        <f>N(X1000)+IF(AND(V1001&lt;&gt;"",T1001&lt;&gt;""),IF(V1001=MONAT!$AZ$3,1,0),0)</f>
        <v/>
      </c>
    </row>
    <row r="1002">
      <c r="A1002" s="19" t="n"/>
      <c r="B1002" s="20">
        <f>IF(A1002="","",CHOOSE(WEEKDAY(A1002,2),"Mo","Di","Mi","Do","Fr","Sa","So"))</f>
        <v/>
      </c>
      <c r="C1002" s="20">
        <f>IF(A1002="","",INT((A1002-DATE(YEAR(A1002-WEEKDAY(A1002-1)+4),1,3)+WEEKDAY(DATE(YEAR(A1002-WEEKDAY(A1002-1)+4),1,3))+5)/7))</f>
        <v/>
      </c>
      <c r="D1002" s="21" t="n"/>
      <c r="E1002" s="22" t="n"/>
      <c r="F1002" s="23" t="n"/>
      <c r="G1002" s="23" t="n"/>
      <c r="H1002" s="23" t="n"/>
      <c r="I1002" s="20">
        <f>IF(COUNT(F1002:H1002)=0,"",SUM(F1002:H1002))</f>
        <v/>
      </c>
      <c r="J1002" s="23" t="n"/>
      <c r="K1002" s="23" t="n"/>
      <c r="L1002" s="23" t="n"/>
      <c r="M1002" s="23" t="n"/>
      <c r="N1002" s="23" t="n"/>
      <c r="O1002" s="20">
        <f>IF(OR(I1002="",COUNT(J1002:N1002)=0),"",IF(SUM(J1002:N1002)=I1002,"✓","⚠ "&amp;SUM(J1002:N1002)&amp;" statt "&amp;I1002))</f>
        <v/>
      </c>
      <c r="P1002" s="21" t="n"/>
      <c r="Q1002" s="21" t="n"/>
      <c r="R1002" s="21" t="n"/>
      <c r="S1002" s="24" t="n"/>
      <c r="T1002" s="24" t="n"/>
      <c r="V1002">
        <f>IF(A1002="","",MONTH(A1002))</f>
        <v/>
      </c>
      <c r="W1002">
        <f>N(W1001)+IF(AND(C1002&lt;&gt;"",T1002&lt;&gt;""),IF(C1002=WOCHE!$B$3,1,0),0)</f>
        <v/>
      </c>
      <c r="X1002">
        <f>N(X1001)+IF(AND(V1002&lt;&gt;"",T1002&lt;&gt;""),IF(V1002=MONAT!$AZ$3,1,0),0)</f>
        <v/>
      </c>
    </row>
    <row r="1003">
      <c r="A1003" s="19" t="n"/>
      <c r="B1003" s="20">
        <f>IF(A1003="","",CHOOSE(WEEKDAY(A1003,2),"Mo","Di","Mi","Do","Fr","Sa","So"))</f>
        <v/>
      </c>
      <c r="C1003" s="20">
        <f>IF(A1003="","",INT((A1003-DATE(YEAR(A1003-WEEKDAY(A1003-1)+4),1,3)+WEEKDAY(DATE(YEAR(A1003-WEEKDAY(A1003-1)+4),1,3))+5)/7))</f>
        <v/>
      </c>
      <c r="D1003" s="21" t="n"/>
      <c r="E1003" s="22" t="n"/>
      <c r="F1003" s="23" t="n"/>
      <c r="G1003" s="23" t="n"/>
      <c r="H1003" s="23" t="n"/>
      <c r="I1003" s="20">
        <f>IF(COUNT(F1003:H1003)=0,"",SUM(F1003:H1003))</f>
        <v/>
      </c>
      <c r="J1003" s="23" t="n"/>
      <c r="K1003" s="23" t="n"/>
      <c r="L1003" s="23" t="n"/>
      <c r="M1003" s="23" t="n"/>
      <c r="N1003" s="23" t="n"/>
      <c r="O1003" s="20">
        <f>IF(OR(I1003="",COUNT(J1003:N1003)=0),"",IF(SUM(J1003:N1003)=I1003,"✓","⚠ "&amp;SUM(J1003:N1003)&amp;" statt "&amp;I1003))</f>
        <v/>
      </c>
      <c r="P1003" s="21" t="n"/>
      <c r="Q1003" s="21" t="n"/>
      <c r="R1003" s="21" t="n"/>
      <c r="S1003" s="24" t="n"/>
      <c r="T1003" s="24" t="n"/>
      <c r="V1003">
        <f>IF(A1003="","",MONTH(A1003))</f>
        <v/>
      </c>
      <c r="W1003">
        <f>N(W1002)+IF(AND(C1003&lt;&gt;"",T1003&lt;&gt;""),IF(C1003=WOCHE!$B$3,1,0),0)</f>
        <v/>
      </c>
      <c r="X1003">
        <f>N(X1002)+IF(AND(V1003&lt;&gt;"",T1003&lt;&gt;""),IF(V1003=MONAT!$AZ$3,1,0),0)</f>
        <v/>
      </c>
    </row>
    <row r="1004">
      <c r="A1004" s="19" t="n"/>
      <c r="B1004" s="20">
        <f>IF(A1004="","",CHOOSE(WEEKDAY(A1004,2),"Mo","Di","Mi","Do","Fr","Sa","So"))</f>
        <v/>
      </c>
      <c r="C1004" s="20">
        <f>IF(A1004="","",INT((A1004-DATE(YEAR(A1004-WEEKDAY(A1004-1)+4),1,3)+WEEKDAY(DATE(YEAR(A1004-WEEKDAY(A1004-1)+4),1,3))+5)/7))</f>
        <v/>
      </c>
      <c r="D1004" s="21" t="n"/>
      <c r="E1004" s="22" t="n"/>
      <c r="F1004" s="23" t="n"/>
      <c r="G1004" s="23" t="n"/>
      <c r="H1004" s="23" t="n"/>
      <c r="I1004" s="20">
        <f>IF(COUNT(F1004:H1004)=0,"",SUM(F1004:H1004))</f>
        <v/>
      </c>
      <c r="J1004" s="23" t="n"/>
      <c r="K1004" s="23" t="n"/>
      <c r="L1004" s="23" t="n"/>
      <c r="M1004" s="23" t="n"/>
      <c r="N1004" s="23" t="n"/>
      <c r="O1004" s="20">
        <f>IF(OR(I1004="",COUNT(J1004:N1004)=0),"",IF(SUM(J1004:N1004)=I1004,"✓","⚠ "&amp;SUM(J1004:N1004)&amp;" statt "&amp;I1004))</f>
        <v/>
      </c>
      <c r="P1004" s="21" t="n"/>
      <c r="Q1004" s="21" t="n"/>
      <c r="R1004" s="21" t="n"/>
      <c r="S1004" s="24" t="n"/>
      <c r="T1004" s="24" t="n"/>
      <c r="V1004">
        <f>IF(A1004="","",MONTH(A1004))</f>
        <v/>
      </c>
      <c r="W1004">
        <f>N(W1003)+IF(AND(C1004&lt;&gt;"",T1004&lt;&gt;""),IF(C1004=WOCHE!$B$3,1,0),0)</f>
        <v/>
      </c>
      <c r="X1004">
        <f>N(X1003)+IF(AND(V1004&lt;&gt;"",T1004&lt;&gt;""),IF(V1004=MONAT!$AZ$3,1,0),0)</f>
        <v/>
      </c>
    </row>
    <row r="1005">
      <c r="A1005" s="19" t="n"/>
      <c r="B1005" s="20">
        <f>IF(A1005="","",CHOOSE(WEEKDAY(A1005,2),"Mo","Di","Mi","Do","Fr","Sa","So"))</f>
        <v/>
      </c>
      <c r="C1005" s="20">
        <f>IF(A1005="","",INT((A1005-DATE(YEAR(A1005-WEEKDAY(A1005-1)+4),1,3)+WEEKDAY(DATE(YEAR(A1005-WEEKDAY(A1005-1)+4),1,3))+5)/7))</f>
        <v/>
      </c>
      <c r="D1005" s="21" t="n"/>
      <c r="E1005" s="22" t="n"/>
      <c r="F1005" s="23" t="n"/>
      <c r="G1005" s="23" t="n"/>
      <c r="H1005" s="23" t="n"/>
      <c r="I1005" s="20">
        <f>IF(COUNT(F1005:H1005)=0,"",SUM(F1005:H1005))</f>
        <v/>
      </c>
      <c r="J1005" s="23" t="n"/>
      <c r="K1005" s="23" t="n"/>
      <c r="L1005" s="23" t="n"/>
      <c r="M1005" s="23" t="n"/>
      <c r="N1005" s="23" t="n"/>
      <c r="O1005" s="20">
        <f>IF(OR(I1005="",COUNT(J1005:N1005)=0),"",IF(SUM(J1005:N1005)=I1005,"✓","⚠ "&amp;SUM(J1005:N1005)&amp;" statt "&amp;I1005))</f>
        <v/>
      </c>
      <c r="P1005" s="21" t="n"/>
      <c r="Q1005" s="21" t="n"/>
      <c r="R1005" s="21" t="n"/>
      <c r="S1005" s="24" t="n"/>
      <c r="T1005" s="24" t="n"/>
      <c r="V1005">
        <f>IF(A1005="","",MONTH(A1005))</f>
        <v/>
      </c>
      <c r="W1005">
        <f>N(W1004)+IF(AND(C1005&lt;&gt;"",T1005&lt;&gt;""),IF(C1005=WOCHE!$B$3,1,0),0)</f>
        <v/>
      </c>
      <c r="X1005">
        <f>N(X1004)+IF(AND(V1005&lt;&gt;"",T1005&lt;&gt;""),IF(V1005=MONAT!$AZ$3,1,0),0)</f>
        <v/>
      </c>
    </row>
    <row r="1006">
      <c r="A1006" s="19" t="n"/>
      <c r="B1006" s="20">
        <f>IF(A1006="","",CHOOSE(WEEKDAY(A1006,2),"Mo","Di","Mi","Do","Fr","Sa","So"))</f>
        <v/>
      </c>
      <c r="C1006" s="20">
        <f>IF(A1006="","",INT((A1006-DATE(YEAR(A1006-WEEKDAY(A1006-1)+4),1,3)+WEEKDAY(DATE(YEAR(A1006-WEEKDAY(A1006-1)+4),1,3))+5)/7))</f>
        <v/>
      </c>
      <c r="D1006" s="21" t="n"/>
      <c r="E1006" s="22" t="n"/>
      <c r="F1006" s="23" t="n"/>
      <c r="G1006" s="23" t="n"/>
      <c r="H1006" s="23" t="n"/>
      <c r="I1006" s="20">
        <f>IF(COUNT(F1006:H1006)=0,"",SUM(F1006:H1006))</f>
        <v/>
      </c>
      <c r="J1006" s="23" t="n"/>
      <c r="K1006" s="23" t="n"/>
      <c r="L1006" s="23" t="n"/>
      <c r="M1006" s="23" t="n"/>
      <c r="N1006" s="23" t="n"/>
      <c r="O1006" s="20">
        <f>IF(OR(I1006="",COUNT(J1006:N1006)=0),"",IF(SUM(J1006:N1006)=I1006,"✓","⚠ "&amp;SUM(J1006:N1006)&amp;" statt "&amp;I1006))</f>
        <v/>
      </c>
      <c r="P1006" s="21" t="n"/>
      <c r="Q1006" s="21" t="n"/>
      <c r="R1006" s="21" t="n"/>
      <c r="S1006" s="24" t="n"/>
      <c r="T1006" s="24" t="n"/>
      <c r="V1006">
        <f>IF(A1006="","",MONTH(A1006))</f>
        <v/>
      </c>
      <c r="W1006">
        <f>N(W1005)+IF(AND(C1006&lt;&gt;"",T1006&lt;&gt;""),IF(C1006=WOCHE!$B$3,1,0),0)</f>
        <v/>
      </c>
      <c r="X1006">
        <f>N(X1005)+IF(AND(V1006&lt;&gt;"",T1006&lt;&gt;""),IF(V1006=MONAT!$AZ$3,1,0),0)</f>
        <v/>
      </c>
    </row>
    <row r="1007">
      <c r="A1007" s="19" t="n"/>
      <c r="B1007" s="20">
        <f>IF(A1007="","",CHOOSE(WEEKDAY(A1007,2),"Mo","Di","Mi","Do","Fr","Sa","So"))</f>
        <v/>
      </c>
      <c r="C1007" s="20">
        <f>IF(A1007="","",INT((A1007-DATE(YEAR(A1007-WEEKDAY(A1007-1)+4),1,3)+WEEKDAY(DATE(YEAR(A1007-WEEKDAY(A1007-1)+4),1,3))+5)/7))</f>
        <v/>
      </c>
      <c r="D1007" s="21" t="n"/>
      <c r="E1007" s="22" t="n"/>
      <c r="F1007" s="23" t="n"/>
      <c r="G1007" s="23" t="n"/>
      <c r="H1007" s="23" t="n"/>
      <c r="I1007" s="20">
        <f>IF(COUNT(F1007:H1007)=0,"",SUM(F1007:H1007))</f>
        <v/>
      </c>
      <c r="J1007" s="23" t="n"/>
      <c r="K1007" s="23" t="n"/>
      <c r="L1007" s="23" t="n"/>
      <c r="M1007" s="23" t="n"/>
      <c r="N1007" s="23" t="n"/>
      <c r="O1007" s="20">
        <f>IF(OR(I1007="",COUNT(J1007:N1007)=0),"",IF(SUM(J1007:N1007)=I1007,"✓","⚠ "&amp;SUM(J1007:N1007)&amp;" statt "&amp;I1007))</f>
        <v/>
      </c>
      <c r="P1007" s="21" t="n"/>
      <c r="Q1007" s="21" t="n"/>
      <c r="R1007" s="21" t="n"/>
      <c r="S1007" s="24" t="n"/>
      <c r="T1007" s="24" t="n"/>
      <c r="V1007">
        <f>IF(A1007="","",MONTH(A1007))</f>
        <v/>
      </c>
      <c r="W1007">
        <f>N(W1006)+IF(AND(C1007&lt;&gt;"",T1007&lt;&gt;""),IF(C1007=WOCHE!$B$3,1,0),0)</f>
        <v/>
      </c>
      <c r="X1007">
        <f>N(X1006)+IF(AND(V1007&lt;&gt;"",T1007&lt;&gt;""),IF(V1007=MONAT!$AZ$3,1,0),0)</f>
        <v/>
      </c>
    </row>
    <row r="1008">
      <c r="A1008" s="19" t="n"/>
      <c r="B1008" s="20">
        <f>IF(A1008="","",CHOOSE(WEEKDAY(A1008,2),"Mo","Di","Mi","Do","Fr","Sa","So"))</f>
        <v/>
      </c>
      <c r="C1008" s="20">
        <f>IF(A1008="","",INT((A1008-DATE(YEAR(A1008-WEEKDAY(A1008-1)+4),1,3)+WEEKDAY(DATE(YEAR(A1008-WEEKDAY(A1008-1)+4),1,3))+5)/7))</f>
        <v/>
      </c>
      <c r="D1008" s="21" t="n"/>
      <c r="E1008" s="22" t="n"/>
      <c r="F1008" s="23" t="n"/>
      <c r="G1008" s="23" t="n"/>
      <c r="H1008" s="23" t="n"/>
      <c r="I1008" s="20">
        <f>IF(COUNT(F1008:H1008)=0,"",SUM(F1008:H1008))</f>
        <v/>
      </c>
      <c r="J1008" s="23" t="n"/>
      <c r="K1008" s="23" t="n"/>
      <c r="L1008" s="23" t="n"/>
      <c r="M1008" s="23" t="n"/>
      <c r="N1008" s="23" t="n"/>
      <c r="O1008" s="20">
        <f>IF(OR(I1008="",COUNT(J1008:N1008)=0),"",IF(SUM(J1008:N1008)=I1008,"✓","⚠ "&amp;SUM(J1008:N1008)&amp;" statt "&amp;I1008))</f>
        <v/>
      </c>
      <c r="P1008" s="21" t="n"/>
      <c r="Q1008" s="21" t="n"/>
      <c r="R1008" s="21" t="n"/>
      <c r="S1008" s="24" t="n"/>
      <c r="T1008" s="24" t="n"/>
      <c r="V1008">
        <f>IF(A1008="","",MONTH(A1008))</f>
        <v/>
      </c>
      <c r="W1008">
        <f>N(W1007)+IF(AND(C1008&lt;&gt;"",T1008&lt;&gt;""),IF(C1008=WOCHE!$B$3,1,0),0)</f>
        <v/>
      </c>
      <c r="X1008">
        <f>N(X1007)+IF(AND(V1008&lt;&gt;"",T1008&lt;&gt;""),IF(V1008=MONAT!$AZ$3,1,0),0)</f>
        <v/>
      </c>
    </row>
    <row r="1009">
      <c r="A1009" s="19" t="n"/>
      <c r="B1009" s="20">
        <f>IF(A1009="","",CHOOSE(WEEKDAY(A1009,2),"Mo","Di","Mi","Do","Fr","Sa","So"))</f>
        <v/>
      </c>
      <c r="C1009" s="20">
        <f>IF(A1009="","",INT((A1009-DATE(YEAR(A1009-WEEKDAY(A1009-1)+4),1,3)+WEEKDAY(DATE(YEAR(A1009-WEEKDAY(A1009-1)+4),1,3))+5)/7))</f>
        <v/>
      </c>
      <c r="D1009" s="21" t="n"/>
      <c r="E1009" s="22" t="n"/>
      <c r="F1009" s="23" t="n"/>
      <c r="G1009" s="23" t="n"/>
      <c r="H1009" s="23" t="n"/>
      <c r="I1009" s="20">
        <f>IF(COUNT(F1009:H1009)=0,"",SUM(F1009:H1009))</f>
        <v/>
      </c>
      <c r="J1009" s="23" t="n"/>
      <c r="K1009" s="23" t="n"/>
      <c r="L1009" s="23" t="n"/>
      <c r="M1009" s="23" t="n"/>
      <c r="N1009" s="23" t="n"/>
      <c r="O1009" s="20">
        <f>IF(OR(I1009="",COUNT(J1009:N1009)=0),"",IF(SUM(J1009:N1009)=I1009,"✓","⚠ "&amp;SUM(J1009:N1009)&amp;" statt "&amp;I1009))</f>
        <v/>
      </c>
      <c r="P1009" s="21" t="n"/>
      <c r="Q1009" s="21" t="n"/>
      <c r="R1009" s="21" t="n"/>
      <c r="S1009" s="24" t="n"/>
      <c r="T1009" s="24" t="n"/>
      <c r="V1009">
        <f>IF(A1009="","",MONTH(A1009))</f>
        <v/>
      </c>
      <c r="W1009">
        <f>N(W1008)+IF(AND(C1009&lt;&gt;"",T1009&lt;&gt;""),IF(C1009=WOCHE!$B$3,1,0),0)</f>
        <v/>
      </c>
      <c r="X1009">
        <f>N(X1008)+IF(AND(V1009&lt;&gt;"",T1009&lt;&gt;""),IF(V1009=MONAT!$AZ$3,1,0),0)</f>
        <v/>
      </c>
    </row>
    <row r="1010">
      <c r="A1010" s="19" t="n"/>
      <c r="B1010" s="20">
        <f>IF(A1010="","",CHOOSE(WEEKDAY(A1010,2),"Mo","Di","Mi","Do","Fr","Sa","So"))</f>
        <v/>
      </c>
      <c r="C1010" s="20">
        <f>IF(A1010="","",INT((A1010-DATE(YEAR(A1010-WEEKDAY(A1010-1)+4),1,3)+WEEKDAY(DATE(YEAR(A1010-WEEKDAY(A1010-1)+4),1,3))+5)/7))</f>
        <v/>
      </c>
      <c r="D1010" s="21" t="n"/>
      <c r="E1010" s="22" t="n"/>
      <c r="F1010" s="23" t="n"/>
      <c r="G1010" s="23" t="n"/>
      <c r="H1010" s="23" t="n"/>
      <c r="I1010" s="20">
        <f>IF(COUNT(F1010:H1010)=0,"",SUM(F1010:H1010))</f>
        <v/>
      </c>
      <c r="J1010" s="23" t="n"/>
      <c r="K1010" s="23" t="n"/>
      <c r="L1010" s="23" t="n"/>
      <c r="M1010" s="23" t="n"/>
      <c r="N1010" s="23" t="n"/>
      <c r="O1010" s="20">
        <f>IF(OR(I1010="",COUNT(J1010:N1010)=0),"",IF(SUM(J1010:N1010)=I1010,"✓","⚠ "&amp;SUM(J1010:N1010)&amp;" statt "&amp;I1010))</f>
        <v/>
      </c>
      <c r="P1010" s="21" t="n"/>
      <c r="Q1010" s="21" t="n"/>
      <c r="R1010" s="21" t="n"/>
      <c r="S1010" s="24" t="n"/>
      <c r="T1010" s="24" t="n"/>
      <c r="V1010">
        <f>IF(A1010="","",MONTH(A1010))</f>
        <v/>
      </c>
      <c r="W1010">
        <f>N(W1009)+IF(AND(C1010&lt;&gt;"",T1010&lt;&gt;""),IF(C1010=WOCHE!$B$3,1,0),0)</f>
        <v/>
      </c>
      <c r="X1010">
        <f>N(X1009)+IF(AND(V1010&lt;&gt;"",T1010&lt;&gt;""),IF(V1010=MONAT!$AZ$3,1,0),0)</f>
        <v/>
      </c>
    </row>
    <row r="1011">
      <c r="A1011" s="19" t="n"/>
      <c r="B1011" s="20">
        <f>IF(A1011="","",CHOOSE(WEEKDAY(A1011,2),"Mo","Di","Mi","Do","Fr","Sa","So"))</f>
        <v/>
      </c>
      <c r="C1011" s="20">
        <f>IF(A1011="","",INT((A1011-DATE(YEAR(A1011-WEEKDAY(A1011-1)+4),1,3)+WEEKDAY(DATE(YEAR(A1011-WEEKDAY(A1011-1)+4),1,3))+5)/7))</f>
        <v/>
      </c>
      <c r="D1011" s="21" t="n"/>
      <c r="E1011" s="22" t="n"/>
      <c r="F1011" s="23" t="n"/>
      <c r="G1011" s="23" t="n"/>
      <c r="H1011" s="23" t="n"/>
      <c r="I1011" s="20">
        <f>IF(COUNT(F1011:H1011)=0,"",SUM(F1011:H1011))</f>
        <v/>
      </c>
      <c r="J1011" s="23" t="n"/>
      <c r="K1011" s="23" t="n"/>
      <c r="L1011" s="23" t="n"/>
      <c r="M1011" s="23" t="n"/>
      <c r="N1011" s="23" t="n"/>
      <c r="O1011" s="20">
        <f>IF(OR(I1011="",COUNT(J1011:N1011)=0),"",IF(SUM(J1011:N1011)=I1011,"✓","⚠ "&amp;SUM(J1011:N1011)&amp;" statt "&amp;I1011))</f>
        <v/>
      </c>
      <c r="P1011" s="21" t="n"/>
      <c r="Q1011" s="21" t="n"/>
      <c r="R1011" s="21" t="n"/>
      <c r="S1011" s="24" t="n"/>
      <c r="T1011" s="24" t="n"/>
      <c r="V1011">
        <f>IF(A1011="","",MONTH(A1011))</f>
        <v/>
      </c>
      <c r="W1011">
        <f>N(W1010)+IF(AND(C1011&lt;&gt;"",T1011&lt;&gt;""),IF(C1011=WOCHE!$B$3,1,0),0)</f>
        <v/>
      </c>
      <c r="X1011">
        <f>N(X1010)+IF(AND(V1011&lt;&gt;"",T1011&lt;&gt;""),IF(V1011=MONAT!$AZ$3,1,0),0)</f>
        <v/>
      </c>
    </row>
    <row r="1012">
      <c r="A1012" s="19" t="n"/>
      <c r="B1012" s="20">
        <f>IF(A1012="","",CHOOSE(WEEKDAY(A1012,2),"Mo","Di","Mi","Do","Fr","Sa","So"))</f>
        <v/>
      </c>
      <c r="C1012" s="20">
        <f>IF(A1012="","",INT((A1012-DATE(YEAR(A1012-WEEKDAY(A1012-1)+4),1,3)+WEEKDAY(DATE(YEAR(A1012-WEEKDAY(A1012-1)+4),1,3))+5)/7))</f>
        <v/>
      </c>
      <c r="D1012" s="21" t="n"/>
      <c r="E1012" s="22" t="n"/>
      <c r="F1012" s="23" t="n"/>
      <c r="G1012" s="23" t="n"/>
      <c r="H1012" s="23" t="n"/>
      <c r="I1012" s="20">
        <f>IF(COUNT(F1012:H1012)=0,"",SUM(F1012:H1012))</f>
        <v/>
      </c>
      <c r="J1012" s="23" t="n"/>
      <c r="K1012" s="23" t="n"/>
      <c r="L1012" s="23" t="n"/>
      <c r="M1012" s="23" t="n"/>
      <c r="N1012" s="23" t="n"/>
      <c r="O1012" s="20">
        <f>IF(OR(I1012="",COUNT(J1012:N1012)=0),"",IF(SUM(J1012:N1012)=I1012,"✓","⚠ "&amp;SUM(J1012:N1012)&amp;" statt "&amp;I1012))</f>
        <v/>
      </c>
      <c r="P1012" s="21" t="n"/>
      <c r="Q1012" s="21" t="n"/>
      <c r="R1012" s="21" t="n"/>
      <c r="S1012" s="24" t="n"/>
      <c r="T1012" s="24" t="n"/>
      <c r="V1012">
        <f>IF(A1012="","",MONTH(A1012))</f>
        <v/>
      </c>
      <c r="W1012">
        <f>N(W1011)+IF(AND(C1012&lt;&gt;"",T1012&lt;&gt;""),IF(C1012=WOCHE!$B$3,1,0),0)</f>
        <v/>
      </c>
      <c r="X1012">
        <f>N(X1011)+IF(AND(V1012&lt;&gt;"",T1012&lt;&gt;""),IF(V1012=MONAT!$AZ$3,1,0),0)</f>
        <v/>
      </c>
    </row>
    <row r="1013">
      <c r="A1013" s="19" t="n"/>
      <c r="B1013" s="20">
        <f>IF(A1013="","",CHOOSE(WEEKDAY(A1013,2),"Mo","Di","Mi","Do","Fr","Sa","So"))</f>
        <v/>
      </c>
      <c r="C1013" s="20">
        <f>IF(A1013="","",INT((A1013-DATE(YEAR(A1013-WEEKDAY(A1013-1)+4),1,3)+WEEKDAY(DATE(YEAR(A1013-WEEKDAY(A1013-1)+4),1,3))+5)/7))</f>
        <v/>
      </c>
      <c r="D1013" s="21" t="n"/>
      <c r="E1013" s="22" t="n"/>
      <c r="F1013" s="23" t="n"/>
      <c r="G1013" s="23" t="n"/>
      <c r="H1013" s="23" t="n"/>
      <c r="I1013" s="20">
        <f>IF(COUNT(F1013:H1013)=0,"",SUM(F1013:H1013))</f>
        <v/>
      </c>
      <c r="J1013" s="23" t="n"/>
      <c r="K1013" s="23" t="n"/>
      <c r="L1013" s="23" t="n"/>
      <c r="M1013" s="23" t="n"/>
      <c r="N1013" s="23" t="n"/>
      <c r="O1013" s="20">
        <f>IF(OR(I1013="",COUNT(J1013:N1013)=0),"",IF(SUM(J1013:N1013)=I1013,"✓","⚠ "&amp;SUM(J1013:N1013)&amp;" statt "&amp;I1013))</f>
        <v/>
      </c>
      <c r="P1013" s="21" t="n"/>
      <c r="Q1013" s="21" t="n"/>
      <c r="R1013" s="21" t="n"/>
      <c r="S1013" s="24" t="n"/>
      <c r="T1013" s="24" t="n"/>
      <c r="V1013">
        <f>IF(A1013="","",MONTH(A1013))</f>
        <v/>
      </c>
      <c r="W1013">
        <f>N(W1012)+IF(AND(C1013&lt;&gt;"",T1013&lt;&gt;""),IF(C1013=WOCHE!$B$3,1,0),0)</f>
        <v/>
      </c>
      <c r="X1013">
        <f>N(X1012)+IF(AND(V1013&lt;&gt;"",T1013&lt;&gt;""),IF(V1013=MONAT!$AZ$3,1,0),0)</f>
        <v/>
      </c>
    </row>
    <row r="1014">
      <c r="A1014" s="19" t="n"/>
      <c r="B1014" s="20">
        <f>IF(A1014="","",CHOOSE(WEEKDAY(A1014,2),"Mo","Di","Mi","Do","Fr","Sa","So"))</f>
        <v/>
      </c>
      <c r="C1014" s="20">
        <f>IF(A1014="","",INT((A1014-DATE(YEAR(A1014-WEEKDAY(A1014-1)+4),1,3)+WEEKDAY(DATE(YEAR(A1014-WEEKDAY(A1014-1)+4),1,3))+5)/7))</f>
        <v/>
      </c>
      <c r="D1014" s="21" t="n"/>
      <c r="E1014" s="22" t="n"/>
      <c r="F1014" s="23" t="n"/>
      <c r="G1014" s="23" t="n"/>
      <c r="H1014" s="23" t="n"/>
      <c r="I1014" s="20">
        <f>IF(COUNT(F1014:H1014)=0,"",SUM(F1014:H1014))</f>
        <v/>
      </c>
      <c r="J1014" s="23" t="n"/>
      <c r="K1014" s="23" t="n"/>
      <c r="L1014" s="23" t="n"/>
      <c r="M1014" s="23" t="n"/>
      <c r="N1014" s="23" t="n"/>
      <c r="O1014" s="20">
        <f>IF(OR(I1014="",COUNT(J1014:N1014)=0),"",IF(SUM(J1014:N1014)=I1014,"✓","⚠ "&amp;SUM(J1014:N1014)&amp;" statt "&amp;I1014))</f>
        <v/>
      </c>
      <c r="P1014" s="21" t="n"/>
      <c r="Q1014" s="21" t="n"/>
      <c r="R1014" s="21" t="n"/>
      <c r="S1014" s="24" t="n"/>
      <c r="T1014" s="24" t="n"/>
      <c r="V1014">
        <f>IF(A1014="","",MONTH(A1014))</f>
        <v/>
      </c>
      <c r="W1014">
        <f>N(W1013)+IF(AND(C1014&lt;&gt;"",T1014&lt;&gt;""),IF(C1014=WOCHE!$B$3,1,0),0)</f>
        <v/>
      </c>
      <c r="X1014">
        <f>N(X1013)+IF(AND(V1014&lt;&gt;"",T1014&lt;&gt;""),IF(V1014=MONAT!$AZ$3,1,0),0)</f>
        <v/>
      </c>
    </row>
    <row r="1015">
      <c r="A1015" s="19" t="n"/>
      <c r="B1015" s="20">
        <f>IF(A1015="","",CHOOSE(WEEKDAY(A1015,2),"Mo","Di","Mi","Do","Fr","Sa","So"))</f>
        <v/>
      </c>
      <c r="C1015" s="20">
        <f>IF(A1015="","",INT((A1015-DATE(YEAR(A1015-WEEKDAY(A1015-1)+4),1,3)+WEEKDAY(DATE(YEAR(A1015-WEEKDAY(A1015-1)+4),1,3))+5)/7))</f>
        <v/>
      </c>
      <c r="D1015" s="21" t="n"/>
      <c r="E1015" s="22" t="n"/>
      <c r="F1015" s="23" t="n"/>
      <c r="G1015" s="23" t="n"/>
      <c r="H1015" s="23" t="n"/>
      <c r="I1015" s="20">
        <f>IF(COUNT(F1015:H1015)=0,"",SUM(F1015:H1015))</f>
        <v/>
      </c>
      <c r="J1015" s="23" t="n"/>
      <c r="K1015" s="23" t="n"/>
      <c r="L1015" s="23" t="n"/>
      <c r="M1015" s="23" t="n"/>
      <c r="N1015" s="23" t="n"/>
      <c r="O1015" s="20">
        <f>IF(OR(I1015="",COUNT(J1015:N1015)=0),"",IF(SUM(J1015:N1015)=I1015,"✓","⚠ "&amp;SUM(J1015:N1015)&amp;" statt "&amp;I1015))</f>
        <v/>
      </c>
      <c r="P1015" s="21" t="n"/>
      <c r="Q1015" s="21" t="n"/>
      <c r="R1015" s="21" t="n"/>
      <c r="S1015" s="24" t="n"/>
      <c r="T1015" s="24" t="n"/>
      <c r="V1015">
        <f>IF(A1015="","",MONTH(A1015))</f>
        <v/>
      </c>
      <c r="W1015">
        <f>N(W1014)+IF(AND(C1015&lt;&gt;"",T1015&lt;&gt;""),IF(C1015=WOCHE!$B$3,1,0),0)</f>
        <v/>
      </c>
      <c r="X1015">
        <f>N(X1014)+IF(AND(V1015&lt;&gt;"",T1015&lt;&gt;""),IF(V1015=MONAT!$AZ$3,1,0),0)</f>
        <v/>
      </c>
    </row>
    <row r="1016">
      <c r="A1016" s="19" t="n"/>
      <c r="B1016" s="20">
        <f>IF(A1016="","",CHOOSE(WEEKDAY(A1016,2),"Mo","Di","Mi","Do","Fr","Sa","So"))</f>
        <v/>
      </c>
      <c r="C1016" s="20">
        <f>IF(A1016="","",INT((A1016-DATE(YEAR(A1016-WEEKDAY(A1016-1)+4),1,3)+WEEKDAY(DATE(YEAR(A1016-WEEKDAY(A1016-1)+4),1,3))+5)/7))</f>
        <v/>
      </c>
      <c r="D1016" s="21" t="n"/>
      <c r="E1016" s="22" t="n"/>
      <c r="F1016" s="23" t="n"/>
      <c r="G1016" s="23" t="n"/>
      <c r="H1016" s="23" t="n"/>
      <c r="I1016" s="20">
        <f>IF(COUNT(F1016:H1016)=0,"",SUM(F1016:H1016))</f>
        <v/>
      </c>
      <c r="J1016" s="23" t="n"/>
      <c r="K1016" s="23" t="n"/>
      <c r="L1016" s="23" t="n"/>
      <c r="M1016" s="23" t="n"/>
      <c r="N1016" s="23" t="n"/>
      <c r="O1016" s="20">
        <f>IF(OR(I1016="",COUNT(J1016:N1016)=0),"",IF(SUM(J1016:N1016)=I1016,"✓","⚠ "&amp;SUM(J1016:N1016)&amp;" statt "&amp;I1016))</f>
        <v/>
      </c>
      <c r="P1016" s="21" t="n"/>
      <c r="Q1016" s="21" t="n"/>
      <c r="R1016" s="21" t="n"/>
      <c r="S1016" s="24" t="n"/>
      <c r="T1016" s="24" t="n"/>
      <c r="V1016">
        <f>IF(A1016="","",MONTH(A1016))</f>
        <v/>
      </c>
      <c r="W1016">
        <f>N(W1015)+IF(AND(C1016&lt;&gt;"",T1016&lt;&gt;""),IF(C1016=WOCHE!$B$3,1,0),0)</f>
        <v/>
      </c>
      <c r="X1016">
        <f>N(X1015)+IF(AND(V1016&lt;&gt;"",T1016&lt;&gt;""),IF(V1016=MONAT!$AZ$3,1,0),0)</f>
        <v/>
      </c>
    </row>
    <row r="1017">
      <c r="A1017" s="19" t="n"/>
      <c r="B1017" s="20">
        <f>IF(A1017="","",CHOOSE(WEEKDAY(A1017,2),"Mo","Di","Mi","Do","Fr","Sa","So"))</f>
        <v/>
      </c>
      <c r="C1017" s="20">
        <f>IF(A1017="","",INT((A1017-DATE(YEAR(A1017-WEEKDAY(A1017-1)+4),1,3)+WEEKDAY(DATE(YEAR(A1017-WEEKDAY(A1017-1)+4),1,3))+5)/7))</f>
        <v/>
      </c>
      <c r="D1017" s="21" t="n"/>
      <c r="E1017" s="22" t="n"/>
      <c r="F1017" s="23" t="n"/>
      <c r="G1017" s="23" t="n"/>
      <c r="H1017" s="23" t="n"/>
      <c r="I1017" s="20">
        <f>IF(COUNT(F1017:H1017)=0,"",SUM(F1017:H1017))</f>
        <v/>
      </c>
      <c r="J1017" s="23" t="n"/>
      <c r="K1017" s="23" t="n"/>
      <c r="L1017" s="23" t="n"/>
      <c r="M1017" s="23" t="n"/>
      <c r="N1017" s="23" t="n"/>
      <c r="O1017" s="20">
        <f>IF(OR(I1017="",COUNT(J1017:N1017)=0),"",IF(SUM(J1017:N1017)=I1017,"✓","⚠ "&amp;SUM(J1017:N1017)&amp;" statt "&amp;I1017))</f>
        <v/>
      </c>
      <c r="P1017" s="21" t="n"/>
      <c r="Q1017" s="21" t="n"/>
      <c r="R1017" s="21" t="n"/>
      <c r="S1017" s="24" t="n"/>
      <c r="T1017" s="24" t="n"/>
      <c r="V1017">
        <f>IF(A1017="","",MONTH(A1017))</f>
        <v/>
      </c>
      <c r="W1017">
        <f>N(W1016)+IF(AND(C1017&lt;&gt;"",T1017&lt;&gt;""),IF(C1017=WOCHE!$B$3,1,0),0)</f>
        <v/>
      </c>
      <c r="X1017">
        <f>N(X1016)+IF(AND(V1017&lt;&gt;"",T1017&lt;&gt;""),IF(V1017=MONAT!$AZ$3,1,0),0)</f>
        <v/>
      </c>
    </row>
    <row r="1018">
      <c r="A1018" s="19" t="n"/>
      <c r="B1018" s="20">
        <f>IF(A1018="","",CHOOSE(WEEKDAY(A1018,2),"Mo","Di","Mi","Do","Fr","Sa","So"))</f>
        <v/>
      </c>
      <c r="C1018" s="20">
        <f>IF(A1018="","",INT((A1018-DATE(YEAR(A1018-WEEKDAY(A1018-1)+4),1,3)+WEEKDAY(DATE(YEAR(A1018-WEEKDAY(A1018-1)+4),1,3))+5)/7))</f>
        <v/>
      </c>
      <c r="D1018" s="21" t="n"/>
      <c r="E1018" s="22" t="n"/>
      <c r="F1018" s="23" t="n"/>
      <c r="G1018" s="23" t="n"/>
      <c r="H1018" s="23" t="n"/>
      <c r="I1018" s="20">
        <f>IF(COUNT(F1018:H1018)=0,"",SUM(F1018:H1018))</f>
        <v/>
      </c>
      <c r="J1018" s="23" t="n"/>
      <c r="K1018" s="23" t="n"/>
      <c r="L1018" s="23" t="n"/>
      <c r="M1018" s="23" t="n"/>
      <c r="N1018" s="23" t="n"/>
      <c r="O1018" s="20">
        <f>IF(OR(I1018="",COUNT(J1018:N1018)=0),"",IF(SUM(J1018:N1018)=I1018,"✓","⚠ "&amp;SUM(J1018:N1018)&amp;" statt "&amp;I1018))</f>
        <v/>
      </c>
      <c r="P1018" s="21" t="n"/>
      <c r="Q1018" s="21" t="n"/>
      <c r="R1018" s="21" t="n"/>
      <c r="S1018" s="24" t="n"/>
      <c r="T1018" s="24" t="n"/>
      <c r="V1018">
        <f>IF(A1018="","",MONTH(A1018))</f>
        <v/>
      </c>
      <c r="W1018">
        <f>N(W1017)+IF(AND(C1018&lt;&gt;"",T1018&lt;&gt;""),IF(C1018=WOCHE!$B$3,1,0),0)</f>
        <v/>
      </c>
      <c r="X1018">
        <f>N(X1017)+IF(AND(V1018&lt;&gt;"",T1018&lt;&gt;""),IF(V1018=MONAT!$AZ$3,1,0),0)</f>
        <v/>
      </c>
    </row>
    <row r="1019">
      <c r="A1019" s="19" t="n"/>
      <c r="B1019" s="20">
        <f>IF(A1019="","",CHOOSE(WEEKDAY(A1019,2),"Mo","Di","Mi","Do","Fr","Sa","So"))</f>
        <v/>
      </c>
      <c r="C1019" s="20">
        <f>IF(A1019="","",INT((A1019-DATE(YEAR(A1019-WEEKDAY(A1019-1)+4),1,3)+WEEKDAY(DATE(YEAR(A1019-WEEKDAY(A1019-1)+4),1,3))+5)/7))</f>
        <v/>
      </c>
      <c r="D1019" s="21" t="n"/>
      <c r="E1019" s="22" t="n"/>
      <c r="F1019" s="23" t="n"/>
      <c r="G1019" s="23" t="n"/>
      <c r="H1019" s="23" t="n"/>
      <c r="I1019" s="20">
        <f>IF(COUNT(F1019:H1019)=0,"",SUM(F1019:H1019))</f>
        <v/>
      </c>
      <c r="J1019" s="23" t="n"/>
      <c r="K1019" s="23" t="n"/>
      <c r="L1019" s="23" t="n"/>
      <c r="M1019" s="23" t="n"/>
      <c r="N1019" s="23" t="n"/>
      <c r="O1019" s="20">
        <f>IF(OR(I1019="",COUNT(J1019:N1019)=0),"",IF(SUM(J1019:N1019)=I1019,"✓","⚠ "&amp;SUM(J1019:N1019)&amp;" statt "&amp;I1019))</f>
        <v/>
      </c>
      <c r="P1019" s="21" t="n"/>
      <c r="Q1019" s="21" t="n"/>
      <c r="R1019" s="21" t="n"/>
      <c r="S1019" s="24" t="n"/>
      <c r="T1019" s="24" t="n"/>
      <c r="V1019">
        <f>IF(A1019="","",MONTH(A1019))</f>
        <v/>
      </c>
      <c r="W1019">
        <f>N(W1018)+IF(AND(C1019&lt;&gt;"",T1019&lt;&gt;""),IF(C1019=WOCHE!$B$3,1,0),0)</f>
        <v/>
      </c>
      <c r="X1019">
        <f>N(X1018)+IF(AND(V1019&lt;&gt;"",T1019&lt;&gt;""),IF(V1019=MONAT!$AZ$3,1,0),0)</f>
        <v/>
      </c>
    </row>
    <row r="1020">
      <c r="A1020" s="19" t="n"/>
      <c r="B1020" s="20">
        <f>IF(A1020="","",CHOOSE(WEEKDAY(A1020,2),"Mo","Di","Mi","Do","Fr","Sa","So"))</f>
        <v/>
      </c>
      <c r="C1020" s="20">
        <f>IF(A1020="","",INT((A1020-DATE(YEAR(A1020-WEEKDAY(A1020-1)+4),1,3)+WEEKDAY(DATE(YEAR(A1020-WEEKDAY(A1020-1)+4),1,3))+5)/7))</f>
        <v/>
      </c>
      <c r="D1020" s="21" t="n"/>
      <c r="E1020" s="22" t="n"/>
      <c r="F1020" s="23" t="n"/>
      <c r="G1020" s="23" t="n"/>
      <c r="H1020" s="23" t="n"/>
      <c r="I1020" s="20">
        <f>IF(COUNT(F1020:H1020)=0,"",SUM(F1020:H1020))</f>
        <v/>
      </c>
      <c r="J1020" s="23" t="n"/>
      <c r="K1020" s="23" t="n"/>
      <c r="L1020" s="23" t="n"/>
      <c r="M1020" s="23" t="n"/>
      <c r="N1020" s="23" t="n"/>
      <c r="O1020" s="20">
        <f>IF(OR(I1020="",COUNT(J1020:N1020)=0),"",IF(SUM(J1020:N1020)=I1020,"✓","⚠ "&amp;SUM(J1020:N1020)&amp;" statt "&amp;I1020))</f>
        <v/>
      </c>
      <c r="P1020" s="21" t="n"/>
      <c r="Q1020" s="21" t="n"/>
      <c r="R1020" s="21" t="n"/>
      <c r="S1020" s="24" t="n"/>
      <c r="T1020" s="24" t="n"/>
      <c r="V1020">
        <f>IF(A1020="","",MONTH(A1020))</f>
        <v/>
      </c>
      <c r="W1020">
        <f>N(W1019)+IF(AND(C1020&lt;&gt;"",T1020&lt;&gt;""),IF(C1020=WOCHE!$B$3,1,0),0)</f>
        <v/>
      </c>
      <c r="X1020">
        <f>N(X1019)+IF(AND(V1020&lt;&gt;"",T1020&lt;&gt;""),IF(V1020=MONAT!$AZ$3,1,0),0)</f>
        <v/>
      </c>
    </row>
    <row r="1021">
      <c r="A1021" s="19" t="n"/>
      <c r="B1021" s="20">
        <f>IF(A1021="","",CHOOSE(WEEKDAY(A1021,2),"Mo","Di","Mi","Do","Fr","Sa","So"))</f>
        <v/>
      </c>
      <c r="C1021" s="20">
        <f>IF(A1021="","",INT((A1021-DATE(YEAR(A1021-WEEKDAY(A1021-1)+4),1,3)+WEEKDAY(DATE(YEAR(A1021-WEEKDAY(A1021-1)+4),1,3))+5)/7))</f>
        <v/>
      </c>
      <c r="D1021" s="21" t="n"/>
      <c r="E1021" s="22" t="n"/>
      <c r="F1021" s="23" t="n"/>
      <c r="G1021" s="23" t="n"/>
      <c r="H1021" s="23" t="n"/>
      <c r="I1021" s="20">
        <f>IF(COUNT(F1021:H1021)=0,"",SUM(F1021:H1021))</f>
        <v/>
      </c>
      <c r="J1021" s="23" t="n"/>
      <c r="K1021" s="23" t="n"/>
      <c r="L1021" s="23" t="n"/>
      <c r="M1021" s="23" t="n"/>
      <c r="N1021" s="23" t="n"/>
      <c r="O1021" s="20">
        <f>IF(OR(I1021="",COUNT(J1021:N1021)=0),"",IF(SUM(J1021:N1021)=I1021,"✓","⚠ "&amp;SUM(J1021:N1021)&amp;" statt "&amp;I1021))</f>
        <v/>
      </c>
      <c r="P1021" s="21" t="n"/>
      <c r="Q1021" s="21" t="n"/>
      <c r="R1021" s="21" t="n"/>
      <c r="S1021" s="24" t="n"/>
      <c r="T1021" s="24" t="n"/>
      <c r="V1021">
        <f>IF(A1021="","",MONTH(A1021))</f>
        <v/>
      </c>
      <c r="W1021">
        <f>N(W1020)+IF(AND(C1021&lt;&gt;"",T1021&lt;&gt;""),IF(C1021=WOCHE!$B$3,1,0),0)</f>
        <v/>
      </c>
      <c r="X1021">
        <f>N(X1020)+IF(AND(V1021&lt;&gt;"",T1021&lt;&gt;""),IF(V1021=MONAT!$AZ$3,1,0),0)</f>
        <v/>
      </c>
    </row>
    <row r="1022">
      <c r="A1022" s="19" t="n"/>
      <c r="B1022" s="20">
        <f>IF(A1022="","",CHOOSE(WEEKDAY(A1022,2),"Mo","Di","Mi","Do","Fr","Sa","So"))</f>
        <v/>
      </c>
      <c r="C1022" s="20">
        <f>IF(A1022="","",INT((A1022-DATE(YEAR(A1022-WEEKDAY(A1022-1)+4),1,3)+WEEKDAY(DATE(YEAR(A1022-WEEKDAY(A1022-1)+4),1,3))+5)/7))</f>
        <v/>
      </c>
      <c r="D1022" s="21" t="n"/>
      <c r="E1022" s="22" t="n"/>
      <c r="F1022" s="23" t="n"/>
      <c r="G1022" s="23" t="n"/>
      <c r="H1022" s="23" t="n"/>
      <c r="I1022" s="20">
        <f>IF(COUNT(F1022:H1022)=0,"",SUM(F1022:H1022))</f>
        <v/>
      </c>
      <c r="J1022" s="23" t="n"/>
      <c r="K1022" s="23" t="n"/>
      <c r="L1022" s="23" t="n"/>
      <c r="M1022" s="23" t="n"/>
      <c r="N1022" s="23" t="n"/>
      <c r="O1022" s="20">
        <f>IF(OR(I1022="",COUNT(J1022:N1022)=0),"",IF(SUM(J1022:N1022)=I1022,"✓","⚠ "&amp;SUM(J1022:N1022)&amp;" statt "&amp;I1022))</f>
        <v/>
      </c>
      <c r="P1022" s="21" t="n"/>
      <c r="Q1022" s="21" t="n"/>
      <c r="R1022" s="21" t="n"/>
      <c r="S1022" s="24" t="n"/>
      <c r="T1022" s="24" t="n"/>
      <c r="V1022">
        <f>IF(A1022="","",MONTH(A1022))</f>
        <v/>
      </c>
      <c r="W1022">
        <f>N(W1021)+IF(AND(C1022&lt;&gt;"",T1022&lt;&gt;""),IF(C1022=WOCHE!$B$3,1,0),0)</f>
        <v/>
      </c>
      <c r="X1022">
        <f>N(X1021)+IF(AND(V1022&lt;&gt;"",T1022&lt;&gt;""),IF(V1022=MONAT!$AZ$3,1,0),0)</f>
        <v/>
      </c>
    </row>
    <row r="1023">
      <c r="A1023" s="19" t="n"/>
      <c r="B1023" s="20">
        <f>IF(A1023="","",CHOOSE(WEEKDAY(A1023,2),"Mo","Di","Mi","Do","Fr","Sa","So"))</f>
        <v/>
      </c>
      <c r="C1023" s="20">
        <f>IF(A1023="","",INT((A1023-DATE(YEAR(A1023-WEEKDAY(A1023-1)+4),1,3)+WEEKDAY(DATE(YEAR(A1023-WEEKDAY(A1023-1)+4),1,3))+5)/7))</f>
        <v/>
      </c>
      <c r="D1023" s="21" t="n"/>
      <c r="E1023" s="22" t="n"/>
      <c r="F1023" s="23" t="n"/>
      <c r="G1023" s="23" t="n"/>
      <c r="H1023" s="23" t="n"/>
      <c r="I1023" s="20">
        <f>IF(COUNT(F1023:H1023)=0,"",SUM(F1023:H1023))</f>
        <v/>
      </c>
      <c r="J1023" s="23" t="n"/>
      <c r="K1023" s="23" t="n"/>
      <c r="L1023" s="23" t="n"/>
      <c r="M1023" s="23" t="n"/>
      <c r="N1023" s="23" t="n"/>
      <c r="O1023" s="20">
        <f>IF(OR(I1023="",COUNT(J1023:N1023)=0),"",IF(SUM(J1023:N1023)=I1023,"✓","⚠ "&amp;SUM(J1023:N1023)&amp;" statt "&amp;I1023))</f>
        <v/>
      </c>
      <c r="P1023" s="21" t="n"/>
      <c r="Q1023" s="21" t="n"/>
      <c r="R1023" s="21" t="n"/>
      <c r="S1023" s="24" t="n"/>
      <c r="T1023" s="24" t="n"/>
      <c r="V1023">
        <f>IF(A1023="","",MONTH(A1023))</f>
        <v/>
      </c>
      <c r="W1023">
        <f>N(W1022)+IF(AND(C1023&lt;&gt;"",T1023&lt;&gt;""),IF(C1023=WOCHE!$B$3,1,0),0)</f>
        <v/>
      </c>
      <c r="X1023">
        <f>N(X1022)+IF(AND(V1023&lt;&gt;"",T1023&lt;&gt;""),IF(V1023=MONAT!$AZ$3,1,0),0)</f>
        <v/>
      </c>
    </row>
    <row r="1024">
      <c r="A1024" s="19" t="n"/>
      <c r="B1024" s="20">
        <f>IF(A1024="","",CHOOSE(WEEKDAY(A1024,2),"Mo","Di","Mi","Do","Fr","Sa","So"))</f>
        <v/>
      </c>
      <c r="C1024" s="20">
        <f>IF(A1024="","",INT((A1024-DATE(YEAR(A1024-WEEKDAY(A1024-1)+4),1,3)+WEEKDAY(DATE(YEAR(A1024-WEEKDAY(A1024-1)+4),1,3))+5)/7))</f>
        <v/>
      </c>
      <c r="D1024" s="21" t="n"/>
      <c r="E1024" s="22" t="n"/>
      <c r="F1024" s="23" t="n"/>
      <c r="G1024" s="23" t="n"/>
      <c r="H1024" s="23" t="n"/>
      <c r="I1024" s="20">
        <f>IF(COUNT(F1024:H1024)=0,"",SUM(F1024:H1024))</f>
        <v/>
      </c>
      <c r="J1024" s="23" t="n"/>
      <c r="K1024" s="23" t="n"/>
      <c r="L1024" s="23" t="n"/>
      <c r="M1024" s="23" t="n"/>
      <c r="N1024" s="23" t="n"/>
      <c r="O1024" s="20">
        <f>IF(OR(I1024="",COUNT(J1024:N1024)=0),"",IF(SUM(J1024:N1024)=I1024,"✓","⚠ "&amp;SUM(J1024:N1024)&amp;" statt "&amp;I1024))</f>
        <v/>
      </c>
      <c r="P1024" s="21" t="n"/>
      <c r="Q1024" s="21" t="n"/>
      <c r="R1024" s="21" t="n"/>
      <c r="S1024" s="24" t="n"/>
      <c r="T1024" s="24" t="n"/>
      <c r="V1024">
        <f>IF(A1024="","",MONTH(A1024))</f>
        <v/>
      </c>
      <c r="W1024">
        <f>N(W1023)+IF(AND(C1024&lt;&gt;"",T1024&lt;&gt;""),IF(C1024=WOCHE!$B$3,1,0),0)</f>
        <v/>
      </c>
      <c r="X1024">
        <f>N(X1023)+IF(AND(V1024&lt;&gt;"",T1024&lt;&gt;""),IF(V1024=MONAT!$AZ$3,1,0),0)</f>
        <v/>
      </c>
    </row>
    <row r="1025">
      <c r="A1025" s="19" t="n"/>
      <c r="B1025" s="20">
        <f>IF(A1025="","",CHOOSE(WEEKDAY(A1025,2),"Mo","Di","Mi","Do","Fr","Sa","So"))</f>
        <v/>
      </c>
      <c r="C1025" s="20">
        <f>IF(A1025="","",INT((A1025-DATE(YEAR(A1025-WEEKDAY(A1025-1)+4),1,3)+WEEKDAY(DATE(YEAR(A1025-WEEKDAY(A1025-1)+4),1,3))+5)/7))</f>
        <v/>
      </c>
      <c r="D1025" s="21" t="n"/>
      <c r="E1025" s="22" t="n"/>
      <c r="F1025" s="23" t="n"/>
      <c r="G1025" s="23" t="n"/>
      <c r="H1025" s="23" t="n"/>
      <c r="I1025" s="20">
        <f>IF(COUNT(F1025:H1025)=0,"",SUM(F1025:H1025))</f>
        <v/>
      </c>
      <c r="J1025" s="23" t="n"/>
      <c r="K1025" s="23" t="n"/>
      <c r="L1025" s="23" t="n"/>
      <c r="M1025" s="23" t="n"/>
      <c r="N1025" s="23" t="n"/>
      <c r="O1025" s="20">
        <f>IF(OR(I1025="",COUNT(J1025:N1025)=0),"",IF(SUM(J1025:N1025)=I1025,"✓","⚠ "&amp;SUM(J1025:N1025)&amp;" statt "&amp;I1025))</f>
        <v/>
      </c>
      <c r="P1025" s="21" t="n"/>
      <c r="Q1025" s="21" t="n"/>
      <c r="R1025" s="21" t="n"/>
      <c r="S1025" s="24" t="n"/>
      <c r="T1025" s="24" t="n"/>
      <c r="V1025">
        <f>IF(A1025="","",MONTH(A1025))</f>
        <v/>
      </c>
      <c r="W1025">
        <f>N(W1024)+IF(AND(C1025&lt;&gt;"",T1025&lt;&gt;""),IF(C1025=WOCHE!$B$3,1,0),0)</f>
        <v/>
      </c>
      <c r="X1025">
        <f>N(X1024)+IF(AND(V1025&lt;&gt;"",T1025&lt;&gt;""),IF(V1025=MONAT!$AZ$3,1,0),0)</f>
        <v/>
      </c>
    </row>
    <row r="1026">
      <c r="A1026" s="19" t="n"/>
      <c r="B1026" s="20">
        <f>IF(A1026="","",CHOOSE(WEEKDAY(A1026,2),"Mo","Di","Mi","Do","Fr","Sa","So"))</f>
        <v/>
      </c>
      <c r="C1026" s="20">
        <f>IF(A1026="","",INT((A1026-DATE(YEAR(A1026-WEEKDAY(A1026-1)+4),1,3)+WEEKDAY(DATE(YEAR(A1026-WEEKDAY(A1026-1)+4),1,3))+5)/7))</f>
        <v/>
      </c>
      <c r="D1026" s="21" t="n"/>
      <c r="E1026" s="22" t="n"/>
      <c r="F1026" s="23" t="n"/>
      <c r="G1026" s="23" t="n"/>
      <c r="H1026" s="23" t="n"/>
      <c r="I1026" s="20">
        <f>IF(COUNT(F1026:H1026)=0,"",SUM(F1026:H1026))</f>
        <v/>
      </c>
      <c r="J1026" s="23" t="n"/>
      <c r="K1026" s="23" t="n"/>
      <c r="L1026" s="23" t="n"/>
      <c r="M1026" s="23" t="n"/>
      <c r="N1026" s="23" t="n"/>
      <c r="O1026" s="20">
        <f>IF(OR(I1026="",COUNT(J1026:N1026)=0),"",IF(SUM(J1026:N1026)=I1026,"✓","⚠ "&amp;SUM(J1026:N1026)&amp;" statt "&amp;I1026))</f>
        <v/>
      </c>
      <c r="P1026" s="21" t="n"/>
      <c r="Q1026" s="21" t="n"/>
      <c r="R1026" s="21" t="n"/>
      <c r="S1026" s="24" t="n"/>
      <c r="T1026" s="24" t="n"/>
      <c r="V1026">
        <f>IF(A1026="","",MONTH(A1026))</f>
        <v/>
      </c>
      <c r="W1026">
        <f>N(W1025)+IF(AND(C1026&lt;&gt;"",T1026&lt;&gt;""),IF(C1026=WOCHE!$B$3,1,0),0)</f>
        <v/>
      </c>
      <c r="X1026">
        <f>N(X1025)+IF(AND(V1026&lt;&gt;"",T1026&lt;&gt;""),IF(V1026=MONAT!$AZ$3,1,0),0)</f>
        <v/>
      </c>
    </row>
    <row r="1027">
      <c r="A1027" s="19" t="n"/>
      <c r="B1027" s="20">
        <f>IF(A1027="","",CHOOSE(WEEKDAY(A1027,2),"Mo","Di","Mi","Do","Fr","Sa","So"))</f>
        <v/>
      </c>
      <c r="C1027" s="20">
        <f>IF(A1027="","",INT((A1027-DATE(YEAR(A1027-WEEKDAY(A1027-1)+4),1,3)+WEEKDAY(DATE(YEAR(A1027-WEEKDAY(A1027-1)+4),1,3))+5)/7))</f>
        <v/>
      </c>
      <c r="D1027" s="21" t="n"/>
      <c r="E1027" s="22" t="n"/>
      <c r="F1027" s="23" t="n"/>
      <c r="G1027" s="23" t="n"/>
      <c r="H1027" s="23" t="n"/>
      <c r="I1027" s="20">
        <f>IF(COUNT(F1027:H1027)=0,"",SUM(F1027:H1027))</f>
        <v/>
      </c>
      <c r="J1027" s="23" t="n"/>
      <c r="K1027" s="23" t="n"/>
      <c r="L1027" s="23" t="n"/>
      <c r="M1027" s="23" t="n"/>
      <c r="N1027" s="23" t="n"/>
      <c r="O1027" s="20">
        <f>IF(OR(I1027="",COUNT(J1027:N1027)=0),"",IF(SUM(J1027:N1027)=I1027,"✓","⚠ "&amp;SUM(J1027:N1027)&amp;" statt "&amp;I1027))</f>
        <v/>
      </c>
      <c r="P1027" s="21" t="n"/>
      <c r="Q1027" s="21" t="n"/>
      <c r="R1027" s="21" t="n"/>
      <c r="S1027" s="24" t="n"/>
      <c r="T1027" s="24" t="n"/>
      <c r="V1027">
        <f>IF(A1027="","",MONTH(A1027))</f>
        <v/>
      </c>
      <c r="W1027">
        <f>N(W1026)+IF(AND(C1027&lt;&gt;"",T1027&lt;&gt;""),IF(C1027=WOCHE!$B$3,1,0),0)</f>
        <v/>
      </c>
      <c r="X1027">
        <f>N(X1026)+IF(AND(V1027&lt;&gt;"",T1027&lt;&gt;""),IF(V1027=MONAT!$AZ$3,1,0),0)</f>
        <v/>
      </c>
    </row>
    <row r="1028">
      <c r="A1028" s="19" t="n"/>
      <c r="B1028" s="20">
        <f>IF(A1028="","",CHOOSE(WEEKDAY(A1028,2),"Mo","Di","Mi","Do","Fr","Sa","So"))</f>
        <v/>
      </c>
      <c r="C1028" s="20">
        <f>IF(A1028="","",INT((A1028-DATE(YEAR(A1028-WEEKDAY(A1028-1)+4),1,3)+WEEKDAY(DATE(YEAR(A1028-WEEKDAY(A1028-1)+4),1,3))+5)/7))</f>
        <v/>
      </c>
      <c r="D1028" s="21" t="n"/>
      <c r="E1028" s="22" t="n"/>
      <c r="F1028" s="23" t="n"/>
      <c r="G1028" s="23" t="n"/>
      <c r="H1028" s="23" t="n"/>
      <c r="I1028" s="20">
        <f>IF(COUNT(F1028:H1028)=0,"",SUM(F1028:H1028))</f>
        <v/>
      </c>
      <c r="J1028" s="23" t="n"/>
      <c r="K1028" s="23" t="n"/>
      <c r="L1028" s="23" t="n"/>
      <c r="M1028" s="23" t="n"/>
      <c r="N1028" s="23" t="n"/>
      <c r="O1028" s="20">
        <f>IF(OR(I1028="",COUNT(J1028:N1028)=0),"",IF(SUM(J1028:N1028)=I1028,"✓","⚠ "&amp;SUM(J1028:N1028)&amp;" statt "&amp;I1028))</f>
        <v/>
      </c>
      <c r="P1028" s="21" t="n"/>
      <c r="Q1028" s="21" t="n"/>
      <c r="R1028" s="21" t="n"/>
      <c r="S1028" s="24" t="n"/>
      <c r="T1028" s="24" t="n"/>
      <c r="V1028">
        <f>IF(A1028="","",MONTH(A1028))</f>
        <v/>
      </c>
      <c r="W1028">
        <f>N(W1027)+IF(AND(C1028&lt;&gt;"",T1028&lt;&gt;""),IF(C1028=WOCHE!$B$3,1,0),0)</f>
        <v/>
      </c>
      <c r="X1028">
        <f>N(X1027)+IF(AND(V1028&lt;&gt;"",T1028&lt;&gt;""),IF(V1028=MONAT!$AZ$3,1,0),0)</f>
        <v/>
      </c>
    </row>
    <row r="1029">
      <c r="A1029" s="19" t="n"/>
      <c r="B1029" s="20">
        <f>IF(A1029="","",CHOOSE(WEEKDAY(A1029,2),"Mo","Di","Mi","Do","Fr","Sa","So"))</f>
        <v/>
      </c>
      <c r="C1029" s="20">
        <f>IF(A1029="","",INT((A1029-DATE(YEAR(A1029-WEEKDAY(A1029-1)+4),1,3)+WEEKDAY(DATE(YEAR(A1029-WEEKDAY(A1029-1)+4),1,3))+5)/7))</f>
        <v/>
      </c>
      <c r="D1029" s="21" t="n"/>
      <c r="E1029" s="22" t="n"/>
      <c r="F1029" s="23" t="n"/>
      <c r="G1029" s="23" t="n"/>
      <c r="H1029" s="23" t="n"/>
      <c r="I1029" s="20">
        <f>IF(COUNT(F1029:H1029)=0,"",SUM(F1029:H1029))</f>
        <v/>
      </c>
      <c r="J1029" s="23" t="n"/>
      <c r="K1029" s="23" t="n"/>
      <c r="L1029" s="23" t="n"/>
      <c r="M1029" s="23" t="n"/>
      <c r="N1029" s="23" t="n"/>
      <c r="O1029" s="20">
        <f>IF(OR(I1029="",COUNT(J1029:N1029)=0),"",IF(SUM(J1029:N1029)=I1029,"✓","⚠ "&amp;SUM(J1029:N1029)&amp;" statt "&amp;I1029))</f>
        <v/>
      </c>
      <c r="P1029" s="21" t="n"/>
      <c r="Q1029" s="21" t="n"/>
      <c r="R1029" s="21" t="n"/>
      <c r="S1029" s="24" t="n"/>
      <c r="T1029" s="24" t="n"/>
      <c r="V1029">
        <f>IF(A1029="","",MONTH(A1029))</f>
        <v/>
      </c>
      <c r="W1029">
        <f>N(W1028)+IF(AND(C1029&lt;&gt;"",T1029&lt;&gt;""),IF(C1029=WOCHE!$B$3,1,0),0)</f>
        <v/>
      </c>
      <c r="X1029">
        <f>N(X1028)+IF(AND(V1029&lt;&gt;"",T1029&lt;&gt;""),IF(V1029=MONAT!$AZ$3,1,0),0)</f>
        <v/>
      </c>
    </row>
    <row r="1030">
      <c r="A1030" s="19" t="n"/>
      <c r="B1030" s="20">
        <f>IF(A1030="","",CHOOSE(WEEKDAY(A1030,2),"Mo","Di","Mi","Do","Fr","Sa","So"))</f>
        <v/>
      </c>
      <c r="C1030" s="20">
        <f>IF(A1030="","",INT((A1030-DATE(YEAR(A1030-WEEKDAY(A1030-1)+4),1,3)+WEEKDAY(DATE(YEAR(A1030-WEEKDAY(A1030-1)+4),1,3))+5)/7))</f>
        <v/>
      </c>
      <c r="D1030" s="21" t="n"/>
      <c r="E1030" s="22" t="n"/>
      <c r="F1030" s="23" t="n"/>
      <c r="G1030" s="23" t="n"/>
      <c r="H1030" s="23" t="n"/>
      <c r="I1030" s="20">
        <f>IF(COUNT(F1030:H1030)=0,"",SUM(F1030:H1030))</f>
        <v/>
      </c>
      <c r="J1030" s="23" t="n"/>
      <c r="K1030" s="23" t="n"/>
      <c r="L1030" s="23" t="n"/>
      <c r="M1030" s="23" t="n"/>
      <c r="N1030" s="23" t="n"/>
      <c r="O1030" s="20">
        <f>IF(OR(I1030="",COUNT(J1030:N1030)=0),"",IF(SUM(J1030:N1030)=I1030,"✓","⚠ "&amp;SUM(J1030:N1030)&amp;" statt "&amp;I1030))</f>
        <v/>
      </c>
      <c r="P1030" s="21" t="n"/>
      <c r="Q1030" s="21" t="n"/>
      <c r="R1030" s="21" t="n"/>
      <c r="S1030" s="24" t="n"/>
      <c r="T1030" s="24" t="n"/>
      <c r="V1030">
        <f>IF(A1030="","",MONTH(A1030))</f>
        <v/>
      </c>
      <c r="W1030">
        <f>N(W1029)+IF(AND(C1030&lt;&gt;"",T1030&lt;&gt;""),IF(C1030=WOCHE!$B$3,1,0),0)</f>
        <v/>
      </c>
      <c r="X1030">
        <f>N(X1029)+IF(AND(V1030&lt;&gt;"",T1030&lt;&gt;""),IF(V1030=MONAT!$AZ$3,1,0),0)</f>
        <v/>
      </c>
    </row>
    <row r="1031">
      <c r="A1031" s="19" t="n"/>
      <c r="B1031" s="20">
        <f>IF(A1031="","",CHOOSE(WEEKDAY(A1031,2),"Mo","Di","Mi","Do","Fr","Sa","So"))</f>
        <v/>
      </c>
      <c r="C1031" s="20">
        <f>IF(A1031="","",INT((A1031-DATE(YEAR(A1031-WEEKDAY(A1031-1)+4),1,3)+WEEKDAY(DATE(YEAR(A1031-WEEKDAY(A1031-1)+4),1,3))+5)/7))</f>
        <v/>
      </c>
      <c r="D1031" s="21" t="n"/>
      <c r="E1031" s="22" t="n"/>
      <c r="F1031" s="23" t="n"/>
      <c r="G1031" s="23" t="n"/>
      <c r="H1031" s="23" t="n"/>
      <c r="I1031" s="20">
        <f>IF(COUNT(F1031:H1031)=0,"",SUM(F1031:H1031))</f>
        <v/>
      </c>
      <c r="J1031" s="23" t="n"/>
      <c r="K1031" s="23" t="n"/>
      <c r="L1031" s="23" t="n"/>
      <c r="M1031" s="23" t="n"/>
      <c r="N1031" s="23" t="n"/>
      <c r="O1031" s="20">
        <f>IF(OR(I1031="",COUNT(J1031:N1031)=0),"",IF(SUM(J1031:N1031)=I1031,"✓","⚠ "&amp;SUM(J1031:N1031)&amp;" statt "&amp;I1031))</f>
        <v/>
      </c>
      <c r="P1031" s="21" t="n"/>
      <c r="Q1031" s="21" t="n"/>
      <c r="R1031" s="21" t="n"/>
      <c r="S1031" s="24" t="n"/>
      <c r="T1031" s="24" t="n"/>
      <c r="V1031">
        <f>IF(A1031="","",MONTH(A1031))</f>
        <v/>
      </c>
      <c r="W1031">
        <f>N(W1030)+IF(AND(C1031&lt;&gt;"",T1031&lt;&gt;""),IF(C1031=WOCHE!$B$3,1,0),0)</f>
        <v/>
      </c>
      <c r="X1031">
        <f>N(X1030)+IF(AND(V1031&lt;&gt;"",T1031&lt;&gt;""),IF(V1031=MONAT!$AZ$3,1,0),0)</f>
        <v/>
      </c>
    </row>
    <row r="1032">
      <c r="A1032" s="19" t="n"/>
      <c r="B1032" s="20">
        <f>IF(A1032="","",CHOOSE(WEEKDAY(A1032,2),"Mo","Di","Mi","Do","Fr","Sa","So"))</f>
        <v/>
      </c>
      <c r="C1032" s="20">
        <f>IF(A1032="","",INT((A1032-DATE(YEAR(A1032-WEEKDAY(A1032-1)+4),1,3)+WEEKDAY(DATE(YEAR(A1032-WEEKDAY(A1032-1)+4),1,3))+5)/7))</f>
        <v/>
      </c>
      <c r="D1032" s="21" t="n"/>
      <c r="E1032" s="22" t="n"/>
      <c r="F1032" s="23" t="n"/>
      <c r="G1032" s="23" t="n"/>
      <c r="H1032" s="23" t="n"/>
      <c r="I1032" s="20">
        <f>IF(COUNT(F1032:H1032)=0,"",SUM(F1032:H1032))</f>
        <v/>
      </c>
      <c r="J1032" s="23" t="n"/>
      <c r="K1032" s="23" t="n"/>
      <c r="L1032" s="23" t="n"/>
      <c r="M1032" s="23" t="n"/>
      <c r="N1032" s="23" t="n"/>
      <c r="O1032" s="20">
        <f>IF(OR(I1032="",COUNT(J1032:N1032)=0),"",IF(SUM(J1032:N1032)=I1032,"✓","⚠ "&amp;SUM(J1032:N1032)&amp;" statt "&amp;I1032))</f>
        <v/>
      </c>
      <c r="P1032" s="21" t="n"/>
      <c r="Q1032" s="21" t="n"/>
      <c r="R1032" s="21" t="n"/>
      <c r="S1032" s="24" t="n"/>
      <c r="T1032" s="24" t="n"/>
      <c r="V1032">
        <f>IF(A1032="","",MONTH(A1032))</f>
        <v/>
      </c>
      <c r="W1032">
        <f>N(W1031)+IF(AND(C1032&lt;&gt;"",T1032&lt;&gt;""),IF(C1032=WOCHE!$B$3,1,0),0)</f>
        <v/>
      </c>
      <c r="X1032">
        <f>N(X1031)+IF(AND(V1032&lt;&gt;"",T1032&lt;&gt;""),IF(V1032=MONAT!$AZ$3,1,0),0)</f>
        <v/>
      </c>
    </row>
    <row r="1033">
      <c r="A1033" s="19" t="n"/>
      <c r="B1033" s="20">
        <f>IF(A1033="","",CHOOSE(WEEKDAY(A1033,2),"Mo","Di","Mi","Do","Fr","Sa","So"))</f>
        <v/>
      </c>
      <c r="C1033" s="20">
        <f>IF(A1033="","",INT((A1033-DATE(YEAR(A1033-WEEKDAY(A1033-1)+4),1,3)+WEEKDAY(DATE(YEAR(A1033-WEEKDAY(A1033-1)+4),1,3))+5)/7))</f>
        <v/>
      </c>
      <c r="D1033" s="21" t="n"/>
      <c r="E1033" s="22" t="n"/>
      <c r="F1033" s="23" t="n"/>
      <c r="G1033" s="23" t="n"/>
      <c r="H1033" s="23" t="n"/>
      <c r="I1033" s="20">
        <f>IF(COUNT(F1033:H1033)=0,"",SUM(F1033:H1033))</f>
        <v/>
      </c>
      <c r="J1033" s="23" t="n"/>
      <c r="K1033" s="23" t="n"/>
      <c r="L1033" s="23" t="n"/>
      <c r="M1033" s="23" t="n"/>
      <c r="N1033" s="23" t="n"/>
      <c r="O1033" s="20">
        <f>IF(OR(I1033="",COUNT(J1033:N1033)=0),"",IF(SUM(J1033:N1033)=I1033,"✓","⚠ "&amp;SUM(J1033:N1033)&amp;" statt "&amp;I1033))</f>
        <v/>
      </c>
      <c r="P1033" s="21" t="n"/>
      <c r="Q1033" s="21" t="n"/>
      <c r="R1033" s="21" t="n"/>
      <c r="S1033" s="24" t="n"/>
      <c r="T1033" s="24" t="n"/>
      <c r="V1033">
        <f>IF(A1033="","",MONTH(A1033))</f>
        <v/>
      </c>
      <c r="W1033">
        <f>N(W1032)+IF(AND(C1033&lt;&gt;"",T1033&lt;&gt;""),IF(C1033=WOCHE!$B$3,1,0),0)</f>
        <v/>
      </c>
      <c r="X1033">
        <f>N(X1032)+IF(AND(V1033&lt;&gt;"",T1033&lt;&gt;""),IF(V1033=MONAT!$AZ$3,1,0),0)</f>
        <v/>
      </c>
    </row>
    <row r="1034">
      <c r="A1034" s="19" t="n"/>
      <c r="B1034" s="20">
        <f>IF(A1034="","",CHOOSE(WEEKDAY(A1034,2),"Mo","Di","Mi","Do","Fr","Sa","So"))</f>
        <v/>
      </c>
      <c r="C1034" s="20">
        <f>IF(A1034="","",INT((A1034-DATE(YEAR(A1034-WEEKDAY(A1034-1)+4),1,3)+WEEKDAY(DATE(YEAR(A1034-WEEKDAY(A1034-1)+4),1,3))+5)/7))</f>
        <v/>
      </c>
      <c r="D1034" s="21" t="n"/>
      <c r="E1034" s="22" t="n"/>
      <c r="F1034" s="23" t="n"/>
      <c r="G1034" s="23" t="n"/>
      <c r="H1034" s="23" t="n"/>
      <c r="I1034" s="20">
        <f>IF(COUNT(F1034:H1034)=0,"",SUM(F1034:H1034))</f>
        <v/>
      </c>
      <c r="J1034" s="23" t="n"/>
      <c r="K1034" s="23" t="n"/>
      <c r="L1034" s="23" t="n"/>
      <c r="M1034" s="23" t="n"/>
      <c r="N1034" s="23" t="n"/>
      <c r="O1034" s="20">
        <f>IF(OR(I1034="",COUNT(J1034:N1034)=0),"",IF(SUM(J1034:N1034)=I1034,"✓","⚠ "&amp;SUM(J1034:N1034)&amp;" statt "&amp;I1034))</f>
        <v/>
      </c>
      <c r="P1034" s="21" t="n"/>
      <c r="Q1034" s="21" t="n"/>
      <c r="R1034" s="21" t="n"/>
      <c r="S1034" s="24" t="n"/>
      <c r="T1034" s="24" t="n"/>
      <c r="V1034">
        <f>IF(A1034="","",MONTH(A1034))</f>
        <v/>
      </c>
      <c r="W1034">
        <f>N(W1033)+IF(AND(C1034&lt;&gt;"",T1034&lt;&gt;""),IF(C1034=WOCHE!$B$3,1,0),0)</f>
        <v/>
      </c>
      <c r="X1034">
        <f>N(X1033)+IF(AND(V1034&lt;&gt;"",T1034&lt;&gt;""),IF(V1034=MONAT!$AZ$3,1,0),0)</f>
        <v/>
      </c>
    </row>
    <row r="1035">
      <c r="A1035" s="19" t="n"/>
      <c r="B1035" s="20">
        <f>IF(A1035="","",CHOOSE(WEEKDAY(A1035,2),"Mo","Di","Mi","Do","Fr","Sa","So"))</f>
        <v/>
      </c>
      <c r="C1035" s="20">
        <f>IF(A1035="","",INT((A1035-DATE(YEAR(A1035-WEEKDAY(A1035-1)+4),1,3)+WEEKDAY(DATE(YEAR(A1035-WEEKDAY(A1035-1)+4),1,3))+5)/7))</f>
        <v/>
      </c>
      <c r="D1035" s="21" t="n"/>
      <c r="E1035" s="22" t="n"/>
      <c r="F1035" s="23" t="n"/>
      <c r="G1035" s="23" t="n"/>
      <c r="H1035" s="23" t="n"/>
      <c r="I1035" s="20">
        <f>IF(COUNT(F1035:H1035)=0,"",SUM(F1035:H1035))</f>
        <v/>
      </c>
      <c r="J1035" s="23" t="n"/>
      <c r="K1035" s="23" t="n"/>
      <c r="L1035" s="23" t="n"/>
      <c r="M1035" s="23" t="n"/>
      <c r="N1035" s="23" t="n"/>
      <c r="O1035" s="20">
        <f>IF(OR(I1035="",COUNT(J1035:N1035)=0),"",IF(SUM(J1035:N1035)=I1035,"✓","⚠ "&amp;SUM(J1035:N1035)&amp;" statt "&amp;I1035))</f>
        <v/>
      </c>
      <c r="P1035" s="21" t="n"/>
      <c r="Q1035" s="21" t="n"/>
      <c r="R1035" s="21" t="n"/>
      <c r="S1035" s="24" t="n"/>
      <c r="T1035" s="24" t="n"/>
      <c r="V1035">
        <f>IF(A1035="","",MONTH(A1035))</f>
        <v/>
      </c>
      <c r="W1035">
        <f>N(W1034)+IF(AND(C1035&lt;&gt;"",T1035&lt;&gt;""),IF(C1035=WOCHE!$B$3,1,0),0)</f>
        <v/>
      </c>
      <c r="X1035">
        <f>N(X1034)+IF(AND(V1035&lt;&gt;"",T1035&lt;&gt;""),IF(V1035=MONAT!$AZ$3,1,0),0)</f>
        <v/>
      </c>
    </row>
    <row r="1036">
      <c r="A1036" s="19" t="n"/>
      <c r="B1036" s="20">
        <f>IF(A1036="","",CHOOSE(WEEKDAY(A1036,2),"Mo","Di","Mi","Do","Fr","Sa","So"))</f>
        <v/>
      </c>
      <c r="C1036" s="20">
        <f>IF(A1036="","",INT((A1036-DATE(YEAR(A1036-WEEKDAY(A1036-1)+4),1,3)+WEEKDAY(DATE(YEAR(A1036-WEEKDAY(A1036-1)+4),1,3))+5)/7))</f>
        <v/>
      </c>
      <c r="D1036" s="21" t="n"/>
      <c r="E1036" s="22" t="n"/>
      <c r="F1036" s="23" t="n"/>
      <c r="G1036" s="23" t="n"/>
      <c r="H1036" s="23" t="n"/>
      <c r="I1036" s="20">
        <f>IF(COUNT(F1036:H1036)=0,"",SUM(F1036:H1036))</f>
        <v/>
      </c>
      <c r="J1036" s="23" t="n"/>
      <c r="K1036" s="23" t="n"/>
      <c r="L1036" s="23" t="n"/>
      <c r="M1036" s="23" t="n"/>
      <c r="N1036" s="23" t="n"/>
      <c r="O1036" s="20">
        <f>IF(OR(I1036="",COUNT(J1036:N1036)=0),"",IF(SUM(J1036:N1036)=I1036,"✓","⚠ "&amp;SUM(J1036:N1036)&amp;" statt "&amp;I1036))</f>
        <v/>
      </c>
      <c r="P1036" s="21" t="n"/>
      <c r="Q1036" s="21" t="n"/>
      <c r="R1036" s="21" t="n"/>
      <c r="S1036" s="24" t="n"/>
      <c r="T1036" s="24" t="n"/>
      <c r="V1036">
        <f>IF(A1036="","",MONTH(A1036))</f>
        <v/>
      </c>
      <c r="W1036">
        <f>N(W1035)+IF(AND(C1036&lt;&gt;"",T1036&lt;&gt;""),IF(C1036=WOCHE!$B$3,1,0),0)</f>
        <v/>
      </c>
      <c r="X1036">
        <f>N(X1035)+IF(AND(V1036&lt;&gt;"",T1036&lt;&gt;""),IF(V1036=MONAT!$AZ$3,1,0),0)</f>
        <v/>
      </c>
    </row>
    <row r="1037">
      <c r="A1037" s="19" t="n"/>
      <c r="B1037" s="20">
        <f>IF(A1037="","",CHOOSE(WEEKDAY(A1037,2),"Mo","Di","Mi","Do","Fr","Sa","So"))</f>
        <v/>
      </c>
      <c r="C1037" s="20">
        <f>IF(A1037="","",INT((A1037-DATE(YEAR(A1037-WEEKDAY(A1037-1)+4),1,3)+WEEKDAY(DATE(YEAR(A1037-WEEKDAY(A1037-1)+4),1,3))+5)/7))</f>
        <v/>
      </c>
      <c r="D1037" s="21" t="n"/>
      <c r="E1037" s="22" t="n"/>
      <c r="F1037" s="23" t="n"/>
      <c r="G1037" s="23" t="n"/>
      <c r="H1037" s="23" t="n"/>
      <c r="I1037" s="20">
        <f>IF(COUNT(F1037:H1037)=0,"",SUM(F1037:H1037))</f>
        <v/>
      </c>
      <c r="J1037" s="23" t="n"/>
      <c r="K1037" s="23" t="n"/>
      <c r="L1037" s="23" t="n"/>
      <c r="M1037" s="23" t="n"/>
      <c r="N1037" s="23" t="n"/>
      <c r="O1037" s="20">
        <f>IF(OR(I1037="",COUNT(J1037:N1037)=0),"",IF(SUM(J1037:N1037)=I1037,"✓","⚠ "&amp;SUM(J1037:N1037)&amp;" statt "&amp;I1037))</f>
        <v/>
      </c>
      <c r="P1037" s="21" t="n"/>
      <c r="Q1037" s="21" t="n"/>
      <c r="R1037" s="21" t="n"/>
      <c r="S1037" s="24" t="n"/>
      <c r="T1037" s="24" t="n"/>
      <c r="V1037">
        <f>IF(A1037="","",MONTH(A1037))</f>
        <v/>
      </c>
      <c r="W1037">
        <f>N(W1036)+IF(AND(C1037&lt;&gt;"",T1037&lt;&gt;""),IF(C1037=WOCHE!$B$3,1,0),0)</f>
        <v/>
      </c>
      <c r="X1037">
        <f>N(X1036)+IF(AND(V1037&lt;&gt;"",T1037&lt;&gt;""),IF(V1037=MONAT!$AZ$3,1,0),0)</f>
        <v/>
      </c>
    </row>
    <row r="1038">
      <c r="A1038" s="19" t="n"/>
      <c r="B1038" s="20">
        <f>IF(A1038="","",CHOOSE(WEEKDAY(A1038,2),"Mo","Di","Mi","Do","Fr","Sa","So"))</f>
        <v/>
      </c>
      <c r="C1038" s="20">
        <f>IF(A1038="","",INT((A1038-DATE(YEAR(A1038-WEEKDAY(A1038-1)+4),1,3)+WEEKDAY(DATE(YEAR(A1038-WEEKDAY(A1038-1)+4),1,3))+5)/7))</f>
        <v/>
      </c>
      <c r="D1038" s="21" t="n"/>
      <c r="E1038" s="22" t="n"/>
      <c r="F1038" s="23" t="n"/>
      <c r="G1038" s="23" t="n"/>
      <c r="H1038" s="23" t="n"/>
      <c r="I1038" s="20">
        <f>IF(COUNT(F1038:H1038)=0,"",SUM(F1038:H1038))</f>
        <v/>
      </c>
      <c r="J1038" s="23" t="n"/>
      <c r="K1038" s="23" t="n"/>
      <c r="L1038" s="23" t="n"/>
      <c r="M1038" s="23" t="n"/>
      <c r="N1038" s="23" t="n"/>
      <c r="O1038" s="20">
        <f>IF(OR(I1038="",COUNT(J1038:N1038)=0),"",IF(SUM(J1038:N1038)=I1038,"✓","⚠ "&amp;SUM(J1038:N1038)&amp;" statt "&amp;I1038))</f>
        <v/>
      </c>
      <c r="P1038" s="21" t="n"/>
      <c r="Q1038" s="21" t="n"/>
      <c r="R1038" s="21" t="n"/>
      <c r="S1038" s="24" t="n"/>
      <c r="T1038" s="24" t="n"/>
      <c r="V1038">
        <f>IF(A1038="","",MONTH(A1038))</f>
        <v/>
      </c>
      <c r="W1038">
        <f>N(W1037)+IF(AND(C1038&lt;&gt;"",T1038&lt;&gt;""),IF(C1038=WOCHE!$B$3,1,0),0)</f>
        <v/>
      </c>
      <c r="X1038">
        <f>N(X1037)+IF(AND(V1038&lt;&gt;"",T1038&lt;&gt;""),IF(V1038=MONAT!$AZ$3,1,0),0)</f>
        <v/>
      </c>
    </row>
    <row r="1039">
      <c r="A1039" s="19" t="n"/>
      <c r="B1039" s="20">
        <f>IF(A1039="","",CHOOSE(WEEKDAY(A1039,2),"Mo","Di","Mi","Do","Fr","Sa","So"))</f>
        <v/>
      </c>
      <c r="C1039" s="20">
        <f>IF(A1039="","",INT((A1039-DATE(YEAR(A1039-WEEKDAY(A1039-1)+4),1,3)+WEEKDAY(DATE(YEAR(A1039-WEEKDAY(A1039-1)+4),1,3))+5)/7))</f>
        <v/>
      </c>
      <c r="D1039" s="21" t="n"/>
      <c r="E1039" s="22" t="n"/>
      <c r="F1039" s="23" t="n"/>
      <c r="G1039" s="23" t="n"/>
      <c r="H1039" s="23" t="n"/>
      <c r="I1039" s="20">
        <f>IF(COUNT(F1039:H1039)=0,"",SUM(F1039:H1039))</f>
        <v/>
      </c>
      <c r="J1039" s="23" t="n"/>
      <c r="K1039" s="23" t="n"/>
      <c r="L1039" s="23" t="n"/>
      <c r="M1039" s="23" t="n"/>
      <c r="N1039" s="23" t="n"/>
      <c r="O1039" s="20">
        <f>IF(OR(I1039="",COUNT(J1039:N1039)=0),"",IF(SUM(J1039:N1039)=I1039,"✓","⚠ "&amp;SUM(J1039:N1039)&amp;" statt "&amp;I1039))</f>
        <v/>
      </c>
      <c r="P1039" s="21" t="n"/>
      <c r="Q1039" s="21" t="n"/>
      <c r="R1039" s="21" t="n"/>
      <c r="S1039" s="24" t="n"/>
      <c r="T1039" s="24" t="n"/>
      <c r="V1039">
        <f>IF(A1039="","",MONTH(A1039))</f>
        <v/>
      </c>
      <c r="W1039">
        <f>N(W1038)+IF(AND(C1039&lt;&gt;"",T1039&lt;&gt;""),IF(C1039=WOCHE!$B$3,1,0),0)</f>
        <v/>
      </c>
      <c r="X1039">
        <f>N(X1038)+IF(AND(V1039&lt;&gt;"",T1039&lt;&gt;""),IF(V1039=MONAT!$AZ$3,1,0),0)</f>
        <v/>
      </c>
    </row>
    <row r="1040">
      <c r="A1040" s="19" t="n"/>
      <c r="B1040" s="20">
        <f>IF(A1040="","",CHOOSE(WEEKDAY(A1040,2),"Mo","Di","Mi","Do","Fr","Sa","So"))</f>
        <v/>
      </c>
      <c r="C1040" s="20">
        <f>IF(A1040="","",INT((A1040-DATE(YEAR(A1040-WEEKDAY(A1040-1)+4),1,3)+WEEKDAY(DATE(YEAR(A1040-WEEKDAY(A1040-1)+4),1,3))+5)/7))</f>
        <v/>
      </c>
      <c r="D1040" s="21" t="n"/>
      <c r="E1040" s="22" t="n"/>
      <c r="F1040" s="23" t="n"/>
      <c r="G1040" s="23" t="n"/>
      <c r="H1040" s="23" t="n"/>
      <c r="I1040" s="20">
        <f>IF(COUNT(F1040:H1040)=0,"",SUM(F1040:H1040))</f>
        <v/>
      </c>
      <c r="J1040" s="23" t="n"/>
      <c r="K1040" s="23" t="n"/>
      <c r="L1040" s="23" t="n"/>
      <c r="M1040" s="23" t="n"/>
      <c r="N1040" s="23" t="n"/>
      <c r="O1040" s="20">
        <f>IF(OR(I1040="",COUNT(J1040:N1040)=0),"",IF(SUM(J1040:N1040)=I1040,"✓","⚠ "&amp;SUM(J1040:N1040)&amp;" statt "&amp;I1040))</f>
        <v/>
      </c>
      <c r="P1040" s="21" t="n"/>
      <c r="Q1040" s="21" t="n"/>
      <c r="R1040" s="21" t="n"/>
      <c r="S1040" s="24" t="n"/>
      <c r="T1040" s="24" t="n"/>
      <c r="V1040">
        <f>IF(A1040="","",MONTH(A1040))</f>
        <v/>
      </c>
      <c r="W1040">
        <f>N(W1039)+IF(AND(C1040&lt;&gt;"",T1040&lt;&gt;""),IF(C1040=WOCHE!$B$3,1,0),0)</f>
        <v/>
      </c>
      <c r="X1040">
        <f>N(X1039)+IF(AND(V1040&lt;&gt;"",T1040&lt;&gt;""),IF(V1040=MONAT!$AZ$3,1,0),0)</f>
        <v/>
      </c>
    </row>
    <row r="1041">
      <c r="A1041" s="19" t="n"/>
      <c r="B1041" s="20">
        <f>IF(A1041="","",CHOOSE(WEEKDAY(A1041,2),"Mo","Di","Mi","Do","Fr","Sa","So"))</f>
        <v/>
      </c>
      <c r="C1041" s="20">
        <f>IF(A1041="","",INT((A1041-DATE(YEAR(A1041-WEEKDAY(A1041-1)+4),1,3)+WEEKDAY(DATE(YEAR(A1041-WEEKDAY(A1041-1)+4),1,3))+5)/7))</f>
        <v/>
      </c>
      <c r="D1041" s="21" t="n"/>
      <c r="E1041" s="22" t="n"/>
      <c r="F1041" s="23" t="n"/>
      <c r="G1041" s="23" t="n"/>
      <c r="H1041" s="23" t="n"/>
      <c r="I1041" s="20">
        <f>IF(COUNT(F1041:H1041)=0,"",SUM(F1041:H1041))</f>
        <v/>
      </c>
      <c r="J1041" s="23" t="n"/>
      <c r="K1041" s="23" t="n"/>
      <c r="L1041" s="23" t="n"/>
      <c r="M1041" s="23" t="n"/>
      <c r="N1041" s="23" t="n"/>
      <c r="O1041" s="20">
        <f>IF(OR(I1041="",COUNT(J1041:N1041)=0),"",IF(SUM(J1041:N1041)=I1041,"✓","⚠ "&amp;SUM(J1041:N1041)&amp;" statt "&amp;I1041))</f>
        <v/>
      </c>
      <c r="P1041" s="21" t="n"/>
      <c r="Q1041" s="21" t="n"/>
      <c r="R1041" s="21" t="n"/>
      <c r="S1041" s="24" t="n"/>
      <c r="T1041" s="24" t="n"/>
      <c r="V1041">
        <f>IF(A1041="","",MONTH(A1041))</f>
        <v/>
      </c>
      <c r="W1041">
        <f>N(W1040)+IF(AND(C1041&lt;&gt;"",T1041&lt;&gt;""),IF(C1041=WOCHE!$B$3,1,0),0)</f>
        <v/>
      </c>
      <c r="X1041">
        <f>N(X1040)+IF(AND(V1041&lt;&gt;"",T1041&lt;&gt;""),IF(V1041=MONAT!$AZ$3,1,0),0)</f>
        <v/>
      </c>
    </row>
    <row r="1042">
      <c r="A1042" s="19" t="n"/>
      <c r="B1042" s="20">
        <f>IF(A1042="","",CHOOSE(WEEKDAY(A1042,2),"Mo","Di","Mi","Do","Fr","Sa","So"))</f>
        <v/>
      </c>
      <c r="C1042" s="20">
        <f>IF(A1042="","",INT((A1042-DATE(YEAR(A1042-WEEKDAY(A1042-1)+4),1,3)+WEEKDAY(DATE(YEAR(A1042-WEEKDAY(A1042-1)+4),1,3))+5)/7))</f>
        <v/>
      </c>
      <c r="D1042" s="21" t="n"/>
      <c r="E1042" s="22" t="n"/>
      <c r="F1042" s="23" t="n"/>
      <c r="G1042" s="23" t="n"/>
      <c r="H1042" s="23" t="n"/>
      <c r="I1042" s="20">
        <f>IF(COUNT(F1042:H1042)=0,"",SUM(F1042:H1042))</f>
        <v/>
      </c>
      <c r="J1042" s="23" t="n"/>
      <c r="K1042" s="23" t="n"/>
      <c r="L1042" s="23" t="n"/>
      <c r="M1042" s="23" t="n"/>
      <c r="N1042" s="23" t="n"/>
      <c r="O1042" s="20">
        <f>IF(OR(I1042="",COUNT(J1042:N1042)=0),"",IF(SUM(J1042:N1042)=I1042,"✓","⚠ "&amp;SUM(J1042:N1042)&amp;" statt "&amp;I1042))</f>
        <v/>
      </c>
      <c r="P1042" s="21" t="n"/>
      <c r="Q1042" s="21" t="n"/>
      <c r="R1042" s="21" t="n"/>
      <c r="S1042" s="24" t="n"/>
      <c r="T1042" s="24" t="n"/>
      <c r="V1042">
        <f>IF(A1042="","",MONTH(A1042))</f>
        <v/>
      </c>
      <c r="W1042">
        <f>N(W1041)+IF(AND(C1042&lt;&gt;"",T1042&lt;&gt;""),IF(C1042=WOCHE!$B$3,1,0),0)</f>
        <v/>
      </c>
      <c r="X1042">
        <f>N(X1041)+IF(AND(V1042&lt;&gt;"",T1042&lt;&gt;""),IF(V1042=MONAT!$AZ$3,1,0),0)</f>
        <v/>
      </c>
    </row>
    <row r="1043">
      <c r="A1043" s="19" t="n"/>
      <c r="B1043" s="20">
        <f>IF(A1043="","",CHOOSE(WEEKDAY(A1043,2),"Mo","Di","Mi","Do","Fr","Sa","So"))</f>
        <v/>
      </c>
      <c r="C1043" s="20">
        <f>IF(A1043="","",INT((A1043-DATE(YEAR(A1043-WEEKDAY(A1043-1)+4),1,3)+WEEKDAY(DATE(YEAR(A1043-WEEKDAY(A1043-1)+4),1,3))+5)/7))</f>
        <v/>
      </c>
      <c r="D1043" s="21" t="n"/>
      <c r="E1043" s="22" t="n"/>
      <c r="F1043" s="23" t="n"/>
      <c r="G1043" s="23" t="n"/>
      <c r="H1043" s="23" t="n"/>
      <c r="I1043" s="20">
        <f>IF(COUNT(F1043:H1043)=0,"",SUM(F1043:H1043))</f>
        <v/>
      </c>
      <c r="J1043" s="23" t="n"/>
      <c r="K1043" s="23" t="n"/>
      <c r="L1043" s="23" t="n"/>
      <c r="M1043" s="23" t="n"/>
      <c r="N1043" s="23" t="n"/>
      <c r="O1043" s="20">
        <f>IF(OR(I1043="",COUNT(J1043:N1043)=0),"",IF(SUM(J1043:N1043)=I1043,"✓","⚠ "&amp;SUM(J1043:N1043)&amp;" statt "&amp;I1043))</f>
        <v/>
      </c>
      <c r="P1043" s="21" t="n"/>
      <c r="Q1043" s="21" t="n"/>
      <c r="R1043" s="21" t="n"/>
      <c r="S1043" s="24" t="n"/>
      <c r="T1043" s="24" t="n"/>
      <c r="V1043">
        <f>IF(A1043="","",MONTH(A1043))</f>
        <v/>
      </c>
      <c r="W1043">
        <f>N(W1042)+IF(AND(C1043&lt;&gt;"",T1043&lt;&gt;""),IF(C1043=WOCHE!$B$3,1,0),0)</f>
        <v/>
      </c>
      <c r="X1043">
        <f>N(X1042)+IF(AND(V1043&lt;&gt;"",T1043&lt;&gt;""),IF(V1043=MONAT!$AZ$3,1,0),0)</f>
        <v/>
      </c>
    </row>
    <row r="1044">
      <c r="A1044" s="19" t="n"/>
      <c r="B1044" s="20">
        <f>IF(A1044="","",CHOOSE(WEEKDAY(A1044,2),"Mo","Di","Mi","Do","Fr","Sa","So"))</f>
        <v/>
      </c>
      <c r="C1044" s="20">
        <f>IF(A1044="","",INT((A1044-DATE(YEAR(A1044-WEEKDAY(A1044-1)+4),1,3)+WEEKDAY(DATE(YEAR(A1044-WEEKDAY(A1044-1)+4),1,3))+5)/7))</f>
        <v/>
      </c>
      <c r="D1044" s="21" t="n"/>
      <c r="E1044" s="22" t="n"/>
      <c r="F1044" s="23" t="n"/>
      <c r="G1044" s="23" t="n"/>
      <c r="H1044" s="23" t="n"/>
      <c r="I1044" s="20">
        <f>IF(COUNT(F1044:H1044)=0,"",SUM(F1044:H1044))</f>
        <v/>
      </c>
      <c r="J1044" s="23" t="n"/>
      <c r="K1044" s="23" t="n"/>
      <c r="L1044" s="23" t="n"/>
      <c r="M1044" s="23" t="n"/>
      <c r="N1044" s="23" t="n"/>
      <c r="O1044" s="20">
        <f>IF(OR(I1044="",COUNT(J1044:N1044)=0),"",IF(SUM(J1044:N1044)=I1044,"✓","⚠ "&amp;SUM(J1044:N1044)&amp;" statt "&amp;I1044))</f>
        <v/>
      </c>
      <c r="P1044" s="21" t="n"/>
      <c r="Q1044" s="21" t="n"/>
      <c r="R1044" s="21" t="n"/>
      <c r="S1044" s="24" t="n"/>
      <c r="T1044" s="24" t="n"/>
      <c r="V1044">
        <f>IF(A1044="","",MONTH(A1044))</f>
        <v/>
      </c>
      <c r="W1044">
        <f>N(W1043)+IF(AND(C1044&lt;&gt;"",T1044&lt;&gt;""),IF(C1044=WOCHE!$B$3,1,0),0)</f>
        <v/>
      </c>
      <c r="X1044">
        <f>N(X1043)+IF(AND(V1044&lt;&gt;"",T1044&lt;&gt;""),IF(V1044=MONAT!$AZ$3,1,0),0)</f>
        <v/>
      </c>
    </row>
    <row r="1045">
      <c r="A1045" s="19" t="n"/>
      <c r="B1045" s="20">
        <f>IF(A1045="","",CHOOSE(WEEKDAY(A1045,2),"Mo","Di","Mi","Do","Fr","Sa","So"))</f>
        <v/>
      </c>
      <c r="C1045" s="20">
        <f>IF(A1045="","",INT((A1045-DATE(YEAR(A1045-WEEKDAY(A1045-1)+4),1,3)+WEEKDAY(DATE(YEAR(A1045-WEEKDAY(A1045-1)+4),1,3))+5)/7))</f>
        <v/>
      </c>
      <c r="D1045" s="21" t="n"/>
      <c r="E1045" s="22" t="n"/>
      <c r="F1045" s="23" t="n"/>
      <c r="G1045" s="23" t="n"/>
      <c r="H1045" s="23" t="n"/>
      <c r="I1045" s="20">
        <f>IF(COUNT(F1045:H1045)=0,"",SUM(F1045:H1045))</f>
        <v/>
      </c>
      <c r="J1045" s="23" t="n"/>
      <c r="K1045" s="23" t="n"/>
      <c r="L1045" s="23" t="n"/>
      <c r="M1045" s="23" t="n"/>
      <c r="N1045" s="23" t="n"/>
      <c r="O1045" s="20">
        <f>IF(OR(I1045="",COUNT(J1045:N1045)=0),"",IF(SUM(J1045:N1045)=I1045,"✓","⚠ "&amp;SUM(J1045:N1045)&amp;" statt "&amp;I1045))</f>
        <v/>
      </c>
      <c r="P1045" s="21" t="n"/>
      <c r="Q1045" s="21" t="n"/>
      <c r="R1045" s="21" t="n"/>
      <c r="S1045" s="24" t="n"/>
      <c r="T1045" s="24" t="n"/>
      <c r="V1045">
        <f>IF(A1045="","",MONTH(A1045))</f>
        <v/>
      </c>
      <c r="W1045">
        <f>N(W1044)+IF(AND(C1045&lt;&gt;"",T1045&lt;&gt;""),IF(C1045=WOCHE!$B$3,1,0),0)</f>
        <v/>
      </c>
      <c r="X1045">
        <f>N(X1044)+IF(AND(V1045&lt;&gt;"",T1045&lt;&gt;""),IF(V1045=MONAT!$AZ$3,1,0),0)</f>
        <v/>
      </c>
    </row>
    <row r="1046">
      <c r="A1046" s="19" t="n"/>
      <c r="B1046" s="20">
        <f>IF(A1046="","",CHOOSE(WEEKDAY(A1046,2),"Mo","Di","Mi","Do","Fr","Sa","So"))</f>
        <v/>
      </c>
      <c r="C1046" s="20">
        <f>IF(A1046="","",INT((A1046-DATE(YEAR(A1046-WEEKDAY(A1046-1)+4),1,3)+WEEKDAY(DATE(YEAR(A1046-WEEKDAY(A1046-1)+4),1,3))+5)/7))</f>
        <v/>
      </c>
      <c r="D1046" s="21" t="n"/>
      <c r="E1046" s="22" t="n"/>
      <c r="F1046" s="23" t="n"/>
      <c r="G1046" s="23" t="n"/>
      <c r="H1046" s="23" t="n"/>
      <c r="I1046" s="20">
        <f>IF(COUNT(F1046:H1046)=0,"",SUM(F1046:H1046))</f>
        <v/>
      </c>
      <c r="J1046" s="23" t="n"/>
      <c r="K1046" s="23" t="n"/>
      <c r="L1046" s="23" t="n"/>
      <c r="M1046" s="23" t="n"/>
      <c r="N1046" s="23" t="n"/>
      <c r="O1046" s="20">
        <f>IF(OR(I1046="",COUNT(J1046:N1046)=0),"",IF(SUM(J1046:N1046)=I1046,"✓","⚠ "&amp;SUM(J1046:N1046)&amp;" statt "&amp;I1046))</f>
        <v/>
      </c>
      <c r="P1046" s="21" t="n"/>
      <c r="Q1046" s="21" t="n"/>
      <c r="R1046" s="21" t="n"/>
      <c r="S1046" s="24" t="n"/>
      <c r="T1046" s="24" t="n"/>
      <c r="V1046">
        <f>IF(A1046="","",MONTH(A1046))</f>
        <v/>
      </c>
      <c r="W1046">
        <f>N(W1045)+IF(AND(C1046&lt;&gt;"",T1046&lt;&gt;""),IF(C1046=WOCHE!$B$3,1,0),0)</f>
        <v/>
      </c>
      <c r="X1046">
        <f>N(X1045)+IF(AND(V1046&lt;&gt;"",T1046&lt;&gt;""),IF(V1046=MONAT!$AZ$3,1,0),0)</f>
        <v/>
      </c>
    </row>
    <row r="1047">
      <c r="A1047" s="19" t="n"/>
      <c r="B1047" s="20">
        <f>IF(A1047="","",CHOOSE(WEEKDAY(A1047,2),"Mo","Di","Mi","Do","Fr","Sa","So"))</f>
        <v/>
      </c>
      <c r="C1047" s="20">
        <f>IF(A1047="","",INT((A1047-DATE(YEAR(A1047-WEEKDAY(A1047-1)+4),1,3)+WEEKDAY(DATE(YEAR(A1047-WEEKDAY(A1047-1)+4),1,3))+5)/7))</f>
        <v/>
      </c>
      <c r="D1047" s="21" t="n"/>
      <c r="E1047" s="22" t="n"/>
      <c r="F1047" s="23" t="n"/>
      <c r="G1047" s="23" t="n"/>
      <c r="H1047" s="23" t="n"/>
      <c r="I1047" s="20">
        <f>IF(COUNT(F1047:H1047)=0,"",SUM(F1047:H1047))</f>
        <v/>
      </c>
      <c r="J1047" s="23" t="n"/>
      <c r="K1047" s="23" t="n"/>
      <c r="L1047" s="23" t="n"/>
      <c r="M1047" s="23" t="n"/>
      <c r="N1047" s="23" t="n"/>
      <c r="O1047" s="20">
        <f>IF(OR(I1047="",COUNT(J1047:N1047)=0),"",IF(SUM(J1047:N1047)=I1047,"✓","⚠ "&amp;SUM(J1047:N1047)&amp;" statt "&amp;I1047))</f>
        <v/>
      </c>
      <c r="P1047" s="21" t="n"/>
      <c r="Q1047" s="21" t="n"/>
      <c r="R1047" s="21" t="n"/>
      <c r="S1047" s="24" t="n"/>
      <c r="T1047" s="24" t="n"/>
      <c r="V1047">
        <f>IF(A1047="","",MONTH(A1047))</f>
        <v/>
      </c>
      <c r="W1047">
        <f>N(W1046)+IF(AND(C1047&lt;&gt;"",T1047&lt;&gt;""),IF(C1047=WOCHE!$B$3,1,0),0)</f>
        <v/>
      </c>
      <c r="X1047">
        <f>N(X1046)+IF(AND(V1047&lt;&gt;"",T1047&lt;&gt;""),IF(V1047=MONAT!$AZ$3,1,0),0)</f>
        <v/>
      </c>
    </row>
    <row r="1048">
      <c r="A1048" s="19" t="n"/>
      <c r="B1048" s="20">
        <f>IF(A1048="","",CHOOSE(WEEKDAY(A1048,2),"Mo","Di","Mi","Do","Fr","Sa","So"))</f>
        <v/>
      </c>
      <c r="C1048" s="20">
        <f>IF(A1048="","",INT((A1048-DATE(YEAR(A1048-WEEKDAY(A1048-1)+4),1,3)+WEEKDAY(DATE(YEAR(A1048-WEEKDAY(A1048-1)+4),1,3))+5)/7))</f>
        <v/>
      </c>
      <c r="D1048" s="21" t="n"/>
      <c r="E1048" s="22" t="n"/>
      <c r="F1048" s="23" t="n"/>
      <c r="G1048" s="23" t="n"/>
      <c r="H1048" s="23" t="n"/>
      <c r="I1048" s="20">
        <f>IF(COUNT(F1048:H1048)=0,"",SUM(F1048:H1048))</f>
        <v/>
      </c>
      <c r="J1048" s="23" t="n"/>
      <c r="K1048" s="23" t="n"/>
      <c r="L1048" s="23" t="n"/>
      <c r="M1048" s="23" t="n"/>
      <c r="N1048" s="23" t="n"/>
      <c r="O1048" s="20">
        <f>IF(OR(I1048="",COUNT(J1048:N1048)=0),"",IF(SUM(J1048:N1048)=I1048,"✓","⚠ "&amp;SUM(J1048:N1048)&amp;" statt "&amp;I1048))</f>
        <v/>
      </c>
      <c r="P1048" s="21" t="n"/>
      <c r="Q1048" s="21" t="n"/>
      <c r="R1048" s="21" t="n"/>
      <c r="S1048" s="24" t="n"/>
      <c r="T1048" s="24" t="n"/>
      <c r="V1048">
        <f>IF(A1048="","",MONTH(A1048))</f>
        <v/>
      </c>
      <c r="W1048">
        <f>N(W1047)+IF(AND(C1048&lt;&gt;"",T1048&lt;&gt;""),IF(C1048=WOCHE!$B$3,1,0),0)</f>
        <v/>
      </c>
      <c r="X1048">
        <f>N(X1047)+IF(AND(V1048&lt;&gt;"",T1048&lt;&gt;""),IF(V1048=MONAT!$AZ$3,1,0),0)</f>
        <v/>
      </c>
    </row>
    <row r="1049">
      <c r="A1049" s="19" t="n"/>
      <c r="B1049" s="20">
        <f>IF(A1049="","",CHOOSE(WEEKDAY(A1049,2),"Mo","Di","Mi","Do","Fr","Sa","So"))</f>
        <v/>
      </c>
      <c r="C1049" s="20">
        <f>IF(A1049="","",INT((A1049-DATE(YEAR(A1049-WEEKDAY(A1049-1)+4),1,3)+WEEKDAY(DATE(YEAR(A1049-WEEKDAY(A1049-1)+4),1,3))+5)/7))</f>
        <v/>
      </c>
      <c r="D1049" s="21" t="n"/>
      <c r="E1049" s="22" t="n"/>
      <c r="F1049" s="23" t="n"/>
      <c r="G1049" s="23" t="n"/>
      <c r="H1049" s="23" t="n"/>
      <c r="I1049" s="20">
        <f>IF(COUNT(F1049:H1049)=0,"",SUM(F1049:H1049))</f>
        <v/>
      </c>
      <c r="J1049" s="23" t="n"/>
      <c r="K1049" s="23" t="n"/>
      <c r="L1049" s="23" t="n"/>
      <c r="M1049" s="23" t="n"/>
      <c r="N1049" s="23" t="n"/>
      <c r="O1049" s="20">
        <f>IF(OR(I1049="",COUNT(J1049:N1049)=0),"",IF(SUM(J1049:N1049)=I1049,"✓","⚠ "&amp;SUM(J1049:N1049)&amp;" statt "&amp;I1049))</f>
        <v/>
      </c>
      <c r="P1049" s="21" t="n"/>
      <c r="Q1049" s="21" t="n"/>
      <c r="R1049" s="21" t="n"/>
      <c r="S1049" s="24" t="n"/>
      <c r="T1049" s="24" t="n"/>
      <c r="V1049">
        <f>IF(A1049="","",MONTH(A1049))</f>
        <v/>
      </c>
      <c r="W1049">
        <f>N(W1048)+IF(AND(C1049&lt;&gt;"",T1049&lt;&gt;""),IF(C1049=WOCHE!$B$3,1,0),0)</f>
        <v/>
      </c>
      <c r="X1049">
        <f>N(X1048)+IF(AND(V1049&lt;&gt;"",T1049&lt;&gt;""),IF(V1049=MONAT!$AZ$3,1,0),0)</f>
        <v/>
      </c>
    </row>
    <row r="1050">
      <c r="A1050" s="19" t="n"/>
      <c r="B1050" s="20">
        <f>IF(A1050="","",CHOOSE(WEEKDAY(A1050,2),"Mo","Di","Mi","Do","Fr","Sa","So"))</f>
        <v/>
      </c>
      <c r="C1050" s="20">
        <f>IF(A1050="","",INT((A1050-DATE(YEAR(A1050-WEEKDAY(A1050-1)+4),1,3)+WEEKDAY(DATE(YEAR(A1050-WEEKDAY(A1050-1)+4),1,3))+5)/7))</f>
        <v/>
      </c>
      <c r="D1050" s="21" t="n"/>
      <c r="E1050" s="22" t="n"/>
      <c r="F1050" s="23" t="n"/>
      <c r="G1050" s="23" t="n"/>
      <c r="H1050" s="23" t="n"/>
      <c r="I1050" s="20">
        <f>IF(COUNT(F1050:H1050)=0,"",SUM(F1050:H1050))</f>
        <v/>
      </c>
      <c r="J1050" s="23" t="n"/>
      <c r="K1050" s="23" t="n"/>
      <c r="L1050" s="23" t="n"/>
      <c r="M1050" s="23" t="n"/>
      <c r="N1050" s="23" t="n"/>
      <c r="O1050" s="20">
        <f>IF(OR(I1050="",COUNT(J1050:N1050)=0),"",IF(SUM(J1050:N1050)=I1050,"✓","⚠ "&amp;SUM(J1050:N1050)&amp;" statt "&amp;I1050))</f>
        <v/>
      </c>
      <c r="P1050" s="21" t="n"/>
      <c r="Q1050" s="21" t="n"/>
      <c r="R1050" s="21" t="n"/>
      <c r="S1050" s="24" t="n"/>
      <c r="T1050" s="24" t="n"/>
      <c r="V1050">
        <f>IF(A1050="","",MONTH(A1050))</f>
        <v/>
      </c>
      <c r="W1050">
        <f>N(W1049)+IF(AND(C1050&lt;&gt;"",T1050&lt;&gt;""),IF(C1050=WOCHE!$B$3,1,0),0)</f>
        <v/>
      </c>
      <c r="X1050">
        <f>N(X1049)+IF(AND(V1050&lt;&gt;"",T1050&lt;&gt;""),IF(V1050=MONAT!$AZ$3,1,0),0)</f>
        <v/>
      </c>
    </row>
    <row r="1051">
      <c r="A1051" s="19" t="n"/>
      <c r="B1051" s="20">
        <f>IF(A1051="","",CHOOSE(WEEKDAY(A1051,2),"Mo","Di","Mi","Do","Fr","Sa","So"))</f>
        <v/>
      </c>
      <c r="C1051" s="20">
        <f>IF(A1051="","",INT((A1051-DATE(YEAR(A1051-WEEKDAY(A1051-1)+4),1,3)+WEEKDAY(DATE(YEAR(A1051-WEEKDAY(A1051-1)+4),1,3))+5)/7))</f>
        <v/>
      </c>
      <c r="D1051" s="21" t="n"/>
      <c r="E1051" s="22" t="n"/>
      <c r="F1051" s="23" t="n"/>
      <c r="G1051" s="23" t="n"/>
      <c r="H1051" s="23" t="n"/>
      <c r="I1051" s="20">
        <f>IF(COUNT(F1051:H1051)=0,"",SUM(F1051:H1051))</f>
        <v/>
      </c>
      <c r="J1051" s="23" t="n"/>
      <c r="K1051" s="23" t="n"/>
      <c r="L1051" s="23" t="n"/>
      <c r="M1051" s="23" t="n"/>
      <c r="N1051" s="23" t="n"/>
      <c r="O1051" s="20">
        <f>IF(OR(I1051="",COUNT(J1051:N1051)=0),"",IF(SUM(J1051:N1051)=I1051,"✓","⚠ "&amp;SUM(J1051:N1051)&amp;" statt "&amp;I1051))</f>
        <v/>
      </c>
      <c r="P1051" s="21" t="n"/>
      <c r="Q1051" s="21" t="n"/>
      <c r="R1051" s="21" t="n"/>
      <c r="S1051" s="24" t="n"/>
      <c r="T1051" s="24" t="n"/>
      <c r="V1051">
        <f>IF(A1051="","",MONTH(A1051))</f>
        <v/>
      </c>
      <c r="W1051">
        <f>N(W1050)+IF(AND(C1051&lt;&gt;"",T1051&lt;&gt;""),IF(C1051=WOCHE!$B$3,1,0),0)</f>
        <v/>
      </c>
      <c r="X1051">
        <f>N(X1050)+IF(AND(V1051&lt;&gt;"",T1051&lt;&gt;""),IF(V1051=MONAT!$AZ$3,1,0),0)</f>
        <v/>
      </c>
    </row>
    <row r="1052">
      <c r="A1052" s="19" t="n"/>
      <c r="B1052" s="20">
        <f>IF(A1052="","",CHOOSE(WEEKDAY(A1052,2),"Mo","Di","Mi","Do","Fr","Sa","So"))</f>
        <v/>
      </c>
      <c r="C1052" s="20">
        <f>IF(A1052="","",INT((A1052-DATE(YEAR(A1052-WEEKDAY(A1052-1)+4),1,3)+WEEKDAY(DATE(YEAR(A1052-WEEKDAY(A1052-1)+4),1,3))+5)/7))</f>
        <v/>
      </c>
      <c r="D1052" s="21" t="n"/>
      <c r="E1052" s="22" t="n"/>
      <c r="F1052" s="23" t="n"/>
      <c r="G1052" s="23" t="n"/>
      <c r="H1052" s="23" t="n"/>
      <c r="I1052" s="20">
        <f>IF(COUNT(F1052:H1052)=0,"",SUM(F1052:H1052))</f>
        <v/>
      </c>
      <c r="J1052" s="23" t="n"/>
      <c r="K1052" s="23" t="n"/>
      <c r="L1052" s="23" t="n"/>
      <c r="M1052" s="23" t="n"/>
      <c r="N1052" s="23" t="n"/>
      <c r="O1052" s="20">
        <f>IF(OR(I1052="",COUNT(J1052:N1052)=0),"",IF(SUM(J1052:N1052)=I1052,"✓","⚠ "&amp;SUM(J1052:N1052)&amp;" statt "&amp;I1052))</f>
        <v/>
      </c>
      <c r="P1052" s="21" t="n"/>
      <c r="Q1052" s="21" t="n"/>
      <c r="R1052" s="21" t="n"/>
      <c r="S1052" s="24" t="n"/>
      <c r="T1052" s="24" t="n"/>
      <c r="V1052">
        <f>IF(A1052="","",MONTH(A1052))</f>
        <v/>
      </c>
      <c r="W1052">
        <f>N(W1051)+IF(AND(C1052&lt;&gt;"",T1052&lt;&gt;""),IF(C1052=WOCHE!$B$3,1,0),0)</f>
        <v/>
      </c>
      <c r="X1052">
        <f>N(X1051)+IF(AND(V1052&lt;&gt;"",T1052&lt;&gt;""),IF(V1052=MONAT!$AZ$3,1,0),0)</f>
        <v/>
      </c>
    </row>
    <row r="1053">
      <c r="A1053" s="19" t="n"/>
      <c r="B1053" s="20">
        <f>IF(A1053="","",CHOOSE(WEEKDAY(A1053,2),"Mo","Di","Mi","Do","Fr","Sa","So"))</f>
        <v/>
      </c>
      <c r="C1053" s="20">
        <f>IF(A1053="","",INT((A1053-DATE(YEAR(A1053-WEEKDAY(A1053-1)+4),1,3)+WEEKDAY(DATE(YEAR(A1053-WEEKDAY(A1053-1)+4),1,3))+5)/7))</f>
        <v/>
      </c>
      <c r="D1053" s="21" t="n"/>
      <c r="E1053" s="22" t="n"/>
      <c r="F1053" s="23" t="n"/>
      <c r="G1053" s="23" t="n"/>
      <c r="H1053" s="23" t="n"/>
      <c r="I1053" s="20">
        <f>IF(COUNT(F1053:H1053)=0,"",SUM(F1053:H1053))</f>
        <v/>
      </c>
      <c r="J1053" s="23" t="n"/>
      <c r="K1053" s="23" t="n"/>
      <c r="L1053" s="23" t="n"/>
      <c r="M1053" s="23" t="n"/>
      <c r="N1053" s="23" t="n"/>
      <c r="O1053" s="20">
        <f>IF(OR(I1053="",COUNT(J1053:N1053)=0),"",IF(SUM(J1053:N1053)=I1053,"✓","⚠ "&amp;SUM(J1053:N1053)&amp;" statt "&amp;I1053))</f>
        <v/>
      </c>
      <c r="P1053" s="21" t="n"/>
      <c r="Q1053" s="21" t="n"/>
      <c r="R1053" s="21" t="n"/>
      <c r="S1053" s="24" t="n"/>
      <c r="T1053" s="24" t="n"/>
      <c r="V1053">
        <f>IF(A1053="","",MONTH(A1053))</f>
        <v/>
      </c>
      <c r="W1053">
        <f>N(W1052)+IF(AND(C1053&lt;&gt;"",T1053&lt;&gt;""),IF(C1053=WOCHE!$B$3,1,0),0)</f>
        <v/>
      </c>
      <c r="X1053">
        <f>N(X1052)+IF(AND(V1053&lt;&gt;"",T1053&lt;&gt;""),IF(V1053=MONAT!$AZ$3,1,0),0)</f>
        <v/>
      </c>
    </row>
    <row r="1054">
      <c r="A1054" s="19" t="n"/>
      <c r="B1054" s="20">
        <f>IF(A1054="","",CHOOSE(WEEKDAY(A1054,2),"Mo","Di","Mi","Do","Fr","Sa","So"))</f>
        <v/>
      </c>
      <c r="C1054" s="20">
        <f>IF(A1054="","",INT((A1054-DATE(YEAR(A1054-WEEKDAY(A1054-1)+4),1,3)+WEEKDAY(DATE(YEAR(A1054-WEEKDAY(A1054-1)+4),1,3))+5)/7))</f>
        <v/>
      </c>
      <c r="D1054" s="21" t="n"/>
      <c r="E1054" s="22" t="n"/>
      <c r="F1054" s="23" t="n"/>
      <c r="G1054" s="23" t="n"/>
      <c r="H1054" s="23" t="n"/>
      <c r="I1054" s="20">
        <f>IF(COUNT(F1054:H1054)=0,"",SUM(F1054:H1054))</f>
        <v/>
      </c>
      <c r="J1054" s="23" t="n"/>
      <c r="K1054" s="23" t="n"/>
      <c r="L1054" s="23" t="n"/>
      <c r="M1054" s="23" t="n"/>
      <c r="N1054" s="23" t="n"/>
      <c r="O1054" s="20">
        <f>IF(OR(I1054="",COUNT(J1054:N1054)=0),"",IF(SUM(J1054:N1054)=I1054,"✓","⚠ "&amp;SUM(J1054:N1054)&amp;" statt "&amp;I1054))</f>
        <v/>
      </c>
      <c r="P1054" s="21" t="n"/>
      <c r="Q1054" s="21" t="n"/>
      <c r="R1054" s="21" t="n"/>
      <c r="S1054" s="24" t="n"/>
      <c r="T1054" s="24" t="n"/>
      <c r="V1054">
        <f>IF(A1054="","",MONTH(A1054))</f>
        <v/>
      </c>
      <c r="W1054">
        <f>N(W1053)+IF(AND(C1054&lt;&gt;"",T1054&lt;&gt;""),IF(C1054=WOCHE!$B$3,1,0),0)</f>
        <v/>
      </c>
      <c r="X1054">
        <f>N(X1053)+IF(AND(V1054&lt;&gt;"",T1054&lt;&gt;""),IF(V1054=MONAT!$AZ$3,1,0),0)</f>
        <v/>
      </c>
    </row>
    <row r="1055">
      <c r="A1055" s="19" t="n"/>
      <c r="B1055" s="20">
        <f>IF(A1055="","",CHOOSE(WEEKDAY(A1055,2),"Mo","Di","Mi","Do","Fr","Sa","So"))</f>
        <v/>
      </c>
      <c r="C1055" s="20">
        <f>IF(A1055="","",INT((A1055-DATE(YEAR(A1055-WEEKDAY(A1055-1)+4),1,3)+WEEKDAY(DATE(YEAR(A1055-WEEKDAY(A1055-1)+4),1,3))+5)/7))</f>
        <v/>
      </c>
      <c r="D1055" s="21" t="n"/>
      <c r="E1055" s="22" t="n"/>
      <c r="F1055" s="23" t="n"/>
      <c r="G1055" s="23" t="n"/>
      <c r="H1055" s="23" t="n"/>
      <c r="I1055" s="20">
        <f>IF(COUNT(F1055:H1055)=0,"",SUM(F1055:H1055))</f>
        <v/>
      </c>
      <c r="J1055" s="23" t="n"/>
      <c r="K1055" s="23" t="n"/>
      <c r="L1055" s="23" t="n"/>
      <c r="M1055" s="23" t="n"/>
      <c r="N1055" s="23" t="n"/>
      <c r="O1055" s="20">
        <f>IF(OR(I1055="",COUNT(J1055:N1055)=0),"",IF(SUM(J1055:N1055)=I1055,"✓","⚠ "&amp;SUM(J1055:N1055)&amp;" statt "&amp;I1055))</f>
        <v/>
      </c>
      <c r="P1055" s="21" t="n"/>
      <c r="Q1055" s="21" t="n"/>
      <c r="R1055" s="21" t="n"/>
      <c r="S1055" s="24" t="n"/>
      <c r="T1055" s="24" t="n"/>
      <c r="V1055">
        <f>IF(A1055="","",MONTH(A1055))</f>
        <v/>
      </c>
      <c r="W1055">
        <f>N(W1054)+IF(AND(C1055&lt;&gt;"",T1055&lt;&gt;""),IF(C1055=WOCHE!$B$3,1,0),0)</f>
        <v/>
      </c>
      <c r="X1055">
        <f>N(X1054)+IF(AND(V1055&lt;&gt;"",T1055&lt;&gt;""),IF(V1055=MONAT!$AZ$3,1,0),0)</f>
        <v/>
      </c>
    </row>
    <row r="1056">
      <c r="A1056" s="19" t="n"/>
      <c r="B1056" s="20">
        <f>IF(A1056="","",CHOOSE(WEEKDAY(A1056,2),"Mo","Di","Mi","Do","Fr","Sa","So"))</f>
        <v/>
      </c>
      <c r="C1056" s="20">
        <f>IF(A1056="","",INT((A1056-DATE(YEAR(A1056-WEEKDAY(A1056-1)+4),1,3)+WEEKDAY(DATE(YEAR(A1056-WEEKDAY(A1056-1)+4),1,3))+5)/7))</f>
        <v/>
      </c>
      <c r="D1056" s="21" t="n"/>
      <c r="E1056" s="22" t="n"/>
      <c r="F1056" s="23" t="n"/>
      <c r="G1056" s="23" t="n"/>
      <c r="H1056" s="23" t="n"/>
      <c r="I1056" s="20">
        <f>IF(COUNT(F1056:H1056)=0,"",SUM(F1056:H1056))</f>
        <v/>
      </c>
      <c r="J1056" s="23" t="n"/>
      <c r="K1056" s="23" t="n"/>
      <c r="L1056" s="23" t="n"/>
      <c r="M1056" s="23" t="n"/>
      <c r="N1056" s="23" t="n"/>
      <c r="O1056" s="20">
        <f>IF(OR(I1056="",COUNT(J1056:N1056)=0),"",IF(SUM(J1056:N1056)=I1056,"✓","⚠ "&amp;SUM(J1056:N1056)&amp;" statt "&amp;I1056))</f>
        <v/>
      </c>
      <c r="P1056" s="21" t="n"/>
      <c r="Q1056" s="21" t="n"/>
      <c r="R1056" s="21" t="n"/>
      <c r="S1056" s="24" t="n"/>
      <c r="T1056" s="24" t="n"/>
      <c r="V1056">
        <f>IF(A1056="","",MONTH(A1056))</f>
        <v/>
      </c>
      <c r="W1056">
        <f>N(W1055)+IF(AND(C1056&lt;&gt;"",T1056&lt;&gt;""),IF(C1056=WOCHE!$B$3,1,0),0)</f>
        <v/>
      </c>
      <c r="X1056">
        <f>N(X1055)+IF(AND(V1056&lt;&gt;"",T1056&lt;&gt;""),IF(V1056=MONAT!$AZ$3,1,0),0)</f>
        <v/>
      </c>
    </row>
    <row r="1057">
      <c r="A1057" s="19" t="n"/>
      <c r="B1057" s="20">
        <f>IF(A1057="","",CHOOSE(WEEKDAY(A1057,2),"Mo","Di","Mi","Do","Fr","Sa","So"))</f>
        <v/>
      </c>
      <c r="C1057" s="20">
        <f>IF(A1057="","",INT((A1057-DATE(YEAR(A1057-WEEKDAY(A1057-1)+4),1,3)+WEEKDAY(DATE(YEAR(A1057-WEEKDAY(A1057-1)+4),1,3))+5)/7))</f>
        <v/>
      </c>
      <c r="D1057" s="21" t="n"/>
      <c r="E1057" s="22" t="n"/>
      <c r="F1057" s="23" t="n"/>
      <c r="G1057" s="23" t="n"/>
      <c r="H1057" s="23" t="n"/>
      <c r="I1057" s="20">
        <f>IF(COUNT(F1057:H1057)=0,"",SUM(F1057:H1057))</f>
        <v/>
      </c>
      <c r="J1057" s="23" t="n"/>
      <c r="K1057" s="23" t="n"/>
      <c r="L1057" s="23" t="n"/>
      <c r="M1057" s="23" t="n"/>
      <c r="N1057" s="23" t="n"/>
      <c r="O1057" s="20">
        <f>IF(OR(I1057="",COUNT(J1057:N1057)=0),"",IF(SUM(J1057:N1057)=I1057,"✓","⚠ "&amp;SUM(J1057:N1057)&amp;" statt "&amp;I1057))</f>
        <v/>
      </c>
      <c r="P1057" s="21" t="n"/>
      <c r="Q1057" s="21" t="n"/>
      <c r="R1057" s="21" t="n"/>
      <c r="S1057" s="24" t="n"/>
      <c r="T1057" s="24" t="n"/>
      <c r="V1057">
        <f>IF(A1057="","",MONTH(A1057))</f>
        <v/>
      </c>
      <c r="W1057">
        <f>N(W1056)+IF(AND(C1057&lt;&gt;"",T1057&lt;&gt;""),IF(C1057=WOCHE!$B$3,1,0),0)</f>
        <v/>
      </c>
      <c r="X1057">
        <f>N(X1056)+IF(AND(V1057&lt;&gt;"",T1057&lt;&gt;""),IF(V1057=MONAT!$AZ$3,1,0),0)</f>
        <v/>
      </c>
    </row>
    <row r="1058">
      <c r="A1058" s="19" t="n"/>
      <c r="B1058" s="20">
        <f>IF(A1058="","",CHOOSE(WEEKDAY(A1058,2),"Mo","Di","Mi","Do","Fr","Sa","So"))</f>
        <v/>
      </c>
      <c r="C1058" s="20">
        <f>IF(A1058="","",INT((A1058-DATE(YEAR(A1058-WEEKDAY(A1058-1)+4),1,3)+WEEKDAY(DATE(YEAR(A1058-WEEKDAY(A1058-1)+4),1,3))+5)/7))</f>
        <v/>
      </c>
      <c r="D1058" s="21" t="n"/>
      <c r="E1058" s="22" t="n"/>
      <c r="F1058" s="23" t="n"/>
      <c r="G1058" s="23" t="n"/>
      <c r="H1058" s="23" t="n"/>
      <c r="I1058" s="20">
        <f>IF(COUNT(F1058:H1058)=0,"",SUM(F1058:H1058))</f>
        <v/>
      </c>
      <c r="J1058" s="23" t="n"/>
      <c r="K1058" s="23" t="n"/>
      <c r="L1058" s="23" t="n"/>
      <c r="M1058" s="23" t="n"/>
      <c r="N1058" s="23" t="n"/>
      <c r="O1058" s="20">
        <f>IF(OR(I1058="",COUNT(J1058:N1058)=0),"",IF(SUM(J1058:N1058)=I1058,"✓","⚠ "&amp;SUM(J1058:N1058)&amp;" statt "&amp;I1058))</f>
        <v/>
      </c>
      <c r="P1058" s="21" t="n"/>
      <c r="Q1058" s="21" t="n"/>
      <c r="R1058" s="21" t="n"/>
      <c r="S1058" s="24" t="n"/>
      <c r="T1058" s="24" t="n"/>
      <c r="V1058">
        <f>IF(A1058="","",MONTH(A1058))</f>
        <v/>
      </c>
      <c r="W1058">
        <f>N(W1057)+IF(AND(C1058&lt;&gt;"",T1058&lt;&gt;""),IF(C1058=WOCHE!$B$3,1,0),0)</f>
        <v/>
      </c>
      <c r="X1058">
        <f>N(X1057)+IF(AND(V1058&lt;&gt;"",T1058&lt;&gt;""),IF(V1058=MONAT!$AZ$3,1,0),0)</f>
        <v/>
      </c>
    </row>
    <row r="1059">
      <c r="A1059" s="19" t="n"/>
      <c r="B1059" s="20">
        <f>IF(A1059="","",CHOOSE(WEEKDAY(A1059,2),"Mo","Di","Mi","Do","Fr","Sa","So"))</f>
        <v/>
      </c>
      <c r="C1059" s="20">
        <f>IF(A1059="","",INT((A1059-DATE(YEAR(A1059-WEEKDAY(A1059-1)+4),1,3)+WEEKDAY(DATE(YEAR(A1059-WEEKDAY(A1059-1)+4),1,3))+5)/7))</f>
        <v/>
      </c>
      <c r="D1059" s="21" t="n"/>
      <c r="E1059" s="22" t="n"/>
      <c r="F1059" s="23" t="n"/>
      <c r="G1059" s="23" t="n"/>
      <c r="H1059" s="23" t="n"/>
      <c r="I1059" s="20">
        <f>IF(COUNT(F1059:H1059)=0,"",SUM(F1059:H1059))</f>
        <v/>
      </c>
      <c r="J1059" s="23" t="n"/>
      <c r="K1059" s="23" t="n"/>
      <c r="L1059" s="23" t="n"/>
      <c r="M1059" s="23" t="n"/>
      <c r="N1059" s="23" t="n"/>
      <c r="O1059" s="20">
        <f>IF(OR(I1059="",COUNT(J1059:N1059)=0),"",IF(SUM(J1059:N1059)=I1059,"✓","⚠ "&amp;SUM(J1059:N1059)&amp;" statt "&amp;I1059))</f>
        <v/>
      </c>
      <c r="P1059" s="21" t="n"/>
      <c r="Q1059" s="21" t="n"/>
      <c r="R1059" s="21" t="n"/>
      <c r="S1059" s="24" t="n"/>
      <c r="T1059" s="24" t="n"/>
      <c r="V1059">
        <f>IF(A1059="","",MONTH(A1059))</f>
        <v/>
      </c>
      <c r="W1059">
        <f>N(W1058)+IF(AND(C1059&lt;&gt;"",T1059&lt;&gt;""),IF(C1059=WOCHE!$B$3,1,0),0)</f>
        <v/>
      </c>
      <c r="X1059">
        <f>N(X1058)+IF(AND(V1059&lt;&gt;"",T1059&lt;&gt;""),IF(V1059=MONAT!$AZ$3,1,0),0)</f>
        <v/>
      </c>
    </row>
    <row r="1060">
      <c r="A1060" s="19" t="n"/>
      <c r="B1060" s="20">
        <f>IF(A1060="","",CHOOSE(WEEKDAY(A1060,2),"Mo","Di","Mi","Do","Fr","Sa","So"))</f>
        <v/>
      </c>
      <c r="C1060" s="20">
        <f>IF(A1060="","",INT((A1060-DATE(YEAR(A1060-WEEKDAY(A1060-1)+4),1,3)+WEEKDAY(DATE(YEAR(A1060-WEEKDAY(A1060-1)+4),1,3))+5)/7))</f>
        <v/>
      </c>
      <c r="D1060" s="21" t="n"/>
      <c r="E1060" s="22" t="n"/>
      <c r="F1060" s="23" t="n"/>
      <c r="G1060" s="23" t="n"/>
      <c r="H1060" s="23" t="n"/>
      <c r="I1060" s="20">
        <f>IF(COUNT(F1060:H1060)=0,"",SUM(F1060:H1060))</f>
        <v/>
      </c>
      <c r="J1060" s="23" t="n"/>
      <c r="K1060" s="23" t="n"/>
      <c r="L1060" s="23" t="n"/>
      <c r="M1060" s="23" t="n"/>
      <c r="N1060" s="23" t="n"/>
      <c r="O1060" s="20">
        <f>IF(OR(I1060="",COUNT(J1060:N1060)=0),"",IF(SUM(J1060:N1060)=I1060,"✓","⚠ "&amp;SUM(J1060:N1060)&amp;" statt "&amp;I1060))</f>
        <v/>
      </c>
      <c r="P1060" s="21" t="n"/>
      <c r="Q1060" s="21" t="n"/>
      <c r="R1060" s="21" t="n"/>
      <c r="S1060" s="24" t="n"/>
      <c r="T1060" s="24" t="n"/>
      <c r="V1060">
        <f>IF(A1060="","",MONTH(A1060))</f>
        <v/>
      </c>
      <c r="W1060">
        <f>N(W1059)+IF(AND(C1060&lt;&gt;"",T1060&lt;&gt;""),IF(C1060=WOCHE!$B$3,1,0),0)</f>
        <v/>
      </c>
      <c r="X1060">
        <f>N(X1059)+IF(AND(V1060&lt;&gt;"",T1060&lt;&gt;""),IF(V1060=MONAT!$AZ$3,1,0),0)</f>
        <v/>
      </c>
    </row>
    <row r="1061">
      <c r="A1061" s="19" t="n"/>
      <c r="B1061" s="20">
        <f>IF(A1061="","",CHOOSE(WEEKDAY(A1061,2),"Mo","Di","Mi","Do","Fr","Sa","So"))</f>
        <v/>
      </c>
      <c r="C1061" s="20">
        <f>IF(A1061="","",INT((A1061-DATE(YEAR(A1061-WEEKDAY(A1061-1)+4),1,3)+WEEKDAY(DATE(YEAR(A1061-WEEKDAY(A1061-1)+4),1,3))+5)/7))</f>
        <v/>
      </c>
      <c r="D1061" s="21" t="n"/>
      <c r="E1061" s="22" t="n"/>
      <c r="F1061" s="23" t="n"/>
      <c r="G1061" s="23" t="n"/>
      <c r="H1061" s="23" t="n"/>
      <c r="I1061" s="20">
        <f>IF(COUNT(F1061:H1061)=0,"",SUM(F1061:H1061))</f>
        <v/>
      </c>
      <c r="J1061" s="23" t="n"/>
      <c r="K1061" s="23" t="n"/>
      <c r="L1061" s="23" t="n"/>
      <c r="M1061" s="23" t="n"/>
      <c r="N1061" s="23" t="n"/>
      <c r="O1061" s="20">
        <f>IF(OR(I1061="",COUNT(J1061:N1061)=0),"",IF(SUM(J1061:N1061)=I1061,"✓","⚠ "&amp;SUM(J1061:N1061)&amp;" statt "&amp;I1061))</f>
        <v/>
      </c>
      <c r="P1061" s="21" t="n"/>
      <c r="Q1061" s="21" t="n"/>
      <c r="R1061" s="21" t="n"/>
      <c r="S1061" s="24" t="n"/>
      <c r="T1061" s="24" t="n"/>
      <c r="V1061">
        <f>IF(A1061="","",MONTH(A1061))</f>
        <v/>
      </c>
      <c r="W1061">
        <f>N(W1060)+IF(AND(C1061&lt;&gt;"",T1061&lt;&gt;""),IF(C1061=WOCHE!$B$3,1,0),0)</f>
        <v/>
      </c>
      <c r="X1061">
        <f>N(X1060)+IF(AND(V1061&lt;&gt;"",T1061&lt;&gt;""),IF(V1061=MONAT!$AZ$3,1,0),0)</f>
        <v/>
      </c>
    </row>
    <row r="1062">
      <c r="A1062" s="19" t="n"/>
      <c r="B1062" s="20">
        <f>IF(A1062="","",CHOOSE(WEEKDAY(A1062,2),"Mo","Di","Mi","Do","Fr","Sa","So"))</f>
        <v/>
      </c>
      <c r="C1062" s="20">
        <f>IF(A1062="","",INT((A1062-DATE(YEAR(A1062-WEEKDAY(A1062-1)+4),1,3)+WEEKDAY(DATE(YEAR(A1062-WEEKDAY(A1062-1)+4),1,3))+5)/7))</f>
        <v/>
      </c>
      <c r="D1062" s="21" t="n"/>
      <c r="E1062" s="22" t="n"/>
      <c r="F1062" s="23" t="n"/>
      <c r="G1062" s="23" t="n"/>
      <c r="H1062" s="23" t="n"/>
      <c r="I1062" s="20">
        <f>IF(COUNT(F1062:H1062)=0,"",SUM(F1062:H1062))</f>
        <v/>
      </c>
      <c r="J1062" s="23" t="n"/>
      <c r="K1062" s="23" t="n"/>
      <c r="L1062" s="23" t="n"/>
      <c r="M1062" s="23" t="n"/>
      <c r="N1062" s="23" t="n"/>
      <c r="O1062" s="20">
        <f>IF(OR(I1062="",COUNT(J1062:N1062)=0),"",IF(SUM(J1062:N1062)=I1062,"✓","⚠ "&amp;SUM(J1062:N1062)&amp;" statt "&amp;I1062))</f>
        <v/>
      </c>
      <c r="P1062" s="21" t="n"/>
      <c r="Q1062" s="21" t="n"/>
      <c r="R1062" s="21" t="n"/>
      <c r="S1062" s="24" t="n"/>
      <c r="T1062" s="24" t="n"/>
      <c r="V1062">
        <f>IF(A1062="","",MONTH(A1062))</f>
        <v/>
      </c>
      <c r="W1062">
        <f>N(W1061)+IF(AND(C1062&lt;&gt;"",T1062&lt;&gt;""),IF(C1062=WOCHE!$B$3,1,0),0)</f>
        <v/>
      </c>
      <c r="X1062">
        <f>N(X1061)+IF(AND(V1062&lt;&gt;"",T1062&lt;&gt;""),IF(V1062=MONAT!$AZ$3,1,0),0)</f>
        <v/>
      </c>
    </row>
    <row r="1063">
      <c r="A1063" s="19" t="n"/>
      <c r="B1063" s="20">
        <f>IF(A1063="","",CHOOSE(WEEKDAY(A1063,2),"Mo","Di","Mi","Do","Fr","Sa","So"))</f>
        <v/>
      </c>
      <c r="C1063" s="20">
        <f>IF(A1063="","",INT((A1063-DATE(YEAR(A1063-WEEKDAY(A1063-1)+4),1,3)+WEEKDAY(DATE(YEAR(A1063-WEEKDAY(A1063-1)+4),1,3))+5)/7))</f>
        <v/>
      </c>
      <c r="D1063" s="21" t="n"/>
      <c r="E1063" s="22" t="n"/>
      <c r="F1063" s="23" t="n"/>
      <c r="G1063" s="23" t="n"/>
      <c r="H1063" s="23" t="n"/>
      <c r="I1063" s="20">
        <f>IF(COUNT(F1063:H1063)=0,"",SUM(F1063:H1063))</f>
        <v/>
      </c>
      <c r="J1063" s="23" t="n"/>
      <c r="K1063" s="23" t="n"/>
      <c r="L1063" s="23" t="n"/>
      <c r="M1063" s="23" t="n"/>
      <c r="N1063" s="23" t="n"/>
      <c r="O1063" s="20">
        <f>IF(OR(I1063="",COUNT(J1063:N1063)=0),"",IF(SUM(J1063:N1063)=I1063,"✓","⚠ "&amp;SUM(J1063:N1063)&amp;" statt "&amp;I1063))</f>
        <v/>
      </c>
      <c r="P1063" s="21" t="n"/>
      <c r="Q1063" s="21" t="n"/>
      <c r="R1063" s="21" t="n"/>
      <c r="S1063" s="24" t="n"/>
      <c r="T1063" s="24" t="n"/>
      <c r="V1063">
        <f>IF(A1063="","",MONTH(A1063))</f>
        <v/>
      </c>
      <c r="W1063">
        <f>N(W1062)+IF(AND(C1063&lt;&gt;"",T1063&lt;&gt;""),IF(C1063=WOCHE!$B$3,1,0),0)</f>
        <v/>
      </c>
      <c r="X1063">
        <f>N(X1062)+IF(AND(V1063&lt;&gt;"",T1063&lt;&gt;""),IF(V1063=MONAT!$AZ$3,1,0),0)</f>
        <v/>
      </c>
    </row>
    <row r="1064">
      <c r="A1064" s="19" t="n"/>
      <c r="B1064" s="20">
        <f>IF(A1064="","",CHOOSE(WEEKDAY(A1064,2),"Mo","Di","Mi","Do","Fr","Sa","So"))</f>
        <v/>
      </c>
      <c r="C1064" s="20">
        <f>IF(A1064="","",INT((A1064-DATE(YEAR(A1064-WEEKDAY(A1064-1)+4),1,3)+WEEKDAY(DATE(YEAR(A1064-WEEKDAY(A1064-1)+4),1,3))+5)/7))</f>
        <v/>
      </c>
      <c r="D1064" s="21" t="n"/>
      <c r="E1064" s="22" t="n"/>
      <c r="F1064" s="23" t="n"/>
      <c r="G1064" s="23" t="n"/>
      <c r="H1064" s="23" t="n"/>
      <c r="I1064" s="20">
        <f>IF(COUNT(F1064:H1064)=0,"",SUM(F1064:H1064))</f>
        <v/>
      </c>
      <c r="J1064" s="23" t="n"/>
      <c r="K1064" s="23" t="n"/>
      <c r="L1064" s="23" t="n"/>
      <c r="M1064" s="23" t="n"/>
      <c r="N1064" s="23" t="n"/>
      <c r="O1064" s="20">
        <f>IF(OR(I1064="",COUNT(J1064:N1064)=0),"",IF(SUM(J1064:N1064)=I1064,"✓","⚠ "&amp;SUM(J1064:N1064)&amp;" statt "&amp;I1064))</f>
        <v/>
      </c>
      <c r="P1064" s="21" t="n"/>
      <c r="Q1064" s="21" t="n"/>
      <c r="R1064" s="21" t="n"/>
      <c r="S1064" s="24" t="n"/>
      <c r="T1064" s="24" t="n"/>
      <c r="V1064">
        <f>IF(A1064="","",MONTH(A1064))</f>
        <v/>
      </c>
      <c r="W1064">
        <f>N(W1063)+IF(AND(C1064&lt;&gt;"",T1064&lt;&gt;""),IF(C1064=WOCHE!$B$3,1,0),0)</f>
        <v/>
      </c>
      <c r="X1064">
        <f>N(X1063)+IF(AND(V1064&lt;&gt;"",T1064&lt;&gt;""),IF(V1064=MONAT!$AZ$3,1,0),0)</f>
        <v/>
      </c>
    </row>
    <row r="1065">
      <c r="A1065" s="19" t="n"/>
      <c r="B1065" s="20">
        <f>IF(A1065="","",CHOOSE(WEEKDAY(A1065,2),"Mo","Di","Mi","Do","Fr","Sa","So"))</f>
        <v/>
      </c>
      <c r="C1065" s="20">
        <f>IF(A1065="","",INT((A1065-DATE(YEAR(A1065-WEEKDAY(A1065-1)+4),1,3)+WEEKDAY(DATE(YEAR(A1065-WEEKDAY(A1065-1)+4),1,3))+5)/7))</f>
        <v/>
      </c>
      <c r="D1065" s="21" t="n"/>
      <c r="E1065" s="22" t="n"/>
      <c r="F1065" s="23" t="n"/>
      <c r="G1065" s="23" t="n"/>
      <c r="H1065" s="23" t="n"/>
      <c r="I1065" s="20">
        <f>IF(COUNT(F1065:H1065)=0,"",SUM(F1065:H1065))</f>
        <v/>
      </c>
      <c r="J1065" s="23" t="n"/>
      <c r="K1065" s="23" t="n"/>
      <c r="L1065" s="23" t="n"/>
      <c r="M1065" s="23" t="n"/>
      <c r="N1065" s="23" t="n"/>
      <c r="O1065" s="20">
        <f>IF(OR(I1065="",COUNT(J1065:N1065)=0),"",IF(SUM(J1065:N1065)=I1065,"✓","⚠ "&amp;SUM(J1065:N1065)&amp;" statt "&amp;I1065))</f>
        <v/>
      </c>
      <c r="P1065" s="21" t="n"/>
      <c r="Q1065" s="21" t="n"/>
      <c r="R1065" s="21" t="n"/>
      <c r="S1065" s="24" t="n"/>
      <c r="T1065" s="24" t="n"/>
      <c r="V1065">
        <f>IF(A1065="","",MONTH(A1065))</f>
        <v/>
      </c>
      <c r="W1065">
        <f>N(W1064)+IF(AND(C1065&lt;&gt;"",T1065&lt;&gt;""),IF(C1065=WOCHE!$B$3,1,0),0)</f>
        <v/>
      </c>
      <c r="X1065">
        <f>N(X1064)+IF(AND(V1065&lt;&gt;"",T1065&lt;&gt;""),IF(V1065=MONAT!$AZ$3,1,0),0)</f>
        <v/>
      </c>
    </row>
    <row r="1066">
      <c r="A1066" s="19" t="n"/>
      <c r="B1066" s="20">
        <f>IF(A1066="","",CHOOSE(WEEKDAY(A1066,2),"Mo","Di","Mi","Do","Fr","Sa","So"))</f>
        <v/>
      </c>
      <c r="C1066" s="20">
        <f>IF(A1066="","",INT((A1066-DATE(YEAR(A1066-WEEKDAY(A1066-1)+4),1,3)+WEEKDAY(DATE(YEAR(A1066-WEEKDAY(A1066-1)+4),1,3))+5)/7))</f>
        <v/>
      </c>
      <c r="D1066" s="21" t="n"/>
      <c r="E1066" s="22" t="n"/>
      <c r="F1066" s="23" t="n"/>
      <c r="G1066" s="23" t="n"/>
      <c r="H1066" s="23" t="n"/>
      <c r="I1066" s="20">
        <f>IF(COUNT(F1066:H1066)=0,"",SUM(F1066:H1066))</f>
        <v/>
      </c>
      <c r="J1066" s="23" t="n"/>
      <c r="K1066" s="23" t="n"/>
      <c r="L1066" s="23" t="n"/>
      <c r="M1066" s="23" t="n"/>
      <c r="N1066" s="23" t="n"/>
      <c r="O1066" s="20">
        <f>IF(OR(I1066="",COUNT(J1066:N1066)=0),"",IF(SUM(J1066:N1066)=I1066,"✓","⚠ "&amp;SUM(J1066:N1066)&amp;" statt "&amp;I1066))</f>
        <v/>
      </c>
      <c r="P1066" s="21" t="n"/>
      <c r="Q1066" s="21" t="n"/>
      <c r="R1066" s="21" t="n"/>
      <c r="S1066" s="24" t="n"/>
      <c r="T1066" s="24" t="n"/>
      <c r="V1066">
        <f>IF(A1066="","",MONTH(A1066))</f>
        <v/>
      </c>
      <c r="W1066">
        <f>N(W1065)+IF(AND(C1066&lt;&gt;"",T1066&lt;&gt;""),IF(C1066=WOCHE!$B$3,1,0),0)</f>
        <v/>
      </c>
      <c r="X1066">
        <f>N(X1065)+IF(AND(V1066&lt;&gt;"",T1066&lt;&gt;""),IF(V1066=MONAT!$AZ$3,1,0),0)</f>
        <v/>
      </c>
    </row>
    <row r="1067">
      <c r="A1067" s="19" t="n"/>
      <c r="B1067" s="20">
        <f>IF(A1067="","",CHOOSE(WEEKDAY(A1067,2),"Mo","Di","Mi","Do","Fr","Sa","So"))</f>
        <v/>
      </c>
      <c r="C1067" s="20">
        <f>IF(A1067="","",INT((A1067-DATE(YEAR(A1067-WEEKDAY(A1067-1)+4),1,3)+WEEKDAY(DATE(YEAR(A1067-WEEKDAY(A1067-1)+4),1,3))+5)/7))</f>
        <v/>
      </c>
      <c r="D1067" s="21" t="n"/>
      <c r="E1067" s="22" t="n"/>
      <c r="F1067" s="23" t="n"/>
      <c r="G1067" s="23" t="n"/>
      <c r="H1067" s="23" t="n"/>
      <c r="I1067" s="20">
        <f>IF(COUNT(F1067:H1067)=0,"",SUM(F1067:H1067))</f>
        <v/>
      </c>
      <c r="J1067" s="23" t="n"/>
      <c r="K1067" s="23" t="n"/>
      <c r="L1067" s="23" t="n"/>
      <c r="M1067" s="23" t="n"/>
      <c r="N1067" s="23" t="n"/>
      <c r="O1067" s="20">
        <f>IF(OR(I1067="",COUNT(J1067:N1067)=0),"",IF(SUM(J1067:N1067)=I1067,"✓","⚠ "&amp;SUM(J1067:N1067)&amp;" statt "&amp;I1067))</f>
        <v/>
      </c>
      <c r="P1067" s="21" t="n"/>
      <c r="Q1067" s="21" t="n"/>
      <c r="R1067" s="21" t="n"/>
      <c r="S1067" s="24" t="n"/>
      <c r="T1067" s="24" t="n"/>
      <c r="V1067">
        <f>IF(A1067="","",MONTH(A1067))</f>
        <v/>
      </c>
      <c r="W1067">
        <f>N(W1066)+IF(AND(C1067&lt;&gt;"",T1067&lt;&gt;""),IF(C1067=WOCHE!$B$3,1,0),0)</f>
        <v/>
      </c>
      <c r="X1067">
        <f>N(X1066)+IF(AND(V1067&lt;&gt;"",T1067&lt;&gt;""),IF(V1067=MONAT!$AZ$3,1,0),0)</f>
        <v/>
      </c>
    </row>
    <row r="1068">
      <c r="A1068" s="19" t="n"/>
      <c r="B1068" s="20">
        <f>IF(A1068="","",CHOOSE(WEEKDAY(A1068,2),"Mo","Di","Mi","Do","Fr","Sa","So"))</f>
        <v/>
      </c>
      <c r="C1068" s="20">
        <f>IF(A1068="","",INT((A1068-DATE(YEAR(A1068-WEEKDAY(A1068-1)+4),1,3)+WEEKDAY(DATE(YEAR(A1068-WEEKDAY(A1068-1)+4),1,3))+5)/7))</f>
        <v/>
      </c>
      <c r="D1068" s="21" t="n"/>
      <c r="E1068" s="22" t="n"/>
      <c r="F1068" s="23" t="n"/>
      <c r="G1068" s="23" t="n"/>
      <c r="H1068" s="23" t="n"/>
      <c r="I1068" s="20">
        <f>IF(COUNT(F1068:H1068)=0,"",SUM(F1068:H1068))</f>
        <v/>
      </c>
      <c r="J1068" s="23" t="n"/>
      <c r="K1068" s="23" t="n"/>
      <c r="L1068" s="23" t="n"/>
      <c r="M1068" s="23" t="n"/>
      <c r="N1068" s="23" t="n"/>
      <c r="O1068" s="20">
        <f>IF(OR(I1068="",COUNT(J1068:N1068)=0),"",IF(SUM(J1068:N1068)=I1068,"✓","⚠ "&amp;SUM(J1068:N1068)&amp;" statt "&amp;I1068))</f>
        <v/>
      </c>
      <c r="P1068" s="21" t="n"/>
      <c r="Q1068" s="21" t="n"/>
      <c r="R1068" s="21" t="n"/>
      <c r="S1068" s="24" t="n"/>
      <c r="T1068" s="24" t="n"/>
      <c r="V1068">
        <f>IF(A1068="","",MONTH(A1068))</f>
        <v/>
      </c>
      <c r="W1068">
        <f>N(W1067)+IF(AND(C1068&lt;&gt;"",T1068&lt;&gt;""),IF(C1068=WOCHE!$B$3,1,0),0)</f>
        <v/>
      </c>
      <c r="X1068">
        <f>N(X1067)+IF(AND(V1068&lt;&gt;"",T1068&lt;&gt;""),IF(V1068=MONAT!$AZ$3,1,0),0)</f>
        <v/>
      </c>
    </row>
    <row r="1069">
      <c r="A1069" s="19" t="n"/>
      <c r="B1069" s="20">
        <f>IF(A1069="","",CHOOSE(WEEKDAY(A1069,2),"Mo","Di","Mi","Do","Fr","Sa","So"))</f>
        <v/>
      </c>
      <c r="C1069" s="20">
        <f>IF(A1069="","",INT((A1069-DATE(YEAR(A1069-WEEKDAY(A1069-1)+4),1,3)+WEEKDAY(DATE(YEAR(A1069-WEEKDAY(A1069-1)+4),1,3))+5)/7))</f>
        <v/>
      </c>
      <c r="D1069" s="21" t="n"/>
      <c r="E1069" s="22" t="n"/>
      <c r="F1069" s="23" t="n"/>
      <c r="G1069" s="23" t="n"/>
      <c r="H1069" s="23" t="n"/>
      <c r="I1069" s="20">
        <f>IF(COUNT(F1069:H1069)=0,"",SUM(F1069:H1069))</f>
        <v/>
      </c>
      <c r="J1069" s="23" t="n"/>
      <c r="K1069" s="23" t="n"/>
      <c r="L1069" s="23" t="n"/>
      <c r="M1069" s="23" t="n"/>
      <c r="N1069" s="23" t="n"/>
      <c r="O1069" s="20">
        <f>IF(OR(I1069="",COUNT(J1069:N1069)=0),"",IF(SUM(J1069:N1069)=I1069,"✓","⚠ "&amp;SUM(J1069:N1069)&amp;" statt "&amp;I1069))</f>
        <v/>
      </c>
      <c r="P1069" s="21" t="n"/>
      <c r="Q1069" s="21" t="n"/>
      <c r="R1069" s="21" t="n"/>
      <c r="S1069" s="24" t="n"/>
      <c r="T1069" s="24" t="n"/>
      <c r="V1069">
        <f>IF(A1069="","",MONTH(A1069))</f>
        <v/>
      </c>
      <c r="W1069">
        <f>N(W1068)+IF(AND(C1069&lt;&gt;"",T1069&lt;&gt;""),IF(C1069=WOCHE!$B$3,1,0),0)</f>
        <v/>
      </c>
      <c r="X1069">
        <f>N(X1068)+IF(AND(V1069&lt;&gt;"",T1069&lt;&gt;""),IF(V1069=MONAT!$AZ$3,1,0),0)</f>
        <v/>
      </c>
    </row>
    <row r="1070">
      <c r="A1070" s="19" t="n"/>
      <c r="B1070" s="20">
        <f>IF(A1070="","",CHOOSE(WEEKDAY(A1070,2),"Mo","Di","Mi","Do","Fr","Sa","So"))</f>
        <v/>
      </c>
      <c r="C1070" s="20">
        <f>IF(A1070="","",INT((A1070-DATE(YEAR(A1070-WEEKDAY(A1070-1)+4),1,3)+WEEKDAY(DATE(YEAR(A1070-WEEKDAY(A1070-1)+4),1,3))+5)/7))</f>
        <v/>
      </c>
      <c r="D1070" s="21" t="n"/>
      <c r="E1070" s="22" t="n"/>
      <c r="F1070" s="23" t="n"/>
      <c r="G1070" s="23" t="n"/>
      <c r="H1070" s="23" t="n"/>
      <c r="I1070" s="20">
        <f>IF(COUNT(F1070:H1070)=0,"",SUM(F1070:H1070))</f>
        <v/>
      </c>
      <c r="J1070" s="23" t="n"/>
      <c r="K1070" s="23" t="n"/>
      <c r="L1070" s="23" t="n"/>
      <c r="M1070" s="23" t="n"/>
      <c r="N1070" s="23" t="n"/>
      <c r="O1070" s="20">
        <f>IF(OR(I1070="",COUNT(J1070:N1070)=0),"",IF(SUM(J1070:N1070)=I1070,"✓","⚠ "&amp;SUM(J1070:N1070)&amp;" statt "&amp;I1070))</f>
        <v/>
      </c>
      <c r="P1070" s="21" t="n"/>
      <c r="Q1070" s="21" t="n"/>
      <c r="R1070" s="21" t="n"/>
      <c r="S1070" s="24" t="n"/>
      <c r="T1070" s="24" t="n"/>
      <c r="V1070">
        <f>IF(A1070="","",MONTH(A1070))</f>
        <v/>
      </c>
      <c r="W1070">
        <f>N(W1069)+IF(AND(C1070&lt;&gt;"",T1070&lt;&gt;""),IF(C1070=WOCHE!$B$3,1,0),0)</f>
        <v/>
      </c>
      <c r="X1070">
        <f>N(X1069)+IF(AND(V1070&lt;&gt;"",T1070&lt;&gt;""),IF(V1070=MONAT!$AZ$3,1,0),0)</f>
        <v/>
      </c>
    </row>
    <row r="1071">
      <c r="A1071" s="19" t="n"/>
      <c r="B1071" s="20">
        <f>IF(A1071="","",CHOOSE(WEEKDAY(A1071,2),"Mo","Di","Mi","Do","Fr","Sa","So"))</f>
        <v/>
      </c>
      <c r="C1071" s="20">
        <f>IF(A1071="","",INT((A1071-DATE(YEAR(A1071-WEEKDAY(A1071-1)+4),1,3)+WEEKDAY(DATE(YEAR(A1071-WEEKDAY(A1071-1)+4),1,3))+5)/7))</f>
        <v/>
      </c>
      <c r="D1071" s="21" t="n"/>
      <c r="E1071" s="22" t="n"/>
      <c r="F1071" s="23" t="n"/>
      <c r="G1071" s="23" t="n"/>
      <c r="H1071" s="23" t="n"/>
      <c r="I1071" s="20">
        <f>IF(COUNT(F1071:H1071)=0,"",SUM(F1071:H1071))</f>
        <v/>
      </c>
      <c r="J1071" s="23" t="n"/>
      <c r="K1071" s="23" t="n"/>
      <c r="L1071" s="23" t="n"/>
      <c r="M1071" s="23" t="n"/>
      <c r="N1071" s="23" t="n"/>
      <c r="O1071" s="20">
        <f>IF(OR(I1071="",COUNT(J1071:N1071)=0),"",IF(SUM(J1071:N1071)=I1071,"✓","⚠ "&amp;SUM(J1071:N1071)&amp;" statt "&amp;I1071))</f>
        <v/>
      </c>
      <c r="P1071" s="21" t="n"/>
      <c r="Q1071" s="21" t="n"/>
      <c r="R1071" s="21" t="n"/>
      <c r="S1071" s="24" t="n"/>
      <c r="T1071" s="24" t="n"/>
      <c r="V1071">
        <f>IF(A1071="","",MONTH(A1071))</f>
        <v/>
      </c>
      <c r="W1071">
        <f>N(W1070)+IF(AND(C1071&lt;&gt;"",T1071&lt;&gt;""),IF(C1071=WOCHE!$B$3,1,0),0)</f>
        <v/>
      </c>
      <c r="X1071">
        <f>N(X1070)+IF(AND(V1071&lt;&gt;"",T1071&lt;&gt;""),IF(V1071=MONAT!$AZ$3,1,0),0)</f>
        <v/>
      </c>
    </row>
    <row r="1072">
      <c r="A1072" s="19" t="n"/>
      <c r="B1072" s="20">
        <f>IF(A1072="","",CHOOSE(WEEKDAY(A1072,2),"Mo","Di","Mi","Do","Fr","Sa","So"))</f>
        <v/>
      </c>
      <c r="C1072" s="20">
        <f>IF(A1072="","",INT((A1072-DATE(YEAR(A1072-WEEKDAY(A1072-1)+4),1,3)+WEEKDAY(DATE(YEAR(A1072-WEEKDAY(A1072-1)+4),1,3))+5)/7))</f>
        <v/>
      </c>
      <c r="D1072" s="21" t="n"/>
      <c r="E1072" s="22" t="n"/>
      <c r="F1072" s="23" t="n"/>
      <c r="G1072" s="23" t="n"/>
      <c r="H1072" s="23" t="n"/>
      <c r="I1072" s="20">
        <f>IF(COUNT(F1072:H1072)=0,"",SUM(F1072:H1072))</f>
        <v/>
      </c>
      <c r="J1072" s="23" t="n"/>
      <c r="K1072" s="23" t="n"/>
      <c r="L1072" s="23" t="n"/>
      <c r="M1072" s="23" t="n"/>
      <c r="N1072" s="23" t="n"/>
      <c r="O1072" s="20">
        <f>IF(OR(I1072="",COUNT(J1072:N1072)=0),"",IF(SUM(J1072:N1072)=I1072,"✓","⚠ "&amp;SUM(J1072:N1072)&amp;" statt "&amp;I1072))</f>
        <v/>
      </c>
      <c r="P1072" s="21" t="n"/>
      <c r="Q1072" s="21" t="n"/>
      <c r="R1072" s="21" t="n"/>
      <c r="S1072" s="24" t="n"/>
      <c r="T1072" s="24" t="n"/>
      <c r="V1072">
        <f>IF(A1072="","",MONTH(A1072))</f>
        <v/>
      </c>
      <c r="W1072">
        <f>N(W1071)+IF(AND(C1072&lt;&gt;"",T1072&lt;&gt;""),IF(C1072=WOCHE!$B$3,1,0),0)</f>
        <v/>
      </c>
      <c r="X1072">
        <f>N(X1071)+IF(AND(V1072&lt;&gt;"",T1072&lt;&gt;""),IF(V1072=MONAT!$AZ$3,1,0),0)</f>
        <v/>
      </c>
    </row>
    <row r="1073">
      <c r="A1073" s="19" t="n"/>
      <c r="B1073" s="20">
        <f>IF(A1073="","",CHOOSE(WEEKDAY(A1073,2),"Mo","Di","Mi","Do","Fr","Sa","So"))</f>
        <v/>
      </c>
      <c r="C1073" s="20">
        <f>IF(A1073="","",INT((A1073-DATE(YEAR(A1073-WEEKDAY(A1073-1)+4),1,3)+WEEKDAY(DATE(YEAR(A1073-WEEKDAY(A1073-1)+4),1,3))+5)/7))</f>
        <v/>
      </c>
      <c r="D1073" s="21" t="n"/>
      <c r="E1073" s="22" t="n"/>
      <c r="F1073" s="23" t="n"/>
      <c r="G1073" s="23" t="n"/>
      <c r="H1073" s="23" t="n"/>
      <c r="I1073" s="20">
        <f>IF(COUNT(F1073:H1073)=0,"",SUM(F1073:H1073))</f>
        <v/>
      </c>
      <c r="J1073" s="23" t="n"/>
      <c r="K1073" s="23" t="n"/>
      <c r="L1073" s="23" t="n"/>
      <c r="M1073" s="23" t="n"/>
      <c r="N1073" s="23" t="n"/>
      <c r="O1073" s="20">
        <f>IF(OR(I1073="",COUNT(J1073:N1073)=0),"",IF(SUM(J1073:N1073)=I1073,"✓","⚠ "&amp;SUM(J1073:N1073)&amp;" statt "&amp;I1073))</f>
        <v/>
      </c>
      <c r="P1073" s="21" t="n"/>
      <c r="Q1073" s="21" t="n"/>
      <c r="R1073" s="21" t="n"/>
      <c r="S1073" s="24" t="n"/>
      <c r="T1073" s="24" t="n"/>
      <c r="V1073">
        <f>IF(A1073="","",MONTH(A1073))</f>
        <v/>
      </c>
      <c r="W1073">
        <f>N(W1072)+IF(AND(C1073&lt;&gt;"",T1073&lt;&gt;""),IF(C1073=WOCHE!$B$3,1,0),0)</f>
        <v/>
      </c>
      <c r="X1073">
        <f>N(X1072)+IF(AND(V1073&lt;&gt;"",T1073&lt;&gt;""),IF(V1073=MONAT!$AZ$3,1,0),0)</f>
        <v/>
      </c>
    </row>
    <row r="1074">
      <c r="A1074" s="19" t="n"/>
      <c r="B1074" s="20">
        <f>IF(A1074="","",CHOOSE(WEEKDAY(A1074,2),"Mo","Di","Mi","Do","Fr","Sa","So"))</f>
        <v/>
      </c>
      <c r="C1074" s="20">
        <f>IF(A1074="","",INT((A1074-DATE(YEAR(A1074-WEEKDAY(A1074-1)+4),1,3)+WEEKDAY(DATE(YEAR(A1074-WEEKDAY(A1074-1)+4),1,3))+5)/7))</f>
        <v/>
      </c>
      <c r="D1074" s="21" t="n"/>
      <c r="E1074" s="22" t="n"/>
      <c r="F1074" s="23" t="n"/>
      <c r="G1074" s="23" t="n"/>
      <c r="H1074" s="23" t="n"/>
      <c r="I1074" s="20">
        <f>IF(COUNT(F1074:H1074)=0,"",SUM(F1074:H1074))</f>
        <v/>
      </c>
      <c r="J1074" s="23" t="n"/>
      <c r="K1074" s="23" t="n"/>
      <c r="L1074" s="23" t="n"/>
      <c r="M1074" s="23" t="n"/>
      <c r="N1074" s="23" t="n"/>
      <c r="O1074" s="20">
        <f>IF(OR(I1074="",COUNT(J1074:N1074)=0),"",IF(SUM(J1074:N1074)=I1074,"✓","⚠ "&amp;SUM(J1074:N1074)&amp;" statt "&amp;I1074))</f>
        <v/>
      </c>
      <c r="P1074" s="21" t="n"/>
      <c r="Q1074" s="21" t="n"/>
      <c r="R1074" s="21" t="n"/>
      <c r="S1074" s="24" t="n"/>
      <c r="T1074" s="24" t="n"/>
      <c r="V1074">
        <f>IF(A1074="","",MONTH(A1074))</f>
        <v/>
      </c>
      <c r="W1074">
        <f>N(W1073)+IF(AND(C1074&lt;&gt;"",T1074&lt;&gt;""),IF(C1074=WOCHE!$B$3,1,0),0)</f>
        <v/>
      </c>
      <c r="X1074">
        <f>N(X1073)+IF(AND(V1074&lt;&gt;"",T1074&lt;&gt;""),IF(V1074=MONAT!$AZ$3,1,0),0)</f>
        <v/>
      </c>
    </row>
    <row r="1075">
      <c r="A1075" s="19" t="n"/>
      <c r="B1075" s="20">
        <f>IF(A1075="","",CHOOSE(WEEKDAY(A1075,2),"Mo","Di","Mi","Do","Fr","Sa","So"))</f>
        <v/>
      </c>
      <c r="C1075" s="20">
        <f>IF(A1075="","",INT((A1075-DATE(YEAR(A1075-WEEKDAY(A1075-1)+4),1,3)+WEEKDAY(DATE(YEAR(A1075-WEEKDAY(A1075-1)+4),1,3))+5)/7))</f>
        <v/>
      </c>
      <c r="D1075" s="21" t="n"/>
      <c r="E1075" s="22" t="n"/>
      <c r="F1075" s="23" t="n"/>
      <c r="G1075" s="23" t="n"/>
      <c r="H1075" s="23" t="n"/>
      <c r="I1075" s="20">
        <f>IF(COUNT(F1075:H1075)=0,"",SUM(F1075:H1075))</f>
        <v/>
      </c>
      <c r="J1075" s="23" t="n"/>
      <c r="K1075" s="23" t="n"/>
      <c r="L1075" s="23" t="n"/>
      <c r="M1075" s="23" t="n"/>
      <c r="N1075" s="23" t="n"/>
      <c r="O1075" s="20">
        <f>IF(OR(I1075="",COUNT(J1075:N1075)=0),"",IF(SUM(J1075:N1075)=I1075,"✓","⚠ "&amp;SUM(J1075:N1075)&amp;" statt "&amp;I1075))</f>
        <v/>
      </c>
      <c r="P1075" s="21" t="n"/>
      <c r="Q1075" s="21" t="n"/>
      <c r="R1075" s="21" t="n"/>
      <c r="S1075" s="24" t="n"/>
      <c r="T1075" s="24" t="n"/>
      <c r="V1075">
        <f>IF(A1075="","",MONTH(A1075))</f>
        <v/>
      </c>
      <c r="W1075">
        <f>N(W1074)+IF(AND(C1075&lt;&gt;"",T1075&lt;&gt;""),IF(C1075=WOCHE!$B$3,1,0),0)</f>
        <v/>
      </c>
      <c r="X1075">
        <f>N(X1074)+IF(AND(V1075&lt;&gt;"",T1075&lt;&gt;""),IF(V1075=MONAT!$AZ$3,1,0),0)</f>
        <v/>
      </c>
    </row>
    <row r="1076">
      <c r="A1076" s="19" t="n"/>
      <c r="B1076" s="20">
        <f>IF(A1076="","",CHOOSE(WEEKDAY(A1076,2),"Mo","Di","Mi","Do","Fr","Sa","So"))</f>
        <v/>
      </c>
      <c r="C1076" s="20">
        <f>IF(A1076="","",INT((A1076-DATE(YEAR(A1076-WEEKDAY(A1076-1)+4),1,3)+WEEKDAY(DATE(YEAR(A1076-WEEKDAY(A1076-1)+4),1,3))+5)/7))</f>
        <v/>
      </c>
      <c r="D1076" s="21" t="n"/>
      <c r="E1076" s="22" t="n"/>
      <c r="F1076" s="23" t="n"/>
      <c r="G1076" s="23" t="n"/>
      <c r="H1076" s="23" t="n"/>
      <c r="I1076" s="20">
        <f>IF(COUNT(F1076:H1076)=0,"",SUM(F1076:H1076))</f>
        <v/>
      </c>
      <c r="J1076" s="23" t="n"/>
      <c r="K1076" s="23" t="n"/>
      <c r="L1076" s="23" t="n"/>
      <c r="M1076" s="23" t="n"/>
      <c r="N1076" s="23" t="n"/>
      <c r="O1076" s="20">
        <f>IF(OR(I1076="",COUNT(J1076:N1076)=0),"",IF(SUM(J1076:N1076)=I1076,"✓","⚠ "&amp;SUM(J1076:N1076)&amp;" statt "&amp;I1076))</f>
        <v/>
      </c>
      <c r="P1076" s="21" t="n"/>
      <c r="Q1076" s="21" t="n"/>
      <c r="R1076" s="21" t="n"/>
      <c r="S1076" s="24" t="n"/>
      <c r="T1076" s="24" t="n"/>
      <c r="V1076">
        <f>IF(A1076="","",MONTH(A1076))</f>
        <v/>
      </c>
      <c r="W1076">
        <f>N(W1075)+IF(AND(C1076&lt;&gt;"",T1076&lt;&gt;""),IF(C1076=WOCHE!$B$3,1,0),0)</f>
        <v/>
      </c>
      <c r="X1076">
        <f>N(X1075)+IF(AND(V1076&lt;&gt;"",T1076&lt;&gt;""),IF(V1076=MONAT!$AZ$3,1,0),0)</f>
        <v/>
      </c>
    </row>
    <row r="1077">
      <c r="A1077" s="19" t="n"/>
      <c r="B1077" s="20">
        <f>IF(A1077="","",CHOOSE(WEEKDAY(A1077,2),"Mo","Di","Mi","Do","Fr","Sa","So"))</f>
        <v/>
      </c>
      <c r="C1077" s="20">
        <f>IF(A1077="","",INT((A1077-DATE(YEAR(A1077-WEEKDAY(A1077-1)+4),1,3)+WEEKDAY(DATE(YEAR(A1077-WEEKDAY(A1077-1)+4),1,3))+5)/7))</f>
        <v/>
      </c>
      <c r="D1077" s="21" t="n"/>
      <c r="E1077" s="22" t="n"/>
      <c r="F1077" s="23" t="n"/>
      <c r="G1077" s="23" t="n"/>
      <c r="H1077" s="23" t="n"/>
      <c r="I1077" s="20">
        <f>IF(COUNT(F1077:H1077)=0,"",SUM(F1077:H1077))</f>
        <v/>
      </c>
      <c r="J1077" s="23" t="n"/>
      <c r="K1077" s="23" t="n"/>
      <c r="L1077" s="23" t="n"/>
      <c r="M1077" s="23" t="n"/>
      <c r="N1077" s="23" t="n"/>
      <c r="O1077" s="20">
        <f>IF(OR(I1077="",COUNT(J1077:N1077)=0),"",IF(SUM(J1077:N1077)=I1077,"✓","⚠ "&amp;SUM(J1077:N1077)&amp;" statt "&amp;I1077))</f>
        <v/>
      </c>
      <c r="P1077" s="21" t="n"/>
      <c r="Q1077" s="21" t="n"/>
      <c r="R1077" s="21" t="n"/>
      <c r="S1077" s="24" t="n"/>
      <c r="T1077" s="24" t="n"/>
      <c r="V1077">
        <f>IF(A1077="","",MONTH(A1077))</f>
        <v/>
      </c>
      <c r="W1077">
        <f>N(W1076)+IF(AND(C1077&lt;&gt;"",T1077&lt;&gt;""),IF(C1077=WOCHE!$B$3,1,0),0)</f>
        <v/>
      </c>
      <c r="X1077">
        <f>N(X1076)+IF(AND(V1077&lt;&gt;"",T1077&lt;&gt;""),IF(V1077=MONAT!$AZ$3,1,0),0)</f>
        <v/>
      </c>
    </row>
    <row r="1078">
      <c r="A1078" s="19" t="n"/>
      <c r="B1078" s="20">
        <f>IF(A1078="","",CHOOSE(WEEKDAY(A1078,2),"Mo","Di","Mi","Do","Fr","Sa","So"))</f>
        <v/>
      </c>
      <c r="C1078" s="20">
        <f>IF(A1078="","",INT((A1078-DATE(YEAR(A1078-WEEKDAY(A1078-1)+4),1,3)+WEEKDAY(DATE(YEAR(A1078-WEEKDAY(A1078-1)+4),1,3))+5)/7))</f>
        <v/>
      </c>
      <c r="D1078" s="21" t="n"/>
      <c r="E1078" s="22" t="n"/>
      <c r="F1078" s="23" t="n"/>
      <c r="G1078" s="23" t="n"/>
      <c r="H1078" s="23" t="n"/>
      <c r="I1078" s="20">
        <f>IF(COUNT(F1078:H1078)=0,"",SUM(F1078:H1078))</f>
        <v/>
      </c>
      <c r="J1078" s="23" t="n"/>
      <c r="K1078" s="23" t="n"/>
      <c r="L1078" s="23" t="n"/>
      <c r="M1078" s="23" t="n"/>
      <c r="N1078" s="23" t="n"/>
      <c r="O1078" s="20">
        <f>IF(OR(I1078="",COUNT(J1078:N1078)=0),"",IF(SUM(J1078:N1078)=I1078,"✓","⚠ "&amp;SUM(J1078:N1078)&amp;" statt "&amp;I1078))</f>
        <v/>
      </c>
      <c r="P1078" s="21" t="n"/>
      <c r="Q1078" s="21" t="n"/>
      <c r="R1078" s="21" t="n"/>
      <c r="S1078" s="24" t="n"/>
      <c r="T1078" s="24" t="n"/>
      <c r="V1078">
        <f>IF(A1078="","",MONTH(A1078))</f>
        <v/>
      </c>
      <c r="W1078">
        <f>N(W1077)+IF(AND(C1078&lt;&gt;"",T1078&lt;&gt;""),IF(C1078=WOCHE!$B$3,1,0),0)</f>
        <v/>
      </c>
      <c r="X1078">
        <f>N(X1077)+IF(AND(V1078&lt;&gt;"",T1078&lt;&gt;""),IF(V1078=MONAT!$AZ$3,1,0),0)</f>
        <v/>
      </c>
    </row>
    <row r="1079">
      <c r="A1079" s="19" t="n"/>
      <c r="B1079" s="20">
        <f>IF(A1079="","",CHOOSE(WEEKDAY(A1079,2),"Mo","Di","Mi","Do","Fr","Sa","So"))</f>
        <v/>
      </c>
      <c r="C1079" s="20">
        <f>IF(A1079="","",INT((A1079-DATE(YEAR(A1079-WEEKDAY(A1079-1)+4),1,3)+WEEKDAY(DATE(YEAR(A1079-WEEKDAY(A1079-1)+4),1,3))+5)/7))</f>
        <v/>
      </c>
      <c r="D1079" s="21" t="n"/>
      <c r="E1079" s="22" t="n"/>
      <c r="F1079" s="23" t="n"/>
      <c r="G1079" s="23" t="n"/>
      <c r="H1079" s="23" t="n"/>
      <c r="I1079" s="20">
        <f>IF(COUNT(F1079:H1079)=0,"",SUM(F1079:H1079))</f>
        <v/>
      </c>
      <c r="J1079" s="23" t="n"/>
      <c r="K1079" s="23" t="n"/>
      <c r="L1079" s="23" t="n"/>
      <c r="M1079" s="23" t="n"/>
      <c r="N1079" s="23" t="n"/>
      <c r="O1079" s="20">
        <f>IF(OR(I1079="",COUNT(J1079:N1079)=0),"",IF(SUM(J1079:N1079)=I1079,"✓","⚠ "&amp;SUM(J1079:N1079)&amp;" statt "&amp;I1079))</f>
        <v/>
      </c>
      <c r="P1079" s="21" t="n"/>
      <c r="Q1079" s="21" t="n"/>
      <c r="R1079" s="21" t="n"/>
      <c r="S1079" s="24" t="n"/>
      <c r="T1079" s="24" t="n"/>
      <c r="V1079">
        <f>IF(A1079="","",MONTH(A1079))</f>
        <v/>
      </c>
      <c r="W1079">
        <f>N(W1078)+IF(AND(C1079&lt;&gt;"",T1079&lt;&gt;""),IF(C1079=WOCHE!$B$3,1,0),0)</f>
        <v/>
      </c>
      <c r="X1079">
        <f>N(X1078)+IF(AND(V1079&lt;&gt;"",T1079&lt;&gt;""),IF(V1079=MONAT!$AZ$3,1,0),0)</f>
        <v/>
      </c>
    </row>
    <row r="1080">
      <c r="A1080" s="19" t="n"/>
      <c r="B1080" s="20">
        <f>IF(A1080="","",CHOOSE(WEEKDAY(A1080,2),"Mo","Di","Mi","Do","Fr","Sa","So"))</f>
        <v/>
      </c>
      <c r="C1080" s="20">
        <f>IF(A1080="","",INT((A1080-DATE(YEAR(A1080-WEEKDAY(A1080-1)+4),1,3)+WEEKDAY(DATE(YEAR(A1080-WEEKDAY(A1080-1)+4),1,3))+5)/7))</f>
        <v/>
      </c>
      <c r="D1080" s="21" t="n"/>
      <c r="E1080" s="22" t="n"/>
      <c r="F1080" s="23" t="n"/>
      <c r="G1080" s="23" t="n"/>
      <c r="H1080" s="23" t="n"/>
      <c r="I1080" s="20">
        <f>IF(COUNT(F1080:H1080)=0,"",SUM(F1080:H1080))</f>
        <v/>
      </c>
      <c r="J1080" s="23" t="n"/>
      <c r="K1080" s="23" t="n"/>
      <c r="L1080" s="23" t="n"/>
      <c r="M1080" s="23" t="n"/>
      <c r="N1080" s="23" t="n"/>
      <c r="O1080" s="20">
        <f>IF(OR(I1080="",COUNT(J1080:N1080)=0),"",IF(SUM(J1080:N1080)=I1080,"✓","⚠ "&amp;SUM(J1080:N1080)&amp;" statt "&amp;I1080))</f>
        <v/>
      </c>
      <c r="P1080" s="21" t="n"/>
      <c r="Q1080" s="21" t="n"/>
      <c r="R1080" s="21" t="n"/>
      <c r="S1080" s="24" t="n"/>
      <c r="T1080" s="24" t="n"/>
      <c r="V1080">
        <f>IF(A1080="","",MONTH(A1080))</f>
        <v/>
      </c>
      <c r="W1080">
        <f>N(W1079)+IF(AND(C1080&lt;&gt;"",T1080&lt;&gt;""),IF(C1080=WOCHE!$B$3,1,0),0)</f>
        <v/>
      </c>
      <c r="X1080">
        <f>N(X1079)+IF(AND(V1080&lt;&gt;"",T1080&lt;&gt;""),IF(V1080=MONAT!$AZ$3,1,0),0)</f>
        <v/>
      </c>
    </row>
    <row r="1081">
      <c r="A1081" s="19" t="n"/>
      <c r="B1081" s="20">
        <f>IF(A1081="","",CHOOSE(WEEKDAY(A1081,2),"Mo","Di","Mi","Do","Fr","Sa","So"))</f>
        <v/>
      </c>
      <c r="C1081" s="20">
        <f>IF(A1081="","",INT((A1081-DATE(YEAR(A1081-WEEKDAY(A1081-1)+4),1,3)+WEEKDAY(DATE(YEAR(A1081-WEEKDAY(A1081-1)+4),1,3))+5)/7))</f>
        <v/>
      </c>
      <c r="D1081" s="21" t="n"/>
      <c r="E1081" s="22" t="n"/>
      <c r="F1081" s="23" t="n"/>
      <c r="G1081" s="23" t="n"/>
      <c r="H1081" s="23" t="n"/>
      <c r="I1081" s="20">
        <f>IF(COUNT(F1081:H1081)=0,"",SUM(F1081:H1081))</f>
        <v/>
      </c>
      <c r="J1081" s="23" t="n"/>
      <c r="K1081" s="23" t="n"/>
      <c r="L1081" s="23" t="n"/>
      <c r="M1081" s="23" t="n"/>
      <c r="N1081" s="23" t="n"/>
      <c r="O1081" s="20">
        <f>IF(OR(I1081="",COUNT(J1081:N1081)=0),"",IF(SUM(J1081:N1081)=I1081,"✓","⚠ "&amp;SUM(J1081:N1081)&amp;" statt "&amp;I1081))</f>
        <v/>
      </c>
      <c r="P1081" s="21" t="n"/>
      <c r="Q1081" s="21" t="n"/>
      <c r="R1081" s="21" t="n"/>
      <c r="S1081" s="24" t="n"/>
      <c r="T1081" s="24" t="n"/>
      <c r="V1081">
        <f>IF(A1081="","",MONTH(A1081))</f>
        <v/>
      </c>
      <c r="W1081">
        <f>N(W1080)+IF(AND(C1081&lt;&gt;"",T1081&lt;&gt;""),IF(C1081=WOCHE!$B$3,1,0),0)</f>
        <v/>
      </c>
      <c r="X1081">
        <f>N(X1080)+IF(AND(V1081&lt;&gt;"",T1081&lt;&gt;""),IF(V1081=MONAT!$AZ$3,1,0),0)</f>
        <v/>
      </c>
    </row>
    <row r="1082">
      <c r="A1082" s="19" t="n"/>
      <c r="B1082" s="20">
        <f>IF(A1082="","",CHOOSE(WEEKDAY(A1082,2),"Mo","Di","Mi","Do","Fr","Sa","So"))</f>
        <v/>
      </c>
      <c r="C1082" s="20">
        <f>IF(A1082="","",INT((A1082-DATE(YEAR(A1082-WEEKDAY(A1082-1)+4),1,3)+WEEKDAY(DATE(YEAR(A1082-WEEKDAY(A1082-1)+4),1,3))+5)/7))</f>
        <v/>
      </c>
      <c r="D1082" s="21" t="n"/>
      <c r="E1082" s="22" t="n"/>
      <c r="F1082" s="23" t="n"/>
      <c r="G1082" s="23" t="n"/>
      <c r="H1082" s="23" t="n"/>
      <c r="I1082" s="20">
        <f>IF(COUNT(F1082:H1082)=0,"",SUM(F1082:H1082))</f>
        <v/>
      </c>
      <c r="J1082" s="23" t="n"/>
      <c r="K1082" s="23" t="n"/>
      <c r="L1082" s="23" t="n"/>
      <c r="M1082" s="23" t="n"/>
      <c r="N1082" s="23" t="n"/>
      <c r="O1082" s="20">
        <f>IF(OR(I1082="",COUNT(J1082:N1082)=0),"",IF(SUM(J1082:N1082)=I1082,"✓","⚠ "&amp;SUM(J1082:N1082)&amp;" statt "&amp;I1082))</f>
        <v/>
      </c>
      <c r="P1082" s="21" t="n"/>
      <c r="Q1082" s="21" t="n"/>
      <c r="R1082" s="21" t="n"/>
      <c r="S1082" s="24" t="n"/>
      <c r="T1082" s="24" t="n"/>
      <c r="V1082">
        <f>IF(A1082="","",MONTH(A1082))</f>
        <v/>
      </c>
      <c r="W1082">
        <f>N(W1081)+IF(AND(C1082&lt;&gt;"",T1082&lt;&gt;""),IF(C1082=WOCHE!$B$3,1,0),0)</f>
        <v/>
      </c>
      <c r="X1082">
        <f>N(X1081)+IF(AND(V1082&lt;&gt;"",T1082&lt;&gt;""),IF(V1082=MONAT!$AZ$3,1,0),0)</f>
        <v/>
      </c>
    </row>
    <row r="1083">
      <c r="A1083" s="19" t="n"/>
      <c r="B1083" s="20">
        <f>IF(A1083="","",CHOOSE(WEEKDAY(A1083,2),"Mo","Di","Mi","Do","Fr","Sa","So"))</f>
        <v/>
      </c>
      <c r="C1083" s="20">
        <f>IF(A1083="","",INT((A1083-DATE(YEAR(A1083-WEEKDAY(A1083-1)+4),1,3)+WEEKDAY(DATE(YEAR(A1083-WEEKDAY(A1083-1)+4),1,3))+5)/7))</f>
        <v/>
      </c>
      <c r="D1083" s="21" t="n"/>
      <c r="E1083" s="22" t="n"/>
      <c r="F1083" s="23" t="n"/>
      <c r="G1083" s="23" t="n"/>
      <c r="H1083" s="23" t="n"/>
      <c r="I1083" s="20">
        <f>IF(COUNT(F1083:H1083)=0,"",SUM(F1083:H1083))</f>
        <v/>
      </c>
      <c r="J1083" s="23" t="n"/>
      <c r="K1083" s="23" t="n"/>
      <c r="L1083" s="23" t="n"/>
      <c r="M1083" s="23" t="n"/>
      <c r="N1083" s="23" t="n"/>
      <c r="O1083" s="20">
        <f>IF(OR(I1083="",COUNT(J1083:N1083)=0),"",IF(SUM(J1083:N1083)=I1083,"✓","⚠ "&amp;SUM(J1083:N1083)&amp;" statt "&amp;I1083))</f>
        <v/>
      </c>
      <c r="P1083" s="21" t="n"/>
      <c r="Q1083" s="21" t="n"/>
      <c r="R1083" s="21" t="n"/>
      <c r="S1083" s="24" t="n"/>
      <c r="T1083" s="24" t="n"/>
      <c r="V1083">
        <f>IF(A1083="","",MONTH(A1083))</f>
        <v/>
      </c>
      <c r="W1083">
        <f>N(W1082)+IF(AND(C1083&lt;&gt;"",T1083&lt;&gt;""),IF(C1083=WOCHE!$B$3,1,0),0)</f>
        <v/>
      </c>
      <c r="X1083">
        <f>N(X1082)+IF(AND(V1083&lt;&gt;"",T1083&lt;&gt;""),IF(V1083=MONAT!$AZ$3,1,0),0)</f>
        <v/>
      </c>
    </row>
    <row r="1084">
      <c r="A1084" s="19" t="n"/>
      <c r="B1084" s="20">
        <f>IF(A1084="","",CHOOSE(WEEKDAY(A1084,2),"Mo","Di","Mi","Do","Fr","Sa","So"))</f>
        <v/>
      </c>
      <c r="C1084" s="20">
        <f>IF(A1084="","",INT((A1084-DATE(YEAR(A1084-WEEKDAY(A1084-1)+4),1,3)+WEEKDAY(DATE(YEAR(A1084-WEEKDAY(A1084-1)+4),1,3))+5)/7))</f>
        <v/>
      </c>
      <c r="D1084" s="21" t="n"/>
      <c r="E1084" s="22" t="n"/>
      <c r="F1084" s="23" t="n"/>
      <c r="G1084" s="23" t="n"/>
      <c r="H1084" s="23" t="n"/>
      <c r="I1084" s="20">
        <f>IF(COUNT(F1084:H1084)=0,"",SUM(F1084:H1084))</f>
        <v/>
      </c>
      <c r="J1084" s="23" t="n"/>
      <c r="K1084" s="23" t="n"/>
      <c r="L1084" s="23" t="n"/>
      <c r="M1084" s="23" t="n"/>
      <c r="N1084" s="23" t="n"/>
      <c r="O1084" s="20">
        <f>IF(OR(I1084="",COUNT(J1084:N1084)=0),"",IF(SUM(J1084:N1084)=I1084,"✓","⚠ "&amp;SUM(J1084:N1084)&amp;" statt "&amp;I1084))</f>
        <v/>
      </c>
      <c r="P1084" s="21" t="n"/>
      <c r="Q1084" s="21" t="n"/>
      <c r="R1084" s="21" t="n"/>
      <c r="S1084" s="24" t="n"/>
      <c r="T1084" s="24" t="n"/>
      <c r="V1084">
        <f>IF(A1084="","",MONTH(A1084))</f>
        <v/>
      </c>
      <c r="W1084">
        <f>N(W1083)+IF(AND(C1084&lt;&gt;"",T1084&lt;&gt;""),IF(C1084=WOCHE!$B$3,1,0),0)</f>
        <v/>
      </c>
      <c r="X1084">
        <f>N(X1083)+IF(AND(V1084&lt;&gt;"",T1084&lt;&gt;""),IF(V1084=MONAT!$AZ$3,1,0),0)</f>
        <v/>
      </c>
    </row>
    <row r="1085">
      <c r="A1085" s="19" t="n"/>
      <c r="B1085" s="20">
        <f>IF(A1085="","",CHOOSE(WEEKDAY(A1085,2),"Mo","Di","Mi","Do","Fr","Sa","So"))</f>
        <v/>
      </c>
      <c r="C1085" s="20">
        <f>IF(A1085="","",INT((A1085-DATE(YEAR(A1085-WEEKDAY(A1085-1)+4),1,3)+WEEKDAY(DATE(YEAR(A1085-WEEKDAY(A1085-1)+4),1,3))+5)/7))</f>
        <v/>
      </c>
      <c r="D1085" s="21" t="n"/>
      <c r="E1085" s="22" t="n"/>
      <c r="F1085" s="23" t="n"/>
      <c r="G1085" s="23" t="n"/>
      <c r="H1085" s="23" t="n"/>
      <c r="I1085" s="20">
        <f>IF(COUNT(F1085:H1085)=0,"",SUM(F1085:H1085))</f>
        <v/>
      </c>
      <c r="J1085" s="23" t="n"/>
      <c r="K1085" s="23" t="n"/>
      <c r="L1085" s="23" t="n"/>
      <c r="M1085" s="23" t="n"/>
      <c r="N1085" s="23" t="n"/>
      <c r="O1085" s="20">
        <f>IF(OR(I1085="",COUNT(J1085:N1085)=0),"",IF(SUM(J1085:N1085)=I1085,"✓","⚠ "&amp;SUM(J1085:N1085)&amp;" statt "&amp;I1085))</f>
        <v/>
      </c>
      <c r="P1085" s="21" t="n"/>
      <c r="Q1085" s="21" t="n"/>
      <c r="R1085" s="21" t="n"/>
      <c r="S1085" s="24" t="n"/>
      <c r="T1085" s="24" t="n"/>
      <c r="V1085">
        <f>IF(A1085="","",MONTH(A1085))</f>
        <v/>
      </c>
      <c r="W1085">
        <f>N(W1084)+IF(AND(C1085&lt;&gt;"",T1085&lt;&gt;""),IF(C1085=WOCHE!$B$3,1,0),0)</f>
        <v/>
      </c>
      <c r="X1085">
        <f>N(X1084)+IF(AND(V1085&lt;&gt;"",T1085&lt;&gt;""),IF(V1085=MONAT!$AZ$3,1,0),0)</f>
        <v/>
      </c>
    </row>
    <row r="1086">
      <c r="A1086" s="19" t="n"/>
      <c r="B1086" s="20">
        <f>IF(A1086="","",CHOOSE(WEEKDAY(A1086,2),"Mo","Di","Mi","Do","Fr","Sa","So"))</f>
        <v/>
      </c>
      <c r="C1086" s="20">
        <f>IF(A1086="","",INT((A1086-DATE(YEAR(A1086-WEEKDAY(A1086-1)+4),1,3)+WEEKDAY(DATE(YEAR(A1086-WEEKDAY(A1086-1)+4),1,3))+5)/7))</f>
        <v/>
      </c>
      <c r="D1086" s="21" t="n"/>
      <c r="E1086" s="22" t="n"/>
      <c r="F1086" s="23" t="n"/>
      <c r="G1086" s="23" t="n"/>
      <c r="H1086" s="23" t="n"/>
      <c r="I1086" s="20">
        <f>IF(COUNT(F1086:H1086)=0,"",SUM(F1086:H1086))</f>
        <v/>
      </c>
      <c r="J1086" s="23" t="n"/>
      <c r="K1086" s="23" t="n"/>
      <c r="L1086" s="23" t="n"/>
      <c r="M1086" s="23" t="n"/>
      <c r="N1086" s="23" t="n"/>
      <c r="O1086" s="20">
        <f>IF(OR(I1086="",COUNT(J1086:N1086)=0),"",IF(SUM(J1086:N1086)=I1086,"✓","⚠ "&amp;SUM(J1086:N1086)&amp;" statt "&amp;I1086))</f>
        <v/>
      </c>
      <c r="P1086" s="21" t="n"/>
      <c r="Q1086" s="21" t="n"/>
      <c r="R1086" s="21" t="n"/>
      <c r="S1086" s="24" t="n"/>
      <c r="T1086" s="24" t="n"/>
      <c r="V1086">
        <f>IF(A1086="","",MONTH(A1086))</f>
        <v/>
      </c>
      <c r="W1086">
        <f>N(W1085)+IF(AND(C1086&lt;&gt;"",T1086&lt;&gt;""),IF(C1086=WOCHE!$B$3,1,0),0)</f>
        <v/>
      </c>
      <c r="X1086">
        <f>N(X1085)+IF(AND(V1086&lt;&gt;"",T1086&lt;&gt;""),IF(V1086=MONAT!$AZ$3,1,0),0)</f>
        <v/>
      </c>
    </row>
    <row r="1087">
      <c r="A1087" s="19" t="n"/>
      <c r="B1087" s="20">
        <f>IF(A1087="","",CHOOSE(WEEKDAY(A1087,2),"Mo","Di","Mi","Do","Fr","Sa","So"))</f>
        <v/>
      </c>
      <c r="C1087" s="20">
        <f>IF(A1087="","",INT((A1087-DATE(YEAR(A1087-WEEKDAY(A1087-1)+4),1,3)+WEEKDAY(DATE(YEAR(A1087-WEEKDAY(A1087-1)+4),1,3))+5)/7))</f>
        <v/>
      </c>
      <c r="D1087" s="21" t="n"/>
      <c r="E1087" s="22" t="n"/>
      <c r="F1087" s="23" t="n"/>
      <c r="G1087" s="23" t="n"/>
      <c r="H1087" s="23" t="n"/>
      <c r="I1087" s="20">
        <f>IF(COUNT(F1087:H1087)=0,"",SUM(F1087:H1087))</f>
        <v/>
      </c>
      <c r="J1087" s="23" t="n"/>
      <c r="K1087" s="23" t="n"/>
      <c r="L1087" s="23" t="n"/>
      <c r="M1087" s="23" t="n"/>
      <c r="N1087" s="23" t="n"/>
      <c r="O1087" s="20">
        <f>IF(OR(I1087="",COUNT(J1087:N1087)=0),"",IF(SUM(J1087:N1087)=I1087,"✓","⚠ "&amp;SUM(J1087:N1087)&amp;" statt "&amp;I1087))</f>
        <v/>
      </c>
      <c r="P1087" s="21" t="n"/>
      <c r="Q1087" s="21" t="n"/>
      <c r="R1087" s="21" t="n"/>
      <c r="S1087" s="24" t="n"/>
      <c r="T1087" s="24" t="n"/>
      <c r="V1087">
        <f>IF(A1087="","",MONTH(A1087))</f>
        <v/>
      </c>
      <c r="W1087">
        <f>N(W1086)+IF(AND(C1087&lt;&gt;"",T1087&lt;&gt;""),IF(C1087=WOCHE!$B$3,1,0),0)</f>
        <v/>
      </c>
      <c r="X1087">
        <f>N(X1086)+IF(AND(V1087&lt;&gt;"",T1087&lt;&gt;""),IF(V1087=MONAT!$AZ$3,1,0),0)</f>
        <v/>
      </c>
    </row>
    <row r="1088">
      <c r="A1088" s="19" t="n"/>
      <c r="B1088" s="20">
        <f>IF(A1088="","",CHOOSE(WEEKDAY(A1088,2),"Mo","Di","Mi","Do","Fr","Sa","So"))</f>
        <v/>
      </c>
      <c r="C1088" s="20">
        <f>IF(A1088="","",INT((A1088-DATE(YEAR(A1088-WEEKDAY(A1088-1)+4),1,3)+WEEKDAY(DATE(YEAR(A1088-WEEKDAY(A1088-1)+4),1,3))+5)/7))</f>
        <v/>
      </c>
      <c r="D1088" s="21" t="n"/>
      <c r="E1088" s="22" t="n"/>
      <c r="F1088" s="23" t="n"/>
      <c r="G1088" s="23" t="n"/>
      <c r="H1088" s="23" t="n"/>
      <c r="I1088" s="20">
        <f>IF(COUNT(F1088:H1088)=0,"",SUM(F1088:H1088))</f>
        <v/>
      </c>
      <c r="J1088" s="23" t="n"/>
      <c r="K1088" s="23" t="n"/>
      <c r="L1088" s="23" t="n"/>
      <c r="M1088" s="23" t="n"/>
      <c r="N1088" s="23" t="n"/>
      <c r="O1088" s="20">
        <f>IF(OR(I1088="",COUNT(J1088:N1088)=0),"",IF(SUM(J1088:N1088)=I1088,"✓","⚠ "&amp;SUM(J1088:N1088)&amp;" statt "&amp;I1088))</f>
        <v/>
      </c>
      <c r="P1088" s="21" t="n"/>
      <c r="Q1088" s="21" t="n"/>
      <c r="R1088" s="21" t="n"/>
      <c r="S1088" s="24" t="n"/>
      <c r="T1088" s="24" t="n"/>
      <c r="V1088">
        <f>IF(A1088="","",MONTH(A1088))</f>
        <v/>
      </c>
      <c r="W1088">
        <f>N(W1087)+IF(AND(C1088&lt;&gt;"",T1088&lt;&gt;""),IF(C1088=WOCHE!$B$3,1,0),0)</f>
        <v/>
      </c>
      <c r="X1088">
        <f>N(X1087)+IF(AND(V1088&lt;&gt;"",T1088&lt;&gt;""),IF(V1088=MONAT!$AZ$3,1,0),0)</f>
        <v/>
      </c>
    </row>
    <row r="1089">
      <c r="A1089" s="19" t="n"/>
      <c r="B1089" s="20">
        <f>IF(A1089="","",CHOOSE(WEEKDAY(A1089,2),"Mo","Di","Mi","Do","Fr","Sa","So"))</f>
        <v/>
      </c>
      <c r="C1089" s="20">
        <f>IF(A1089="","",INT((A1089-DATE(YEAR(A1089-WEEKDAY(A1089-1)+4),1,3)+WEEKDAY(DATE(YEAR(A1089-WEEKDAY(A1089-1)+4),1,3))+5)/7))</f>
        <v/>
      </c>
      <c r="D1089" s="21" t="n"/>
      <c r="E1089" s="22" t="n"/>
      <c r="F1089" s="23" t="n"/>
      <c r="G1089" s="23" t="n"/>
      <c r="H1089" s="23" t="n"/>
      <c r="I1089" s="20">
        <f>IF(COUNT(F1089:H1089)=0,"",SUM(F1089:H1089))</f>
        <v/>
      </c>
      <c r="J1089" s="23" t="n"/>
      <c r="K1089" s="23" t="n"/>
      <c r="L1089" s="23" t="n"/>
      <c r="M1089" s="23" t="n"/>
      <c r="N1089" s="23" t="n"/>
      <c r="O1089" s="20">
        <f>IF(OR(I1089="",COUNT(J1089:N1089)=0),"",IF(SUM(J1089:N1089)=I1089,"✓","⚠ "&amp;SUM(J1089:N1089)&amp;" statt "&amp;I1089))</f>
        <v/>
      </c>
      <c r="P1089" s="21" t="n"/>
      <c r="Q1089" s="21" t="n"/>
      <c r="R1089" s="21" t="n"/>
      <c r="S1089" s="24" t="n"/>
      <c r="T1089" s="24" t="n"/>
      <c r="V1089">
        <f>IF(A1089="","",MONTH(A1089))</f>
        <v/>
      </c>
      <c r="W1089">
        <f>N(W1088)+IF(AND(C1089&lt;&gt;"",T1089&lt;&gt;""),IF(C1089=WOCHE!$B$3,1,0),0)</f>
        <v/>
      </c>
      <c r="X1089">
        <f>N(X1088)+IF(AND(V1089&lt;&gt;"",T1089&lt;&gt;""),IF(V1089=MONAT!$AZ$3,1,0),0)</f>
        <v/>
      </c>
    </row>
    <row r="1090">
      <c r="A1090" s="19" t="n"/>
      <c r="B1090" s="20">
        <f>IF(A1090="","",CHOOSE(WEEKDAY(A1090,2),"Mo","Di","Mi","Do","Fr","Sa","So"))</f>
        <v/>
      </c>
      <c r="C1090" s="20">
        <f>IF(A1090="","",INT((A1090-DATE(YEAR(A1090-WEEKDAY(A1090-1)+4),1,3)+WEEKDAY(DATE(YEAR(A1090-WEEKDAY(A1090-1)+4),1,3))+5)/7))</f>
        <v/>
      </c>
      <c r="D1090" s="21" t="n"/>
      <c r="E1090" s="22" t="n"/>
      <c r="F1090" s="23" t="n"/>
      <c r="G1090" s="23" t="n"/>
      <c r="H1090" s="23" t="n"/>
      <c r="I1090" s="20">
        <f>IF(COUNT(F1090:H1090)=0,"",SUM(F1090:H1090))</f>
        <v/>
      </c>
      <c r="J1090" s="23" t="n"/>
      <c r="K1090" s="23" t="n"/>
      <c r="L1090" s="23" t="n"/>
      <c r="M1090" s="23" t="n"/>
      <c r="N1090" s="23" t="n"/>
      <c r="O1090" s="20">
        <f>IF(OR(I1090="",COUNT(J1090:N1090)=0),"",IF(SUM(J1090:N1090)=I1090,"✓","⚠ "&amp;SUM(J1090:N1090)&amp;" statt "&amp;I1090))</f>
        <v/>
      </c>
      <c r="P1090" s="21" t="n"/>
      <c r="Q1090" s="21" t="n"/>
      <c r="R1090" s="21" t="n"/>
      <c r="S1090" s="24" t="n"/>
      <c r="T1090" s="24" t="n"/>
      <c r="V1090">
        <f>IF(A1090="","",MONTH(A1090))</f>
        <v/>
      </c>
      <c r="W1090">
        <f>N(W1089)+IF(AND(C1090&lt;&gt;"",T1090&lt;&gt;""),IF(C1090=WOCHE!$B$3,1,0),0)</f>
        <v/>
      </c>
      <c r="X1090">
        <f>N(X1089)+IF(AND(V1090&lt;&gt;"",T1090&lt;&gt;""),IF(V1090=MONAT!$AZ$3,1,0),0)</f>
        <v/>
      </c>
    </row>
    <row r="1091">
      <c r="A1091" s="19" t="n"/>
      <c r="B1091" s="20">
        <f>IF(A1091="","",CHOOSE(WEEKDAY(A1091,2),"Mo","Di","Mi","Do","Fr","Sa","So"))</f>
        <v/>
      </c>
      <c r="C1091" s="20">
        <f>IF(A1091="","",INT((A1091-DATE(YEAR(A1091-WEEKDAY(A1091-1)+4),1,3)+WEEKDAY(DATE(YEAR(A1091-WEEKDAY(A1091-1)+4),1,3))+5)/7))</f>
        <v/>
      </c>
      <c r="D1091" s="21" t="n"/>
      <c r="E1091" s="22" t="n"/>
      <c r="F1091" s="23" t="n"/>
      <c r="G1091" s="23" t="n"/>
      <c r="H1091" s="23" t="n"/>
      <c r="I1091" s="20">
        <f>IF(COUNT(F1091:H1091)=0,"",SUM(F1091:H1091))</f>
        <v/>
      </c>
      <c r="J1091" s="23" t="n"/>
      <c r="K1091" s="23" t="n"/>
      <c r="L1091" s="23" t="n"/>
      <c r="M1091" s="23" t="n"/>
      <c r="N1091" s="23" t="n"/>
      <c r="O1091" s="20">
        <f>IF(OR(I1091="",COUNT(J1091:N1091)=0),"",IF(SUM(J1091:N1091)=I1091,"✓","⚠ "&amp;SUM(J1091:N1091)&amp;" statt "&amp;I1091))</f>
        <v/>
      </c>
      <c r="P1091" s="21" t="n"/>
      <c r="Q1091" s="21" t="n"/>
      <c r="R1091" s="21" t="n"/>
      <c r="S1091" s="24" t="n"/>
      <c r="T1091" s="24" t="n"/>
      <c r="V1091">
        <f>IF(A1091="","",MONTH(A1091))</f>
        <v/>
      </c>
      <c r="W1091">
        <f>N(W1090)+IF(AND(C1091&lt;&gt;"",T1091&lt;&gt;""),IF(C1091=WOCHE!$B$3,1,0),0)</f>
        <v/>
      </c>
      <c r="X1091">
        <f>N(X1090)+IF(AND(V1091&lt;&gt;"",T1091&lt;&gt;""),IF(V1091=MONAT!$AZ$3,1,0),0)</f>
        <v/>
      </c>
    </row>
    <row r="1092">
      <c r="A1092" s="19" t="n"/>
      <c r="B1092" s="20">
        <f>IF(A1092="","",CHOOSE(WEEKDAY(A1092,2),"Mo","Di","Mi","Do","Fr","Sa","So"))</f>
        <v/>
      </c>
      <c r="C1092" s="20">
        <f>IF(A1092="","",INT((A1092-DATE(YEAR(A1092-WEEKDAY(A1092-1)+4),1,3)+WEEKDAY(DATE(YEAR(A1092-WEEKDAY(A1092-1)+4),1,3))+5)/7))</f>
        <v/>
      </c>
      <c r="D1092" s="21" t="n"/>
      <c r="E1092" s="22" t="n"/>
      <c r="F1092" s="23" t="n"/>
      <c r="G1092" s="23" t="n"/>
      <c r="H1092" s="23" t="n"/>
      <c r="I1092" s="20">
        <f>IF(COUNT(F1092:H1092)=0,"",SUM(F1092:H1092))</f>
        <v/>
      </c>
      <c r="J1092" s="23" t="n"/>
      <c r="K1092" s="23" t="n"/>
      <c r="L1092" s="23" t="n"/>
      <c r="M1092" s="23" t="n"/>
      <c r="N1092" s="23" t="n"/>
      <c r="O1092" s="20">
        <f>IF(OR(I1092="",COUNT(J1092:N1092)=0),"",IF(SUM(J1092:N1092)=I1092,"✓","⚠ "&amp;SUM(J1092:N1092)&amp;" statt "&amp;I1092))</f>
        <v/>
      </c>
      <c r="P1092" s="21" t="n"/>
      <c r="Q1092" s="21" t="n"/>
      <c r="R1092" s="21" t="n"/>
      <c r="S1092" s="24" t="n"/>
      <c r="T1092" s="24" t="n"/>
      <c r="V1092">
        <f>IF(A1092="","",MONTH(A1092))</f>
        <v/>
      </c>
      <c r="W1092">
        <f>N(W1091)+IF(AND(C1092&lt;&gt;"",T1092&lt;&gt;""),IF(C1092=WOCHE!$B$3,1,0),0)</f>
        <v/>
      </c>
      <c r="X1092">
        <f>N(X1091)+IF(AND(V1092&lt;&gt;"",T1092&lt;&gt;""),IF(V1092=MONAT!$AZ$3,1,0),0)</f>
        <v/>
      </c>
    </row>
    <row r="1093">
      <c r="A1093" s="19" t="n"/>
      <c r="B1093" s="20">
        <f>IF(A1093="","",CHOOSE(WEEKDAY(A1093,2),"Mo","Di","Mi","Do","Fr","Sa","So"))</f>
        <v/>
      </c>
      <c r="C1093" s="20">
        <f>IF(A1093="","",INT((A1093-DATE(YEAR(A1093-WEEKDAY(A1093-1)+4),1,3)+WEEKDAY(DATE(YEAR(A1093-WEEKDAY(A1093-1)+4),1,3))+5)/7))</f>
        <v/>
      </c>
      <c r="D1093" s="21" t="n"/>
      <c r="E1093" s="22" t="n"/>
      <c r="F1093" s="23" t="n"/>
      <c r="G1093" s="23" t="n"/>
      <c r="H1093" s="23" t="n"/>
      <c r="I1093" s="20">
        <f>IF(COUNT(F1093:H1093)=0,"",SUM(F1093:H1093))</f>
        <v/>
      </c>
      <c r="J1093" s="23" t="n"/>
      <c r="K1093" s="23" t="n"/>
      <c r="L1093" s="23" t="n"/>
      <c r="M1093" s="23" t="n"/>
      <c r="N1093" s="23" t="n"/>
      <c r="O1093" s="20">
        <f>IF(OR(I1093="",COUNT(J1093:N1093)=0),"",IF(SUM(J1093:N1093)=I1093,"✓","⚠ "&amp;SUM(J1093:N1093)&amp;" statt "&amp;I1093))</f>
        <v/>
      </c>
      <c r="P1093" s="21" t="n"/>
      <c r="Q1093" s="21" t="n"/>
      <c r="R1093" s="21" t="n"/>
      <c r="S1093" s="24" t="n"/>
      <c r="T1093" s="24" t="n"/>
      <c r="V1093">
        <f>IF(A1093="","",MONTH(A1093))</f>
        <v/>
      </c>
      <c r="W1093">
        <f>N(W1092)+IF(AND(C1093&lt;&gt;"",T1093&lt;&gt;""),IF(C1093=WOCHE!$B$3,1,0),0)</f>
        <v/>
      </c>
      <c r="X1093">
        <f>N(X1092)+IF(AND(V1093&lt;&gt;"",T1093&lt;&gt;""),IF(V1093=MONAT!$AZ$3,1,0),0)</f>
        <v/>
      </c>
    </row>
    <row r="1094">
      <c r="A1094" s="19" t="n"/>
      <c r="B1094" s="20">
        <f>IF(A1094="","",CHOOSE(WEEKDAY(A1094,2),"Mo","Di","Mi","Do","Fr","Sa","So"))</f>
        <v/>
      </c>
      <c r="C1094" s="20">
        <f>IF(A1094="","",INT((A1094-DATE(YEAR(A1094-WEEKDAY(A1094-1)+4),1,3)+WEEKDAY(DATE(YEAR(A1094-WEEKDAY(A1094-1)+4),1,3))+5)/7))</f>
        <v/>
      </c>
      <c r="D1094" s="21" t="n"/>
      <c r="E1094" s="22" t="n"/>
      <c r="F1094" s="23" t="n"/>
      <c r="G1094" s="23" t="n"/>
      <c r="H1094" s="23" t="n"/>
      <c r="I1094" s="20">
        <f>IF(COUNT(F1094:H1094)=0,"",SUM(F1094:H1094))</f>
        <v/>
      </c>
      <c r="J1094" s="23" t="n"/>
      <c r="K1094" s="23" t="n"/>
      <c r="L1094" s="23" t="n"/>
      <c r="M1094" s="23" t="n"/>
      <c r="N1094" s="23" t="n"/>
      <c r="O1094" s="20">
        <f>IF(OR(I1094="",COUNT(J1094:N1094)=0),"",IF(SUM(J1094:N1094)=I1094,"✓","⚠ "&amp;SUM(J1094:N1094)&amp;" statt "&amp;I1094))</f>
        <v/>
      </c>
      <c r="P1094" s="21" t="n"/>
      <c r="Q1094" s="21" t="n"/>
      <c r="R1094" s="21" t="n"/>
      <c r="S1094" s="24" t="n"/>
      <c r="T1094" s="24" t="n"/>
      <c r="V1094">
        <f>IF(A1094="","",MONTH(A1094))</f>
        <v/>
      </c>
      <c r="W1094">
        <f>N(W1093)+IF(AND(C1094&lt;&gt;"",T1094&lt;&gt;""),IF(C1094=WOCHE!$B$3,1,0),0)</f>
        <v/>
      </c>
      <c r="X1094">
        <f>N(X1093)+IF(AND(V1094&lt;&gt;"",T1094&lt;&gt;""),IF(V1094=MONAT!$AZ$3,1,0),0)</f>
        <v/>
      </c>
    </row>
    <row r="1095">
      <c r="A1095" s="19" t="n"/>
      <c r="B1095" s="20">
        <f>IF(A1095="","",CHOOSE(WEEKDAY(A1095,2),"Mo","Di","Mi","Do","Fr","Sa","So"))</f>
        <v/>
      </c>
      <c r="C1095" s="20">
        <f>IF(A1095="","",INT((A1095-DATE(YEAR(A1095-WEEKDAY(A1095-1)+4),1,3)+WEEKDAY(DATE(YEAR(A1095-WEEKDAY(A1095-1)+4),1,3))+5)/7))</f>
        <v/>
      </c>
      <c r="D1095" s="21" t="n"/>
      <c r="E1095" s="22" t="n"/>
      <c r="F1095" s="23" t="n"/>
      <c r="G1095" s="23" t="n"/>
      <c r="H1095" s="23" t="n"/>
      <c r="I1095" s="20">
        <f>IF(COUNT(F1095:H1095)=0,"",SUM(F1095:H1095))</f>
        <v/>
      </c>
      <c r="J1095" s="23" t="n"/>
      <c r="K1095" s="23" t="n"/>
      <c r="L1095" s="23" t="n"/>
      <c r="M1095" s="23" t="n"/>
      <c r="N1095" s="23" t="n"/>
      <c r="O1095" s="20">
        <f>IF(OR(I1095="",COUNT(J1095:N1095)=0),"",IF(SUM(J1095:N1095)=I1095,"✓","⚠ "&amp;SUM(J1095:N1095)&amp;" statt "&amp;I1095))</f>
        <v/>
      </c>
      <c r="P1095" s="21" t="n"/>
      <c r="Q1095" s="21" t="n"/>
      <c r="R1095" s="21" t="n"/>
      <c r="S1095" s="24" t="n"/>
      <c r="T1095" s="24" t="n"/>
      <c r="V1095">
        <f>IF(A1095="","",MONTH(A1095))</f>
        <v/>
      </c>
      <c r="W1095">
        <f>N(W1094)+IF(AND(C1095&lt;&gt;"",T1095&lt;&gt;""),IF(C1095=WOCHE!$B$3,1,0),0)</f>
        <v/>
      </c>
      <c r="X1095">
        <f>N(X1094)+IF(AND(V1095&lt;&gt;"",T1095&lt;&gt;""),IF(V1095=MONAT!$AZ$3,1,0),0)</f>
        <v/>
      </c>
    </row>
    <row r="1096">
      <c r="A1096" s="19" t="n"/>
      <c r="B1096" s="20">
        <f>IF(A1096="","",CHOOSE(WEEKDAY(A1096,2),"Mo","Di","Mi","Do","Fr","Sa","So"))</f>
        <v/>
      </c>
      <c r="C1096" s="20">
        <f>IF(A1096="","",INT((A1096-DATE(YEAR(A1096-WEEKDAY(A1096-1)+4),1,3)+WEEKDAY(DATE(YEAR(A1096-WEEKDAY(A1096-1)+4),1,3))+5)/7))</f>
        <v/>
      </c>
      <c r="D1096" s="21" t="n"/>
      <c r="E1096" s="22" t="n"/>
      <c r="F1096" s="23" t="n"/>
      <c r="G1096" s="23" t="n"/>
      <c r="H1096" s="23" t="n"/>
      <c r="I1096" s="20">
        <f>IF(COUNT(F1096:H1096)=0,"",SUM(F1096:H1096))</f>
        <v/>
      </c>
      <c r="J1096" s="23" t="n"/>
      <c r="K1096" s="23" t="n"/>
      <c r="L1096" s="23" t="n"/>
      <c r="M1096" s="23" t="n"/>
      <c r="N1096" s="23" t="n"/>
      <c r="O1096" s="20">
        <f>IF(OR(I1096="",COUNT(J1096:N1096)=0),"",IF(SUM(J1096:N1096)=I1096,"✓","⚠ "&amp;SUM(J1096:N1096)&amp;" statt "&amp;I1096))</f>
        <v/>
      </c>
      <c r="P1096" s="21" t="n"/>
      <c r="Q1096" s="21" t="n"/>
      <c r="R1096" s="21" t="n"/>
      <c r="S1096" s="24" t="n"/>
      <c r="T1096" s="24" t="n"/>
      <c r="V1096">
        <f>IF(A1096="","",MONTH(A1096))</f>
        <v/>
      </c>
      <c r="W1096">
        <f>N(W1095)+IF(AND(C1096&lt;&gt;"",T1096&lt;&gt;""),IF(C1096=WOCHE!$B$3,1,0),0)</f>
        <v/>
      </c>
      <c r="X1096">
        <f>N(X1095)+IF(AND(V1096&lt;&gt;"",T1096&lt;&gt;""),IF(V1096=MONAT!$AZ$3,1,0),0)</f>
        <v/>
      </c>
    </row>
    <row r="1097">
      <c r="A1097" s="19" t="n"/>
      <c r="B1097" s="20">
        <f>IF(A1097="","",CHOOSE(WEEKDAY(A1097,2),"Mo","Di","Mi","Do","Fr","Sa","So"))</f>
        <v/>
      </c>
      <c r="C1097" s="20">
        <f>IF(A1097="","",INT((A1097-DATE(YEAR(A1097-WEEKDAY(A1097-1)+4),1,3)+WEEKDAY(DATE(YEAR(A1097-WEEKDAY(A1097-1)+4),1,3))+5)/7))</f>
        <v/>
      </c>
      <c r="D1097" s="21" t="n"/>
      <c r="E1097" s="22" t="n"/>
      <c r="F1097" s="23" t="n"/>
      <c r="G1097" s="23" t="n"/>
      <c r="H1097" s="23" t="n"/>
      <c r="I1097" s="20">
        <f>IF(COUNT(F1097:H1097)=0,"",SUM(F1097:H1097))</f>
        <v/>
      </c>
      <c r="J1097" s="23" t="n"/>
      <c r="K1097" s="23" t="n"/>
      <c r="L1097" s="23" t="n"/>
      <c r="M1097" s="23" t="n"/>
      <c r="N1097" s="23" t="n"/>
      <c r="O1097" s="20">
        <f>IF(OR(I1097="",COUNT(J1097:N1097)=0),"",IF(SUM(J1097:N1097)=I1097,"✓","⚠ "&amp;SUM(J1097:N1097)&amp;" statt "&amp;I1097))</f>
        <v/>
      </c>
      <c r="P1097" s="21" t="n"/>
      <c r="Q1097" s="21" t="n"/>
      <c r="R1097" s="21" t="n"/>
      <c r="S1097" s="24" t="n"/>
      <c r="T1097" s="24" t="n"/>
      <c r="V1097">
        <f>IF(A1097="","",MONTH(A1097))</f>
        <v/>
      </c>
      <c r="W1097">
        <f>N(W1096)+IF(AND(C1097&lt;&gt;"",T1097&lt;&gt;""),IF(C1097=WOCHE!$B$3,1,0),0)</f>
        <v/>
      </c>
      <c r="X1097">
        <f>N(X1096)+IF(AND(V1097&lt;&gt;"",T1097&lt;&gt;""),IF(V1097=MONAT!$AZ$3,1,0),0)</f>
        <v/>
      </c>
    </row>
    <row r="1098">
      <c r="A1098" s="19" t="n"/>
      <c r="B1098" s="20">
        <f>IF(A1098="","",CHOOSE(WEEKDAY(A1098,2),"Mo","Di","Mi","Do","Fr","Sa","So"))</f>
        <v/>
      </c>
      <c r="C1098" s="20">
        <f>IF(A1098="","",INT((A1098-DATE(YEAR(A1098-WEEKDAY(A1098-1)+4),1,3)+WEEKDAY(DATE(YEAR(A1098-WEEKDAY(A1098-1)+4),1,3))+5)/7))</f>
        <v/>
      </c>
      <c r="D1098" s="21" t="n"/>
      <c r="E1098" s="22" t="n"/>
      <c r="F1098" s="23" t="n"/>
      <c r="G1098" s="23" t="n"/>
      <c r="H1098" s="23" t="n"/>
      <c r="I1098" s="20">
        <f>IF(COUNT(F1098:H1098)=0,"",SUM(F1098:H1098))</f>
        <v/>
      </c>
      <c r="J1098" s="23" t="n"/>
      <c r="K1098" s="23" t="n"/>
      <c r="L1098" s="23" t="n"/>
      <c r="M1098" s="23" t="n"/>
      <c r="N1098" s="23" t="n"/>
      <c r="O1098" s="20">
        <f>IF(OR(I1098="",COUNT(J1098:N1098)=0),"",IF(SUM(J1098:N1098)=I1098,"✓","⚠ "&amp;SUM(J1098:N1098)&amp;" statt "&amp;I1098))</f>
        <v/>
      </c>
      <c r="P1098" s="21" t="n"/>
      <c r="Q1098" s="21" t="n"/>
      <c r="R1098" s="21" t="n"/>
      <c r="S1098" s="24" t="n"/>
      <c r="T1098" s="24" t="n"/>
      <c r="V1098">
        <f>IF(A1098="","",MONTH(A1098))</f>
        <v/>
      </c>
      <c r="W1098">
        <f>N(W1097)+IF(AND(C1098&lt;&gt;"",T1098&lt;&gt;""),IF(C1098=WOCHE!$B$3,1,0),0)</f>
        <v/>
      </c>
      <c r="X1098">
        <f>N(X1097)+IF(AND(V1098&lt;&gt;"",T1098&lt;&gt;""),IF(V1098=MONAT!$AZ$3,1,0),0)</f>
        <v/>
      </c>
    </row>
    <row r="1099">
      <c r="A1099" s="19" t="n"/>
      <c r="B1099" s="20">
        <f>IF(A1099="","",CHOOSE(WEEKDAY(A1099,2),"Mo","Di","Mi","Do","Fr","Sa","So"))</f>
        <v/>
      </c>
      <c r="C1099" s="20">
        <f>IF(A1099="","",INT((A1099-DATE(YEAR(A1099-WEEKDAY(A1099-1)+4),1,3)+WEEKDAY(DATE(YEAR(A1099-WEEKDAY(A1099-1)+4),1,3))+5)/7))</f>
        <v/>
      </c>
      <c r="D1099" s="21" t="n"/>
      <c r="E1099" s="22" t="n"/>
      <c r="F1099" s="23" t="n"/>
      <c r="G1099" s="23" t="n"/>
      <c r="H1099" s="23" t="n"/>
      <c r="I1099" s="20">
        <f>IF(COUNT(F1099:H1099)=0,"",SUM(F1099:H1099))</f>
        <v/>
      </c>
      <c r="J1099" s="23" t="n"/>
      <c r="K1099" s="23" t="n"/>
      <c r="L1099" s="23" t="n"/>
      <c r="M1099" s="23" t="n"/>
      <c r="N1099" s="23" t="n"/>
      <c r="O1099" s="20">
        <f>IF(OR(I1099="",COUNT(J1099:N1099)=0),"",IF(SUM(J1099:N1099)=I1099,"✓","⚠ "&amp;SUM(J1099:N1099)&amp;" statt "&amp;I1099))</f>
        <v/>
      </c>
      <c r="P1099" s="21" t="n"/>
      <c r="Q1099" s="21" t="n"/>
      <c r="R1099" s="21" t="n"/>
      <c r="S1099" s="24" t="n"/>
      <c r="T1099" s="24" t="n"/>
      <c r="V1099">
        <f>IF(A1099="","",MONTH(A1099))</f>
        <v/>
      </c>
      <c r="W1099">
        <f>N(W1098)+IF(AND(C1099&lt;&gt;"",T1099&lt;&gt;""),IF(C1099=WOCHE!$B$3,1,0),0)</f>
        <v/>
      </c>
      <c r="X1099">
        <f>N(X1098)+IF(AND(V1099&lt;&gt;"",T1099&lt;&gt;""),IF(V1099=MONAT!$AZ$3,1,0),0)</f>
        <v/>
      </c>
    </row>
    <row r="1100">
      <c r="A1100" s="19" t="n"/>
      <c r="B1100" s="20">
        <f>IF(A1100="","",CHOOSE(WEEKDAY(A1100,2),"Mo","Di","Mi","Do","Fr","Sa","So"))</f>
        <v/>
      </c>
      <c r="C1100" s="20">
        <f>IF(A1100="","",INT((A1100-DATE(YEAR(A1100-WEEKDAY(A1100-1)+4),1,3)+WEEKDAY(DATE(YEAR(A1100-WEEKDAY(A1100-1)+4),1,3))+5)/7))</f>
        <v/>
      </c>
      <c r="D1100" s="21" t="n"/>
      <c r="E1100" s="22" t="n"/>
      <c r="F1100" s="23" t="n"/>
      <c r="G1100" s="23" t="n"/>
      <c r="H1100" s="23" t="n"/>
      <c r="I1100" s="20">
        <f>IF(COUNT(F1100:H1100)=0,"",SUM(F1100:H1100))</f>
        <v/>
      </c>
      <c r="J1100" s="23" t="n"/>
      <c r="K1100" s="23" t="n"/>
      <c r="L1100" s="23" t="n"/>
      <c r="M1100" s="23" t="n"/>
      <c r="N1100" s="23" t="n"/>
      <c r="O1100" s="20">
        <f>IF(OR(I1100="",COUNT(J1100:N1100)=0),"",IF(SUM(J1100:N1100)=I1100,"✓","⚠ "&amp;SUM(J1100:N1100)&amp;" statt "&amp;I1100))</f>
        <v/>
      </c>
      <c r="P1100" s="21" t="n"/>
      <c r="Q1100" s="21" t="n"/>
      <c r="R1100" s="21" t="n"/>
      <c r="S1100" s="24" t="n"/>
      <c r="T1100" s="24" t="n"/>
      <c r="V1100">
        <f>IF(A1100="","",MONTH(A1100))</f>
        <v/>
      </c>
      <c r="W1100">
        <f>N(W1099)+IF(AND(C1100&lt;&gt;"",T1100&lt;&gt;""),IF(C1100=WOCHE!$B$3,1,0),0)</f>
        <v/>
      </c>
      <c r="X1100">
        <f>N(X1099)+IF(AND(V1100&lt;&gt;"",T1100&lt;&gt;""),IF(V1100=MONAT!$AZ$3,1,0),0)</f>
        <v/>
      </c>
    </row>
    <row r="1101">
      <c r="A1101" s="19" t="n"/>
      <c r="B1101" s="20">
        <f>IF(A1101="","",CHOOSE(WEEKDAY(A1101,2),"Mo","Di","Mi","Do","Fr","Sa","So"))</f>
        <v/>
      </c>
      <c r="C1101" s="20">
        <f>IF(A1101="","",INT((A1101-DATE(YEAR(A1101-WEEKDAY(A1101-1)+4),1,3)+WEEKDAY(DATE(YEAR(A1101-WEEKDAY(A1101-1)+4),1,3))+5)/7))</f>
        <v/>
      </c>
      <c r="D1101" s="21" t="n"/>
      <c r="E1101" s="22" t="n"/>
      <c r="F1101" s="23" t="n"/>
      <c r="G1101" s="23" t="n"/>
      <c r="H1101" s="23" t="n"/>
      <c r="I1101" s="20">
        <f>IF(COUNT(F1101:H1101)=0,"",SUM(F1101:H1101))</f>
        <v/>
      </c>
      <c r="J1101" s="23" t="n"/>
      <c r="K1101" s="23" t="n"/>
      <c r="L1101" s="23" t="n"/>
      <c r="M1101" s="23" t="n"/>
      <c r="N1101" s="23" t="n"/>
      <c r="O1101" s="20">
        <f>IF(OR(I1101="",COUNT(J1101:N1101)=0),"",IF(SUM(J1101:N1101)=I1101,"✓","⚠ "&amp;SUM(J1101:N1101)&amp;" statt "&amp;I1101))</f>
        <v/>
      </c>
      <c r="P1101" s="21" t="n"/>
      <c r="Q1101" s="21" t="n"/>
      <c r="R1101" s="21" t="n"/>
      <c r="S1101" s="24" t="n"/>
      <c r="T1101" s="24" t="n"/>
      <c r="V1101">
        <f>IF(A1101="","",MONTH(A1101))</f>
        <v/>
      </c>
      <c r="W1101">
        <f>N(W1100)+IF(AND(C1101&lt;&gt;"",T1101&lt;&gt;""),IF(C1101=WOCHE!$B$3,1,0),0)</f>
        <v/>
      </c>
      <c r="X1101">
        <f>N(X1100)+IF(AND(V1101&lt;&gt;"",T1101&lt;&gt;""),IF(V1101=MONAT!$AZ$3,1,0),0)</f>
        <v/>
      </c>
    </row>
    <row r="1102">
      <c r="A1102" s="19" t="n"/>
      <c r="B1102" s="20">
        <f>IF(A1102="","",CHOOSE(WEEKDAY(A1102,2),"Mo","Di","Mi","Do","Fr","Sa","So"))</f>
        <v/>
      </c>
      <c r="C1102" s="20">
        <f>IF(A1102="","",INT((A1102-DATE(YEAR(A1102-WEEKDAY(A1102-1)+4),1,3)+WEEKDAY(DATE(YEAR(A1102-WEEKDAY(A1102-1)+4),1,3))+5)/7))</f>
        <v/>
      </c>
      <c r="D1102" s="21" t="n"/>
      <c r="E1102" s="22" t="n"/>
      <c r="F1102" s="23" t="n"/>
      <c r="G1102" s="23" t="n"/>
      <c r="H1102" s="23" t="n"/>
      <c r="I1102" s="20">
        <f>IF(COUNT(F1102:H1102)=0,"",SUM(F1102:H1102))</f>
        <v/>
      </c>
      <c r="J1102" s="23" t="n"/>
      <c r="K1102" s="23" t="n"/>
      <c r="L1102" s="23" t="n"/>
      <c r="M1102" s="23" t="n"/>
      <c r="N1102" s="23" t="n"/>
      <c r="O1102" s="20">
        <f>IF(OR(I1102="",COUNT(J1102:N1102)=0),"",IF(SUM(J1102:N1102)=I1102,"✓","⚠ "&amp;SUM(J1102:N1102)&amp;" statt "&amp;I1102))</f>
        <v/>
      </c>
      <c r="P1102" s="21" t="n"/>
      <c r="Q1102" s="21" t="n"/>
      <c r="R1102" s="21" t="n"/>
      <c r="S1102" s="24" t="n"/>
      <c r="T1102" s="24" t="n"/>
      <c r="V1102">
        <f>IF(A1102="","",MONTH(A1102))</f>
        <v/>
      </c>
      <c r="W1102">
        <f>N(W1101)+IF(AND(C1102&lt;&gt;"",T1102&lt;&gt;""),IF(C1102=WOCHE!$B$3,1,0),0)</f>
        <v/>
      </c>
      <c r="X1102">
        <f>N(X1101)+IF(AND(V1102&lt;&gt;"",T1102&lt;&gt;""),IF(V1102=MONAT!$AZ$3,1,0),0)</f>
        <v/>
      </c>
    </row>
    <row r="1103">
      <c r="A1103" s="19" t="n"/>
      <c r="B1103" s="20">
        <f>IF(A1103="","",CHOOSE(WEEKDAY(A1103,2),"Mo","Di","Mi","Do","Fr","Sa","So"))</f>
        <v/>
      </c>
      <c r="C1103" s="20">
        <f>IF(A1103="","",INT((A1103-DATE(YEAR(A1103-WEEKDAY(A1103-1)+4),1,3)+WEEKDAY(DATE(YEAR(A1103-WEEKDAY(A1103-1)+4),1,3))+5)/7))</f>
        <v/>
      </c>
      <c r="D1103" s="21" t="n"/>
      <c r="E1103" s="22" t="n"/>
      <c r="F1103" s="23" t="n"/>
      <c r="G1103" s="23" t="n"/>
      <c r="H1103" s="23" t="n"/>
      <c r="I1103" s="20">
        <f>IF(COUNT(F1103:H1103)=0,"",SUM(F1103:H1103))</f>
        <v/>
      </c>
      <c r="J1103" s="23" t="n"/>
      <c r="K1103" s="23" t="n"/>
      <c r="L1103" s="23" t="n"/>
      <c r="M1103" s="23" t="n"/>
      <c r="N1103" s="23" t="n"/>
      <c r="O1103" s="20">
        <f>IF(OR(I1103="",COUNT(J1103:N1103)=0),"",IF(SUM(J1103:N1103)=I1103,"✓","⚠ "&amp;SUM(J1103:N1103)&amp;" statt "&amp;I1103))</f>
        <v/>
      </c>
      <c r="P1103" s="21" t="n"/>
      <c r="Q1103" s="21" t="n"/>
      <c r="R1103" s="21" t="n"/>
      <c r="S1103" s="24" t="n"/>
      <c r="T1103" s="24" t="n"/>
      <c r="V1103">
        <f>IF(A1103="","",MONTH(A1103))</f>
        <v/>
      </c>
      <c r="W1103">
        <f>N(W1102)+IF(AND(C1103&lt;&gt;"",T1103&lt;&gt;""),IF(C1103=WOCHE!$B$3,1,0),0)</f>
        <v/>
      </c>
      <c r="X1103">
        <f>N(X1102)+IF(AND(V1103&lt;&gt;"",T1103&lt;&gt;""),IF(V1103=MONAT!$AZ$3,1,0),0)</f>
        <v/>
      </c>
    </row>
    <row r="1104">
      <c r="A1104" s="19" t="n"/>
      <c r="B1104" s="20">
        <f>IF(A1104="","",CHOOSE(WEEKDAY(A1104,2),"Mo","Di","Mi","Do","Fr","Sa","So"))</f>
        <v/>
      </c>
      <c r="C1104" s="20">
        <f>IF(A1104="","",INT((A1104-DATE(YEAR(A1104-WEEKDAY(A1104-1)+4),1,3)+WEEKDAY(DATE(YEAR(A1104-WEEKDAY(A1104-1)+4),1,3))+5)/7))</f>
        <v/>
      </c>
      <c r="D1104" s="21" t="n"/>
      <c r="E1104" s="22" t="n"/>
      <c r="F1104" s="23" t="n"/>
      <c r="G1104" s="23" t="n"/>
      <c r="H1104" s="23" t="n"/>
      <c r="I1104" s="20">
        <f>IF(COUNT(F1104:H1104)=0,"",SUM(F1104:H1104))</f>
        <v/>
      </c>
      <c r="J1104" s="23" t="n"/>
      <c r="K1104" s="23" t="n"/>
      <c r="L1104" s="23" t="n"/>
      <c r="M1104" s="23" t="n"/>
      <c r="N1104" s="23" t="n"/>
      <c r="O1104" s="20">
        <f>IF(OR(I1104="",COUNT(J1104:N1104)=0),"",IF(SUM(J1104:N1104)=I1104,"✓","⚠ "&amp;SUM(J1104:N1104)&amp;" statt "&amp;I1104))</f>
        <v/>
      </c>
      <c r="P1104" s="21" t="n"/>
      <c r="Q1104" s="21" t="n"/>
      <c r="R1104" s="21" t="n"/>
      <c r="S1104" s="24" t="n"/>
      <c r="T1104" s="24" t="n"/>
      <c r="V1104">
        <f>IF(A1104="","",MONTH(A1104))</f>
        <v/>
      </c>
      <c r="W1104">
        <f>N(W1103)+IF(AND(C1104&lt;&gt;"",T1104&lt;&gt;""),IF(C1104=WOCHE!$B$3,1,0),0)</f>
        <v/>
      </c>
      <c r="X1104">
        <f>N(X1103)+IF(AND(V1104&lt;&gt;"",T1104&lt;&gt;""),IF(V1104=MONAT!$AZ$3,1,0),0)</f>
        <v/>
      </c>
    </row>
    <row r="1105">
      <c r="A1105" s="19" t="n"/>
      <c r="B1105" s="20">
        <f>IF(A1105="","",CHOOSE(WEEKDAY(A1105,2),"Mo","Di","Mi","Do","Fr","Sa","So"))</f>
        <v/>
      </c>
      <c r="C1105" s="20">
        <f>IF(A1105="","",INT((A1105-DATE(YEAR(A1105-WEEKDAY(A1105-1)+4),1,3)+WEEKDAY(DATE(YEAR(A1105-WEEKDAY(A1105-1)+4),1,3))+5)/7))</f>
        <v/>
      </c>
      <c r="D1105" s="21" t="n"/>
      <c r="E1105" s="22" t="n"/>
      <c r="F1105" s="23" t="n"/>
      <c r="G1105" s="23" t="n"/>
      <c r="H1105" s="23" t="n"/>
      <c r="I1105" s="20">
        <f>IF(COUNT(F1105:H1105)=0,"",SUM(F1105:H1105))</f>
        <v/>
      </c>
      <c r="J1105" s="23" t="n"/>
      <c r="K1105" s="23" t="n"/>
      <c r="L1105" s="23" t="n"/>
      <c r="M1105" s="23" t="n"/>
      <c r="N1105" s="23" t="n"/>
      <c r="O1105" s="20">
        <f>IF(OR(I1105="",COUNT(J1105:N1105)=0),"",IF(SUM(J1105:N1105)=I1105,"✓","⚠ "&amp;SUM(J1105:N1105)&amp;" statt "&amp;I1105))</f>
        <v/>
      </c>
      <c r="P1105" s="21" t="n"/>
      <c r="Q1105" s="21" t="n"/>
      <c r="R1105" s="21" t="n"/>
      <c r="S1105" s="24" t="n"/>
      <c r="T1105" s="24" t="n"/>
      <c r="V1105">
        <f>IF(A1105="","",MONTH(A1105))</f>
        <v/>
      </c>
      <c r="W1105">
        <f>N(W1104)+IF(AND(C1105&lt;&gt;"",T1105&lt;&gt;""),IF(C1105=WOCHE!$B$3,1,0),0)</f>
        <v/>
      </c>
      <c r="X1105">
        <f>N(X1104)+IF(AND(V1105&lt;&gt;"",T1105&lt;&gt;""),IF(V1105=MONAT!$AZ$3,1,0),0)</f>
        <v/>
      </c>
    </row>
    <row r="1106">
      <c r="A1106" s="19" t="n"/>
      <c r="B1106" s="20">
        <f>IF(A1106="","",CHOOSE(WEEKDAY(A1106,2),"Mo","Di","Mi","Do","Fr","Sa","So"))</f>
        <v/>
      </c>
      <c r="C1106" s="20">
        <f>IF(A1106="","",INT((A1106-DATE(YEAR(A1106-WEEKDAY(A1106-1)+4),1,3)+WEEKDAY(DATE(YEAR(A1106-WEEKDAY(A1106-1)+4),1,3))+5)/7))</f>
        <v/>
      </c>
      <c r="D1106" s="21" t="n"/>
      <c r="E1106" s="22" t="n"/>
      <c r="F1106" s="23" t="n"/>
      <c r="G1106" s="23" t="n"/>
      <c r="H1106" s="23" t="n"/>
      <c r="I1106" s="20">
        <f>IF(COUNT(F1106:H1106)=0,"",SUM(F1106:H1106))</f>
        <v/>
      </c>
      <c r="J1106" s="23" t="n"/>
      <c r="K1106" s="23" t="n"/>
      <c r="L1106" s="23" t="n"/>
      <c r="M1106" s="23" t="n"/>
      <c r="N1106" s="23" t="n"/>
      <c r="O1106" s="20">
        <f>IF(OR(I1106="",COUNT(J1106:N1106)=0),"",IF(SUM(J1106:N1106)=I1106,"✓","⚠ "&amp;SUM(J1106:N1106)&amp;" statt "&amp;I1106))</f>
        <v/>
      </c>
      <c r="P1106" s="21" t="n"/>
      <c r="Q1106" s="21" t="n"/>
      <c r="R1106" s="21" t="n"/>
      <c r="S1106" s="24" t="n"/>
      <c r="T1106" s="24" t="n"/>
      <c r="V1106">
        <f>IF(A1106="","",MONTH(A1106))</f>
        <v/>
      </c>
      <c r="W1106">
        <f>N(W1105)+IF(AND(C1106&lt;&gt;"",T1106&lt;&gt;""),IF(C1106=WOCHE!$B$3,1,0),0)</f>
        <v/>
      </c>
      <c r="X1106">
        <f>N(X1105)+IF(AND(V1106&lt;&gt;"",T1106&lt;&gt;""),IF(V1106=MONAT!$AZ$3,1,0),0)</f>
        <v/>
      </c>
    </row>
    <row r="1107">
      <c r="A1107" s="19" t="n"/>
      <c r="B1107" s="20">
        <f>IF(A1107="","",CHOOSE(WEEKDAY(A1107,2),"Mo","Di","Mi","Do","Fr","Sa","So"))</f>
        <v/>
      </c>
      <c r="C1107" s="20">
        <f>IF(A1107="","",INT((A1107-DATE(YEAR(A1107-WEEKDAY(A1107-1)+4),1,3)+WEEKDAY(DATE(YEAR(A1107-WEEKDAY(A1107-1)+4),1,3))+5)/7))</f>
        <v/>
      </c>
      <c r="D1107" s="21" t="n"/>
      <c r="E1107" s="22" t="n"/>
      <c r="F1107" s="23" t="n"/>
      <c r="G1107" s="23" t="n"/>
      <c r="H1107" s="23" t="n"/>
      <c r="I1107" s="20">
        <f>IF(COUNT(F1107:H1107)=0,"",SUM(F1107:H1107))</f>
        <v/>
      </c>
      <c r="J1107" s="23" t="n"/>
      <c r="K1107" s="23" t="n"/>
      <c r="L1107" s="23" t="n"/>
      <c r="M1107" s="23" t="n"/>
      <c r="N1107" s="23" t="n"/>
      <c r="O1107" s="20">
        <f>IF(OR(I1107="",COUNT(J1107:N1107)=0),"",IF(SUM(J1107:N1107)=I1107,"✓","⚠ "&amp;SUM(J1107:N1107)&amp;" statt "&amp;I1107))</f>
        <v/>
      </c>
      <c r="P1107" s="21" t="n"/>
      <c r="Q1107" s="21" t="n"/>
      <c r="R1107" s="21" t="n"/>
      <c r="S1107" s="24" t="n"/>
      <c r="T1107" s="24" t="n"/>
      <c r="V1107">
        <f>IF(A1107="","",MONTH(A1107))</f>
        <v/>
      </c>
      <c r="W1107">
        <f>N(W1106)+IF(AND(C1107&lt;&gt;"",T1107&lt;&gt;""),IF(C1107=WOCHE!$B$3,1,0),0)</f>
        <v/>
      </c>
      <c r="X1107">
        <f>N(X1106)+IF(AND(V1107&lt;&gt;"",T1107&lt;&gt;""),IF(V1107=MONAT!$AZ$3,1,0),0)</f>
        <v/>
      </c>
    </row>
    <row r="1108">
      <c r="A1108" s="19" t="n"/>
      <c r="B1108" s="20">
        <f>IF(A1108="","",CHOOSE(WEEKDAY(A1108,2),"Mo","Di","Mi","Do","Fr","Sa","So"))</f>
        <v/>
      </c>
      <c r="C1108" s="20">
        <f>IF(A1108="","",INT((A1108-DATE(YEAR(A1108-WEEKDAY(A1108-1)+4),1,3)+WEEKDAY(DATE(YEAR(A1108-WEEKDAY(A1108-1)+4),1,3))+5)/7))</f>
        <v/>
      </c>
      <c r="D1108" s="21" t="n"/>
      <c r="E1108" s="22" t="n"/>
      <c r="F1108" s="23" t="n"/>
      <c r="G1108" s="23" t="n"/>
      <c r="H1108" s="23" t="n"/>
      <c r="I1108" s="20">
        <f>IF(COUNT(F1108:H1108)=0,"",SUM(F1108:H1108))</f>
        <v/>
      </c>
      <c r="J1108" s="23" t="n"/>
      <c r="K1108" s="23" t="n"/>
      <c r="L1108" s="23" t="n"/>
      <c r="M1108" s="23" t="n"/>
      <c r="N1108" s="23" t="n"/>
      <c r="O1108" s="20">
        <f>IF(OR(I1108="",COUNT(J1108:N1108)=0),"",IF(SUM(J1108:N1108)=I1108,"✓","⚠ "&amp;SUM(J1108:N1108)&amp;" statt "&amp;I1108))</f>
        <v/>
      </c>
      <c r="P1108" s="21" t="n"/>
      <c r="Q1108" s="21" t="n"/>
      <c r="R1108" s="21" t="n"/>
      <c r="S1108" s="24" t="n"/>
      <c r="T1108" s="24" t="n"/>
      <c r="V1108">
        <f>IF(A1108="","",MONTH(A1108))</f>
        <v/>
      </c>
      <c r="W1108">
        <f>N(W1107)+IF(AND(C1108&lt;&gt;"",T1108&lt;&gt;""),IF(C1108=WOCHE!$B$3,1,0),0)</f>
        <v/>
      </c>
      <c r="X1108">
        <f>N(X1107)+IF(AND(V1108&lt;&gt;"",T1108&lt;&gt;""),IF(V1108=MONAT!$AZ$3,1,0),0)</f>
        <v/>
      </c>
    </row>
    <row r="1109">
      <c r="A1109" s="19" t="n"/>
      <c r="B1109" s="20">
        <f>IF(A1109="","",CHOOSE(WEEKDAY(A1109,2),"Mo","Di","Mi","Do","Fr","Sa","So"))</f>
        <v/>
      </c>
      <c r="C1109" s="20">
        <f>IF(A1109="","",INT((A1109-DATE(YEAR(A1109-WEEKDAY(A1109-1)+4),1,3)+WEEKDAY(DATE(YEAR(A1109-WEEKDAY(A1109-1)+4),1,3))+5)/7))</f>
        <v/>
      </c>
      <c r="D1109" s="21" t="n"/>
      <c r="E1109" s="22" t="n"/>
      <c r="F1109" s="23" t="n"/>
      <c r="G1109" s="23" t="n"/>
      <c r="H1109" s="23" t="n"/>
      <c r="I1109" s="20">
        <f>IF(COUNT(F1109:H1109)=0,"",SUM(F1109:H1109))</f>
        <v/>
      </c>
      <c r="J1109" s="23" t="n"/>
      <c r="K1109" s="23" t="n"/>
      <c r="L1109" s="23" t="n"/>
      <c r="M1109" s="23" t="n"/>
      <c r="N1109" s="23" t="n"/>
      <c r="O1109" s="20">
        <f>IF(OR(I1109="",COUNT(J1109:N1109)=0),"",IF(SUM(J1109:N1109)=I1109,"✓","⚠ "&amp;SUM(J1109:N1109)&amp;" statt "&amp;I1109))</f>
        <v/>
      </c>
      <c r="P1109" s="21" t="n"/>
      <c r="Q1109" s="21" t="n"/>
      <c r="R1109" s="21" t="n"/>
      <c r="S1109" s="24" t="n"/>
      <c r="T1109" s="24" t="n"/>
      <c r="V1109">
        <f>IF(A1109="","",MONTH(A1109))</f>
        <v/>
      </c>
      <c r="W1109">
        <f>N(W1108)+IF(AND(C1109&lt;&gt;"",T1109&lt;&gt;""),IF(C1109=WOCHE!$B$3,1,0),0)</f>
        <v/>
      </c>
      <c r="X1109">
        <f>N(X1108)+IF(AND(V1109&lt;&gt;"",T1109&lt;&gt;""),IF(V1109=MONAT!$AZ$3,1,0),0)</f>
        <v/>
      </c>
    </row>
    <row r="1110">
      <c r="A1110" s="19" t="n"/>
      <c r="B1110" s="20">
        <f>IF(A1110="","",CHOOSE(WEEKDAY(A1110,2),"Mo","Di","Mi","Do","Fr","Sa","So"))</f>
        <v/>
      </c>
      <c r="C1110" s="20">
        <f>IF(A1110="","",INT((A1110-DATE(YEAR(A1110-WEEKDAY(A1110-1)+4),1,3)+WEEKDAY(DATE(YEAR(A1110-WEEKDAY(A1110-1)+4),1,3))+5)/7))</f>
        <v/>
      </c>
      <c r="D1110" s="21" t="n"/>
      <c r="E1110" s="22" t="n"/>
      <c r="F1110" s="23" t="n"/>
      <c r="G1110" s="23" t="n"/>
      <c r="H1110" s="23" t="n"/>
      <c r="I1110" s="20">
        <f>IF(COUNT(F1110:H1110)=0,"",SUM(F1110:H1110))</f>
        <v/>
      </c>
      <c r="J1110" s="23" t="n"/>
      <c r="K1110" s="23" t="n"/>
      <c r="L1110" s="23" t="n"/>
      <c r="M1110" s="23" t="n"/>
      <c r="N1110" s="23" t="n"/>
      <c r="O1110" s="20">
        <f>IF(OR(I1110="",COUNT(J1110:N1110)=0),"",IF(SUM(J1110:N1110)=I1110,"✓","⚠ "&amp;SUM(J1110:N1110)&amp;" statt "&amp;I1110))</f>
        <v/>
      </c>
      <c r="P1110" s="21" t="n"/>
      <c r="Q1110" s="21" t="n"/>
      <c r="R1110" s="21" t="n"/>
      <c r="S1110" s="24" t="n"/>
      <c r="T1110" s="24" t="n"/>
      <c r="V1110">
        <f>IF(A1110="","",MONTH(A1110))</f>
        <v/>
      </c>
      <c r="W1110">
        <f>N(W1109)+IF(AND(C1110&lt;&gt;"",T1110&lt;&gt;""),IF(C1110=WOCHE!$B$3,1,0),0)</f>
        <v/>
      </c>
      <c r="X1110">
        <f>N(X1109)+IF(AND(V1110&lt;&gt;"",T1110&lt;&gt;""),IF(V1110=MONAT!$AZ$3,1,0),0)</f>
        <v/>
      </c>
    </row>
    <row r="1111">
      <c r="A1111" s="19" t="n"/>
      <c r="B1111" s="20">
        <f>IF(A1111="","",CHOOSE(WEEKDAY(A1111,2),"Mo","Di","Mi","Do","Fr","Sa","So"))</f>
        <v/>
      </c>
      <c r="C1111" s="20">
        <f>IF(A1111="","",INT((A1111-DATE(YEAR(A1111-WEEKDAY(A1111-1)+4),1,3)+WEEKDAY(DATE(YEAR(A1111-WEEKDAY(A1111-1)+4),1,3))+5)/7))</f>
        <v/>
      </c>
      <c r="D1111" s="21" t="n"/>
      <c r="E1111" s="22" t="n"/>
      <c r="F1111" s="23" t="n"/>
      <c r="G1111" s="23" t="n"/>
      <c r="H1111" s="23" t="n"/>
      <c r="I1111" s="20">
        <f>IF(COUNT(F1111:H1111)=0,"",SUM(F1111:H1111))</f>
        <v/>
      </c>
      <c r="J1111" s="23" t="n"/>
      <c r="K1111" s="23" t="n"/>
      <c r="L1111" s="23" t="n"/>
      <c r="M1111" s="23" t="n"/>
      <c r="N1111" s="23" t="n"/>
      <c r="O1111" s="20">
        <f>IF(OR(I1111="",COUNT(J1111:N1111)=0),"",IF(SUM(J1111:N1111)=I1111,"✓","⚠ "&amp;SUM(J1111:N1111)&amp;" statt "&amp;I1111))</f>
        <v/>
      </c>
      <c r="P1111" s="21" t="n"/>
      <c r="Q1111" s="21" t="n"/>
      <c r="R1111" s="21" t="n"/>
      <c r="S1111" s="24" t="n"/>
      <c r="T1111" s="24" t="n"/>
      <c r="V1111">
        <f>IF(A1111="","",MONTH(A1111))</f>
        <v/>
      </c>
      <c r="W1111">
        <f>N(W1110)+IF(AND(C1111&lt;&gt;"",T1111&lt;&gt;""),IF(C1111=WOCHE!$B$3,1,0),0)</f>
        <v/>
      </c>
      <c r="X1111">
        <f>N(X1110)+IF(AND(V1111&lt;&gt;"",T1111&lt;&gt;""),IF(V1111=MONAT!$AZ$3,1,0),0)</f>
        <v/>
      </c>
    </row>
    <row r="1112">
      <c r="A1112" s="19" t="n"/>
      <c r="B1112" s="20">
        <f>IF(A1112="","",CHOOSE(WEEKDAY(A1112,2),"Mo","Di","Mi","Do","Fr","Sa","So"))</f>
        <v/>
      </c>
      <c r="C1112" s="20">
        <f>IF(A1112="","",INT((A1112-DATE(YEAR(A1112-WEEKDAY(A1112-1)+4),1,3)+WEEKDAY(DATE(YEAR(A1112-WEEKDAY(A1112-1)+4),1,3))+5)/7))</f>
        <v/>
      </c>
      <c r="D1112" s="21" t="n"/>
      <c r="E1112" s="22" t="n"/>
      <c r="F1112" s="23" t="n"/>
      <c r="G1112" s="23" t="n"/>
      <c r="H1112" s="23" t="n"/>
      <c r="I1112" s="20">
        <f>IF(COUNT(F1112:H1112)=0,"",SUM(F1112:H1112))</f>
        <v/>
      </c>
      <c r="J1112" s="23" t="n"/>
      <c r="K1112" s="23" t="n"/>
      <c r="L1112" s="23" t="n"/>
      <c r="M1112" s="23" t="n"/>
      <c r="N1112" s="23" t="n"/>
      <c r="O1112" s="20">
        <f>IF(OR(I1112="",COUNT(J1112:N1112)=0),"",IF(SUM(J1112:N1112)=I1112,"✓","⚠ "&amp;SUM(J1112:N1112)&amp;" statt "&amp;I1112))</f>
        <v/>
      </c>
      <c r="P1112" s="21" t="n"/>
      <c r="Q1112" s="21" t="n"/>
      <c r="R1112" s="21" t="n"/>
      <c r="S1112" s="24" t="n"/>
      <c r="T1112" s="24" t="n"/>
      <c r="V1112">
        <f>IF(A1112="","",MONTH(A1112))</f>
        <v/>
      </c>
      <c r="W1112">
        <f>N(W1111)+IF(AND(C1112&lt;&gt;"",T1112&lt;&gt;""),IF(C1112=WOCHE!$B$3,1,0),0)</f>
        <v/>
      </c>
      <c r="X1112">
        <f>N(X1111)+IF(AND(V1112&lt;&gt;"",T1112&lt;&gt;""),IF(V1112=MONAT!$AZ$3,1,0),0)</f>
        <v/>
      </c>
    </row>
    <row r="1113">
      <c r="A1113" s="19" t="n"/>
      <c r="B1113" s="20">
        <f>IF(A1113="","",CHOOSE(WEEKDAY(A1113,2),"Mo","Di","Mi","Do","Fr","Sa","So"))</f>
        <v/>
      </c>
      <c r="C1113" s="20">
        <f>IF(A1113="","",INT((A1113-DATE(YEAR(A1113-WEEKDAY(A1113-1)+4),1,3)+WEEKDAY(DATE(YEAR(A1113-WEEKDAY(A1113-1)+4),1,3))+5)/7))</f>
        <v/>
      </c>
      <c r="D1113" s="21" t="n"/>
      <c r="E1113" s="22" t="n"/>
      <c r="F1113" s="23" t="n"/>
      <c r="G1113" s="23" t="n"/>
      <c r="H1113" s="23" t="n"/>
      <c r="I1113" s="20">
        <f>IF(COUNT(F1113:H1113)=0,"",SUM(F1113:H1113))</f>
        <v/>
      </c>
      <c r="J1113" s="23" t="n"/>
      <c r="K1113" s="23" t="n"/>
      <c r="L1113" s="23" t="n"/>
      <c r="M1113" s="23" t="n"/>
      <c r="N1113" s="23" t="n"/>
      <c r="O1113" s="20">
        <f>IF(OR(I1113="",COUNT(J1113:N1113)=0),"",IF(SUM(J1113:N1113)=I1113,"✓","⚠ "&amp;SUM(J1113:N1113)&amp;" statt "&amp;I1113))</f>
        <v/>
      </c>
      <c r="P1113" s="21" t="n"/>
      <c r="Q1113" s="21" t="n"/>
      <c r="R1113" s="21" t="n"/>
      <c r="S1113" s="24" t="n"/>
      <c r="T1113" s="24" t="n"/>
      <c r="V1113">
        <f>IF(A1113="","",MONTH(A1113))</f>
        <v/>
      </c>
      <c r="W1113">
        <f>N(W1112)+IF(AND(C1113&lt;&gt;"",T1113&lt;&gt;""),IF(C1113=WOCHE!$B$3,1,0),0)</f>
        <v/>
      </c>
      <c r="X1113">
        <f>N(X1112)+IF(AND(V1113&lt;&gt;"",T1113&lt;&gt;""),IF(V1113=MONAT!$AZ$3,1,0),0)</f>
        <v/>
      </c>
    </row>
    <row r="1114">
      <c r="A1114" s="19" t="n"/>
      <c r="B1114" s="20">
        <f>IF(A1114="","",CHOOSE(WEEKDAY(A1114,2),"Mo","Di","Mi","Do","Fr","Sa","So"))</f>
        <v/>
      </c>
      <c r="C1114" s="20">
        <f>IF(A1114="","",INT((A1114-DATE(YEAR(A1114-WEEKDAY(A1114-1)+4),1,3)+WEEKDAY(DATE(YEAR(A1114-WEEKDAY(A1114-1)+4),1,3))+5)/7))</f>
        <v/>
      </c>
      <c r="D1114" s="21" t="n"/>
      <c r="E1114" s="22" t="n"/>
      <c r="F1114" s="23" t="n"/>
      <c r="G1114" s="23" t="n"/>
      <c r="H1114" s="23" t="n"/>
      <c r="I1114" s="20">
        <f>IF(COUNT(F1114:H1114)=0,"",SUM(F1114:H1114))</f>
        <v/>
      </c>
      <c r="J1114" s="23" t="n"/>
      <c r="K1114" s="23" t="n"/>
      <c r="L1114" s="23" t="n"/>
      <c r="M1114" s="23" t="n"/>
      <c r="N1114" s="23" t="n"/>
      <c r="O1114" s="20">
        <f>IF(OR(I1114="",COUNT(J1114:N1114)=0),"",IF(SUM(J1114:N1114)=I1114,"✓","⚠ "&amp;SUM(J1114:N1114)&amp;" statt "&amp;I1114))</f>
        <v/>
      </c>
      <c r="P1114" s="21" t="n"/>
      <c r="Q1114" s="21" t="n"/>
      <c r="R1114" s="21" t="n"/>
      <c r="S1114" s="24" t="n"/>
      <c r="T1114" s="24" t="n"/>
      <c r="V1114">
        <f>IF(A1114="","",MONTH(A1114))</f>
        <v/>
      </c>
      <c r="W1114">
        <f>N(W1113)+IF(AND(C1114&lt;&gt;"",T1114&lt;&gt;""),IF(C1114=WOCHE!$B$3,1,0),0)</f>
        <v/>
      </c>
      <c r="X1114">
        <f>N(X1113)+IF(AND(V1114&lt;&gt;"",T1114&lt;&gt;""),IF(V1114=MONAT!$AZ$3,1,0),0)</f>
        <v/>
      </c>
    </row>
    <row r="1115">
      <c r="A1115" s="19" t="n"/>
      <c r="B1115" s="20">
        <f>IF(A1115="","",CHOOSE(WEEKDAY(A1115,2),"Mo","Di","Mi","Do","Fr","Sa","So"))</f>
        <v/>
      </c>
      <c r="C1115" s="20">
        <f>IF(A1115="","",INT((A1115-DATE(YEAR(A1115-WEEKDAY(A1115-1)+4),1,3)+WEEKDAY(DATE(YEAR(A1115-WEEKDAY(A1115-1)+4),1,3))+5)/7))</f>
        <v/>
      </c>
      <c r="D1115" s="21" t="n"/>
      <c r="E1115" s="22" t="n"/>
      <c r="F1115" s="23" t="n"/>
      <c r="G1115" s="23" t="n"/>
      <c r="H1115" s="23" t="n"/>
      <c r="I1115" s="20">
        <f>IF(COUNT(F1115:H1115)=0,"",SUM(F1115:H1115))</f>
        <v/>
      </c>
      <c r="J1115" s="23" t="n"/>
      <c r="K1115" s="23" t="n"/>
      <c r="L1115" s="23" t="n"/>
      <c r="M1115" s="23" t="n"/>
      <c r="N1115" s="23" t="n"/>
      <c r="O1115" s="20">
        <f>IF(OR(I1115="",COUNT(J1115:N1115)=0),"",IF(SUM(J1115:N1115)=I1115,"✓","⚠ "&amp;SUM(J1115:N1115)&amp;" statt "&amp;I1115))</f>
        <v/>
      </c>
      <c r="P1115" s="21" t="n"/>
      <c r="Q1115" s="21" t="n"/>
      <c r="R1115" s="21" t="n"/>
      <c r="S1115" s="24" t="n"/>
      <c r="T1115" s="24" t="n"/>
      <c r="V1115">
        <f>IF(A1115="","",MONTH(A1115))</f>
        <v/>
      </c>
      <c r="W1115">
        <f>N(W1114)+IF(AND(C1115&lt;&gt;"",T1115&lt;&gt;""),IF(C1115=WOCHE!$B$3,1,0),0)</f>
        <v/>
      </c>
      <c r="X1115">
        <f>N(X1114)+IF(AND(V1115&lt;&gt;"",T1115&lt;&gt;""),IF(V1115=MONAT!$AZ$3,1,0),0)</f>
        <v/>
      </c>
    </row>
    <row r="1116">
      <c r="A1116" s="19" t="n"/>
      <c r="B1116" s="20">
        <f>IF(A1116="","",CHOOSE(WEEKDAY(A1116,2),"Mo","Di","Mi","Do","Fr","Sa","So"))</f>
        <v/>
      </c>
      <c r="C1116" s="20">
        <f>IF(A1116="","",INT((A1116-DATE(YEAR(A1116-WEEKDAY(A1116-1)+4),1,3)+WEEKDAY(DATE(YEAR(A1116-WEEKDAY(A1116-1)+4),1,3))+5)/7))</f>
        <v/>
      </c>
      <c r="D1116" s="21" t="n"/>
      <c r="E1116" s="22" t="n"/>
      <c r="F1116" s="23" t="n"/>
      <c r="G1116" s="23" t="n"/>
      <c r="H1116" s="23" t="n"/>
      <c r="I1116" s="20">
        <f>IF(COUNT(F1116:H1116)=0,"",SUM(F1116:H1116))</f>
        <v/>
      </c>
      <c r="J1116" s="23" t="n"/>
      <c r="K1116" s="23" t="n"/>
      <c r="L1116" s="23" t="n"/>
      <c r="M1116" s="23" t="n"/>
      <c r="N1116" s="23" t="n"/>
      <c r="O1116" s="20">
        <f>IF(OR(I1116="",COUNT(J1116:N1116)=0),"",IF(SUM(J1116:N1116)=I1116,"✓","⚠ "&amp;SUM(J1116:N1116)&amp;" statt "&amp;I1116))</f>
        <v/>
      </c>
      <c r="P1116" s="21" t="n"/>
      <c r="Q1116" s="21" t="n"/>
      <c r="R1116" s="21" t="n"/>
      <c r="S1116" s="24" t="n"/>
      <c r="T1116" s="24" t="n"/>
      <c r="V1116">
        <f>IF(A1116="","",MONTH(A1116))</f>
        <v/>
      </c>
      <c r="W1116">
        <f>N(W1115)+IF(AND(C1116&lt;&gt;"",T1116&lt;&gt;""),IF(C1116=WOCHE!$B$3,1,0),0)</f>
        <v/>
      </c>
      <c r="X1116">
        <f>N(X1115)+IF(AND(V1116&lt;&gt;"",T1116&lt;&gt;""),IF(V1116=MONAT!$AZ$3,1,0),0)</f>
        <v/>
      </c>
    </row>
    <row r="1117">
      <c r="A1117" s="19" t="n"/>
      <c r="B1117" s="20">
        <f>IF(A1117="","",CHOOSE(WEEKDAY(A1117,2),"Mo","Di","Mi","Do","Fr","Sa","So"))</f>
        <v/>
      </c>
      <c r="C1117" s="20">
        <f>IF(A1117="","",INT((A1117-DATE(YEAR(A1117-WEEKDAY(A1117-1)+4),1,3)+WEEKDAY(DATE(YEAR(A1117-WEEKDAY(A1117-1)+4),1,3))+5)/7))</f>
        <v/>
      </c>
      <c r="D1117" s="21" t="n"/>
      <c r="E1117" s="22" t="n"/>
      <c r="F1117" s="23" t="n"/>
      <c r="G1117" s="23" t="n"/>
      <c r="H1117" s="23" t="n"/>
      <c r="I1117" s="20">
        <f>IF(COUNT(F1117:H1117)=0,"",SUM(F1117:H1117))</f>
        <v/>
      </c>
      <c r="J1117" s="23" t="n"/>
      <c r="K1117" s="23" t="n"/>
      <c r="L1117" s="23" t="n"/>
      <c r="M1117" s="23" t="n"/>
      <c r="N1117" s="23" t="n"/>
      <c r="O1117" s="20">
        <f>IF(OR(I1117="",COUNT(J1117:N1117)=0),"",IF(SUM(J1117:N1117)=I1117,"✓","⚠ "&amp;SUM(J1117:N1117)&amp;" statt "&amp;I1117))</f>
        <v/>
      </c>
      <c r="P1117" s="21" t="n"/>
      <c r="Q1117" s="21" t="n"/>
      <c r="R1117" s="21" t="n"/>
      <c r="S1117" s="24" t="n"/>
      <c r="T1117" s="24" t="n"/>
      <c r="V1117">
        <f>IF(A1117="","",MONTH(A1117))</f>
        <v/>
      </c>
      <c r="W1117">
        <f>N(W1116)+IF(AND(C1117&lt;&gt;"",T1117&lt;&gt;""),IF(C1117=WOCHE!$B$3,1,0),0)</f>
        <v/>
      </c>
      <c r="X1117">
        <f>N(X1116)+IF(AND(V1117&lt;&gt;"",T1117&lt;&gt;""),IF(V1117=MONAT!$AZ$3,1,0),0)</f>
        <v/>
      </c>
    </row>
    <row r="1118">
      <c r="A1118" s="19" t="n"/>
      <c r="B1118" s="20">
        <f>IF(A1118="","",CHOOSE(WEEKDAY(A1118,2),"Mo","Di","Mi","Do","Fr","Sa","So"))</f>
        <v/>
      </c>
      <c r="C1118" s="20">
        <f>IF(A1118="","",INT((A1118-DATE(YEAR(A1118-WEEKDAY(A1118-1)+4),1,3)+WEEKDAY(DATE(YEAR(A1118-WEEKDAY(A1118-1)+4),1,3))+5)/7))</f>
        <v/>
      </c>
      <c r="D1118" s="21" t="n"/>
      <c r="E1118" s="22" t="n"/>
      <c r="F1118" s="23" t="n"/>
      <c r="G1118" s="23" t="n"/>
      <c r="H1118" s="23" t="n"/>
      <c r="I1118" s="20">
        <f>IF(COUNT(F1118:H1118)=0,"",SUM(F1118:H1118))</f>
        <v/>
      </c>
      <c r="J1118" s="23" t="n"/>
      <c r="K1118" s="23" t="n"/>
      <c r="L1118" s="23" t="n"/>
      <c r="M1118" s="23" t="n"/>
      <c r="N1118" s="23" t="n"/>
      <c r="O1118" s="20">
        <f>IF(OR(I1118="",COUNT(J1118:N1118)=0),"",IF(SUM(J1118:N1118)=I1118,"✓","⚠ "&amp;SUM(J1118:N1118)&amp;" statt "&amp;I1118))</f>
        <v/>
      </c>
      <c r="P1118" s="21" t="n"/>
      <c r="Q1118" s="21" t="n"/>
      <c r="R1118" s="21" t="n"/>
      <c r="S1118" s="24" t="n"/>
      <c r="T1118" s="24" t="n"/>
      <c r="V1118">
        <f>IF(A1118="","",MONTH(A1118))</f>
        <v/>
      </c>
      <c r="W1118">
        <f>N(W1117)+IF(AND(C1118&lt;&gt;"",T1118&lt;&gt;""),IF(C1118=WOCHE!$B$3,1,0),0)</f>
        <v/>
      </c>
      <c r="X1118">
        <f>N(X1117)+IF(AND(V1118&lt;&gt;"",T1118&lt;&gt;""),IF(V1118=MONAT!$AZ$3,1,0),0)</f>
        <v/>
      </c>
    </row>
    <row r="1119">
      <c r="A1119" s="19" t="n"/>
      <c r="B1119" s="20">
        <f>IF(A1119="","",CHOOSE(WEEKDAY(A1119,2),"Mo","Di","Mi","Do","Fr","Sa","So"))</f>
        <v/>
      </c>
      <c r="C1119" s="20">
        <f>IF(A1119="","",INT((A1119-DATE(YEAR(A1119-WEEKDAY(A1119-1)+4),1,3)+WEEKDAY(DATE(YEAR(A1119-WEEKDAY(A1119-1)+4),1,3))+5)/7))</f>
        <v/>
      </c>
      <c r="D1119" s="21" t="n"/>
      <c r="E1119" s="22" t="n"/>
      <c r="F1119" s="23" t="n"/>
      <c r="G1119" s="23" t="n"/>
      <c r="H1119" s="23" t="n"/>
      <c r="I1119" s="20">
        <f>IF(COUNT(F1119:H1119)=0,"",SUM(F1119:H1119))</f>
        <v/>
      </c>
      <c r="J1119" s="23" t="n"/>
      <c r="K1119" s="23" t="n"/>
      <c r="L1119" s="23" t="n"/>
      <c r="M1119" s="23" t="n"/>
      <c r="N1119" s="23" t="n"/>
      <c r="O1119" s="20">
        <f>IF(OR(I1119="",COUNT(J1119:N1119)=0),"",IF(SUM(J1119:N1119)=I1119,"✓","⚠ "&amp;SUM(J1119:N1119)&amp;" statt "&amp;I1119))</f>
        <v/>
      </c>
      <c r="P1119" s="21" t="n"/>
      <c r="Q1119" s="21" t="n"/>
      <c r="R1119" s="21" t="n"/>
      <c r="S1119" s="24" t="n"/>
      <c r="T1119" s="24" t="n"/>
      <c r="V1119">
        <f>IF(A1119="","",MONTH(A1119))</f>
        <v/>
      </c>
      <c r="W1119">
        <f>N(W1118)+IF(AND(C1119&lt;&gt;"",T1119&lt;&gt;""),IF(C1119=WOCHE!$B$3,1,0),0)</f>
        <v/>
      </c>
      <c r="X1119">
        <f>N(X1118)+IF(AND(V1119&lt;&gt;"",T1119&lt;&gt;""),IF(V1119=MONAT!$AZ$3,1,0),0)</f>
        <v/>
      </c>
    </row>
    <row r="1120">
      <c r="A1120" s="19" t="n"/>
      <c r="B1120" s="20">
        <f>IF(A1120="","",CHOOSE(WEEKDAY(A1120,2),"Mo","Di","Mi","Do","Fr","Sa","So"))</f>
        <v/>
      </c>
      <c r="C1120" s="20">
        <f>IF(A1120="","",INT((A1120-DATE(YEAR(A1120-WEEKDAY(A1120-1)+4),1,3)+WEEKDAY(DATE(YEAR(A1120-WEEKDAY(A1120-1)+4),1,3))+5)/7))</f>
        <v/>
      </c>
      <c r="D1120" s="21" t="n"/>
      <c r="E1120" s="22" t="n"/>
      <c r="F1120" s="23" t="n"/>
      <c r="G1120" s="23" t="n"/>
      <c r="H1120" s="23" t="n"/>
      <c r="I1120" s="20">
        <f>IF(COUNT(F1120:H1120)=0,"",SUM(F1120:H1120))</f>
        <v/>
      </c>
      <c r="J1120" s="23" t="n"/>
      <c r="K1120" s="23" t="n"/>
      <c r="L1120" s="23" t="n"/>
      <c r="M1120" s="23" t="n"/>
      <c r="N1120" s="23" t="n"/>
      <c r="O1120" s="20">
        <f>IF(OR(I1120="",COUNT(J1120:N1120)=0),"",IF(SUM(J1120:N1120)=I1120,"✓","⚠ "&amp;SUM(J1120:N1120)&amp;" statt "&amp;I1120))</f>
        <v/>
      </c>
      <c r="P1120" s="21" t="n"/>
      <c r="Q1120" s="21" t="n"/>
      <c r="R1120" s="21" t="n"/>
      <c r="S1120" s="24" t="n"/>
      <c r="T1120" s="24" t="n"/>
      <c r="V1120">
        <f>IF(A1120="","",MONTH(A1120))</f>
        <v/>
      </c>
      <c r="W1120">
        <f>N(W1119)+IF(AND(C1120&lt;&gt;"",T1120&lt;&gt;""),IF(C1120=WOCHE!$B$3,1,0),0)</f>
        <v/>
      </c>
      <c r="X1120">
        <f>N(X1119)+IF(AND(V1120&lt;&gt;"",T1120&lt;&gt;""),IF(V1120=MONAT!$AZ$3,1,0),0)</f>
        <v/>
      </c>
    </row>
    <row r="1121">
      <c r="A1121" s="19" t="n"/>
      <c r="B1121" s="20">
        <f>IF(A1121="","",CHOOSE(WEEKDAY(A1121,2),"Mo","Di","Mi","Do","Fr","Sa","So"))</f>
        <v/>
      </c>
      <c r="C1121" s="20">
        <f>IF(A1121="","",INT((A1121-DATE(YEAR(A1121-WEEKDAY(A1121-1)+4),1,3)+WEEKDAY(DATE(YEAR(A1121-WEEKDAY(A1121-1)+4),1,3))+5)/7))</f>
        <v/>
      </c>
      <c r="D1121" s="21" t="n"/>
      <c r="E1121" s="22" t="n"/>
      <c r="F1121" s="23" t="n"/>
      <c r="G1121" s="23" t="n"/>
      <c r="H1121" s="23" t="n"/>
      <c r="I1121" s="20">
        <f>IF(COUNT(F1121:H1121)=0,"",SUM(F1121:H1121))</f>
        <v/>
      </c>
      <c r="J1121" s="23" t="n"/>
      <c r="K1121" s="23" t="n"/>
      <c r="L1121" s="23" t="n"/>
      <c r="M1121" s="23" t="n"/>
      <c r="N1121" s="23" t="n"/>
      <c r="O1121" s="20">
        <f>IF(OR(I1121="",COUNT(J1121:N1121)=0),"",IF(SUM(J1121:N1121)=I1121,"✓","⚠ "&amp;SUM(J1121:N1121)&amp;" statt "&amp;I1121))</f>
        <v/>
      </c>
      <c r="P1121" s="21" t="n"/>
      <c r="Q1121" s="21" t="n"/>
      <c r="R1121" s="21" t="n"/>
      <c r="S1121" s="24" t="n"/>
      <c r="T1121" s="24" t="n"/>
      <c r="V1121">
        <f>IF(A1121="","",MONTH(A1121))</f>
        <v/>
      </c>
      <c r="W1121">
        <f>N(W1120)+IF(AND(C1121&lt;&gt;"",T1121&lt;&gt;""),IF(C1121=WOCHE!$B$3,1,0),0)</f>
        <v/>
      </c>
      <c r="X1121">
        <f>N(X1120)+IF(AND(V1121&lt;&gt;"",T1121&lt;&gt;""),IF(V1121=MONAT!$AZ$3,1,0),0)</f>
        <v/>
      </c>
    </row>
    <row r="1122">
      <c r="A1122" s="19" t="n"/>
      <c r="B1122" s="20">
        <f>IF(A1122="","",CHOOSE(WEEKDAY(A1122,2),"Mo","Di","Mi","Do","Fr","Sa","So"))</f>
        <v/>
      </c>
      <c r="C1122" s="20">
        <f>IF(A1122="","",INT((A1122-DATE(YEAR(A1122-WEEKDAY(A1122-1)+4),1,3)+WEEKDAY(DATE(YEAR(A1122-WEEKDAY(A1122-1)+4),1,3))+5)/7))</f>
        <v/>
      </c>
      <c r="D1122" s="21" t="n"/>
      <c r="E1122" s="22" t="n"/>
      <c r="F1122" s="23" t="n"/>
      <c r="G1122" s="23" t="n"/>
      <c r="H1122" s="23" t="n"/>
      <c r="I1122" s="20">
        <f>IF(COUNT(F1122:H1122)=0,"",SUM(F1122:H1122))</f>
        <v/>
      </c>
      <c r="J1122" s="23" t="n"/>
      <c r="K1122" s="23" t="n"/>
      <c r="L1122" s="23" t="n"/>
      <c r="M1122" s="23" t="n"/>
      <c r="N1122" s="23" t="n"/>
      <c r="O1122" s="20">
        <f>IF(OR(I1122="",COUNT(J1122:N1122)=0),"",IF(SUM(J1122:N1122)=I1122,"✓","⚠ "&amp;SUM(J1122:N1122)&amp;" statt "&amp;I1122))</f>
        <v/>
      </c>
      <c r="P1122" s="21" t="n"/>
      <c r="Q1122" s="21" t="n"/>
      <c r="R1122" s="21" t="n"/>
      <c r="S1122" s="24" t="n"/>
      <c r="T1122" s="24" t="n"/>
      <c r="V1122">
        <f>IF(A1122="","",MONTH(A1122))</f>
        <v/>
      </c>
      <c r="W1122">
        <f>N(W1121)+IF(AND(C1122&lt;&gt;"",T1122&lt;&gt;""),IF(C1122=WOCHE!$B$3,1,0),0)</f>
        <v/>
      </c>
      <c r="X1122">
        <f>N(X1121)+IF(AND(V1122&lt;&gt;"",T1122&lt;&gt;""),IF(V1122=MONAT!$AZ$3,1,0),0)</f>
        <v/>
      </c>
    </row>
    <row r="1123">
      <c r="A1123" s="19" t="n"/>
      <c r="B1123" s="20">
        <f>IF(A1123="","",CHOOSE(WEEKDAY(A1123,2),"Mo","Di","Mi","Do","Fr","Sa","So"))</f>
        <v/>
      </c>
      <c r="C1123" s="20">
        <f>IF(A1123="","",INT((A1123-DATE(YEAR(A1123-WEEKDAY(A1123-1)+4),1,3)+WEEKDAY(DATE(YEAR(A1123-WEEKDAY(A1123-1)+4),1,3))+5)/7))</f>
        <v/>
      </c>
      <c r="D1123" s="21" t="n"/>
      <c r="E1123" s="22" t="n"/>
      <c r="F1123" s="23" t="n"/>
      <c r="G1123" s="23" t="n"/>
      <c r="H1123" s="23" t="n"/>
      <c r="I1123" s="20">
        <f>IF(COUNT(F1123:H1123)=0,"",SUM(F1123:H1123))</f>
        <v/>
      </c>
      <c r="J1123" s="23" t="n"/>
      <c r="K1123" s="23" t="n"/>
      <c r="L1123" s="23" t="n"/>
      <c r="M1123" s="23" t="n"/>
      <c r="N1123" s="23" t="n"/>
      <c r="O1123" s="20">
        <f>IF(OR(I1123="",COUNT(J1123:N1123)=0),"",IF(SUM(J1123:N1123)=I1123,"✓","⚠ "&amp;SUM(J1123:N1123)&amp;" statt "&amp;I1123))</f>
        <v/>
      </c>
      <c r="P1123" s="21" t="n"/>
      <c r="Q1123" s="21" t="n"/>
      <c r="R1123" s="21" t="n"/>
      <c r="S1123" s="24" t="n"/>
      <c r="T1123" s="24" t="n"/>
      <c r="V1123">
        <f>IF(A1123="","",MONTH(A1123))</f>
        <v/>
      </c>
      <c r="W1123">
        <f>N(W1122)+IF(AND(C1123&lt;&gt;"",T1123&lt;&gt;""),IF(C1123=WOCHE!$B$3,1,0),0)</f>
        <v/>
      </c>
      <c r="X1123">
        <f>N(X1122)+IF(AND(V1123&lt;&gt;"",T1123&lt;&gt;""),IF(V1123=MONAT!$AZ$3,1,0),0)</f>
        <v/>
      </c>
    </row>
    <row r="1124">
      <c r="A1124" s="19" t="n"/>
      <c r="B1124" s="20">
        <f>IF(A1124="","",CHOOSE(WEEKDAY(A1124,2),"Mo","Di","Mi","Do","Fr","Sa","So"))</f>
        <v/>
      </c>
      <c r="C1124" s="20">
        <f>IF(A1124="","",INT((A1124-DATE(YEAR(A1124-WEEKDAY(A1124-1)+4),1,3)+WEEKDAY(DATE(YEAR(A1124-WEEKDAY(A1124-1)+4),1,3))+5)/7))</f>
        <v/>
      </c>
      <c r="D1124" s="21" t="n"/>
      <c r="E1124" s="22" t="n"/>
      <c r="F1124" s="23" t="n"/>
      <c r="G1124" s="23" t="n"/>
      <c r="H1124" s="23" t="n"/>
      <c r="I1124" s="20">
        <f>IF(COUNT(F1124:H1124)=0,"",SUM(F1124:H1124))</f>
        <v/>
      </c>
      <c r="J1124" s="23" t="n"/>
      <c r="K1124" s="23" t="n"/>
      <c r="L1124" s="23" t="n"/>
      <c r="M1124" s="23" t="n"/>
      <c r="N1124" s="23" t="n"/>
      <c r="O1124" s="20">
        <f>IF(OR(I1124="",COUNT(J1124:N1124)=0),"",IF(SUM(J1124:N1124)=I1124,"✓","⚠ "&amp;SUM(J1124:N1124)&amp;" statt "&amp;I1124))</f>
        <v/>
      </c>
      <c r="P1124" s="21" t="n"/>
      <c r="Q1124" s="21" t="n"/>
      <c r="R1124" s="21" t="n"/>
      <c r="S1124" s="24" t="n"/>
      <c r="T1124" s="24" t="n"/>
      <c r="V1124">
        <f>IF(A1124="","",MONTH(A1124))</f>
        <v/>
      </c>
      <c r="W1124">
        <f>N(W1123)+IF(AND(C1124&lt;&gt;"",T1124&lt;&gt;""),IF(C1124=WOCHE!$B$3,1,0),0)</f>
        <v/>
      </c>
      <c r="X1124">
        <f>N(X1123)+IF(AND(V1124&lt;&gt;"",T1124&lt;&gt;""),IF(V1124=MONAT!$AZ$3,1,0),0)</f>
        <v/>
      </c>
    </row>
    <row r="1125">
      <c r="A1125" s="19" t="n"/>
      <c r="B1125" s="20">
        <f>IF(A1125="","",CHOOSE(WEEKDAY(A1125,2),"Mo","Di","Mi","Do","Fr","Sa","So"))</f>
        <v/>
      </c>
      <c r="C1125" s="20">
        <f>IF(A1125="","",INT((A1125-DATE(YEAR(A1125-WEEKDAY(A1125-1)+4),1,3)+WEEKDAY(DATE(YEAR(A1125-WEEKDAY(A1125-1)+4),1,3))+5)/7))</f>
        <v/>
      </c>
      <c r="D1125" s="21" t="n"/>
      <c r="E1125" s="22" t="n"/>
      <c r="F1125" s="23" t="n"/>
      <c r="G1125" s="23" t="n"/>
      <c r="H1125" s="23" t="n"/>
      <c r="I1125" s="20">
        <f>IF(COUNT(F1125:H1125)=0,"",SUM(F1125:H1125))</f>
        <v/>
      </c>
      <c r="J1125" s="23" t="n"/>
      <c r="K1125" s="23" t="n"/>
      <c r="L1125" s="23" t="n"/>
      <c r="M1125" s="23" t="n"/>
      <c r="N1125" s="23" t="n"/>
      <c r="O1125" s="20">
        <f>IF(OR(I1125="",COUNT(J1125:N1125)=0),"",IF(SUM(J1125:N1125)=I1125,"✓","⚠ "&amp;SUM(J1125:N1125)&amp;" statt "&amp;I1125))</f>
        <v/>
      </c>
      <c r="P1125" s="21" t="n"/>
      <c r="Q1125" s="21" t="n"/>
      <c r="R1125" s="21" t="n"/>
      <c r="S1125" s="24" t="n"/>
      <c r="T1125" s="24" t="n"/>
      <c r="V1125">
        <f>IF(A1125="","",MONTH(A1125))</f>
        <v/>
      </c>
      <c r="W1125">
        <f>N(W1124)+IF(AND(C1125&lt;&gt;"",T1125&lt;&gt;""),IF(C1125=WOCHE!$B$3,1,0),0)</f>
        <v/>
      </c>
      <c r="X1125">
        <f>N(X1124)+IF(AND(V1125&lt;&gt;"",T1125&lt;&gt;""),IF(V1125=MONAT!$AZ$3,1,0),0)</f>
        <v/>
      </c>
    </row>
    <row r="1126">
      <c r="A1126" s="19" t="n"/>
      <c r="B1126" s="20">
        <f>IF(A1126="","",CHOOSE(WEEKDAY(A1126,2),"Mo","Di","Mi","Do","Fr","Sa","So"))</f>
        <v/>
      </c>
      <c r="C1126" s="20">
        <f>IF(A1126="","",INT((A1126-DATE(YEAR(A1126-WEEKDAY(A1126-1)+4),1,3)+WEEKDAY(DATE(YEAR(A1126-WEEKDAY(A1126-1)+4),1,3))+5)/7))</f>
        <v/>
      </c>
      <c r="D1126" s="21" t="n"/>
      <c r="E1126" s="22" t="n"/>
      <c r="F1126" s="23" t="n"/>
      <c r="G1126" s="23" t="n"/>
      <c r="H1126" s="23" t="n"/>
      <c r="I1126" s="20">
        <f>IF(COUNT(F1126:H1126)=0,"",SUM(F1126:H1126))</f>
        <v/>
      </c>
      <c r="J1126" s="23" t="n"/>
      <c r="K1126" s="23" t="n"/>
      <c r="L1126" s="23" t="n"/>
      <c r="M1126" s="23" t="n"/>
      <c r="N1126" s="23" t="n"/>
      <c r="O1126" s="20">
        <f>IF(OR(I1126="",COUNT(J1126:N1126)=0),"",IF(SUM(J1126:N1126)=I1126,"✓","⚠ "&amp;SUM(J1126:N1126)&amp;" statt "&amp;I1126))</f>
        <v/>
      </c>
      <c r="P1126" s="21" t="n"/>
      <c r="Q1126" s="21" t="n"/>
      <c r="R1126" s="21" t="n"/>
      <c r="S1126" s="24" t="n"/>
      <c r="T1126" s="24" t="n"/>
      <c r="V1126">
        <f>IF(A1126="","",MONTH(A1126))</f>
        <v/>
      </c>
      <c r="W1126">
        <f>N(W1125)+IF(AND(C1126&lt;&gt;"",T1126&lt;&gt;""),IF(C1126=WOCHE!$B$3,1,0),0)</f>
        <v/>
      </c>
      <c r="X1126">
        <f>N(X1125)+IF(AND(V1126&lt;&gt;"",T1126&lt;&gt;""),IF(V1126=MONAT!$AZ$3,1,0),0)</f>
        <v/>
      </c>
    </row>
    <row r="1127">
      <c r="A1127" s="19" t="n"/>
      <c r="B1127" s="20">
        <f>IF(A1127="","",CHOOSE(WEEKDAY(A1127,2),"Mo","Di","Mi","Do","Fr","Sa","So"))</f>
        <v/>
      </c>
      <c r="C1127" s="20">
        <f>IF(A1127="","",INT((A1127-DATE(YEAR(A1127-WEEKDAY(A1127-1)+4),1,3)+WEEKDAY(DATE(YEAR(A1127-WEEKDAY(A1127-1)+4),1,3))+5)/7))</f>
        <v/>
      </c>
      <c r="D1127" s="21" t="n"/>
      <c r="E1127" s="22" t="n"/>
      <c r="F1127" s="23" t="n"/>
      <c r="G1127" s="23" t="n"/>
      <c r="H1127" s="23" t="n"/>
      <c r="I1127" s="20">
        <f>IF(COUNT(F1127:H1127)=0,"",SUM(F1127:H1127))</f>
        <v/>
      </c>
      <c r="J1127" s="23" t="n"/>
      <c r="K1127" s="23" t="n"/>
      <c r="L1127" s="23" t="n"/>
      <c r="M1127" s="23" t="n"/>
      <c r="N1127" s="23" t="n"/>
      <c r="O1127" s="20">
        <f>IF(OR(I1127="",COUNT(J1127:N1127)=0),"",IF(SUM(J1127:N1127)=I1127,"✓","⚠ "&amp;SUM(J1127:N1127)&amp;" statt "&amp;I1127))</f>
        <v/>
      </c>
      <c r="P1127" s="21" t="n"/>
      <c r="Q1127" s="21" t="n"/>
      <c r="R1127" s="21" t="n"/>
      <c r="S1127" s="24" t="n"/>
      <c r="T1127" s="24" t="n"/>
      <c r="V1127">
        <f>IF(A1127="","",MONTH(A1127))</f>
        <v/>
      </c>
      <c r="W1127">
        <f>N(W1126)+IF(AND(C1127&lt;&gt;"",T1127&lt;&gt;""),IF(C1127=WOCHE!$B$3,1,0),0)</f>
        <v/>
      </c>
      <c r="X1127">
        <f>N(X1126)+IF(AND(V1127&lt;&gt;"",T1127&lt;&gt;""),IF(V1127=MONAT!$AZ$3,1,0),0)</f>
        <v/>
      </c>
    </row>
    <row r="1128">
      <c r="A1128" s="19" t="n"/>
      <c r="B1128" s="20">
        <f>IF(A1128="","",CHOOSE(WEEKDAY(A1128,2),"Mo","Di","Mi","Do","Fr","Sa","So"))</f>
        <v/>
      </c>
      <c r="C1128" s="20">
        <f>IF(A1128="","",INT((A1128-DATE(YEAR(A1128-WEEKDAY(A1128-1)+4),1,3)+WEEKDAY(DATE(YEAR(A1128-WEEKDAY(A1128-1)+4),1,3))+5)/7))</f>
        <v/>
      </c>
      <c r="D1128" s="21" t="n"/>
      <c r="E1128" s="22" t="n"/>
      <c r="F1128" s="23" t="n"/>
      <c r="G1128" s="23" t="n"/>
      <c r="H1128" s="23" t="n"/>
      <c r="I1128" s="20">
        <f>IF(COUNT(F1128:H1128)=0,"",SUM(F1128:H1128))</f>
        <v/>
      </c>
      <c r="J1128" s="23" t="n"/>
      <c r="K1128" s="23" t="n"/>
      <c r="L1128" s="23" t="n"/>
      <c r="M1128" s="23" t="n"/>
      <c r="N1128" s="23" t="n"/>
      <c r="O1128" s="20">
        <f>IF(OR(I1128="",COUNT(J1128:N1128)=0),"",IF(SUM(J1128:N1128)=I1128,"✓","⚠ "&amp;SUM(J1128:N1128)&amp;" statt "&amp;I1128))</f>
        <v/>
      </c>
      <c r="P1128" s="21" t="n"/>
      <c r="Q1128" s="21" t="n"/>
      <c r="R1128" s="21" t="n"/>
      <c r="S1128" s="24" t="n"/>
      <c r="T1128" s="24" t="n"/>
      <c r="V1128">
        <f>IF(A1128="","",MONTH(A1128))</f>
        <v/>
      </c>
      <c r="W1128">
        <f>N(W1127)+IF(AND(C1128&lt;&gt;"",T1128&lt;&gt;""),IF(C1128=WOCHE!$B$3,1,0),0)</f>
        <v/>
      </c>
      <c r="X1128">
        <f>N(X1127)+IF(AND(V1128&lt;&gt;"",T1128&lt;&gt;""),IF(V1128=MONAT!$AZ$3,1,0),0)</f>
        <v/>
      </c>
    </row>
    <row r="1129">
      <c r="A1129" s="19" t="n"/>
      <c r="B1129" s="20">
        <f>IF(A1129="","",CHOOSE(WEEKDAY(A1129,2),"Mo","Di","Mi","Do","Fr","Sa","So"))</f>
        <v/>
      </c>
      <c r="C1129" s="20">
        <f>IF(A1129="","",INT((A1129-DATE(YEAR(A1129-WEEKDAY(A1129-1)+4),1,3)+WEEKDAY(DATE(YEAR(A1129-WEEKDAY(A1129-1)+4),1,3))+5)/7))</f>
        <v/>
      </c>
      <c r="D1129" s="21" t="n"/>
      <c r="E1129" s="22" t="n"/>
      <c r="F1129" s="23" t="n"/>
      <c r="G1129" s="23" t="n"/>
      <c r="H1129" s="23" t="n"/>
      <c r="I1129" s="20">
        <f>IF(COUNT(F1129:H1129)=0,"",SUM(F1129:H1129))</f>
        <v/>
      </c>
      <c r="J1129" s="23" t="n"/>
      <c r="K1129" s="23" t="n"/>
      <c r="L1129" s="23" t="n"/>
      <c r="M1129" s="23" t="n"/>
      <c r="N1129" s="23" t="n"/>
      <c r="O1129" s="20">
        <f>IF(OR(I1129="",COUNT(J1129:N1129)=0),"",IF(SUM(J1129:N1129)=I1129,"✓","⚠ "&amp;SUM(J1129:N1129)&amp;" statt "&amp;I1129))</f>
        <v/>
      </c>
      <c r="P1129" s="21" t="n"/>
      <c r="Q1129" s="21" t="n"/>
      <c r="R1129" s="21" t="n"/>
      <c r="S1129" s="24" t="n"/>
      <c r="T1129" s="24" t="n"/>
      <c r="V1129">
        <f>IF(A1129="","",MONTH(A1129))</f>
        <v/>
      </c>
      <c r="W1129">
        <f>N(W1128)+IF(AND(C1129&lt;&gt;"",T1129&lt;&gt;""),IF(C1129=WOCHE!$B$3,1,0),0)</f>
        <v/>
      </c>
      <c r="X1129">
        <f>N(X1128)+IF(AND(V1129&lt;&gt;"",T1129&lt;&gt;""),IF(V1129=MONAT!$AZ$3,1,0),0)</f>
        <v/>
      </c>
    </row>
    <row r="1130">
      <c r="A1130" s="19" t="n"/>
      <c r="B1130" s="20">
        <f>IF(A1130="","",CHOOSE(WEEKDAY(A1130,2),"Mo","Di","Mi","Do","Fr","Sa","So"))</f>
        <v/>
      </c>
      <c r="C1130" s="20">
        <f>IF(A1130="","",INT((A1130-DATE(YEAR(A1130-WEEKDAY(A1130-1)+4),1,3)+WEEKDAY(DATE(YEAR(A1130-WEEKDAY(A1130-1)+4),1,3))+5)/7))</f>
        <v/>
      </c>
      <c r="D1130" s="21" t="n"/>
      <c r="E1130" s="22" t="n"/>
      <c r="F1130" s="23" t="n"/>
      <c r="G1130" s="23" t="n"/>
      <c r="H1130" s="23" t="n"/>
      <c r="I1130" s="20">
        <f>IF(COUNT(F1130:H1130)=0,"",SUM(F1130:H1130))</f>
        <v/>
      </c>
      <c r="J1130" s="23" t="n"/>
      <c r="K1130" s="23" t="n"/>
      <c r="L1130" s="23" t="n"/>
      <c r="M1130" s="23" t="n"/>
      <c r="N1130" s="23" t="n"/>
      <c r="O1130" s="20">
        <f>IF(OR(I1130="",COUNT(J1130:N1130)=0),"",IF(SUM(J1130:N1130)=I1130,"✓","⚠ "&amp;SUM(J1130:N1130)&amp;" statt "&amp;I1130))</f>
        <v/>
      </c>
      <c r="P1130" s="21" t="n"/>
      <c r="Q1130" s="21" t="n"/>
      <c r="R1130" s="21" t="n"/>
      <c r="S1130" s="24" t="n"/>
      <c r="T1130" s="24" t="n"/>
      <c r="V1130">
        <f>IF(A1130="","",MONTH(A1130))</f>
        <v/>
      </c>
      <c r="W1130">
        <f>N(W1129)+IF(AND(C1130&lt;&gt;"",T1130&lt;&gt;""),IF(C1130=WOCHE!$B$3,1,0),0)</f>
        <v/>
      </c>
      <c r="X1130">
        <f>N(X1129)+IF(AND(V1130&lt;&gt;"",T1130&lt;&gt;""),IF(V1130=MONAT!$AZ$3,1,0),0)</f>
        <v/>
      </c>
    </row>
    <row r="1131">
      <c r="A1131" s="19" t="n"/>
      <c r="B1131" s="20">
        <f>IF(A1131="","",CHOOSE(WEEKDAY(A1131,2),"Mo","Di","Mi","Do","Fr","Sa","So"))</f>
        <v/>
      </c>
      <c r="C1131" s="20">
        <f>IF(A1131="","",INT((A1131-DATE(YEAR(A1131-WEEKDAY(A1131-1)+4),1,3)+WEEKDAY(DATE(YEAR(A1131-WEEKDAY(A1131-1)+4),1,3))+5)/7))</f>
        <v/>
      </c>
      <c r="D1131" s="21" t="n"/>
      <c r="E1131" s="22" t="n"/>
      <c r="F1131" s="23" t="n"/>
      <c r="G1131" s="23" t="n"/>
      <c r="H1131" s="23" t="n"/>
      <c r="I1131" s="20">
        <f>IF(COUNT(F1131:H1131)=0,"",SUM(F1131:H1131))</f>
        <v/>
      </c>
      <c r="J1131" s="23" t="n"/>
      <c r="K1131" s="23" t="n"/>
      <c r="L1131" s="23" t="n"/>
      <c r="M1131" s="23" t="n"/>
      <c r="N1131" s="23" t="n"/>
      <c r="O1131" s="20">
        <f>IF(OR(I1131="",COUNT(J1131:N1131)=0),"",IF(SUM(J1131:N1131)=I1131,"✓","⚠ "&amp;SUM(J1131:N1131)&amp;" statt "&amp;I1131))</f>
        <v/>
      </c>
      <c r="P1131" s="21" t="n"/>
      <c r="Q1131" s="21" t="n"/>
      <c r="R1131" s="21" t="n"/>
      <c r="S1131" s="24" t="n"/>
      <c r="T1131" s="24" t="n"/>
      <c r="V1131">
        <f>IF(A1131="","",MONTH(A1131))</f>
        <v/>
      </c>
      <c r="W1131">
        <f>N(W1130)+IF(AND(C1131&lt;&gt;"",T1131&lt;&gt;""),IF(C1131=WOCHE!$B$3,1,0),0)</f>
        <v/>
      </c>
      <c r="X1131">
        <f>N(X1130)+IF(AND(V1131&lt;&gt;"",T1131&lt;&gt;""),IF(V1131=MONAT!$AZ$3,1,0),0)</f>
        <v/>
      </c>
    </row>
    <row r="1132">
      <c r="A1132" s="19" t="n"/>
      <c r="B1132" s="20">
        <f>IF(A1132="","",CHOOSE(WEEKDAY(A1132,2),"Mo","Di","Mi","Do","Fr","Sa","So"))</f>
        <v/>
      </c>
      <c r="C1132" s="20">
        <f>IF(A1132="","",INT((A1132-DATE(YEAR(A1132-WEEKDAY(A1132-1)+4),1,3)+WEEKDAY(DATE(YEAR(A1132-WEEKDAY(A1132-1)+4),1,3))+5)/7))</f>
        <v/>
      </c>
      <c r="D1132" s="21" t="n"/>
      <c r="E1132" s="22" t="n"/>
      <c r="F1132" s="23" t="n"/>
      <c r="G1132" s="23" t="n"/>
      <c r="H1132" s="23" t="n"/>
      <c r="I1132" s="20">
        <f>IF(COUNT(F1132:H1132)=0,"",SUM(F1132:H1132))</f>
        <v/>
      </c>
      <c r="J1132" s="23" t="n"/>
      <c r="K1132" s="23" t="n"/>
      <c r="L1132" s="23" t="n"/>
      <c r="M1132" s="23" t="n"/>
      <c r="N1132" s="23" t="n"/>
      <c r="O1132" s="20">
        <f>IF(OR(I1132="",COUNT(J1132:N1132)=0),"",IF(SUM(J1132:N1132)=I1132,"✓","⚠ "&amp;SUM(J1132:N1132)&amp;" statt "&amp;I1132))</f>
        <v/>
      </c>
      <c r="P1132" s="21" t="n"/>
      <c r="Q1132" s="21" t="n"/>
      <c r="R1132" s="21" t="n"/>
      <c r="S1132" s="24" t="n"/>
      <c r="T1132" s="24" t="n"/>
      <c r="V1132">
        <f>IF(A1132="","",MONTH(A1132))</f>
        <v/>
      </c>
      <c r="W1132">
        <f>N(W1131)+IF(AND(C1132&lt;&gt;"",T1132&lt;&gt;""),IF(C1132=WOCHE!$B$3,1,0),0)</f>
        <v/>
      </c>
      <c r="X1132">
        <f>N(X1131)+IF(AND(V1132&lt;&gt;"",T1132&lt;&gt;""),IF(V1132=MONAT!$AZ$3,1,0),0)</f>
        <v/>
      </c>
    </row>
    <row r="1133">
      <c r="A1133" s="19" t="n"/>
      <c r="B1133" s="20">
        <f>IF(A1133="","",CHOOSE(WEEKDAY(A1133,2),"Mo","Di","Mi","Do","Fr","Sa","So"))</f>
        <v/>
      </c>
      <c r="C1133" s="20">
        <f>IF(A1133="","",INT((A1133-DATE(YEAR(A1133-WEEKDAY(A1133-1)+4),1,3)+WEEKDAY(DATE(YEAR(A1133-WEEKDAY(A1133-1)+4),1,3))+5)/7))</f>
        <v/>
      </c>
      <c r="D1133" s="21" t="n"/>
      <c r="E1133" s="22" t="n"/>
      <c r="F1133" s="23" t="n"/>
      <c r="G1133" s="23" t="n"/>
      <c r="H1133" s="23" t="n"/>
      <c r="I1133" s="20">
        <f>IF(COUNT(F1133:H1133)=0,"",SUM(F1133:H1133))</f>
        <v/>
      </c>
      <c r="J1133" s="23" t="n"/>
      <c r="K1133" s="23" t="n"/>
      <c r="L1133" s="23" t="n"/>
      <c r="M1133" s="23" t="n"/>
      <c r="N1133" s="23" t="n"/>
      <c r="O1133" s="20">
        <f>IF(OR(I1133="",COUNT(J1133:N1133)=0),"",IF(SUM(J1133:N1133)=I1133,"✓","⚠ "&amp;SUM(J1133:N1133)&amp;" statt "&amp;I1133))</f>
        <v/>
      </c>
      <c r="P1133" s="21" t="n"/>
      <c r="Q1133" s="21" t="n"/>
      <c r="R1133" s="21" t="n"/>
      <c r="S1133" s="24" t="n"/>
      <c r="T1133" s="24" t="n"/>
      <c r="V1133">
        <f>IF(A1133="","",MONTH(A1133))</f>
        <v/>
      </c>
      <c r="W1133">
        <f>N(W1132)+IF(AND(C1133&lt;&gt;"",T1133&lt;&gt;""),IF(C1133=WOCHE!$B$3,1,0),0)</f>
        <v/>
      </c>
      <c r="X1133">
        <f>N(X1132)+IF(AND(V1133&lt;&gt;"",T1133&lt;&gt;""),IF(V1133=MONAT!$AZ$3,1,0),0)</f>
        <v/>
      </c>
    </row>
    <row r="1134">
      <c r="A1134" s="19" t="n"/>
      <c r="B1134" s="20">
        <f>IF(A1134="","",CHOOSE(WEEKDAY(A1134,2),"Mo","Di","Mi","Do","Fr","Sa","So"))</f>
        <v/>
      </c>
      <c r="C1134" s="20">
        <f>IF(A1134="","",INT((A1134-DATE(YEAR(A1134-WEEKDAY(A1134-1)+4),1,3)+WEEKDAY(DATE(YEAR(A1134-WEEKDAY(A1134-1)+4),1,3))+5)/7))</f>
        <v/>
      </c>
      <c r="D1134" s="21" t="n"/>
      <c r="E1134" s="22" t="n"/>
      <c r="F1134" s="23" t="n"/>
      <c r="G1134" s="23" t="n"/>
      <c r="H1134" s="23" t="n"/>
      <c r="I1134" s="20">
        <f>IF(COUNT(F1134:H1134)=0,"",SUM(F1134:H1134))</f>
        <v/>
      </c>
      <c r="J1134" s="23" t="n"/>
      <c r="K1134" s="23" t="n"/>
      <c r="L1134" s="23" t="n"/>
      <c r="M1134" s="23" t="n"/>
      <c r="N1134" s="23" t="n"/>
      <c r="O1134" s="20">
        <f>IF(OR(I1134="",COUNT(J1134:N1134)=0),"",IF(SUM(J1134:N1134)=I1134,"✓","⚠ "&amp;SUM(J1134:N1134)&amp;" statt "&amp;I1134))</f>
        <v/>
      </c>
      <c r="P1134" s="21" t="n"/>
      <c r="Q1134" s="21" t="n"/>
      <c r="R1134" s="21" t="n"/>
      <c r="S1134" s="24" t="n"/>
      <c r="T1134" s="24" t="n"/>
      <c r="V1134">
        <f>IF(A1134="","",MONTH(A1134))</f>
        <v/>
      </c>
      <c r="W1134">
        <f>N(W1133)+IF(AND(C1134&lt;&gt;"",T1134&lt;&gt;""),IF(C1134=WOCHE!$B$3,1,0),0)</f>
        <v/>
      </c>
      <c r="X1134">
        <f>N(X1133)+IF(AND(V1134&lt;&gt;"",T1134&lt;&gt;""),IF(V1134=MONAT!$AZ$3,1,0),0)</f>
        <v/>
      </c>
    </row>
    <row r="1135">
      <c r="A1135" s="19" t="n"/>
      <c r="B1135" s="20">
        <f>IF(A1135="","",CHOOSE(WEEKDAY(A1135,2),"Mo","Di","Mi","Do","Fr","Sa","So"))</f>
        <v/>
      </c>
      <c r="C1135" s="20">
        <f>IF(A1135="","",INT((A1135-DATE(YEAR(A1135-WEEKDAY(A1135-1)+4),1,3)+WEEKDAY(DATE(YEAR(A1135-WEEKDAY(A1135-1)+4),1,3))+5)/7))</f>
        <v/>
      </c>
      <c r="D1135" s="21" t="n"/>
      <c r="E1135" s="22" t="n"/>
      <c r="F1135" s="23" t="n"/>
      <c r="G1135" s="23" t="n"/>
      <c r="H1135" s="23" t="n"/>
      <c r="I1135" s="20">
        <f>IF(COUNT(F1135:H1135)=0,"",SUM(F1135:H1135))</f>
        <v/>
      </c>
      <c r="J1135" s="23" t="n"/>
      <c r="K1135" s="23" t="n"/>
      <c r="L1135" s="23" t="n"/>
      <c r="M1135" s="23" t="n"/>
      <c r="N1135" s="23" t="n"/>
      <c r="O1135" s="20">
        <f>IF(OR(I1135="",COUNT(J1135:N1135)=0),"",IF(SUM(J1135:N1135)=I1135,"✓","⚠ "&amp;SUM(J1135:N1135)&amp;" statt "&amp;I1135))</f>
        <v/>
      </c>
      <c r="P1135" s="21" t="n"/>
      <c r="Q1135" s="21" t="n"/>
      <c r="R1135" s="21" t="n"/>
      <c r="S1135" s="24" t="n"/>
      <c r="T1135" s="24" t="n"/>
      <c r="V1135">
        <f>IF(A1135="","",MONTH(A1135))</f>
        <v/>
      </c>
      <c r="W1135">
        <f>N(W1134)+IF(AND(C1135&lt;&gt;"",T1135&lt;&gt;""),IF(C1135=WOCHE!$B$3,1,0),0)</f>
        <v/>
      </c>
      <c r="X1135">
        <f>N(X1134)+IF(AND(V1135&lt;&gt;"",T1135&lt;&gt;""),IF(V1135=MONAT!$AZ$3,1,0),0)</f>
        <v/>
      </c>
    </row>
    <row r="1136">
      <c r="A1136" s="19" t="n"/>
      <c r="B1136" s="20">
        <f>IF(A1136="","",CHOOSE(WEEKDAY(A1136,2),"Mo","Di","Mi","Do","Fr","Sa","So"))</f>
        <v/>
      </c>
      <c r="C1136" s="20">
        <f>IF(A1136="","",INT((A1136-DATE(YEAR(A1136-WEEKDAY(A1136-1)+4),1,3)+WEEKDAY(DATE(YEAR(A1136-WEEKDAY(A1136-1)+4),1,3))+5)/7))</f>
        <v/>
      </c>
      <c r="D1136" s="21" t="n"/>
      <c r="E1136" s="22" t="n"/>
      <c r="F1136" s="23" t="n"/>
      <c r="G1136" s="23" t="n"/>
      <c r="H1136" s="23" t="n"/>
      <c r="I1136" s="20">
        <f>IF(COUNT(F1136:H1136)=0,"",SUM(F1136:H1136))</f>
        <v/>
      </c>
      <c r="J1136" s="23" t="n"/>
      <c r="K1136" s="23" t="n"/>
      <c r="L1136" s="23" t="n"/>
      <c r="M1136" s="23" t="n"/>
      <c r="N1136" s="23" t="n"/>
      <c r="O1136" s="20">
        <f>IF(OR(I1136="",COUNT(J1136:N1136)=0),"",IF(SUM(J1136:N1136)=I1136,"✓","⚠ "&amp;SUM(J1136:N1136)&amp;" statt "&amp;I1136))</f>
        <v/>
      </c>
      <c r="P1136" s="21" t="n"/>
      <c r="Q1136" s="21" t="n"/>
      <c r="R1136" s="21" t="n"/>
      <c r="S1136" s="24" t="n"/>
      <c r="T1136" s="24" t="n"/>
      <c r="V1136">
        <f>IF(A1136="","",MONTH(A1136))</f>
        <v/>
      </c>
      <c r="W1136">
        <f>N(W1135)+IF(AND(C1136&lt;&gt;"",T1136&lt;&gt;""),IF(C1136=WOCHE!$B$3,1,0),0)</f>
        <v/>
      </c>
      <c r="X1136">
        <f>N(X1135)+IF(AND(V1136&lt;&gt;"",T1136&lt;&gt;""),IF(V1136=MONAT!$AZ$3,1,0),0)</f>
        <v/>
      </c>
    </row>
    <row r="1137">
      <c r="A1137" s="19" t="n"/>
      <c r="B1137" s="20">
        <f>IF(A1137="","",CHOOSE(WEEKDAY(A1137,2),"Mo","Di","Mi","Do","Fr","Sa","So"))</f>
        <v/>
      </c>
      <c r="C1137" s="20">
        <f>IF(A1137="","",INT((A1137-DATE(YEAR(A1137-WEEKDAY(A1137-1)+4),1,3)+WEEKDAY(DATE(YEAR(A1137-WEEKDAY(A1137-1)+4),1,3))+5)/7))</f>
        <v/>
      </c>
      <c r="D1137" s="21" t="n"/>
      <c r="E1137" s="22" t="n"/>
      <c r="F1137" s="23" t="n"/>
      <c r="G1137" s="23" t="n"/>
      <c r="H1137" s="23" t="n"/>
      <c r="I1137" s="20">
        <f>IF(COUNT(F1137:H1137)=0,"",SUM(F1137:H1137))</f>
        <v/>
      </c>
      <c r="J1137" s="23" t="n"/>
      <c r="K1137" s="23" t="n"/>
      <c r="L1137" s="23" t="n"/>
      <c r="M1137" s="23" t="n"/>
      <c r="N1137" s="23" t="n"/>
      <c r="O1137" s="20">
        <f>IF(OR(I1137="",COUNT(J1137:N1137)=0),"",IF(SUM(J1137:N1137)=I1137,"✓","⚠ "&amp;SUM(J1137:N1137)&amp;" statt "&amp;I1137))</f>
        <v/>
      </c>
      <c r="P1137" s="21" t="n"/>
      <c r="Q1137" s="21" t="n"/>
      <c r="R1137" s="21" t="n"/>
      <c r="S1137" s="24" t="n"/>
      <c r="T1137" s="24" t="n"/>
      <c r="V1137">
        <f>IF(A1137="","",MONTH(A1137))</f>
        <v/>
      </c>
      <c r="W1137">
        <f>N(W1136)+IF(AND(C1137&lt;&gt;"",T1137&lt;&gt;""),IF(C1137=WOCHE!$B$3,1,0),0)</f>
        <v/>
      </c>
      <c r="X1137">
        <f>N(X1136)+IF(AND(V1137&lt;&gt;"",T1137&lt;&gt;""),IF(V1137=MONAT!$AZ$3,1,0),0)</f>
        <v/>
      </c>
    </row>
    <row r="1138">
      <c r="A1138" s="19" t="n"/>
      <c r="B1138" s="20">
        <f>IF(A1138="","",CHOOSE(WEEKDAY(A1138,2),"Mo","Di","Mi","Do","Fr","Sa","So"))</f>
        <v/>
      </c>
      <c r="C1138" s="20">
        <f>IF(A1138="","",INT((A1138-DATE(YEAR(A1138-WEEKDAY(A1138-1)+4),1,3)+WEEKDAY(DATE(YEAR(A1138-WEEKDAY(A1138-1)+4),1,3))+5)/7))</f>
        <v/>
      </c>
      <c r="D1138" s="21" t="n"/>
      <c r="E1138" s="22" t="n"/>
      <c r="F1138" s="23" t="n"/>
      <c r="G1138" s="23" t="n"/>
      <c r="H1138" s="23" t="n"/>
      <c r="I1138" s="20">
        <f>IF(COUNT(F1138:H1138)=0,"",SUM(F1138:H1138))</f>
        <v/>
      </c>
      <c r="J1138" s="23" t="n"/>
      <c r="K1138" s="23" t="n"/>
      <c r="L1138" s="23" t="n"/>
      <c r="M1138" s="23" t="n"/>
      <c r="N1138" s="23" t="n"/>
      <c r="O1138" s="20">
        <f>IF(OR(I1138="",COUNT(J1138:N1138)=0),"",IF(SUM(J1138:N1138)=I1138,"✓","⚠ "&amp;SUM(J1138:N1138)&amp;" statt "&amp;I1138))</f>
        <v/>
      </c>
      <c r="P1138" s="21" t="n"/>
      <c r="Q1138" s="21" t="n"/>
      <c r="R1138" s="21" t="n"/>
      <c r="S1138" s="24" t="n"/>
      <c r="T1138" s="24" t="n"/>
      <c r="V1138">
        <f>IF(A1138="","",MONTH(A1138))</f>
        <v/>
      </c>
      <c r="W1138">
        <f>N(W1137)+IF(AND(C1138&lt;&gt;"",T1138&lt;&gt;""),IF(C1138=WOCHE!$B$3,1,0),0)</f>
        <v/>
      </c>
      <c r="X1138">
        <f>N(X1137)+IF(AND(V1138&lt;&gt;"",T1138&lt;&gt;""),IF(V1138=MONAT!$AZ$3,1,0),0)</f>
        <v/>
      </c>
    </row>
    <row r="1139">
      <c r="A1139" s="19" t="n"/>
      <c r="B1139" s="20">
        <f>IF(A1139="","",CHOOSE(WEEKDAY(A1139,2),"Mo","Di","Mi","Do","Fr","Sa","So"))</f>
        <v/>
      </c>
      <c r="C1139" s="20">
        <f>IF(A1139="","",INT((A1139-DATE(YEAR(A1139-WEEKDAY(A1139-1)+4),1,3)+WEEKDAY(DATE(YEAR(A1139-WEEKDAY(A1139-1)+4),1,3))+5)/7))</f>
        <v/>
      </c>
      <c r="D1139" s="21" t="n"/>
      <c r="E1139" s="22" t="n"/>
      <c r="F1139" s="23" t="n"/>
      <c r="G1139" s="23" t="n"/>
      <c r="H1139" s="23" t="n"/>
      <c r="I1139" s="20">
        <f>IF(COUNT(F1139:H1139)=0,"",SUM(F1139:H1139))</f>
        <v/>
      </c>
      <c r="J1139" s="23" t="n"/>
      <c r="K1139" s="23" t="n"/>
      <c r="L1139" s="23" t="n"/>
      <c r="M1139" s="23" t="n"/>
      <c r="N1139" s="23" t="n"/>
      <c r="O1139" s="20">
        <f>IF(OR(I1139="",COUNT(J1139:N1139)=0),"",IF(SUM(J1139:N1139)=I1139,"✓","⚠ "&amp;SUM(J1139:N1139)&amp;" statt "&amp;I1139))</f>
        <v/>
      </c>
      <c r="P1139" s="21" t="n"/>
      <c r="Q1139" s="21" t="n"/>
      <c r="R1139" s="21" t="n"/>
      <c r="S1139" s="24" t="n"/>
      <c r="T1139" s="24" t="n"/>
      <c r="V1139">
        <f>IF(A1139="","",MONTH(A1139))</f>
        <v/>
      </c>
      <c r="W1139">
        <f>N(W1138)+IF(AND(C1139&lt;&gt;"",T1139&lt;&gt;""),IF(C1139=WOCHE!$B$3,1,0),0)</f>
        <v/>
      </c>
      <c r="X1139">
        <f>N(X1138)+IF(AND(V1139&lt;&gt;"",T1139&lt;&gt;""),IF(V1139=MONAT!$AZ$3,1,0),0)</f>
        <v/>
      </c>
    </row>
    <row r="1140">
      <c r="A1140" s="19" t="n"/>
      <c r="B1140" s="20">
        <f>IF(A1140="","",CHOOSE(WEEKDAY(A1140,2),"Mo","Di","Mi","Do","Fr","Sa","So"))</f>
        <v/>
      </c>
      <c r="C1140" s="20">
        <f>IF(A1140="","",INT((A1140-DATE(YEAR(A1140-WEEKDAY(A1140-1)+4),1,3)+WEEKDAY(DATE(YEAR(A1140-WEEKDAY(A1140-1)+4),1,3))+5)/7))</f>
        <v/>
      </c>
      <c r="D1140" s="21" t="n"/>
      <c r="E1140" s="22" t="n"/>
      <c r="F1140" s="23" t="n"/>
      <c r="G1140" s="23" t="n"/>
      <c r="H1140" s="23" t="n"/>
      <c r="I1140" s="20">
        <f>IF(COUNT(F1140:H1140)=0,"",SUM(F1140:H1140))</f>
        <v/>
      </c>
      <c r="J1140" s="23" t="n"/>
      <c r="K1140" s="23" t="n"/>
      <c r="L1140" s="23" t="n"/>
      <c r="M1140" s="23" t="n"/>
      <c r="N1140" s="23" t="n"/>
      <c r="O1140" s="20">
        <f>IF(OR(I1140="",COUNT(J1140:N1140)=0),"",IF(SUM(J1140:N1140)=I1140,"✓","⚠ "&amp;SUM(J1140:N1140)&amp;" statt "&amp;I1140))</f>
        <v/>
      </c>
      <c r="P1140" s="21" t="n"/>
      <c r="Q1140" s="21" t="n"/>
      <c r="R1140" s="21" t="n"/>
      <c r="S1140" s="24" t="n"/>
      <c r="T1140" s="24" t="n"/>
      <c r="V1140">
        <f>IF(A1140="","",MONTH(A1140))</f>
        <v/>
      </c>
      <c r="W1140">
        <f>N(W1139)+IF(AND(C1140&lt;&gt;"",T1140&lt;&gt;""),IF(C1140=WOCHE!$B$3,1,0),0)</f>
        <v/>
      </c>
      <c r="X1140">
        <f>N(X1139)+IF(AND(V1140&lt;&gt;"",T1140&lt;&gt;""),IF(V1140=MONAT!$AZ$3,1,0),0)</f>
        <v/>
      </c>
    </row>
    <row r="1141">
      <c r="A1141" s="19" t="n"/>
      <c r="B1141" s="20">
        <f>IF(A1141="","",CHOOSE(WEEKDAY(A1141,2),"Mo","Di","Mi","Do","Fr","Sa","So"))</f>
        <v/>
      </c>
      <c r="C1141" s="20">
        <f>IF(A1141="","",INT((A1141-DATE(YEAR(A1141-WEEKDAY(A1141-1)+4),1,3)+WEEKDAY(DATE(YEAR(A1141-WEEKDAY(A1141-1)+4),1,3))+5)/7))</f>
        <v/>
      </c>
      <c r="D1141" s="21" t="n"/>
      <c r="E1141" s="22" t="n"/>
      <c r="F1141" s="23" t="n"/>
      <c r="G1141" s="23" t="n"/>
      <c r="H1141" s="23" t="n"/>
      <c r="I1141" s="20">
        <f>IF(COUNT(F1141:H1141)=0,"",SUM(F1141:H1141))</f>
        <v/>
      </c>
      <c r="J1141" s="23" t="n"/>
      <c r="K1141" s="23" t="n"/>
      <c r="L1141" s="23" t="n"/>
      <c r="M1141" s="23" t="n"/>
      <c r="N1141" s="23" t="n"/>
      <c r="O1141" s="20">
        <f>IF(OR(I1141="",COUNT(J1141:N1141)=0),"",IF(SUM(J1141:N1141)=I1141,"✓","⚠ "&amp;SUM(J1141:N1141)&amp;" statt "&amp;I1141))</f>
        <v/>
      </c>
      <c r="P1141" s="21" t="n"/>
      <c r="Q1141" s="21" t="n"/>
      <c r="R1141" s="21" t="n"/>
      <c r="S1141" s="24" t="n"/>
      <c r="T1141" s="24" t="n"/>
      <c r="V1141">
        <f>IF(A1141="","",MONTH(A1141))</f>
        <v/>
      </c>
      <c r="W1141">
        <f>N(W1140)+IF(AND(C1141&lt;&gt;"",T1141&lt;&gt;""),IF(C1141=WOCHE!$B$3,1,0),0)</f>
        <v/>
      </c>
      <c r="X1141">
        <f>N(X1140)+IF(AND(V1141&lt;&gt;"",T1141&lt;&gt;""),IF(V1141=MONAT!$AZ$3,1,0),0)</f>
        <v/>
      </c>
    </row>
    <row r="1142">
      <c r="A1142" s="19" t="n"/>
      <c r="B1142" s="20">
        <f>IF(A1142="","",CHOOSE(WEEKDAY(A1142,2),"Mo","Di","Mi","Do","Fr","Sa","So"))</f>
        <v/>
      </c>
      <c r="C1142" s="20">
        <f>IF(A1142="","",INT((A1142-DATE(YEAR(A1142-WEEKDAY(A1142-1)+4),1,3)+WEEKDAY(DATE(YEAR(A1142-WEEKDAY(A1142-1)+4),1,3))+5)/7))</f>
        <v/>
      </c>
      <c r="D1142" s="21" t="n"/>
      <c r="E1142" s="22" t="n"/>
      <c r="F1142" s="23" t="n"/>
      <c r="G1142" s="23" t="n"/>
      <c r="H1142" s="23" t="n"/>
      <c r="I1142" s="20">
        <f>IF(COUNT(F1142:H1142)=0,"",SUM(F1142:H1142))</f>
        <v/>
      </c>
      <c r="J1142" s="23" t="n"/>
      <c r="K1142" s="23" t="n"/>
      <c r="L1142" s="23" t="n"/>
      <c r="M1142" s="23" t="n"/>
      <c r="N1142" s="23" t="n"/>
      <c r="O1142" s="20">
        <f>IF(OR(I1142="",COUNT(J1142:N1142)=0),"",IF(SUM(J1142:N1142)=I1142,"✓","⚠ "&amp;SUM(J1142:N1142)&amp;" statt "&amp;I1142))</f>
        <v/>
      </c>
      <c r="P1142" s="21" t="n"/>
      <c r="Q1142" s="21" t="n"/>
      <c r="R1142" s="21" t="n"/>
      <c r="S1142" s="24" t="n"/>
      <c r="T1142" s="24" t="n"/>
      <c r="V1142">
        <f>IF(A1142="","",MONTH(A1142))</f>
        <v/>
      </c>
      <c r="W1142">
        <f>N(W1141)+IF(AND(C1142&lt;&gt;"",T1142&lt;&gt;""),IF(C1142=WOCHE!$B$3,1,0),0)</f>
        <v/>
      </c>
      <c r="X1142">
        <f>N(X1141)+IF(AND(V1142&lt;&gt;"",T1142&lt;&gt;""),IF(V1142=MONAT!$AZ$3,1,0),0)</f>
        <v/>
      </c>
    </row>
    <row r="1143">
      <c r="A1143" s="19" t="n"/>
      <c r="B1143" s="20">
        <f>IF(A1143="","",CHOOSE(WEEKDAY(A1143,2),"Mo","Di","Mi","Do","Fr","Sa","So"))</f>
        <v/>
      </c>
      <c r="C1143" s="20">
        <f>IF(A1143="","",INT((A1143-DATE(YEAR(A1143-WEEKDAY(A1143-1)+4),1,3)+WEEKDAY(DATE(YEAR(A1143-WEEKDAY(A1143-1)+4),1,3))+5)/7))</f>
        <v/>
      </c>
      <c r="D1143" s="21" t="n"/>
      <c r="E1143" s="22" t="n"/>
      <c r="F1143" s="23" t="n"/>
      <c r="G1143" s="23" t="n"/>
      <c r="H1143" s="23" t="n"/>
      <c r="I1143" s="20">
        <f>IF(COUNT(F1143:H1143)=0,"",SUM(F1143:H1143))</f>
        <v/>
      </c>
      <c r="J1143" s="23" t="n"/>
      <c r="K1143" s="23" t="n"/>
      <c r="L1143" s="23" t="n"/>
      <c r="M1143" s="23" t="n"/>
      <c r="N1143" s="23" t="n"/>
      <c r="O1143" s="20">
        <f>IF(OR(I1143="",COUNT(J1143:N1143)=0),"",IF(SUM(J1143:N1143)=I1143,"✓","⚠ "&amp;SUM(J1143:N1143)&amp;" statt "&amp;I1143))</f>
        <v/>
      </c>
      <c r="P1143" s="21" t="n"/>
      <c r="Q1143" s="21" t="n"/>
      <c r="R1143" s="21" t="n"/>
      <c r="S1143" s="24" t="n"/>
      <c r="T1143" s="24" t="n"/>
      <c r="V1143">
        <f>IF(A1143="","",MONTH(A1143))</f>
        <v/>
      </c>
      <c r="W1143">
        <f>N(W1142)+IF(AND(C1143&lt;&gt;"",T1143&lt;&gt;""),IF(C1143=WOCHE!$B$3,1,0),0)</f>
        <v/>
      </c>
      <c r="X1143">
        <f>N(X1142)+IF(AND(V1143&lt;&gt;"",T1143&lt;&gt;""),IF(V1143=MONAT!$AZ$3,1,0),0)</f>
        <v/>
      </c>
    </row>
    <row r="1144">
      <c r="A1144" s="19" t="n"/>
      <c r="B1144" s="20">
        <f>IF(A1144="","",CHOOSE(WEEKDAY(A1144,2),"Mo","Di","Mi","Do","Fr","Sa","So"))</f>
        <v/>
      </c>
      <c r="C1144" s="20">
        <f>IF(A1144="","",INT((A1144-DATE(YEAR(A1144-WEEKDAY(A1144-1)+4),1,3)+WEEKDAY(DATE(YEAR(A1144-WEEKDAY(A1144-1)+4),1,3))+5)/7))</f>
        <v/>
      </c>
      <c r="D1144" s="21" t="n"/>
      <c r="E1144" s="22" t="n"/>
      <c r="F1144" s="23" t="n"/>
      <c r="G1144" s="23" t="n"/>
      <c r="H1144" s="23" t="n"/>
      <c r="I1144" s="20">
        <f>IF(COUNT(F1144:H1144)=0,"",SUM(F1144:H1144))</f>
        <v/>
      </c>
      <c r="J1144" s="23" t="n"/>
      <c r="K1144" s="23" t="n"/>
      <c r="L1144" s="23" t="n"/>
      <c r="M1144" s="23" t="n"/>
      <c r="N1144" s="23" t="n"/>
      <c r="O1144" s="20">
        <f>IF(OR(I1144="",COUNT(J1144:N1144)=0),"",IF(SUM(J1144:N1144)=I1144,"✓","⚠ "&amp;SUM(J1144:N1144)&amp;" statt "&amp;I1144))</f>
        <v/>
      </c>
      <c r="P1144" s="21" t="n"/>
      <c r="Q1144" s="21" t="n"/>
      <c r="R1144" s="21" t="n"/>
      <c r="S1144" s="24" t="n"/>
      <c r="T1144" s="24" t="n"/>
      <c r="V1144">
        <f>IF(A1144="","",MONTH(A1144))</f>
        <v/>
      </c>
      <c r="W1144">
        <f>N(W1143)+IF(AND(C1144&lt;&gt;"",T1144&lt;&gt;""),IF(C1144=WOCHE!$B$3,1,0),0)</f>
        <v/>
      </c>
      <c r="X1144">
        <f>N(X1143)+IF(AND(V1144&lt;&gt;"",T1144&lt;&gt;""),IF(V1144=MONAT!$AZ$3,1,0),0)</f>
        <v/>
      </c>
    </row>
    <row r="1145">
      <c r="A1145" s="19" t="n"/>
      <c r="B1145" s="20">
        <f>IF(A1145="","",CHOOSE(WEEKDAY(A1145,2),"Mo","Di","Mi","Do","Fr","Sa","So"))</f>
        <v/>
      </c>
      <c r="C1145" s="20">
        <f>IF(A1145="","",INT((A1145-DATE(YEAR(A1145-WEEKDAY(A1145-1)+4),1,3)+WEEKDAY(DATE(YEAR(A1145-WEEKDAY(A1145-1)+4),1,3))+5)/7))</f>
        <v/>
      </c>
      <c r="D1145" s="21" t="n"/>
      <c r="E1145" s="22" t="n"/>
      <c r="F1145" s="23" t="n"/>
      <c r="G1145" s="23" t="n"/>
      <c r="H1145" s="23" t="n"/>
      <c r="I1145" s="20">
        <f>IF(COUNT(F1145:H1145)=0,"",SUM(F1145:H1145))</f>
        <v/>
      </c>
      <c r="J1145" s="23" t="n"/>
      <c r="K1145" s="23" t="n"/>
      <c r="L1145" s="23" t="n"/>
      <c r="M1145" s="23" t="n"/>
      <c r="N1145" s="23" t="n"/>
      <c r="O1145" s="20">
        <f>IF(OR(I1145="",COUNT(J1145:N1145)=0),"",IF(SUM(J1145:N1145)=I1145,"✓","⚠ "&amp;SUM(J1145:N1145)&amp;" statt "&amp;I1145))</f>
        <v/>
      </c>
      <c r="P1145" s="21" t="n"/>
      <c r="Q1145" s="21" t="n"/>
      <c r="R1145" s="21" t="n"/>
      <c r="S1145" s="24" t="n"/>
      <c r="T1145" s="24" t="n"/>
      <c r="V1145">
        <f>IF(A1145="","",MONTH(A1145))</f>
        <v/>
      </c>
      <c r="W1145">
        <f>N(W1144)+IF(AND(C1145&lt;&gt;"",T1145&lt;&gt;""),IF(C1145=WOCHE!$B$3,1,0),0)</f>
        <v/>
      </c>
      <c r="X1145">
        <f>N(X1144)+IF(AND(V1145&lt;&gt;"",T1145&lt;&gt;""),IF(V1145=MONAT!$AZ$3,1,0),0)</f>
        <v/>
      </c>
    </row>
    <row r="1146">
      <c r="A1146" s="19" t="n"/>
      <c r="B1146" s="20">
        <f>IF(A1146="","",CHOOSE(WEEKDAY(A1146,2),"Mo","Di","Mi","Do","Fr","Sa","So"))</f>
        <v/>
      </c>
      <c r="C1146" s="20">
        <f>IF(A1146="","",INT((A1146-DATE(YEAR(A1146-WEEKDAY(A1146-1)+4),1,3)+WEEKDAY(DATE(YEAR(A1146-WEEKDAY(A1146-1)+4),1,3))+5)/7))</f>
        <v/>
      </c>
      <c r="D1146" s="21" t="n"/>
      <c r="E1146" s="22" t="n"/>
      <c r="F1146" s="23" t="n"/>
      <c r="G1146" s="23" t="n"/>
      <c r="H1146" s="23" t="n"/>
      <c r="I1146" s="20">
        <f>IF(COUNT(F1146:H1146)=0,"",SUM(F1146:H1146))</f>
        <v/>
      </c>
      <c r="J1146" s="23" t="n"/>
      <c r="K1146" s="23" t="n"/>
      <c r="L1146" s="23" t="n"/>
      <c r="M1146" s="23" t="n"/>
      <c r="N1146" s="23" t="n"/>
      <c r="O1146" s="20">
        <f>IF(OR(I1146="",COUNT(J1146:N1146)=0),"",IF(SUM(J1146:N1146)=I1146,"✓","⚠ "&amp;SUM(J1146:N1146)&amp;" statt "&amp;I1146))</f>
        <v/>
      </c>
      <c r="P1146" s="21" t="n"/>
      <c r="Q1146" s="21" t="n"/>
      <c r="R1146" s="21" t="n"/>
      <c r="S1146" s="24" t="n"/>
      <c r="T1146" s="24" t="n"/>
      <c r="V1146">
        <f>IF(A1146="","",MONTH(A1146))</f>
        <v/>
      </c>
      <c r="W1146">
        <f>N(W1145)+IF(AND(C1146&lt;&gt;"",T1146&lt;&gt;""),IF(C1146=WOCHE!$B$3,1,0),0)</f>
        <v/>
      </c>
      <c r="X1146">
        <f>N(X1145)+IF(AND(V1146&lt;&gt;"",T1146&lt;&gt;""),IF(V1146=MONAT!$AZ$3,1,0),0)</f>
        <v/>
      </c>
    </row>
    <row r="1147">
      <c r="A1147" s="19" t="n"/>
      <c r="B1147" s="20">
        <f>IF(A1147="","",CHOOSE(WEEKDAY(A1147,2),"Mo","Di","Mi","Do","Fr","Sa","So"))</f>
        <v/>
      </c>
      <c r="C1147" s="20">
        <f>IF(A1147="","",INT((A1147-DATE(YEAR(A1147-WEEKDAY(A1147-1)+4),1,3)+WEEKDAY(DATE(YEAR(A1147-WEEKDAY(A1147-1)+4),1,3))+5)/7))</f>
        <v/>
      </c>
      <c r="D1147" s="21" t="n"/>
      <c r="E1147" s="22" t="n"/>
      <c r="F1147" s="23" t="n"/>
      <c r="G1147" s="23" t="n"/>
      <c r="H1147" s="23" t="n"/>
      <c r="I1147" s="20">
        <f>IF(COUNT(F1147:H1147)=0,"",SUM(F1147:H1147))</f>
        <v/>
      </c>
      <c r="J1147" s="23" t="n"/>
      <c r="K1147" s="23" t="n"/>
      <c r="L1147" s="23" t="n"/>
      <c r="M1147" s="23" t="n"/>
      <c r="N1147" s="23" t="n"/>
      <c r="O1147" s="20">
        <f>IF(OR(I1147="",COUNT(J1147:N1147)=0),"",IF(SUM(J1147:N1147)=I1147,"✓","⚠ "&amp;SUM(J1147:N1147)&amp;" statt "&amp;I1147))</f>
        <v/>
      </c>
      <c r="P1147" s="21" t="n"/>
      <c r="Q1147" s="21" t="n"/>
      <c r="R1147" s="21" t="n"/>
      <c r="S1147" s="24" t="n"/>
      <c r="T1147" s="24" t="n"/>
      <c r="V1147">
        <f>IF(A1147="","",MONTH(A1147))</f>
        <v/>
      </c>
      <c r="W1147">
        <f>N(W1146)+IF(AND(C1147&lt;&gt;"",T1147&lt;&gt;""),IF(C1147=WOCHE!$B$3,1,0),0)</f>
        <v/>
      </c>
      <c r="X1147">
        <f>N(X1146)+IF(AND(V1147&lt;&gt;"",T1147&lt;&gt;""),IF(V1147=MONAT!$AZ$3,1,0),0)</f>
        <v/>
      </c>
    </row>
    <row r="1148">
      <c r="A1148" s="19" t="n"/>
      <c r="B1148" s="20">
        <f>IF(A1148="","",CHOOSE(WEEKDAY(A1148,2),"Mo","Di","Mi","Do","Fr","Sa","So"))</f>
        <v/>
      </c>
      <c r="C1148" s="20">
        <f>IF(A1148="","",INT((A1148-DATE(YEAR(A1148-WEEKDAY(A1148-1)+4),1,3)+WEEKDAY(DATE(YEAR(A1148-WEEKDAY(A1148-1)+4),1,3))+5)/7))</f>
        <v/>
      </c>
      <c r="D1148" s="21" t="n"/>
      <c r="E1148" s="22" t="n"/>
      <c r="F1148" s="23" t="n"/>
      <c r="G1148" s="23" t="n"/>
      <c r="H1148" s="23" t="n"/>
      <c r="I1148" s="20">
        <f>IF(COUNT(F1148:H1148)=0,"",SUM(F1148:H1148))</f>
        <v/>
      </c>
      <c r="J1148" s="23" t="n"/>
      <c r="K1148" s="23" t="n"/>
      <c r="L1148" s="23" t="n"/>
      <c r="M1148" s="23" t="n"/>
      <c r="N1148" s="23" t="n"/>
      <c r="O1148" s="20">
        <f>IF(OR(I1148="",COUNT(J1148:N1148)=0),"",IF(SUM(J1148:N1148)=I1148,"✓","⚠ "&amp;SUM(J1148:N1148)&amp;" statt "&amp;I1148))</f>
        <v/>
      </c>
      <c r="P1148" s="21" t="n"/>
      <c r="Q1148" s="21" t="n"/>
      <c r="R1148" s="21" t="n"/>
      <c r="S1148" s="24" t="n"/>
      <c r="T1148" s="24" t="n"/>
      <c r="V1148">
        <f>IF(A1148="","",MONTH(A1148))</f>
        <v/>
      </c>
      <c r="W1148">
        <f>N(W1147)+IF(AND(C1148&lt;&gt;"",T1148&lt;&gt;""),IF(C1148=WOCHE!$B$3,1,0),0)</f>
        <v/>
      </c>
      <c r="X1148">
        <f>N(X1147)+IF(AND(V1148&lt;&gt;"",T1148&lt;&gt;""),IF(V1148=MONAT!$AZ$3,1,0),0)</f>
        <v/>
      </c>
    </row>
    <row r="1149">
      <c r="A1149" s="19" t="n"/>
      <c r="B1149" s="20">
        <f>IF(A1149="","",CHOOSE(WEEKDAY(A1149,2),"Mo","Di","Mi","Do","Fr","Sa","So"))</f>
        <v/>
      </c>
      <c r="C1149" s="20">
        <f>IF(A1149="","",INT((A1149-DATE(YEAR(A1149-WEEKDAY(A1149-1)+4),1,3)+WEEKDAY(DATE(YEAR(A1149-WEEKDAY(A1149-1)+4),1,3))+5)/7))</f>
        <v/>
      </c>
      <c r="D1149" s="21" t="n"/>
      <c r="E1149" s="22" t="n"/>
      <c r="F1149" s="23" t="n"/>
      <c r="G1149" s="23" t="n"/>
      <c r="H1149" s="23" t="n"/>
      <c r="I1149" s="20">
        <f>IF(COUNT(F1149:H1149)=0,"",SUM(F1149:H1149))</f>
        <v/>
      </c>
      <c r="J1149" s="23" t="n"/>
      <c r="K1149" s="23" t="n"/>
      <c r="L1149" s="23" t="n"/>
      <c r="M1149" s="23" t="n"/>
      <c r="N1149" s="23" t="n"/>
      <c r="O1149" s="20">
        <f>IF(OR(I1149="",COUNT(J1149:N1149)=0),"",IF(SUM(J1149:N1149)=I1149,"✓","⚠ "&amp;SUM(J1149:N1149)&amp;" statt "&amp;I1149))</f>
        <v/>
      </c>
      <c r="P1149" s="21" t="n"/>
      <c r="Q1149" s="21" t="n"/>
      <c r="R1149" s="21" t="n"/>
      <c r="S1149" s="24" t="n"/>
      <c r="T1149" s="24" t="n"/>
      <c r="V1149">
        <f>IF(A1149="","",MONTH(A1149))</f>
        <v/>
      </c>
      <c r="W1149">
        <f>N(W1148)+IF(AND(C1149&lt;&gt;"",T1149&lt;&gt;""),IF(C1149=WOCHE!$B$3,1,0),0)</f>
        <v/>
      </c>
      <c r="X1149">
        <f>N(X1148)+IF(AND(V1149&lt;&gt;"",T1149&lt;&gt;""),IF(V1149=MONAT!$AZ$3,1,0),0)</f>
        <v/>
      </c>
    </row>
    <row r="1150">
      <c r="A1150" s="19" t="n"/>
      <c r="B1150" s="20">
        <f>IF(A1150="","",CHOOSE(WEEKDAY(A1150,2),"Mo","Di","Mi","Do","Fr","Sa","So"))</f>
        <v/>
      </c>
      <c r="C1150" s="20">
        <f>IF(A1150="","",INT((A1150-DATE(YEAR(A1150-WEEKDAY(A1150-1)+4),1,3)+WEEKDAY(DATE(YEAR(A1150-WEEKDAY(A1150-1)+4),1,3))+5)/7))</f>
        <v/>
      </c>
      <c r="D1150" s="21" t="n"/>
      <c r="E1150" s="22" t="n"/>
      <c r="F1150" s="23" t="n"/>
      <c r="G1150" s="23" t="n"/>
      <c r="H1150" s="23" t="n"/>
      <c r="I1150" s="20">
        <f>IF(COUNT(F1150:H1150)=0,"",SUM(F1150:H1150))</f>
        <v/>
      </c>
      <c r="J1150" s="23" t="n"/>
      <c r="K1150" s="23" t="n"/>
      <c r="L1150" s="23" t="n"/>
      <c r="M1150" s="23" t="n"/>
      <c r="N1150" s="23" t="n"/>
      <c r="O1150" s="20">
        <f>IF(OR(I1150="",COUNT(J1150:N1150)=0),"",IF(SUM(J1150:N1150)=I1150,"✓","⚠ "&amp;SUM(J1150:N1150)&amp;" statt "&amp;I1150))</f>
        <v/>
      </c>
      <c r="P1150" s="21" t="n"/>
      <c r="Q1150" s="21" t="n"/>
      <c r="R1150" s="21" t="n"/>
      <c r="S1150" s="24" t="n"/>
      <c r="T1150" s="24" t="n"/>
      <c r="V1150">
        <f>IF(A1150="","",MONTH(A1150))</f>
        <v/>
      </c>
      <c r="W1150">
        <f>N(W1149)+IF(AND(C1150&lt;&gt;"",T1150&lt;&gt;""),IF(C1150=WOCHE!$B$3,1,0),0)</f>
        <v/>
      </c>
      <c r="X1150">
        <f>N(X1149)+IF(AND(V1150&lt;&gt;"",T1150&lt;&gt;""),IF(V1150=MONAT!$AZ$3,1,0),0)</f>
        <v/>
      </c>
    </row>
    <row r="1151">
      <c r="A1151" s="19" t="n"/>
      <c r="B1151" s="20">
        <f>IF(A1151="","",CHOOSE(WEEKDAY(A1151,2),"Mo","Di","Mi","Do","Fr","Sa","So"))</f>
        <v/>
      </c>
      <c r="C1151" s="20">
        <f>IF(A1151="","",INT((A1151-DATE(YEAR(A1151-WEEKDAY(A1151-1)+4),1,3)+WEEKDAY(DATE(YEAR(A1151-WEEKDAY(A1151-1)+4),1,3))+5)/7))</f>
        <v/>
      </c>
      <c r="D1151" s="21" t="n"/>
      <c r="E1151" s="22" t="n"/>
      <c r="F1151" s="23" t="n"/>
      <c r="G1151" s="23" t="n"/>
      <c r="H1151" s="23" t="n"/>
      <c r="I1151" s="20">
        <f>IF(COUNT(F1151:H1151)=0,"",SUM(F1151:H1151))</f>
        <v/>
      </c>
      <c r="J1151" s="23" t="n"/>
      <c r="K1151" s="23" t="n"/>
      <c r="L1151" s="23" t="n"/>
      <c r="M1151" s="23" t="n"/>
      <c r="N1151" s="23" t="n"/>
      <c r="O1151" s="20">
        <f>IF(OR(I1151="",COUNT(J1151:N1151)=0),"",IF(SUM(J1151:N1151)=I1151,"✓","⚠ "&amp;SUM(J1151:N1151)&amp;" statt "&amp;I1151))</f>
        <v/>
      </c>
      <c r="P1151" s="21" t="n"/>
      <c r="Q1151" s="21" t="n"/>
      <c r="R1151" s="21" t="n"/>
      <c r="S1151" s="24" t="n"/>
      <c r="T1151" s="24" t="n"/>
      <c r="V1151">
        <f>IF(A1151="","",MONTH(A1151))</f>
        <v/>
      </c>
      <c r="W1151">
        <f>N(W1150)+IF(AND(C1151&lt;&gt;"",T1151&lt;&gt;""),IF(C1151=WOCHE!$B$3,1,0),0)</f>
        <v/>
      </c>
      <c r="X1151">
        <f>N(X1150)+IF(AND(V1151&lt;&gt;"",T1151&lt;&gt;""),IF(V1151=MONAT!$AZ$3,1,0),0)</f>
        <v/>
      </c>
    </row>
    <row r="1152">
      <c r="A1152" s="19" t="n"/>
      <c r="B1152" s="20">
        <f>IF(A1152="","",CHOOSE(WEEKDAY(A1152,2),"Mo","Di","Mi","Do","Fr","Sa","So"))</f>
        <v/>
      </c>
      <c r="C1152" s="20">
        <f>IF(A1152="","",INT((A1152-DATE(YEAR(A1152-WEEKDAY(A1152-1)+4),1,3)+WEEKDAY(DATE(YEAR(A1152-WEEKDAY(A1152-1)+4),1,3))+5)/7))</f>
        <v/>
      </c>
      <c r="D1152" s="21" t="n"/>
      <c r="E1152" s="22" t="n"/>
      <c r="F1152" s="23" t="n"/>
      <c r="G1152" s="23" t="n"/>
      <c r="H1152" s="23" t="n"/>
      <c r="I1152" s="20">
        <f>IF(COUNT(F1152:H1152)=0,"",SUM(F1152:H1152))</f>
        <v/>
      </c>
      <c r="J1152" s="23" t="n"/>
      <c r="K1152" s="23" t="n"/>
      <c r="L1152" s="23" t="n"/>
      <c r="M1152" s="23" t="n"/>
      <c r="N1152" s="23" t="n"/>
      <c r="O1152" s="20">
        <f>IF(OR(I1152="",COUNT(J1152:N1152)=0),"",IF(SUM(J1152:N1152)=I1152,"✓","⚠ "&amp;SUM(J1152:N1152)&amp;" statt "&amp;I1152))</f>
        <v/>
      </c>
      <c r="P1152" s="21" t="n"/>
      <c r="Q1152" s="21" t="n"/>
      <c r="R1152" s="21" t="n"/>
      <c r="S1152" s="24" t="n"/>
      <c r="T1152" s="24" t="n"/>
      <c r="V1152">
        <f>IF(A1152="","",MONTH(A1152))</f>
        <v/>
      </c>
      <c r="W1152">
        <f>N(W1151)+IF(AND(C1152&lt;&gt;"",T1152&lt;&gt;""),IF(C1152=WOCHE!$B$3,1,0),0)</f>
        <v/>
      </c>
      <c r="X1152">
        <f>N(X1151)+IF(AND(V1152&lt;&gt;"",T1152&lt;&gt;""),IF(V1152=MONAT!$AZ$3,1,0),0)</f>
        <v/>
      </c>
    </row>
    <row r="1153">
      <c r="A1153" s="19" t="n"/>
      <c r="B1153" s="20">
        <f>IF(A1153="","",CHOOSE(WEEKDAY(A1153,2),"Mo","Di","Mi","Do","Fr","Sa","So"))</f>
        <v/>
      </c>
      <c r="C1153" s="20">
        <f>IF(A1153="","",INT((A1153-DATE(YEAR(A1153-WEEKDAY(A1153-1)+4),1,3)+WEEKDAY(DATE(YEAR(A1153-WEEKDAY(A1153-1)+4),1,3))+5)/7))</f>
        <v/>
      </c>
      <c r="D1153" s="21" t="n"/>
      <c r="E1153" s="22" t="n"/>
      <c r="F1153" s="23" t="n"/>
      <c r="G1153" s="23" t="n"/>
      <c r="H1153" s="23" t="n"/>
      <c r="I1153" s="20">
        <f>IF(COUNT(F1153:H1153)=0,"",SUM(F1153:H1153))</f>
        <v/>
      </c>
      <c r="J1153" s="23" t="n"/>
      <c r="K1153" s="23" t="n"/>
      <c r="L1153" s="23" t="n"/>
      <c r="M1153" s="23" t="n"/>
      <c r="N1153" s="23" t="n"/>
      <c r="O1153" s="20">
        <f>IF(OR(I1153="",COUNT(J1153:N1153)=0),"",IF(SUM(J1153:N1153)=I1153,"✓","⚠ "&amp;SUM(J1153:N1153)&amp;" statt "&amp;I1153))</f>
        <v/>
      </c>
      <c r="P1153" s="21" t="n"/>
      <c r="Q1153" s="21" t="n"/>
      <c r="R1153" s="21" t="n"/>
      <c r="S1153" s="24" t="n"/>
      <c r="T1153" s="24" t="n"/>
      <c r="V1153">
        <f>IF(A1153="","",MONTH(A1153))</f>
        <v/>
      </c>
      <c r="W1153">
        <f>N(W1152)+IF(AND(C1153&lt;&gt;"",T1153&lt;&gt;""),IF(C1153=WOCHE!$B$3,1,0),0)</f>
        <v/>
      </c>
      <c r="X1153">
        <f>N(X1152)+IF(AND(V1153&lt;&gt;"",T1153&lt;&gt;""),IF(V1153=MONAT!$AZ$3,1,0),0)</f>
        <v/>
      </c>
    </row>
    <row r="1154">
      <c r="A1154" s="19" t="n"/>
      <c r="B1154" s="20">
        <f>IF(A1154="","",CHOOSE(WEEKDAY(A1154,2),"Mo","Di","Mi","Do","Fr","Sa","So"))</f>
        <v/>
      </c>
      <c r="C1154" s="20">
        <f>IF(A1154="","",INT((A1154-DATE(YEAR(A1154-WEEKDAY(A1154-1)+4),1,3)+WEEKDAY(DATE(YEAR(A1154-WEEKDAY(A1154-1)+4),1,3))+5)/7))</f>
        <v/>
      </c>
      <c r="D1154" s="21" t="n"/>
      <c r="E1154" s="22" t="n"/>
      <c r="F1154" s="23" t="n"/>
      <c r="G1154" s="23" t="n"/>
      <c r="H1154" s="23" t="n"/>
      <c r="I1154" s="20">
        <f>IF(COUNT(F1154:H1154)=0,"",SUM(F1154:H1154))</f>
        <v/>
      </c>
      <c r="J1154" s="23" t="n"/>
      <c r="K1154" s="23" t="n"/>
      <c r="L1154" s="23" t="n"/>
      <c r="M1154" s="23" t="n"/>
      <c r="N1154" s="23" t="n"/>
      <c r="O1154" s="20">
        <f>IF(OR(I1154="",COUNT(J1154:N1154)=0),"",IF(SUM(J1154:N1154)=I1154,"✓","⚠ "&amp;SUM(J1154:N1154)&amp;" statt "&amp;I1154))</f>
        <v/>
      </c>
      <c r="P1154" s="21" t="n"/>
      <c r="Q1154" s="21" t="n"/>
      <c r="R1154" s="21" t="n"/>
      <c r="S1154" s="24" t="n"/>
      <c r="T1154" s="24" t="n"/>
      <c r="V1154">
        <f>IF(A1154="","",MONTH(A1154))</f>
        <v/>
      </c>
      <c r="W1154">
        <f>N(W1153)+IF(AND(C1154&lt;&gt;"",T1154&lt;&gt;""),IF(C1154=WOCHE!$B$3,1,0),0)</f>
        <v/>
      </c>
      <c r="X1154">
        <f>N(X1153)+IF(AND(V1154&lt;&gt;"",T1154&lt;&gt;""),IF(V1154=MONAT!$AZ$3,1,0),0)</f>
        <v/>
      </c>
    </row>
    <row r="1155">
      <c r="A1155" s="19" t="n"/>
      <c r="B1155" s="20">
        <f>IF(A1155="","",CHOOSE(WEEKDAY(A1155,2),"Mo","Di","Mi","Do","Fr","Sa","So"))</f>
        <v/>
      </c>
      <c r="C1155" s="20">
        <f>IF(A1155="","",INT((A1155-DATE(YEAR(A1155-WEEKDAY(A1155-1)+4),1,3)+WEEKDAY(DATE(YEAR(A1155-WEEKDAY(A1155-1)+4),1,3))+5)/7))</f>
        <v/>
      </c>
      <c r="D1155" s="21" t="n"/>
      <c r="E1155" s="22" t="n"/>
      <c r="F1155" s="23" t="n"/>
      <c r="G1155" s="23" t="n"/>
      <c r="H1155" s="23" t="n"/>
      <c r="I1155" s="20">
        <f>IF(COUNT(F1155:H1155)=0,"",SUM(F1155:H1155))</f>
        <v/>
      </c>
      <c r="J1155" s="23" t="n"/>
      <c r="K1155" s="23" t="n"/>
      <c r="L1155" s="23" t="n"/>
      <c r="M1155" s="23" t="n"/>
      <c r="N1155" s="23" t="n"/>
      <c r="O1155" s="20">
        <f>IF(OR(I1155="",COUNT(J1155:N1155)=0),"",IF(SUM(J1155:N1155)=I1155,"✓","⚠ "&amp;SUM(J1155:N1155)&amp;" statt "&amp;I1155))</f>
        <v/>
      </c>
      <c r="P1155" s="21" t="n"/>
      <c r="Q1155" s="21" t="n"/>
      <c r="R1155" s="21" t="n"/>
      <c r="S1155" s="24" t="n"/>
      <c r="T1155" s="24" t="n"/>
      <c r="V1155">
        <f>IF(A1155="","",MONTH(A1155))</f>
        <v/>
      </c>
      <c r="W1155">
        <f>N(W1154)+IF(AND(C1155&lt;&gt;"",T1155&lt;&gt;""),IF(C1155=WOCHE!$B$3,1,0),0)</f>
        <v/>
      </c>
      <c r="X1155">
        <f>N(X1154)+IF(AND(V1155&lt;&gt;"",T1155&lt;&gt;""),IF(V1155=MONAT!$AZ$3,1,0),0)</f>
        <v/>
      </c>
    </row>
    <row r="1156">
      <c r="A1156" s="19" t="n"/>
      <c r="B1156" s="20">
        <f>IF(A1156="","",CHOOSE(WEEKDAY(A1156,2),"Mo","Di","Mi","Do","Fr","Sa","So"))</f>
        <v/>
      </c>
      <c r="C1156" s="20">
        <f>IF(A1156="","",INT((A1156-DATE(YEAR(A1156-WEEKDAY(A1156-1)+4),1,3)+WEEKDAY(DATE(YEAR(A1156-WEEKDAY(A1156-1)+4),1,3))+5)/7))</f>
        <v/>
      </c>
      <c r="D1156" s="21" t="n"/>
      <c r="E1156" s="22" t="n"/>
      <c r="F1156" s="23" t="n"/>
      <c r="G1156" s="23" t="n"/>
      <c r="H1156" s="23" t="n"/>
      <c r="I1156" s="20">
        <f>IF(COUNT(F1156:H1156)=0,"",SUM(F1156:H1156))</f>
        <v/>
      </c>
      <c r="J1156" s="23" t="n"/>
      <c r="K1156" s="23" t="n"/>
      <c r="L1156" s="23" t="n"/>
      <c r="M1156" s="23" t="n"/>
      <c r="N1156" s="23" t="n"/>
      <c r="O1156" s="20">
        <f>IF(OR(I1156="",COUNT(J1156:N1156)=0),"",IF(SUM(J1156:N1156)=I1156,"✓","⚠ "&amp;SUM(J1156:N1156)&amp;" statt "&amp;I1156))</f>
        <v/>
      </c>
      <c r="P1156" s="21" t="n"/>
      <c r="Q1156" s="21" t="n"/>
      <c r="R1156" s="21" t="n"/>
      <c r="S1156" s="24" t="n"/>
      <c r="T1156" s="24" t="n"/>
      <c r="V1156">
        <f>IF(A1156="","",MONTH(A1156))</f>
        <v/>
      </c>
      <c r="W1156">
        <f>N(W1155)+IF(AND(C1156&lt;&gt;"",T1156&lt;&gt;""),IF(C1156=WOCHE!$B$3,1,0),0)</f>
        <v/>
      </c>
      <c r="X1156">
        <f>N(X1155)+IF(AND(V1156&lt;&gt;"",T1156&lt;&gt;""),IF(V1156=MONAT!$AZ$3,1,0),0)</f>
        <v/>
      </c>
    </row>
    <row r="1157">
      <c r="A1157" s="19" t="n"/>
      <c r="B1157" s="20">
        <f>IF(A1157="","",CHOOSE(WEEKDAY(A1157,2),"Mo","Di","Mi","Do","Fr","Sa","So"))</f>
        <v/>
      </c>
      <c r="C1157" s="20">
        <f>IF(A1157="","",INT((A1157-DATE(YEAR(A1157-WEEKDAY(A1157-1)+4),1,3)+WEEKDAY(DATE(YEAR(A1157-WEEKDAY(A1157-1)+4),1,3))+5)/7))</f>
        <v/>
      </c>
      <c r="D1157" s="21" t="n"/>
      <c r="E1157" s="22" t="n"/>
      <c r="F1157" s="23" t="n"/>
      <c r="G1157" s="23" t="n"/>
      <c r="H1157" s="23" t="n"/>
      <c r="I1157" s="20">
        <f>IF(COUNT(F1157:H1157)=0,"",SUM(F1157:H1157))</f>
        <v/>
      </c>
      <c r="J1157" s="23" t="n"/>
      <c r="K1157" s="23" t="n"/>
      <c r="L1157" s="23" t="n"/>
      <c r="M1157" s="23" t="n"/>
      <c r="N1157" s="23" t="n"/>
      <c r="O1157" s="20">
        <f>IF(OR(I1157="",COUNT(J1157:N1157)=0),"",IF(SUM(J1157:N1157)=I1157,"✓","⚠ "&amp;SUM(J1157:N1157)&amp;" statt "&amp;I1157))</f>
        <v/>
      </c>
      <c r="P1157" s="21" t="n"/>
      <c r="Q1157" s="21" t="n"/>
      <c r="R1157" s="21" t="n"/>
      <c r="S1157" s="24" t="n"/>
      <c r="T1157" s="24" t="n"/>
      <c r="V1157">
        <f>IF(A1157="","",MONTH(A1157))</f>
        <v/>
      </c>
      <c r="W1157">
        <f>N(W1156)+IF(AND(C1157&lt;&gt;"",T1157&lt;&gt;""),IF(C1157=WOCHE!$B$3,1,0),0)</f>
        <v/>
      </c>
      <c r="X1157">
        <f>N(X1156)+IF(AND(V1157&lt;&gt;"",T1157&lt;&gt;""),IF(V1157=MONAT!$AZ$3,1,0),0)</f>
        <v/>
      </c>
    </row>
    <row r="1158">
      <c r="A1158" s="19" t="n"/>
      <c r="B1158" s="20">
        <f>IF(A1158="","",CHOOSE(WEEKDAY(A1158,2),"Mo","Di","Mi","Do","Fr","Sa","So"))</f>
        <v/>
      </c>
      <c r="C1158" s="20">
        <f>IF(A1158="","",INT((A1158-DATE(YEAR(A1158-WEEKDAY(A1158-1)+4),1,3)+WEEKDAY(DATE(YEAR(A1158-WEEKDAY(A1158-1)+4),1,3))+5)/7))</f>
        <v/>
      </c>
      <c r="D1158" s="21" t="n"/>
      <c r="E1158" s="22" t="n"/>
      <c r="F1158" s="23" t="n"/>
      <c r="G1158" s="23" t="n"/>
      <c r="H1158" s="23" t="n"/>
      <c r="I1158" s="20">
        <f>IF(COUNT(F1158:H1158)=0,"",SUM(F1158:H1158))</f>
        <v/>
      </c>
      <c r="J1158" s="23" t="n"/>
      <c r="K1158" s="23" t="n"/>
      <c r="L1158" s="23" t="n"/>
      <c r="M1158" s="23" t="n"/>
      <c r="N1158" s="23" t="n"/>
      <c r="O1158" s="20">
        <f>IF(OR(I1158="",COUNT(J1158:N1158)=0),"",IF(SUM(J1158:N1158)=I1158,"✓","⚠ "&amp;SUM(J1158:N1158)&amp;" statt "&amp;I1158))</f>
        <v/>
      </c>
      <c r="P1158" s="21" t="n"/>
      <c r="Q1158" s="21" t="n"/>
      <c r="R1158" s="21" t="n"/>
      <c r="S1158" s="24" t="n"/>
      <c r="T1158" s="24" t="n"/>
      <c r="V1158">
        <f>IF(A1158="","",MONTH(A1158))</f>
        <v/>
      </c>
      <c r="W1158">
        <f>N(W1157)+IF(AND(C1158&lt;&gt;"",T1158&lt;&gt;""),IF(C1158=WOCHE!$B$3,1,0),0)</f>
        <v/>
      </c>
      <c r="X1158">
        <f>N(X1157)+IF(AND(V1158&lt;&gt;"",T1158&lt;&gt;""),IF(V1158=MONAT!$AZ$3,1,0),0)</f>
        <v/>
      </c>
    </row>
    <row r="1159">
      <c r="A1159" s="19" t="n"/>
      <c r="B1159" s="20">
        <f>IF(A1159="","",CHOOSE(WEEKDAY(A1159,2),"Mo","Di","Mi","Do","Fr","Sa","So"))</f>
        <v/>
      </c>
      <c r="C1159" s="20">
        <f>IF(A1159="","",INT((A1159-DATE(YEAR(A1159-WEEKDAY(A1159-1)+4),1,3)+WEEKDAY(DATE(YEAR(A1159-WEEKDAY(A1159-1)+4),1,3))+5)/7))</f>
        <v/>
      </c>
      <c r="D1159" s="21" t="n"/>
      <c r="E1159" s="22" t="n"/>
      <c r="F1159" s="23" t="n"/>
      <c r="G1159" s="23" t="n"/>
      <c r="H1159" s="23" t="n"/>
      <c r="I1159" s="20">
        <f>IF(COUNT(F1159:H1159)=0,"",SUM(F1159:H1159))</f>
        <v/>
      </c>
      <c r="J1159" s="23" t="n"/>
      <c r="K1159" s="23" t="n"/>
      <c r="L1159" s="23" t="n"/>
      <c r="M1159" s="23" t="n"/>
      <c r="N1159" s="23" t="n"/>
      <c r="O1159" s="20">
        <f>IF(OR(I1159="",COUNT(J1159:N1159)=0),"",IF(SUM(J1159:N1159)=I1159,"✓","⚠ "&amp;SUM(J1159:N1159)&amp;" statt "&amp;I1159))</f>
        <v/>
      </c>
      <c r="P1159" s="21" t="n"/>
      <c r="Q1159" s="21" t="n"/>
      <c r="R1159" s="21" t="n"/>
      <c r="S1159" s="24" t="n"/>
      <c r="T1159" s="24" t="n"/>
      <c r="V1159">
        <f>IF(A1159="","",MONTH(A1159))</f>
        <v/>
      </c>
      <c r="W1159">
        <f>N(W1158)+IF(AND(C1159&lt;&gt;"",T1159&lt;&gt;""),IF(C1159=WOCHE!$B$3,1,0),0)</f>
        <v/>
      </c>
      <c r="X1159">
        <f>N(X1158)+IF(AND(V1159&lt;&gt;"",T1159&lt;&gt;""),IF(V1159=MONAT!$AZ$3,1,0),0)</f>
        <v/>
      </c>
    </row>
    <row r="1160">
      <c r="A1160" s="19" t="n"/>
      <c r="B1160" s="20">
        <f>IF(A1160="","",CHOOSE(WEEKDAY(A1160,2),"Mo","Di","Mi","Do","Fr","Sa","So"))</f>
        <v/>
      </c>
      <c r="C1160" s="20">
        <f>IF(A1160="","",INT((A1160-DATE(YEAR(A1160-WEEKDAY(A1160-1)+4),1,3)+WEEKDAY(DATE(YEAR(A1160-WEEKDAY(A1160-1)+4),1,3))+5)/7))</f>
        <v/>
      </c>
      <c r="D1160" s="21" t="n"/>
      <c r="E1160" s="22" t="n"/>
      <c r="F1160" s="23" t="n"/>
      <c r="G1160" s="23" t="n"/>
      <c r="H1160" s="23" t="n"/>
      <c r="I1160" s="20">
        <f>IF(COUNT(F1160:H1160)=0,"",SUM(F1160:H1160))</f>
        <v/>
      </c>
      <c r="J1160" s="23" t="n"/>
      <c r="K1160" s="23" t="n"/>
      <c r="L1160" s="23" t="n"/>
      <c r="M1160" s="23" t="n"/>
      <c r="N1160" s="23" t="n"/>
      <c r="O1160" s="20">
        <f>IF(OR(I1160="",COUNT(J1160:N1160)=0),"",IF(SUM(J1160:N1160)=I1160,"✓","⚠ "&amp;SUM(J1160:N1160)&amp;" statt "&amp;I1160))</f>
        <v/>
      </c>
      <c r="P1160" s="21" t="n"/>
      <c r="Q1160" s="21" t="n"/>
      <c r="R1160" s="21" t="n"/>
      <c r="S1160" s="24" t="n"/>
      <c r="T1160" s="24" t="n"/>
      <c r="V1160">
        <f>IF(A1160="","",MONTH(A1160))</f>
        <v/>
      </c>
      <c r="W1160">
        <f>N(W1159)+IF(AND(C1160&lt;&gt;"",T1160&lt;&gt;""),IF(C1160=WOCHE!$B$3,1,0),0)</f>
        <v/>
      </c>
      <c r="X1160">
        <f>N(X1159)+IF(AND(V1160&lt;&gt;"",T1160&lt;&gt;""),IF(V1160=MONAT!$AZ$3,1,0),0)</f>
        <v/>
      </c>
    </row>
    <row r="1161">
      <c r="A1161" s="19" t="n"/>
      <c r="B1161" s="20">
        <f>IF(A1161="","",CHOOSE(WEEKDAY(A1161,2),"Mo","Di","Mi","Do","Fr","Sa","So"))</f>
        <v/>
      </c>
      <c r="C1161" s="20">
        <f>IF(A1161="","",INT((A1161-DATE(YEAR(A1161-WEEKDAY(A1161-1)+4),1,3)+WEEKDAY(DATE(YEAR(A1161-WEEKDAY(A1161-1)+4),1,3))+5)/7))</f>
        <v/>
      </c>
      <c r="D1161" s="21" t="n"/>
      <c r="E1161" s="22" t="n"/>
      <c r="F1161" s="23" t="n"/>
      <c r="G1161" s="23" t="n"/>
      <c r="H1161" s="23" t="n"/>
      <c r="I1161" s="20">
        <f>IF(COUNT(F1161:H1161)=0,"",SUM(F1161:H1161))</f>
        <v/>
      </c>
      <c r="J1161" s="23" t="n"/>
      <c r="K1161" s="23" t="n"/>
      <c r="L1161" s="23" t="n"/>
      <c r="M1161" s="23" t="n"/>
      <c r="N1161" s="23" t="n"/>
      <c r="O1161" s="20">
        <f>IF(OR(I1161="",COUNT(J1161:N1161)=0),"",IF(SUM(J1161:N1161)=I1161,"✓","⚠ "&amp;SUM(J1161:N1161)&amp;" statt "&amp;I1161))</f>
        <v/>
      </c>
      <c r="P1161" s="21" t="n"/>
      <c r="Q1161" s="21" t="n"/>
      <c r="R1161" s="21" t="n"/>
      <c r="S1161" s="24" t="n"/>
      <c r="T1161" s="24" t="n"/>
      <c r="V1161">
        <f>IF(A1161="","",MONTH(A1161))</f>
        <v/>
      </c>
      <c r="W1161">
        <f>N(W1160)+IF(AND(C1161&lt;&gt;"",T1161&lt;&gt;""),IF(C1161=WOCHE!$B$3,1,0),0)</f>
        <v/>
      </c>
      <c r="X1161">
        <f>N(X1160)+IF(AND(V1161&lt;&gt;"",T1161&lt;&gt;""),IF(V1161=MONAT!$AZ$3,1,0),0)</f>
        <v/>
      </c>
    </row>
    <row r="1162">
      <c r="A1162" s="19" t="n"/>
      <c r="B1162" s="20">
        <f>IF(A1162="","",CHOOSE(WEEKDAY(A1162,2),"Mo","Di","Mi","Do","Fr","Sa","So"))</f>
        <v/>
      </c>
      <c r="C1162" s="20">
        <f>IF(A1162="","",INT((A1162-DATE(YEAR(A1162-WEEKDAY(A1162-1)+4),1,3)+WEEKDAY(DATE(YEAR(A1162-WEEKDAY(A1162-1)+4),1,3))+5)/7))</f>
        <v/>
      </c>
      <c r="D1162" s="21" t="n"/>
      <c r="E1162" s="22" t="n"/>
      <c r="F1162" s="23" t="n"/>
      <c r="G1162" s="23" t="n"/>
      <c r="H1162" s="23" t="n"/>
      <c r="I1162" s="20">
        <f>IF(COUNT(F1162:H1162)=0,"",SUM(F1162:H1162))</f>
        <v/>
      </c>
      <c r="J1162" s="23" t="n"/>
      <c r="K1162" s="23" t="n"/>
      <c r="L1162" s="23" t="n"/>
      <c r="M1162" s="23" t="n"/>
      <c r="N1162" s="23" t="n"/>
      <c r="O1162" s="20">
        <f>IF(OR(I1162="",COUNT(J1162:N1162)=0),"",IF(SUM(J1162:N1162)=I1162,"✓","⚠ "&amp;SUM(J1162:N1162)&amp;" statt "&amp;I1162))</f>
        <v/>
      </c>
      <c r="P1162" s="21" t="n"/>
      <c r="Q1162" s="21" t="n"/>
      <c r="R1162" s="21" t="n"/>
      <c r="S1162" s="24" t="n"/>
      <c r="T1162" s="24" t="n"/>
      <c r="V1162">
        <f>IF(A1162="","",MONTH(A1162))</f>
        <v/>
      </c>
      <c r="W1162">
        <f>N(W1161)+IF(AND(C1162&lt;&gt;"",T1162&lt;&gt;""),IF(C1162=WOCHE!$B$3,1,0),0)</f>
        <v/>
      </c>
      <c r="X1162">
        <f>N(X1161)+IF(AND(V1162&lt;&gt;"",T1162&lt;&gt;""),IF(V1162=MONAT!$AZ$3,1,0),0)</f>
        <v/>
      </c>
    </row>
    <row r="1163">
      <c r="A1163" s="19" t="n"/>
      <c r="B1163" s="20">
        <f>IF(A1163="","",CHOOSE(WEEKDAY(A1163,2),"Mo","Di","Mi","Do","Fr","Sa","So"))</f>
        <v/>
      </c>
      <c r="C1163" s="20">
        <f>IF(A1163="","",INT((A1163-DATE(YEAR(A1163-WEEKDAY(A1163-1)+4),1,3)+WEEKDAY(DATE(YEAR(A1163-WEEKDAY(A1163-1)+4),1,3))+5)/7))</f>
        <v/>
      </c>
      <c r="D1163" s="21" t="n"/>
      <c r="E1163" s="22" t="n"/>
      <c r="F1163" s="23" t="n"/>
      <c r="G1163" s="23" t="n"/>
      <c r="H1163" s="23" t="n"/>
      <c r="I1163" s="20">
        <f>IF(COUNT(F1163:H1163)=0,"",SUM(F1163:H1163))</f>
        <v/>
      </c>
      <c r="J1163" s="23" t="n"/>
      <c r="K1163" s="23" t="n"/>
      <c r="L1163" s="23" t="n"/>
      <c r="M1163" s="23" t="n"/>
      <c r="N1163" s="23" t="n"/>
      <c r="O1163" s="20">
        <f>IF(OR(I1163="",COUNT(J1163:N1163)=0),"",IF(SUM(J1163:N1163)=I1163,"✓","⚠ "&amp;SUM(J1163:N1163)&amp;" statt "&amp;I1163))</f>
        <v/>
      </c>
      <c r="P1163" s="21" t="n"/>
      <c r="Q1163" s="21" t="n"/>
      <c r="R1163" s="21" t="n"/>
      <c r="S1163" s="24" t="n"/>
      <c r="T1163" s="24" t="n"/>
      <c r="V1163">
        <f>IF(A1163="","",MONTH(A1163))</f>
        <v/>
      </c>
      <c r="W1163">
        <f>N(W1162)+IF(AND(C1163&lt;&gt;"",T1163&lt;&gt;""),IF(C1163=WOCHE!$B$3,1,0),0)</f>
        <v/>
      </c>
      <c r="X1163">
        <f>N(X1162)+IF(AND(V1163&lt;&gt;"",T1163&lt;&gt;""),IF(V1163=MONAT!$AZ$3,1,0),0)</f>
        <v/>
      </c>
    </row>
    <row r="1164">
      <c r="A1164" s="19" t="n"/>
      <c r="B1164" s="20">
        <f>IF(A1164="","",CHOOSE(WEEKDAY(A1164,2),"Mo","Di","Mi","Do","Fr","Sa","So"))</f>
        <v/>
      </c>
      <c r="C1164" s="20">
        <f>IF(A1164="","",INT((A1164-DATE(YEAR(A1164-WEEKDAY(A1164-1)+4),1,3)+WEEKDAY(DATE(YEAR(A1164-WEEKDAY(A1164-1)+4),1,3))+5)/7))</f>
        <v/>
      </c>
      <c r="D1164" s="21" t="n"/>
      <c r="E1164" s="22" t="n"/>
      <c r="F1164" s="23" t="n"/>
      <c r="G1164" s="23" t="n"/>
      <c r="H1164" s="23" t="n"/>
      <c r="I1164" s="20">
        <f>IF(COUNT(F1164:H1164)=0,"",SUM(F1164:H1164))</f>
        <v/>
      </c>
      <c r="J1164" s="23" t="n"/>
      <c r="K1164" s="23" t="n"/>
      <c r="L1164" s="23" t="n"/>
      <c r="M1164" s="23" t="n"/>
      <c r="N1164" s="23" t="n"/>
      <c r="O1164" s="20">
        <f>IF(OR(I1164="",COUNT(J1164:N1164)=0),"",IF(SUM(J1164:N1164)=I1164,"✓","⚠ "&amp;SUM(J1164:N1164)&amp;" statt "&amp;I1164))</f>
        <v/>
      </c>
      <c r="P1164" s="21" t="n"/>
      <c r="Q1164" s="21" t="n"/>
      <c r="R1164" s="21" t="n"/>
      <c r="S1164" s="24" t="n"/>
      <c r="T1164" s="24" t="n"/>
      <c r="V1164">
        <f>IF(A1164="","",MONTH(A1164))</f>
        <v/>
      </c>
      <c r="W1164">
        <f>N(W1163)+IF(AND(C1164&lt;&gt;"",T1164&lt;&gt;""),IF(C1164=WOCHE!$B$3,1,0),0)</f>
        <v/>
      </c>
      <c r="X1164">
        <f>N(X1163)+IF(AND(V1164&lt;&gt;"",T1164&lt;&gt;""),IF(V1164=MONAT!$AZ$3,1,0),0)</f>
        <v/>
      </c>
    </row>
    <row r="1165">
      <c r="A1165" s="19" t="n"/>
      <c r="B1165" s="20">
        <f>IF(A1165="","",CHOOSE(WEEKDAY(A1165,2),"Mo","Di","Mi","Do","Fr","Sa","So"))</f>
        <v/>
      </c>
      <c r="C1165" s="20">
        <f>IF(A1165="","",INT((A1165-DATE(YEAR(A1165-WEEKDAY(A1165-1)+4),1,3)+WEEKDAY(DATE(YEAR(A1165-WEEKDAY(A1165-1)+4),1,3))+5)/7))</f>
        <v/>
      </c>
      <c r="D1165" s="21" t="n"/>
      <c r="E1165" s="22" t="n"/>
      <c r="F1165" s="23" t="n"/>
      <c r="G1165" s="23" t="n"/>
      <c r="H1165" s="23" t="n"/>
      <c r="I1165" s="20">
        <f>IF(COUNT(F1165:H1165)=0,"",SUM(F1165:H1165))</f>
        <v/>
      </c>
      <c r="J1165" s="23" t="n"/>
      <c r="K1165" s="23" t="n"/>
      <c r="L1165" s="23" t="n"/>
      <c r="M1165" s="23" t="n"/>
      <c r="N1165" s="23" t="n"/>
      <c r="O1165" s="20">
        <f>IF(OR(I1165="",COUNT(J1165:N1165)=0),"",IF(SUM(J1165:N1165)=I1165,"✓","⚠ "&amp;SUM(J1165:N1165)&amp;" statt "&amp;I1165))</f>
        <v/>
      </c>
      <c r="P1165" s="21" t="n"/>
      <c r="Q1165" s="21" t="n"/>
      <c r="R1165" s="21" t="n"/>
      <c r="S1165" s="24" t="n"/>
      <c r="T1165" s="24" t="n"/>
      <c r="V1165">
        <f>IF(A1165="","",MONTH(A1165))</f>
        <v/>
      </c>
      <c r="W1165">
        <f>N(W1164)+IF(AND(C1165&lt;&gt;"",T1165&lt;&gt;""),IF(C1165=WOCHE!$B$3,1,0),0)</f>
        <v/>
      </c>
      <c r="X1165">
        <f>N(X1164)+IF(AND(V1165&lt;&gt;"",T1165&lt;&gt;""),IF(V1165=MONAT!$AZ$3,1,0),0)</f>
        <v/>
      </c>
    </row>
    <row r="1166">
      <c r="A1166" s="19" t="n"/>
      <c r="B1166" s="20">
        <f>IF(A1166="","",CHOOSE(WEEKDAY(A1166,2),"Mo","Di","Mi","Do","Fr","Sa","So"))</f>
        <v/>
      </c>
      <c r="C1166" s="20">
        <f>IF(A1166="","",INT((A1166-DATE(YEAR(A1166-WEEKDAY(A1166-1)+4),1,3)+WEEKDAY(DATE(YEAR(A1166-WEEKDAY(A1166-1)+4),1,3))+5)/7))</f>
        <v/>
      </c>
      <c r="D1166" s="21" t="n"/>
      <c r="E1166" s="22" t="n"/>
      <c r="F1166" s="23" t="n"/>
      <c r="G1166" s="23" t="n"/>
      <c r="H1166" s="23" t="n"/>
      <c r="I1166" s="20">
        <f>IF(COUNT(F1166:H1166)=0,"",SUM(F1166:H1166))</f>
        <v/>
      </c>
      <c r="J1166" s="23" t="n"/>
      <c r="K1166" s="23" t="n"/>
      <c r="L1166" s="23" t="n"/>
      <c r="M1166" s="23" t="n"/>
      <c r="N1166" s="23" t="n"/>
      <c r="O1166" s="20">
        <f>IF(OR(I1166="",COUNT(J1166:N1166)=0),"",IF(SUM(J1166:N1166)=I1166,"✓","⚠ "&amp;SUM(J1166:N1166)&amp;" statt "&amp;I1166))</f>
        <v/>
      </c>
      <c r="P1166" s="21" t="n"/>
      <c r="Q1166" s="21" t="n"/>
      <c r="R1166" s="21" t="n"/>
      <c r="S1166" s="24" t="n"/>
      <c r="T1166" s="24" t="n"/>
      <c r="V1166">
        <f>IF(A1166="","",MONTH(A1166))</f>
        <v/>
      </c>
      <c r="W1166">
        <f>N(W1165)+IF(AND(C1166&lt;&gt;"",T1166&lt;&gt;""),IF(C1166=WOCHE!$B$3,1,0),0)</f>
        <v/>
      </c>
      <c r="X1166">
        <f>N(X1165)+IF(AND(V1166&lt;&gt;"",T1166&lt;&gt;""),IF(V1166=MONAT!$AZ$3,1,0),0)</f>
        <v/>
      </c>
    </row>
    <row r="1167">
      <c r="A1167" s="19" t="n"/>
      <c r="B1167" s="20">
        <f>IF(A1167="","",CHOOSE(WEEKDAY(A1167,2),"Mo","Di","Mi","Do","Fr","Sa","So"))</f>
        <v/>
      </c>
      <c r="C1167" s="20">
        <f>IF(A1167="","",INT((A1167-DATE(YEAR(A1167-WEEKDAY(A1167-1)+4),1,3)+WEEKDAY(DATE(YEAR(A1167-WEEKDAY(A1167-1)+4),1,3))+5)/7))</f>
        <v/>
      </c>
      <c r="D1167" s="21" t="n"/>
      <c r="E1167" s="22" t="n"/>
      <c r="F1167" s="23" t="n"/>
      <c r="G1167" s="23" t="n"/>
      <c r="H1167" s="23" t="n"/>
      <c r="I1167" s="20">
        <f>IF(COUNT(F1167:H1167)=0,"",SUM(F1167:H1167))</f>
        <v/>
      </c>
      <c r="J1167" s="23" t="n"/>
      <c r="K1167" s="23" t="n"/>
      <c r="L1167" s="23" t="n"/>
      <c r="M1167" s="23" t="n"/>
      <c r="N1167" s="23" t="n"/>
      <c r="O1167" s="20">
        <f>IF(OR(I1167="",COUNT(J1167:N1167)=0),"",IF(SUM(J1167:N1167)=I1167,"✓","⚠ "&amp;SUM(J1167:N1167)&amp;" statt "&amp;I1167))</f>
        <v/>
      </c>
      <c r="P1167" s="21" t="n"/>
      <c r="Q1167" s="21" t="n"/>
      <c r="R1167" s="21" t="n"/>
      <c r="S1167" s="24" t="n"/>
      <c r="T1167" s="24" t="n"/>
      <c r="V1167">
        <f>IF(A1167="","",MONTH(A1167))</f>
        <v/>
      </c>
      <c r="W1167">
        <f>N(W1166)+IF(AND(C1167&lt;&gt;"",T1167&lt;&gt;""),IF(C1167=WOCHE!$B$3,1,0),0)</f>
        <v/>
      </c>
      <c r="X1167">
        <f>N(X1166)+IF(AND(V1167&lt;&gt;"",T1167&lt;&gt;""),IF(V1167=MONAT!$AZ$3,1,0),0)</f>
        <v/>
      </c>
    </row>
    <row r="1168">
      <c r="A1168" s="19" t="n"/>
      <c r="B1168" s="20">
        <f>IF(A1168="","",CHOOSE(WEEKDAY(A1168,2),"Mo","Di","Mi","Do","Fr","Sa","So"))</f>
        <v/>
      </c>
      <c r="C1168" s="20">
        <f>IF(A1168="","",INT((A1168-DATE(YEAR(A1168-WEEKDAY(A1168-1)+4),1,3)+WEEKDAY(DATE(YEAR(A1168-WEEKDAY(A1168-1)+4),1,3))+5)/7))</f>
        <v/>
      </c>
      <c r="D1168" s="21" t="n"/>
      <c r="E1168" s="22" t="n"/>
      <c r="F1168" s="23" t="n"/>
      <c r="G1168" s="23" t="n"/>
      <c r="H1168" s="23" t="n"/>
      <c r="I1168" s="20">
        <f>IF(COUNT(F1168:H1168)=0,"",SUM(F1168:H1168))</f>
        <v/>
      </c>
      <c r="J1168" s="23" t="n"/>
      <c r="K1168" s="23" t="n"/>
      <c r="L1168" s="23" t="n"/>
      <c r="M1168" s="23" t="n"/>
      <c r="N1168" s="23" t="n"/>
      <c r="O1168" s="20">
        <f>IF(OR(I1168="",COUNT(J1168:N1168)=0),"",IF(SUM(J1168:N1168)=I1168,"✓","⚠ "&amp;SUM(J1168:N1168)&amp;" statt "&amp;I1168))</f>
        <v/>
      </c>
      <c r="P1168" s="21" t="n"/>
      <c r="Q1168" s="21" t="n"/>
      <c r="R1168" s="21" t="n"/>
      <c r="S1168" s="24" t="n"/>
      <c r="T1168" s="24" t="n"/>
      <c r="V1168">
        <f>IF(A1168="","",MONTH(A1168))</f>
        <v/>
      </c>
      <c r="W1168">
        <f>N(W1167)+IF(AND(C1168&lt;&gt;"",T1168&lt;&gt;""),IF(C1168=WOCHE!$B$3,1,0),0)</f>
        <v/>
      </c>
      <c r="X1168">
        <f>N(X1167)+IF(AND(V1168&lt;&gt;"",T1168&lt;&gt;""),IF(V1168=MONAT!$AZ$3,1,0),0)</f>
        <v/>
      </c>
    </row>
    <row r="1169">
      <c r="A1169" s="19" t="n"/>
      <c r="B1169" s="20">
        <f>IF(A1169="","",CHOOSE(WEEKDAY(A1169,2),"Mo","Di","Mi","Do","Fr","Sa","So"))</f>
        <v/>
      </c>
      <c r="C1169" s="20">
        <f>IF(A1169="","",INT((A1169-DATE(YEAR(A1169-WEEKDAY(A1169-1)+4),1,3)+WEEKDAY(DATE(YEAR(A1169-WEEKDAY(A1169-1)+4),1,3))+5)/7))</f>
        <v/>
      </c>
      <c r="D1169" s="21" t="n"/>
      <c r="E1169" s="22" t="n"/>
      <c r="F1169" s="23" t="n"/>
      <c r="G1169" s="23" t="n"/>
      <c r="H1169" s="23" t="n"/>
      <c r="I1169" s="20">
        <f>IF(COUNT(F1169:H1169)=0,"",SUM(F1169:H1169))</f>
        <v/>
      </c>
      <c r="J1169" s="23" t="n"/>
      <c r="K1169" s="23" t="n"/>
      <c r="L1169" s="23" t="n"/>
      <c r="M1169" s="23" t="n"/>
      <c r="N1169" s="23" t="n"/>
      <c r="O1169" s="20">
        <f>IF(OR(I1169="",COUNT(J1169:N1169)=0),"",IF(SUM(J1169:N1169)=I1169,"✓","⚠ "&amp;SUM(J1169:N1169)&amp;" statt "&amp;I1169))</f>
        <v/>
      </c>
      <c r="P1169" s="21" t="n"/>
      <c r="Q1169" s="21" t="n"/>
      <c r="R1169" s="21" t="n"/>
      <c r="S1169" s="24" t="n"/>
      <c r="T1169" s="24" t="n"/>
      <c r="V1169">
        <f>IF(A1169="","",MONTH(A1169))</f>
        <v/>
      </c>
      <c r="W1169">
        <f>N(W1168)+IF(AND(C1169&lt;&gt;"",T1169&lt;&gt;""),IF(C1169=WOCHE!$B$3,1,0),0)</f>
        <v/>
      </c>
      <c r="X1169">
        <f>N(X1168)+IF(AND(V1169&lt;&gt;"",T1169&lt;&gt;""),IF(V1169=MONAT!$AZ$3,1,0),0)</f>
        <v/>
      </c>
    </row>
    <row r="1170">
      <c r="A1170" s="19" t="n"/>
      <c r="B1170" s="20">
        <f>IF(A1170="","",CHOOSE(WEEKDAY(A1170,2),"Mo","Di","Mi","Do","Fr","Sa","So"))</f>
        <v/>
      </c>
      <c r="C1170" s="20">
        <f>IF(A1170="","",INT((A1170-DATE(YEAR(A1170-WEEKDAY(A1170-1)+4),1,3)+WEEKDAY(DATE(YEAR(A1170-WEEKDAY(A1170-1)+4),1,3))+5)/7))</f>
        <v/>
      </c>
      <c r="D1170" s="21" t="n"/>
      <c r="E1170" s="22" t="n"/>
      <c r="F1170" s="23" t="n"/>
      <c r="G1170" s="23" t="n"/>
      <c r="H1170" s="23" t="n"/>
      <c r="I1170" s="20">
        <f>IF(COUNT(F1170:H1170)=0,"",SUM(F1170:H1170))</f>
        <v/>
      </c>
      <c r="J1170" s="23" t="n"/>
      <c r="K1170" s="23" t="n"/>
      <c r="L1170" s="23" t="n"/>
      <c r="M1170" s="23" t="n"/>
      <c r="N1170" s="23" t="n"/>
      <c r="O1170" s="20">
        <f>IF(OR(I1170="",COUNT(J1170:N1170)=0),"",IF(SUM(J1170:N1170)=I1170,"✓","⚠ "&amp;SUM(J1170:N1170)&amp;" statt "&amp;I1170))</f>
        <v/>
      </c>
      <c r="P1170" s="21" t="n"/>
      <c r="Q1170" s="21" t="n"/>
      <c r="R1170" s="21" t="n"/>
      <c r="S1170" s="24" t="n"/>
      <c r="T1170" s="24" t="n"/>
      <c r="V1170">
        <f>IF(A1170="","",MONTH(A1170))</f>
        <v/>
      </c>
      <c r="W1170">
        <f>N(W1169)+IF(AND(C1170&lt;&gt;"",T1170&lt;&gt;""),IF(C1170=WOCHE!$B$3,1,0),0)</f>
        <v/>
      </c>
      <c r="X1170">
        <f>N(X1169)+IF(AND(V1170&lt;&gt;"",T1170&lt;&gt;""),IF(V1170=MONAT!$AZ$3,1,0),0)</f>
        <v/>
      </c>
    </row>
    <row r="1171">
      <c r="A1171" s="19" t="n"/>
      <c r="B1171" s="20">
        <f>IF(A1171="","",CHOOSE(WEEKDAY(A1171,2),"Mo","Di","Mi","Do","Fr","Sa","So"))</f>
        <v/>
      </c>
      <c r="C1171" s="20">
        <f>IF(A1171="","",INT((A1171-DATE(YEAR(A1171-WEEKDAY(A1171-1)+4),1,3)+WEEKDAY(DATE(YEAR(A1171-WEEKDAY(A1171-1)+4),1,3))+5)/7))</f>
        <v/>
      </c>
      <c r="D1171" s="21" t="n"/>
      <c r="E1171" s="22" t="n"/>
      <c r="F1171" s="23" t="n"/>
      <c r="G1171" s="23" t="n"/>
      <c r="H1171" s="23" t="n"/>
      <c r="I1171" s="20">
        <f>IF(COUNT(F1171:H1171)=0,"",SUM(F1171:H1171))</f>
        <v/>
      </c>
      <c r="J1171" s="23" t="n"/>
      <c r="K1171" s="23" t="n"/>
      <c r="L1171" s="23" t="n"/>
      <c r="M1171" s="23" t="n"/>
      <c r="N1171" s="23" t="n"/>
      <c r="O1171" s="20">
        <f>IF(OR(I1171="",COUNT(J1171:N1171)=0),"",IF(SUM(J1171:N1171)=I1171,"✓","⚠ "&amp;SUM(J1171:N1171)&amp;" statt "&amp;I1171))</f>
        <v/>
      </c>
      <c r="P1171" s="21" t="n"/>
      <c r="Q1171" s="21" t="n"/>
      <c r="R1171" s="21" t="n"/>
      <c r="S1171" s="24" t="n"/>
      <c r="T1171" s="24" t="n"/>
      <c r="V1171">
        <f>IF(A1171="","",MONTH(A1171))</f>
        <v/>
      </c>
      <c r="W1171">
        <f>N(W1170)+IF(AND(C1171&lt;&gt;"",T1171&lt;&gt;""),IF(C1171=WOCHE!$B$3,1,0),0)</f>
        <v/>
      </c>
      <c r="X1171">
        <f>N(X1170)+IF(AND(V1171&lt;&gt;"",T1171&lt;&gt;""),IF(V1171=MONAT!$AZ$3,1,0),0)</f>
        <v/>
      </c>
    </row>
    <row r="1172">
      <c r="A1172" s="19" t="n"/>
      <c r="B1172" s="20">
        <f>IF(A1172="","",CHOOSE(WEEKDAY(A1172,2),"Mo","Di","Mi","Do","Fr","Sa","So"))</f>
        <v/>
      </c>
      <c r="C1172" s="20">
        <f>IF(A1172="","",INT((A1172-DATE(YEAR(A1172-WEEKDAY(A1172-1)+4),1,3)+WEEKDAY(DATE(YEAR(A1172-WEEKDAY(A1172-1)+4),1,3))+5)/7))</f>
        <v/>
      </c>
      <c r="D1172" s="21" t="n"/>
      <c r="E1172" s="22" t="n"/>
      <c r="F1172" s="23" t="n"/>
      <c r="G1172" s="23" t="n"/>
      <c r="H1172" s="23" t="n"/>
      <c r="I1172" s="20">
        <f>IF(COUNT(F1172:H1172)=0,"",SUM(F1172:H1172))</f>
        <v/>
      </c>
      <c r="J1172" s="23" t="n"/>
      <c r="K1172" s="23" t="n"/>
      <c r="L1172" s="23" t="n"/>
      <c r="M1172" s="23" t="n"/>
      <c r="N1172" s="23" t="n"/>
      <c r="O1172" s="20">
        <f>IF(OR(I1172="",COUNT(J1172:N1172)=0),"",IF(SUM(J1172:N1172)=I1172,"✓","⚠ "&amp;SUM(J1172:N1172)&amp;" statt "&amp;I1172))</f>
        <v/>
      </c>
      <c r="P1172" s="21" t="n"/>
      <c r="Q1172" s="21" t="n"/>
      <c r="R1172" s="21" t="n"/>
      <c r="S1172" s="24" t="n"/>
      <c r="T1172" s="24" t="n"/>
      <c r="V1172">
        <f>IF(A1172="","",MONTH(A1172))</f>
        <v/>
      </c>
      <c r="W1172">
        <f>N(W1171)+IF(AND(C1172&lt;&gt;"",T1172&lt;&gt;""),IF(C1172=WOCHE!$B$3,1,0),0)</f>
        <v/>
      </c>
      <c r="X1172">
        <f>N(X1171)+IF(AND(V1172&lt;&gt;"",T1172&lt;&gt;""),IF(V1172=MONAT!$AZ$3,1,0),0)</f>
        <v/>
      </c>
    </row>
    <row r="1173">
      <c r="A1173" s="19" t="n"/>
      <c r="B1173" s="20">
        <f>IF(A1173="","",CHOOSE(WEEKDAY(A1173,2),"Mo","Di","Mi","Do","Fr","Sa","So"))</f>
        <v/>
      </c>
      <c r="C1173" s="20">
        <f>IF(A1173="","",INT((A1173-DATE(YEAR(A1173-WEEKDAY(A1173-1)+4),1,3)+WEEKDAY(DATE(YEAR(A1173-WEEKDAY(A1173-1)+4),1,3))+5)/7))</f>
        <v/>
      </c>
      <c r="D1173" s="21" t="n"/>
      <c r="E1173" s="22" t="n"/>
      <c r="F1173" s="23" t="n"/>
      <c r="G1173" s="23" t="n"/>
      <c r="H1173" s="23" t="n"/>
      <c r="I1173" s="20">
        <f>IF(COUNT(F1173:H1173)=0,"",SUM(F1173:H1173))</f>
        <v/>
      </c>
      <c r="J1173" s="23" t="n"/>
      <c r="K1173" s="23" t="n"/>
      <c r="L1173" s="23" t="n"/>
      <c r="M1173" s="23" t="n"/>
      <c r="N1173" s="23" t="n"/>
      <c r="O1173" s="20">
        <f>IF(OR(I1173="",COUNT(J1173:N1173)=0),"",IF(SUM(J1173:N1173)=I1173,"✓","⚠ "&amp;SUM(J1173:N1173)&amp;" statt "&amp;I1173))</f>
        <v/>
      </c>
      <c r="P1173" s="21" t="n"/>
      <c r="Q1173" s="21" t="n"/>
      <c r="R1173" s="21" t="n"/>
      <c r="S1173" s="24" t="n"/>
      <c r="T1173" s="24" t="n"/>
      <c r="V1173">
        <f>IF(A1173="","",MONTH(A1173))</f>
        <v/>
      </c>
      <c r="W1173">
        <f>N(W1172)+IF(AND(C1173&lt;&gt;"",T1173&lt;&gt;""),IF(C1173=WOCHE!$B$3,1,0),0)</f>
        <v/>
      </c>
      <c r="X1173">
        <f>N(X1172)+IF(AND(V1173&lt;&gt;"",T1173&lt;&gt;""),IF(V1173=MONAT!$AZ$3,1,0),0)</f>
        <v/>
      </c>
    </row>
    <row r="1174">
      <c r="A1174" s="19" t="n"/>
      <c r="B1174" s="20">
        <f>IF(A1174="","",CHOOSE(WEEKDAY(A1174,2),"Mo","Di","Mi","Do","Fr","Sa","So"))</f>
        <v/>
      </c>
      <c r="C1174" s="20">
        <f>IF(A1174="","",INT((A1174-DATE(YEAR(A1174-WEEKDAY(A1174-1)+4),1,3)+WEEKDAY(DATE(YEAR(A1174-WEEKDAY(A1174-1)+4),1,3))+5)/7))</f>
        <v/>
      </c>
      <c r="D1174" s="21" t="n"/>
      <c r="E1174" s="22" t="n"/>
      <c r="F1174" s="23" t="n"/>
      <c r="G1174" s="23" t="n"/>
      <c r="H1174" s="23" t="n"/>
      <c r="I1174" s="20">
        <f>IF(COUNT(F1174:H1174)=0,"",SUM(F1174:H1174))</f>
        <v/>
      </c>
      <c r="J1174" s="23" t="n"/>
      <c r="K1174" s="23" t="n"/>
      <c r="L1174" s="23" t="n"/>
      <c r="M1174" s="23" t="n"/>
      <c r="N1174" s="23" t="n"/>
      <c r="O1174" s="20">
        <f>IF(OR(I1174="",COUNT(J1174:N1174)=0),"",IF(SUM(J1174:N1174)=I1174,"✓","⚠ "&amp;SUM(J1174:N1174)&amp;" statt "&amp;I1174))</f>
        <v/>
      </c>
      <c r="P1174" s="21" t="n"/>
      <c r="Q1174" s="21" t="n"/>
      <c r="R1174" s="21" t="n"/>
      <c r="S1174" s="24" t="n"/>
      <c r="T1174" s="24" t="n"/>
      <c r="V1174">
        <f>IF(A1174="","",MONTH(A1174))</f>
        <v/>
      </c>
      <c r="W1174">
        <f>N(W1173)+IF(AND(C1174&lt;&gt;"",T1174&lt;&gt;""),IF(C1174=WOCHE!$B$3,1,0),0)</f>
        <v/>
      </c>
      <c r="X1174">
        <f>N(X1173)+IF(AND(V1174&lt;&gt;"",T1174&lt;&gt;""),IF(V1174=MONAT!$AZ$3,1,0),0)</f>
        <v/>
      </c>
    </row>
    <row r="1175">
      <c r="A1175" s="19" t="n"/>
      <c r="B1175" s="20">
        <f>IF(A1175="","",CHOOSE(WEEKDAY(A1175,2),"Mo","Di","Mi","Do","Fr","Sa","So"))</f>
        <v/>
      </c>
      <c r="C1175" s="20">
        <f>IF(A1175="","",INT((A1175-DATE(YEAR(A1175-WEEKDAY(A1175-1)+4),1,3)+WEEKDAY(DATE(YEAR(A1175-WEEKDAY(A1175-1)+4),1,3))+5)/7))</f>
        <v/>
      </c>
      <c r="D1175" s="21" t="n"/>
      <c r="E1175" s="22" t="n"/>
      <c r="F1175" s="23" t="n"/>
      <c r="G1175" s="23" t="n"/>
      <c r="H1175" s="23" t="n"/>
      <c r="I1175" s="20">
        <f>IF(COUNT(F1175:H1175)=0,"",SUM(F1175:H1175))</f>
        <v/>
      </c>
      <c r="J1175" s="23" t="n"/>
      <c r="K1175" s="23" t="n"/>
      <c r="L1175" s="23" t="n"/>
      <c r="M1175" s="23" t="n"/>
      <c r="N1175" s="23" t="n"/>
      <c r="O1175" s="20">
        <f>IF(OR(I1175="",COUNT(J1175:N1175)=0),"",IF(SUM(J1175:N1175)=I1175,"✓","⚠ "&amp;SUM(J1175:N1175)&amp;" statt "&amp;I1175))</f>
        <v/>
      </c>
      <c r="P1175" s="21" t="n"/>
      <c r="Q1175" s="21" t="n"/>
      <c r="R1175" s="21" t="n"/>
      <c r="S1175" s="24" t="n"/>
      <c r="T1175" s="24" t="n"/>
      <c r="V1175">
        <f>IF(A1175="","",MONTH(A1175))</f>
        <v/>
      </c>
      <c r="W1175">
        <f>N(W1174)+IF(AND(C1175&lt;&gt;"",T1175&lt;&gt;""),IF(C1175=WOCHE!$B$3,1,0),0)</f>
        <v/>
      </c>
      <c r="X1175">
        <f>N(X1174)+IF(AND(V1175&lt;&gt;"",T1175&lt;&gt;""),IF(V1175=MONAT!$AZ$3,1,0),0)</f>
        <v/>
      </c>
    </row>
    <row r="1176">
      <c r="A1176" s="19" t="n"/>
      <c r="B1176" s="20">
        <f>IF(A1176="","",CHOOSE(WEEKDAY(A1176,2),"Mo","Di","Mi","Do","Fr","Sa","So"))</f>
        <v/>
      </c>
      <c r="C1176" s="20">
        <f>IF(A1176="","",INT((A1176-DATE(YEAR(A1176-WEEKDAY(A1176-1)+4),1,3)+WEEKDAY(DATE(YEAR(A1176-WEEKDAY(A1176-1)+4),1,3))+5)/7))</f>
        <v/>
      </c>
      <c r="D1176" s="21" t="n"/>
      <c r="E1176" s="22" t="n"/>
      <c r="F1176" s="23" t="n"/>
      <c r="G1176" s="23" t="n"/>
      <c r="H1176" s="23" t="n"/>
      <c r="I1176" s="20">
        <f>IF(COUNT(F1176:H1176)=0,"",SUM(F1176:H1176))</f>
        <v/>
      </c>
      <c r="J1176" s="23" t="n"/>
      <c r="K1176" s="23" t="n"/>
      <c r="L1176" s="23" t="n"/>
      <c r="M1176" s="23" t="n"/>
      <c r="N1176" s="23" t="n"/>
      <c r="O1176" s="20">
        <f>IF(OR(I1176="",COUNT(J1176:N1176)=0),"",IF(SUM(J1176:N1176)=I1176,"✓","⚠ "&amp;SUM(J1176:N1176)&amp;" statt "&amp;I1176))</f>
        <v/>
      </c>
      <c r="P1176" s="21" t="n"/>
      <c r="Q1176" s="21" t="n"/>
      <c r="R1176" s="21" t="n"/>
      <c r="S1176" s="24" t="n"/>
      <c r="T1176" s="24" t="n"/>
      <c r="V1176">
        <f>IF(A1176="","",MONTH(A1176))</f>
        <v/>
      </c>
      <c r="W1176">
        <f>N(W1175)+IF(AND(C1176&lt;&gt;"",T1176&lt;&gt;""),IF(C1176=WOCHE!$B$3,1,0),0)</f>
        <v/>
      </c>
      <c r="X1176">
        <f>N(X1175)+IF(AND(V1176&lt;&gt;"",T1176&lt;&gt;""),IF(V1176=MONAT!$AZ$3,1,0),0)</f>
        <v/>
      </c>
    </row>
    <row r="1177">
      <c r="A1177" s="19" t="n"/>
      <c r="B1177" s="20">
        <f>IF(A1177="","",CHOOSE(WEEKDAY(A1177,2),"Mo","Di","Mi","Do","Fr","Sa","So"))</f>
        <v/>
      </c>
      <c r="C1177" s="20">
        <f>IF(A1177="","",INT((A1177-DATE(YEAR(A1177-WEEKDAY(A1177-1)+4),1,3)+WEEKDAY(DATE(YEAR(A1177-WEEKDAY(A1177-1)+4),1,3))+5)/7))</f>
        <v/>
      </c>
      <c r="D1177" s="21" t="n"/>
      <c r="E1177" s="22" t="n"/>
      <c r="F1177" s="23" t="n"/>
      <c r="G1177" s="23" t="n"/>
      <c r="H1177" s="23" t="n"/>
      <c r="I1177" s="20">
        <f>IF(COUNT(F1177:H1177)=0,"",SUM(F1177:H1177))</f>
        <v/>
      </c>
      <c r="J1177" s="23" t="n"/>
      <c r="K1177" s="23" t="n"/>
      <c r="L1177" s="23" t="n"/>
      <c r="M1177" s="23" t="n"/>
      <c r="N1177" s="23" t="n"/>
      <c r="O1177" s="20">
        <f>IF(OR(I1177="",COUNT(J1177:N1177)=0),"",IF(SUM(J1177:N1177)=I1177,"✓","⚠ "&amp;SUM(J1177:N1177)&amp;" statt "&amp;I1177))</f>
        <v/>
      </c>
      <c r="P1177" s="21" t="n"/>
      <c r="Q1177" s="21" t="n"/>
      <c r="R1177" s="21" t="n"/>
      <c r="S1177" s="24" t="n"/>
      <c r="T1177" s="24" t="n"/>
      <c r="V1177">
        <f>IF(A1177="","",MONTH(A1177))</f>
        <v/>
      </c>
      <c r="W1177">
        <f>N(W1176)+IF(AND(C1177&lt;&gt;"",T1177&lt;&gt;""),IF(C1177=WOCHE!$B$3,1,0),0)</f>
        <v/>
      </c>
      <c r="X1177">
        <f>N(X1176)+IF(AND(V1177&lt;&gt;"",T1177&lt;&gt;""),IF(V1177=MONAT!$AZ$3,1,0),0)</f>
        <v/>
      </c>
    </row>
    <row r="1178">
      <c r="A1178" s="19" t="n"/>
      <c r="B1178" s="20">
        <f>IF(A1178="","",CHOOSE(WEEKDAY(A1178,2),"Mo","Di","Mi","Do","Fr","Sa","So"))</f>
        <v/>
      </c>
      <c r="C1178" s="20">
        <f>IF(A1178="","",INT((A1178-DATE(YEAR(A1178-WEEKDAY(A1178-1)+4),1,3)+WEEKDAY(DATE(YEAR(A1178-WEEKDAY(A1178-1)+4),1,3))+5)/7))</f>
        <v/>
      </c>
      <c r="D1178" s="21" t="n"/>
      <c r="E1178" s="22" t="n"/>
      <c r="F1178" s="23" t="n"/>
      <c r="G1178" s="23" t="n"/>
      <c r="H1178" s="23" t="n"/>
      <c r="I1178" s="20">
        <f>IF(COUNT(F1178:H1178)=0,"",SUM(F1178:H1178))</f>
        <v/>
      </c>
      <c r="J1178" s="23" t="n"/>
      <c r="K1178" s="23" t="n"/>
      <c r="L1178" s="23" t="n"/>
      <c r="M1178" s="23" t="n"/>
      <c r="N1178" s="23" t="n"/>
      <c r="O1178" s="20">
        <f>IF(OR(I1178="",COUNT(J1178:N1178)=0),"",IF(SUM(J1178:N1178)=I1178,"✓","⚠ "&amp;SUM(J1178:N1178)&amp;" statt "&amp;I1178))</f>
        <v/>
      </c>
      <c r="P1178" s="21" t="n"/>
      <c r="Q1178" s="21" t="n"/>
      <c r="R1178" s="21" t="n"/>
      <c r="S1178" s="24" t="n"/>
      <c r="T1178" s="24" t="n"/>
      <c r="V1178">
        <f>IF(A1178="","",MONTH(A1178))</f>
        <v/>
      </c>
      <c r="W1178">
        <f>N(W1177)+IF(AND(C1178&lt;&gt;"",T1178&lt;&gt;""),IF(C1178=WOCHE!$B$3,1,0),0)</f>
        <v/>
      </c>
      <c r="X1178">
        <f>N(X1177)+IF(AND(V1178&lt;&gt;"",T1178&lt;&gt;""),IF(V1178=MONAT!$AZ$3,1,0),0)</f>
        <v/>
      </c>
    </row>
    <row r="1179">
      <c r="A1179" s="19" t="n"/>
      <c r="B1179" s="20">
        <f>IF(A1179="","",CHOOSE(WEEKDAY(A1179,2),"Mo","Di","Mi","Do","Fr","Sa","So"))</f>
        <v/>
      </c>
      <c r="C1179" s="20">
        <f>IF(A1179="","",INT((A1179-DATE(YEAR(A1179-WEEKDAY(A1179-1)+4),1,3)+WEEKDAY(DATE(YEAR(A1179-WEEKDAY(A1179-1)+4),1,3))+5)/7))</f>
        <v/>
      </c>
      <c r="D1179" s="21" t="n"/>
      <c r="E1179" s="22" t="n"/>
      <c r="F1179" s="23" t="n"/>
      <c r="G1179" s="23" t="n"/>
      <c r="H1179" s="23" t="n"/>
      <c r="I1179" s="20">
        <f>IF(COUNT(F1179:H1179)=0,"",SUM(F1179:H1179))</f>
        <v/>
      </c>
      <c r="J1179" s="23" t="n"/>
      <c r="K1179" s="23" t="n"/>
      <c r="L1179" s="23" t="n"/>
      <c r="M1179" s="23" t="n"/>
      <c r="N1179" s="23" t="n"/>
      <c r="O1179" s="20">
        <f>IF(OR(I1179="",COUNT(J1179:N1179)=0),"",IF(SUM(J1179:N1179)=I1179,"✓","⚠ "&amp;SUM(J1179:N1179)&amp;" statt "&amp;I1179))</f>
        <v/>
      </c>
      <c r="P1179" s="21" t="n"/>
      <c r="Q1179" s="21" t="n"/>
      <c r="R1179" s="21" t="n"/>
      <c r="S1179" s="24" t="n"/>
      <c r="T1179" s="24" t="n"/>
      <c r="V1179">
        <f>IF(A1179="","",MONTH(A1179))</f>
        <v/>
      </c>
      <c r="W1179">
        <f>N(W1178)+IF(AND(C1179&lt;&gt;"",T1179&lt;&gt;""),IF(C1179=WOCHE!$B$3,1,0),0)</f>
        <v/>
      </c>
      <c r="X1179">
        <f>N(X1178)+IF(AND(V1179&lt;&gt;"",T1179&lt;&gt;""),IF(V1179=MONAT!$AZ$3,1,0),0)</f>
        <v/>
      </c>
    </row>
    <row r="1180">
      <c r="A1180" s="19" t="n"/>
      <c r="B1180" s="20">
        <f>IF(A1180="","",CHOOSE(WEEKDAY(A1180,2),"Mo","Di","Mi","Do","Fr","Sa","So"))</f>
        <v/>
      </c>
      <c r="C1180" s="20">
        <f>IF(A1180="","",INT((A1180-DATE(YEAR(A1180-WEEKDAY(A1180-1)+4),1,3)+WEEKDAY(DATE(YEAR(A1180-WEEKDAY(A1180-1)+4),1,3))+5)/7))</f>
        <v/>
      </c>
      <c r="D1180" s="21" t="n"/>
      <c r="E1180" s="22" t="n"/>
      <c r="F1180" s="23" t="n"/>
      <c r="G1180" s="23" t="n"/>
      <c r="H1180" s="23" t="n"/>
      <c r="I1180" s="20">
        <f>IF(COUNT(F1180:H1180)=0,"",SUM(F1180:H1180))</f>
        <v/>
      </c>
      <c r="J1180" s="23" t="n"/>
      <c r="K1180" s="23" t="n"/>
      <c r="L1180" s="23" t="n"/>
      <c r="M1180" s="23" t="n"/>
      <c r="N1180" s="23" t="n"/>
      <c r="O1180" s="20">
        <f>IF(OR(I1180="",COUNT(J1180:N1180)=0),"",IF(SUM(J1180:N1180)=I1180,"✓","⚠ "&amp;SUM(J1180:N1180)&amp;" statt "&amp;I1180))</f>
        <v/>
      </c>
      <c r="P1180" s="21" t="n"/>
      <c r="Q1180" s="21" t="n"/>
      <c r="R1180" s="21" t="n"/>
      <c r="S1180" s="24" t="n"/>
      <c r="T1180" s="24" t="n"/>
      <c r="V1180">
        <f>IF(A1180="","",MONTH(A1180))</f>
        <v/>
      </c>
      <c r="W1180">
        <f>N(W1179)+IF(AND(C1180&lt;&gt;"",T1180&lt;&gt;""),IF(C1180=WOCHE!$B$3,1,0),0)</f>
        <v/>
      </c>
      <c r="X1180">
        <f>N(X1179)+IF(AND(V1180&lt;&gt;"",T1180&lt;&gt;""),IF(V1180=MONAT!$AZ$3,1,0),0)</f>
        <v/>
      </c>
    </row>
    <row r="1181">
      <c r="A1181" s="19" t="n"/>
      <c r="B1181" s="20">
        <f>IF(A1181="","",CHOOSE(WEEKDAY(A1181,2),"Mo","Di","Mi","Do","Fr","Sa","So"))</f>
        <v/>
      </c>
      <c r="C1181" s="20">
        <f>IF(A1181="","",INT((A1181-DATE(YEAR(A1181-WEEKDAY(A1181-1)+4),1,3)+WEEKDAY(DATE(YEAR(A1181-WEEKDAY(A1181-1)+4),1,3))+5)/7))</f>
        <v/>
      </c>
      <c r="D1181" s="21" t="n"/>
      <c r="E1181" s="22" t="n"/>
      <c r="F1181" s="23" t="n"/>
      <c r="G1181" s="23" t="n"/>
      <c r="H1181" s="23" t="n"/>
      <c r="I1181" s="20">
        <f>IF(COUNT(F1181:H1181)=0,"",SUM(F1181:H1181))</f>
        <v/>
      </c>
      <c r="J1181" s="23" t="n"/>
      <c r="K1181" s="23" t="n"/>
      <c r="L1181" s="23" t="n"/>
      <c r="M1181" s="23" t="n"/>
      <c r="N1181" s="23" t="n"/>
      <c r="O1181" s="20">
        <f>IF(OR(I1181="",COUNT(J1181:N1181)=0),"",IF(SUM(J1181:N1181)=I1181,"✓","⚠ "&amp;SUM(J1181:N1181)&amp;" statt "&amp;I1181))</f>
        <v/>
      </c>
      <c r="P1181" s="21" t="n"/>
      <c r="Q1181" s="21" t="n"/>
      <c r="R1181" s="21" t="n"/>
      <c r="S1181" s="24" t="n"/>
      <c r="T1181" s="24" t="n"/>
      <c r="V1181">
        <f>IF(A1181="","",MONTH(A1181))</f>
        <v/>
      </c>
      <c r="W1181">
        <f>N(W1180)+IF(AND(C1181&lt;&gt;"",T1181&lt;&gt;""),IF(C1181=WOCHE!$B$3,1,0),0)</f>
        <v/>
      </c>
      <c r="X1181">
        <f>N(X1180)+IF(AND(V1181&lt;&gt;"",T1181&lt;&gt;""),IF(V1181=MONAT!$AZ$3,1,0),0)</f>
        <v/>
      </c>
    </row>
    <row r="1182">
      <c r="A1182" s="19" t="n"/>
      <c r="B1182" s="20">
        <f>IF(A1182="","",CHOOSE(WEEKDAY(A1182,2),"Mo","Di","Mi","Do","Fr","Sa","So"))</f>
        <v/>
      </c>
      <c r="C1182" s="20">
        <f>IF(A1182="","",INT((A1182-DATE(YEAR(A1182-WEEKDAY(A1182-1)+4),1,3)+WEEKDAY(DATE(YEAR(A1182-WEEKDAY(A1182-1)+4),1,3))+5)/7))</f>
        <v/>
      </c>
      <c r="D1182" s="21" t="n"/>
      <c r="E1182" s="22" t="n"/>
      <c r="F1182" s="23" t="n"/>
      <c r="G1182" s="23" t="n"/>
      <c r="H1182" s="23" t="n"/>
      <c r="I1182" s="20">
        <f>IF(COUNT(F1182:H1182)=0,"",SUM(F1182:H1182))</f>
        <v/>
      </c>
      <c r="J1182" s="23" t="n"/>
      <c r="K1182" s="23" t="n"/>
      <c r="L1182" s="23" t="n"/>
      <c r="M1182" s="23" t="n"/>
      <c r="N1182" s="23" t="n"/>
      <c r="O1182" s="20">
        <f>IF(OR(I1182="",COUNT(J1182:N1182)=0),"",IF(SUM(J1182:N1182)=I1182,"✓","⚠ "&amp;SUM(J1182:N1182)&amp;" statt "&amp;I1182))</f>
        <v/>
      </c>
      <c r="P1182" s="21" t="n"/>
      <c r="Q1182" s="21" t="n"/>
      <c r="R1182" s="21" t="n"/>
      <c r="S1182" s="24" t="n"/>
      <c r="T1182" s="24" t="n"/>
      <c r="V1182">
        <f>IF(A1182="","",MONTH(A1182))</f>
        <v/>
      </c>
      <c r="W1182">
        <f>N(W1181)+IF(AND(C1182&lt;&gt;"",T1182&lt;&gt;""),IF(C1182=WOCHE!$B$3,1,0),0)</f>
        <v/>
      </c>
      <c r="X1182">
        <f>N(X1181)+IF(AND(V1182&lt;&gt;"",T1182&lt;&gt;""),IF(V1182=MONAT!$AZ$3,1,0),0)</f>
        <v/>
      </c>
    </row>
    <row r="1183">
      <c r="A1183" s="19" t="n"/>
      <c r="B1183" s="20">
        <f>IF(A1183="","",CHOOSE(WEEKDAY(A1183,2),"Mo","Di","Mi","Do","Fr","Sa","So"))</f>
        <v/>
      </c>
      <c r="C1183" s="20">
        <f>IF(A1183="","",INT((A1183-DATE(YEAR(A1183-WEEKDAY(A1183-1)+4),1,3)+WEEKDAY(DATE(YEAR(A1183-WEEKDAY(A1183-1)+4),1,3))+5)/7))</f>
        <v/>
      </c>
      <c r="D1183" s="21" t="n"/>
      <c r="E1183" s="22" t="n"/>
      <c r="F1183" s="23" t="n"/>
      <c r="G1183" s="23" t="n"/>
      <c r="H1183" s="23" t="n"/>
      <c r="I1183" s="20">
        <f>IF(COUNT(F1183:H1183)=0,"",SUM(F1183:H1183))</f>
        <v/>
      </c>
      <c r="J1183" s="23" t="n"/>
      <c r="K1183" s="23" t="n"/>
      <c r="L1183" s="23" t="n"/>
      <c r="M1183" s="23" t="n"/>
      <c r="N1183" s="23" t="n"/>
      <c r="O1183" s="20">
        <f>IF(OR(I1183="",COUNT(J1183:N1183)=0),"",IF(SUM(J1183:N1183)=I1183,"✓","⚠ "&amp;SUM(J1183:N1183)&amp;" statt "&amp;I1183))</f>
        <v/>
      </c>
      <c r="P1183" s="21" t="n"/>
      <c r="Q1183" s="21" t="n"/>
      <c r="R1183" s="21" t="n"/>
      <c r="S1183" s="24" t="n"/>
      <c r="T1183" s="24" t="n"/>
      <c r="V1183">
        <f>IF(A1183="","",MONTH(A1183))</f>
        <v/>
      </c>
      <c r="W1183">
        <f>N(W1182)+IF(AND(C1183&lt;&gt;"",T1183&lt;&gt;""),IF(C1183=WOCHE!$B$3,1,0),0)</f>
        <v/>
      </c>
      <c r="X1183">
        <f>N(X1182)+IF(AND(V1183&lt;&gt;"",T1183&lt;&gt;""),IF(V1183=MONAT!$AZ$3,1,0),0)</f>
        <v/>
      </c>
    </row>
    <row r="1184">
      <c r="A1184" s="19" t="n"/>
      <c r="B1184" s="20">
        <f>IF(A1184="","",CHOOSE(WEEKDAY(A1184,2),"Mo","Di","Mi","Do","Fr","Sa","So"))</f>
        <v/>
      </c>
      <c r="C1184" s="20">
        <f>IF(A1184="","",INT((A1184-DATE(YEAR(A1184-WEEKDAY(A1184-1)+4),1,3)+WEEKDAY(DATE(YEAR(A1184-WEEKDAY(A1184-1)+4),1,3))+5)/7))</f>
        <v/>
      </c>
      <c r="D1184" s="21" t="n"/>
      <c r="E1184" s="22" t="n"/>
      <c r="F1184" s="23" t="n"/>
      <c r="G1184" s="23" t="n"/>
      <c r="H1184" s="23" t="n"/>
      <c r="I1184" s="20">
        <f>IF(COUNT(F1184:H1184)=0,"",SUM(F1184:H1184))</f>
        <v/>
      </c>
      <c r="J1184" s="23" t="n"/>
      <c r="K1184" s="23" t="n"/>
      <c r="L1184" s="23" t="n"/>
      <c r="M1184" s="23" t="n"/>
      <c r="N1184" s="23" t="n"/>
      <c r="O1184" s="20">
        <f>IF(OR(I1184="",COUNT(J1184:N1184)=0),"",IF(SUM(J1184:N1184)=I1184,"✓","⚠ "&amp;SUM(J1184:N1184)&amp;" statt "&amp;I1184))</f>
        <v/>
      </c>
      <c r="P1184" s="21" t="n"/>
      <c r="Q1184" s="21" t="n"/>
      <c r="R1184" s="21" t="n"/>
      <c r="S1184" s="24" t="n"/>
      <c r="T1184" s="24" t="n"/>
      <c r="V1184">
        <f>IF(A1184="","",MONTH(A1184))</f>
        <v/>
      </c>
      <c r="W1184">
        <f>N(W1183)+IF(AND(C1184&lt;&gt;"",T1184&lt;&gt;""),IF(C1184=WOCHE!$B$3,1,0),0)</f>
        <v/>
      </c>
      <c r="X1184">
        <f>N(X1183)+IF(AND(V1184&lt;&gt;"",T1184&lt;&gt;""),IF(V1184=MONAT!$AZ$3,1,0),0)</f>
        <v/>
      </c>
    </row>
    <row r="1185">
      <c r="A1185" s="19" t="n"/>
      <c r="B1185" s="20">
        <f>IF(A1185="","",CHOOSE(WEEKDAY(A1185,2),"Mo","Di","Mi","Do","Fr","Sa","So"))</f>
        <v/>
      </c>
      <c r="C1185" s="20">
        <f>IF(A1185="","",INT((A1185-DATE(YEAR(A1185-WEEKDAY(A1185-1)+4),1,3)+WEEKDAY(DATE(YEAR(A1185-WEEKDAY(A1185-1)+4),1,3))+5)/7))</f>
        <v/>
      </c>
      <c r="D1185" s="21" t="n"/>
      <c r="E1185" s="22" t="n"/>
      <c r="F1185" s="23" t="n"/>
      <c r="G1185" s="23" t="n"/>
      <c r="H1185" s="23" t="n"/>
      <c r="I1185" s="20">
        <f>IF(COUNT(F1185:H1185)=0,"",SUM(F1185:H1185))</f>
        <v/>
      </c>
      <c r="J1185" s="23" t="n"/>
      <c r="K1185" s="23" t="n"/>
      <c r="L1185" s="23" t="n"/>
      <c r="M1185" s="23" t="n"/>
      <c r="N1185" s="23" t="n"/>
      <c r="O1185" s="20">
        <f>IF(OR(I1185="",COUNT(J1185:N1185)=0),"",IF(SUM(J1185:N1185)=I1185,"✓","⚠ "&amp;SUM(J1185:N1185)&amp;" statt "&amp;I1185))</f>
        <v/>
      </c>
      <c r="P1185" s="21" t="n"/>
      <c r="Q1185" s="21" t="n"/>
      <c r="R1185" s="21" t="n"/>
      <c r="S1185" s="24" t="n"/>
      <c r="T1185" s="24" t="n"/>
      <c r="V1185">
        <f>IF(A1185="","",MONTH(A1185))</f>
        <v/>
      </c>
      <c r="W1185">
        <f>N(W1184)+IF(AND(C1185&lt;&gt;"",T1185&lt;&gt;""),IF(C1185=WOCHE!$B$3,1,0),0)</f>
        <v/>
      </c>
      <c r="X1185">
        <f>N(X1184)+IF(AND(V1185&lt;&gt;"",T1185&lt;&gt;""),IF(V1185=MONAT!$AZ$3,1,0),0)</f>
        <v/>
      </c>
    </row>
    <row r="1186">
      <c r="A1186" s="19" t="n"/>
      <c r="B1186" s="20">
        <f>IF(A1186="","",CHOOSE(WEEKDAY(A1186,2),"Mo","Di","Mi","Do","Fr","Sa","So"))</f>
        <v/>
      </c>
      <c r="C1186" s="20">
        <f>IF(A1186="","",INT((A1186-DATE(YEAR(A1186-WEEKDAY(A1186-1)+4),1,3)+WEEKDAY(DATE(YEAR(A1186-WEEKDAY(A1186-1)+4),1,3))+5)/7))</f>
        <v/>
      </c>
      <c r="D1186" s="21" t="n"/>
      <c r="E1186" s="22" t="n"/>
      <c r="F1186" s="23" t="n"/>
      <c r="G1186" s="23" t="n"/>
      <c r="H1186" s="23" t="n"/>
      <c r="I1186" s="20">
        <f>IF(COUNT(F1186:H1186)=0,"",SUM(F1186:H1186))</f>
        <v/>
      </c>
      <c r="J1186" s="23" t="n"/>
      <c r="K1186" s="23" t="n"/>
      <c r="L1186" s="23" t="n"/>
      <c r="M1186" s="23" t="n"/>
      <c r="N1186" s="23" t="n"/>
      <c r="O1186" s="20">
        <f>IF(OR(I1186="",COUNT(J1186:N1186)=0),"",IF(SUM(J1186:N1186)=I1186,"✓","⚠ "&amp;SUM(J1186:N1186)&amp;" statt "&amp;I1186))</f>
        <v/>
      </c>
      <c r="P1186" s="21" t="n"/>
      <c r="Q1186" s="21" t="n"/>
      <c r="R1186" s="21" t="n"/>
      <c r="S1186" s="24" t="n"/>
      <c r="T1186" s="24" t="n"/>
      <c r="V1186">
        <f>IF(A1186="","",MONTH(A1186))</f>
        <v/>
      </c>
      <c r="W1186">
        <f>N(W1185)+IF(AND(C1186&lt;&gt;"",T1186&lt;&gt;""),IF(C1186=WOCHE!$B$3,1,0),0)</f>
        <v/>
      </c>
      <c r="X1186">
        <f>N(X1185)+IF(AND(V1186&lt;&gt;"",T1186&lt;&gt;""),IF(V1186=MONAT!$AZ$3,1,0),0)</f>
        <v/>
      </c>
    </row>
    <row r="1187">
      <c r="A1187" s="19" t="n"/>
      <c r="B1187" s="20">
        <f>IF(A1187="","",CHOOSE(WEEKDAY(A1187,2),"Mo","Di","Mi","Do","Fr","Sa","So"))</f>
        <v/>
      </c>
      <c r="C1187" s="20">
        <f>IF(A1187="","",INT((A1187-DATE(YEAR(A1187-WEEKDAY(A1187-1)+4),1,3)+WEEKDAY(DATE(YEAR(A1187-WEEKDAY(A1187-1)+4),1,3))+5)/7))</f>
        <v/>
      </c>
      <c r="D1187" s="21" t="n"/>
      <c r="E1187" s="22" t="n"/>
      <c r="F1187" s="23" t="n"/>
      <c r="G1187" s="23" t="n"/>
      <c r="H1187" s="23" t="n"/>
      <c r="I1187" s="20">
        <f>IF(COUNT(F1187:H1187)=0,"",SUM(F1187:H1187))</f>
        <v/>
      </c>
      <c r="J1187" s="23" t="n"/>
      <c r="K1187" s="23" t="n"/>
      <c r="L1187" s="23" t="n"/>
      <c r="M1187" s="23" t="n"/>
      <c r="N1187" s="23" t="n"/>
      <c r="O1187" s="20">
        <f>IF(OR(I1187="",COUNT(J1187:N1187)=0),"",IF(SUM(J1187:N1187)=I1187,"✓","⚠ "&amp;SUM(J1187:N1187)&amp;" statt "&amp;I1187))</f>
        <v/>
      </c>
      <c r="P1187" s="21" t="n"/>
      <c r="Q1187" s="21" t="n"/>
      <c r="R1187" s="21" t="n"/>
      <c r="S1187" s="24" t="n"/>
      <c r="T1187" s="24" t="n"/>
      <c r="V1187">
        <f>IF(A1187="","",MONTH(A1187))</f>
        <v/>
      </c>
      <c r="W1187">
        <f>N(W1186)+IF(AND(C1187&lt;&gt;"",T1187&lt;&gt;""),IF(C1187=WOCHE!$B$3,1,0),0)</f>
        <v/>
      </c>
      <c r="X1187">
        <f>N(X1186)+IF(AND(V1187&lt;&gt;"",T1187&lt;&gt;""),IF(V1187=MONAT!$AZ$3,1,0),0)</f>
        <v/>
      </c>
    </row>
    <row r="1188">
      <c r="A1188" s="19" t="n"/>
      <c r="B1188" s="20">
        <f>IF(A1188="","",CHOOSE(WEEKDAY(A1188,2),"Mo","Di","Mi","Do","Fr","Sa","So"))</f>
        <v/>
      </c>
      <c r="C1188" s="20">
        <f>IF(A1188="","",INT((A1188-DATE(YEAR(A1188-WEEKDAY(A1188-1)+4),1,3)+WEEKDAY(DATE(YEAR(A1188-WEEKDAY(A1188-1)+4),1,3))+5)/7))</f>
        <v/>
      </c>
      <c r="D1188" s="21" t="n"/>
      <c r="E1188" s="22" t="n"/>
      <c r="F1188" s="23" t="n"/>
      <c r="G1188" s="23" t="n"/>
      <c r="H1188" s="23" t="n"/>
      <c r="I1188" s="20">
        <f>IF(COUNT(F1188:H1188)=0,"",SUM(F1188:H1188))</f>
        <v/>
      </c>
      <c r="J1188" s="23" t="n"/>
      <c r="K1188" s="23" t="n"/>
      <c r="L1188" s="23" t="n"/>
      <c r="M1188" s="23" t="n"/>
      <c r="N1188" s="23" t="n"/>
      <c r="O1188" s="20">
        <f>IF(OR(I1188="",COUNT(J1188:N1188)=0),"",IF(SUM(J1188:N1188)=I1188,"✓","⚠ "&amp;SUM(J1188:N1188)&amp;" statt "&amp;I1188))</f>
        <v/>
      </c>
      <c r="P1188" s="21" t="n"/>
      <c r="Q1188" s="21" t="n"/>
      <c r="R1188" s="21" t="n"/>
      <c r="S1188" s="24" t="n"/>
      <c r="T1188" s="24" t="n"/>
      <c r="V1188">
        <f>IF(A1188="","",MONTH(A1188))</f>
        <v/>
      </c>
      <c r="W1188">
        <f>N(W1187)+IF(AND(C1188&lt;&gt;"",T1188&lt;&gt;""),IF(C1188=WOCHE!$B$3,1,0),0)</f>
        <v/>
      </c>
      <c r="X1188">
        <f>N(X1187)+IF(AND(V1188&lt;&gt;"",T1188&lt;&gt;""),IF(V1188=MONAT!$AZ$3,1,0),0)</f>
        <v/>
      </c>
    </row>
    <row r="1189">
      <c r="A1189" s="19" t="n"/>
      <c r="B1189" s="20">
        <f>IF(A1189="","",CHOOSE(WEEKDAY(A1189,2),"Mo","Di","Mi","Do","Fr","Sa","So"))</f>
        <v/>
      </c>
      <c r="C1189" s="20">
        <f>IF(A1189="","",INT((A1189-DATE(YEAR(A1189-WEEKDAY(A1189-1)+4),1,3)+WEEKDAY(DATE(YEAR(A1189-WEEKDAY(A1189-1)+4),1,3))+5)/7))</f>
        <v/>
      </c>
      <c r="D1189" s="21" t="n"/>
      <c r="E1189" s="22" t="n"/>
      <c r="F1189" s="23" t="n"/>
      <c r="G1189" s="23" t="n"/>
      <c r="H1189" s="23" t="n"/>
      <c r="I1189" s="20">
        <f>IF(COUNT(F1189:H1189)=0,"",SUM(F1189:H1189))</f>
        <v/>
      </c>
      <c r="J1189" s="23" t="n"/>
      <c r="K1189" s="23" t="n"/>
      <c r="L1189" s="23" t="n"/>
      <c r="M1189" s="23" t="n"/>
      <c r="N1189" s="23" t="n"/>
      <c r="O1189" s="20">
        <f>IF(OR(I1189="",COUNT(J1189:N1189)=0),"",IF(SUM(J1189:N1189)=I1189,"✓","⚠ "&amp;SUM(J1189:N1189)&amp;" statt "&amp;I1189))</f>
        <v/>
      </c>
      <c r="P1189" s="21" t="n"/>
      <c r="Q1189" s="21" t="n"/>
      <c r="R1189" s="21" t="n"/>
      <c r="S1189" s="24" t="n"/>
      <c r="T1189" s="24" t="n"/>
      <c r="V1189">
        <f>IF(A1189="","",MONTH(A1189))</f>
        <v/>
      </c>
      <c r="W1189">
        <f>N(W1188)+IF(AND(C1189&lt;&gt;"",T1189&lt;&gt;""),IF(C1189=WOCHE!$B$3,1,0),0)</f>
        <v/>
      </c>
      <c r="X1189">
        <f>N(X1188)+IF(AND(V1189&lt;&gt;"",T1189&lt;&gt;""),IF(V1189=MONAT!$AZ$3,1,0),0)</f>
        <v/>
      </c>
    </row>
    <row r="1190">
      <c r="A1190" s="19" t="n"/>
      <c r="B1190" s="20">
        <f>IF(A1190="","",CHOOSE(WEEKDAY(A1190,2),"Mo","Di","Mi","Do","Fr","Sa","So"))</f>
        <v/>
      </c>
      <c r="C1190" s="20">
        <f>IF(A1190="","",INT((A1190-DATE(YEAR(A1190-WEEKDAY(A1190-1)+4),1,3)+WEEKDAY(DATE(YEAR(A1190-WEEKDAY(A1190-1)+4),1,3))+5)/7))</f>
        <v/>
      </c>
      <c r="D1190" s="21" t="n"/>
      <c r="E1190" s="22" t="n"/>
      <c r="F1190" s="23" t="n"/>
      <c r="G1190" s="23" t="n"/>
      <c r="H1190" s="23" t="n"/>
      <c r="I1190" s="20">
        <f>IF(COUNT(F1190:H1190)=0,"",SUM(F1190:H1190))</f>
        <v/>
      </c>
      <c r="J1190" s="23" t="n"/>
      <c r="K1190" s="23" t="n"/>
      <c r="L1190" s="23" t="n"/>
      <c r="M1190" s="23" t="n"/>
      <c r="N1190" s="23" t="n"/>
      <c r="O1190" s="20">
        <f>IF(OR(I1190="",COUNT(J1190:N1190)=0),"",IF(SUM(J1190:N1190)=I1190,"✓","⚠ "&amp;SUM(J1190:N1190)&amp;" statt "&amp;I1190))</f>
        <v/>
      </c>
      <c r="P1190" s="21" t="n"/>
      <c r="Q1190" s="21" t="n"/>
      <c r="R1190" s="21" t="n"/>
      <c r="S1190" s="24" t="n"/>
      <c r="T1190" s="24" t="n"/>
      <c r="V1190">
        <f>IF(A1190="","",MONTH(A1190))</f>
        <v/>
      </c>
      <c r="W1190">
        <f>N(W1189)+IF(AND(C1190&lt;&gt;"",T1190&lt;&gt;""),IF(C1190=WOCHE!$B$3,1,0),0)</f>
        <v/>
      </c>
      <c r="X1190">
        <f>N(X1189)+IF(AND(V1190&lt;&gt;"",T1190&lt;&gt;""),IF(V1190=MONAT!$AZ$3,1,0),0)</f>
        <v/>
      </c>
    </row>
    <row r="1191">
      <c r="A1191" s="19" t="n"/>
      <c r="B1191" s="20">
        <f>IF(A1191="","",CHOOSE(WEEKDAY(A1191,2),"Mo","Di","Mi","Do","Fr","Sa","So"))</f>
        <v/>
      </c>
      <c r="C1191" s="20">
        <f>IF(A1191="","",INT((A1191-DATE(YEAR(A1191-WEEKDAY(A1191-1)+4),1,3)+WEEKDAY(DATE(YEAR(A1191-WEEKDAY(A1191-1)+4),1,3))+5)/7))</f>
        <v/>
      </c>
      <c r="D1191" s="21" t="n"/>
      <c r="E1191" s="22" t="n"/>
      <c r="F1191" s="23" t="n"/>
      <c r="G1191" s="23" t="n"/>
      <c r="H1191" s="23" t="n"/>
      <c r="I1191" s="20">
        <f>IF(COUNT(F1191:H1191)=0,"",SUM(F1191:H1191))</f>
        <v/>
      </c>
      <c r="J1191" s="23" t="n"/>
      <c r="K1191" s="23" t="n"/>
      <c r="L1191" s="23" t="n"/>
      <c r="M1191" s="23" t="n"/>
      <c r="N1191" s="23" t="n"/>
      <c r="O1191" s="20">
        <f>IF(OR(I1191="",COUNT(J1191:N1191)=0),"",IF(SUM(J1191:N1191)=I1191,"✓","⚠ "&amp;SUM(J1191:N1191)&amp;" statt "&amp;I1191))</f>
        <v/>
      </c>
      <c r="P1191" s="21" t="n"/>
      <c r="Q1191" s="21" t="n"/>
      <c r="R1191" s="21" t="n"/>
      <c r="S1191" s="24" t="n"/>
      <c r="T1191" s="24" t="n"/>
      <c r="V1191">
        <f>IF(A1191="","",MONTH(A1191))</f>
        <v/>
      </c>
      <c r="W1191">
        <f>N(W1190)+IF(AND(C1191&lt;&gt;"",T1191&lt;&gt;""),IF(C1191=WOCHE!$B$3,1,0),0)</f>
        <v/>
      </c>
      <c r="X1191">
        <f>N(X1190)+IF(AND(V1191&lt;&gt;"",T1191&lt;&gt;""),IF(V1191=MONAT!$AZ$3,1,0),0)</f>
        <v/>
      </c>
    </row>
    <row r="1192">
      <c r="A1192" s="19" t="n"/>
      <c r="B1192" s="20">
        <f>IF(A1192="","",CHOOSE(WEEKDAY(A1192,2),"Mo","Di","Mi","Do","Fr","Sa","So"))</f>
        <v/>
      </c>
      <c r="C1192" s="20">
        <f>IF(A1192="","",INT((A1192-DATE(YEAR(A1192-WEEKDAY(A1192-1)+4),1,3)+WEEKDAY(DATE(YEAR(A1192-WEEKDAY(A1192-1)+4),1,3))+5)/7))</f>
        <v/>
      </c>
      <c r="D1192" s="21" t="n"/>
      <c r="E1192" s="22" t="n"/>
      <c r="F1192" s="23" t="n"/>
      <c r="G1192" s="23" t="n"/>
      <c r="H1192" s="23" t="n"/>
      <c r="I1192" s="20">
        <f>IF(COUNT(F1192:H1192)=0,"",SUM(F1192:H1192))</f>
        <v/>
      </c>
      <c r="J1192" s="23" t="n"/>
      <c r="K1192" s="23" t="n"/>
      <c r="L1192" s="23" t="n"/>
      <c r="M1192" s="23" t="n"/>
      <c r="N1192" s="23" t="n"/>
      <c r="O1192" s="20">
        <f>IF(OR(I1192="",COUNT(J1192:N1192)=0),"",IF(SUM(J1192:N1192)=I1192,"✓","⚠ "&amp;SUM(J1192:N1192)&amp;" statt "&amp;I1192))</f>
        <v/>
      </c>
      <c r="P1192" s="21" t="n"/>
      <c r="Q1192" s="21" t="n"/>
      <c r="R1192" s="21" t="n"/>
      <c r="S1192" s="24" t="n"/>
      <c r="T1192" s="24" t="n"/>
      <c r="V1192">
        <f>IF(A1192="","",MONTH(A1192))</f>
        <v/>
      </c>
      <c r="W1192">
        <f>N(W1191)+IF(AND(C1192&lt;&gt;"",T1192&lt;&gt;""),IF(C1192=WOCHE!$B$3,1,0),0)</f>
        <v/>
      </c>
      <c r="X1192">
        <f>N(X1191)+IF(AND(V1192&lt;&gt;"",T1192&lt;&gt;""),IF(V1192=MONAT!$AZ$3,1,0),0)</f>
        <v/>
      </c>
    </row>
    <row r="1193">
      <c r="A1193" s="19" t="n"/>
      <c r="B1193" s="20">
        <f>IF(A1193="","",CHOOSE(WEEKDAY(A1193,2),"Mo","Di","Mi","Do","Fr","Sa","So"))</f>
        <v/>
      </c>
      <c r="C1193" s="20">
        <f>IF(A1193="","",INT((A1193-DATE(YEAR(A1193-WEEKDAY(A1193-1)+4),1,3)+WEEKDAY(DATE(YEAR(A1193-WEEKDAY(A1193-1)+4),1,3))+5)/7))</f>
        <v/>
      </c>
      <c r="D1193" s="21" t="n"/>
      <c r="E1193" s="22" t="n"/>
      <c r="F1193" s="23" t="n"/>
      <c r="G1193" s="23" t="n"/>
      <c r="H1193" s="23" t="n"/>
      <c r="I1193" s="20">
        <f>IF(COUNT(F1193:H1193)=0,"",SUM(F1193:H1193))</f>
        <v/>
      </c>
      <c r="J1193" s="23" t="n"/>
      <c r="K1193" s="23" t="n"/>
      <c r="L1193" s="23" t="n"/>
      <c r="M1193" s="23" t="n"/>
      <c r="N1193" s="23" t="n"/>
      <c r="O1193" s="20">
        <f>IF(OR(I1193="",COUNT(J1193:N1193)=0),"",IF(SUM(J1193:N1193)=I1193,"✓","⚠ "&amp;SUM(J1193:N1193)&amp;" statt "&amp;I1193))</f>
        <v/>
      </c>
      <c r="P1193" s="21" t="n"/>
      <c r="Q1193" s="21" t="n"/>
      <c r="R1193" s="21" t="n"/>
      <c r="S1193" s="24" t="n"/>
      <c r="T1193" s="24" t="n"/>
      <c r="V1193">
        <f>IF(A1193="","",MONTH(A1193))</f>
        <v/>
      </c>
      <c r="W1193">
        <f>N(W1192)+IF(AND(C1193&lt;&gt;"",T1193&lt;&gt;""),IF(C1193=WOCHE!$B$3,1,0),0)</f>
        <v/>
      </c>
      <c r="X1193">
        <f>N(X1192)+IF(AND(V1193&lt;&gt;"",T1193&lt;&gt;""),IF(V1193=MONAT!$AZ$3,1,0),0)</f>
        <v/>
      </c>
    </row>
    <row r="1194">
      <c r="A1194" s="19" t="n"/>
      <c r="B1194" s="20">
        <f>IF(A1194="","",CHOOSE(WEEKDAY(A1194,2),"Mo","Di","Mi","Do","Fr","Sa","So"))</f>
        <v/>
      </c>
      <c r="C1194" s="20">
        <f>IF(A1194="","",INT((A1194-DATE(YEAR(A1194-WEEKDAY(A1194-1)+4),1,3)+WEEKDAY(DATE(YEAR(A1194-WEEKDAY(A1194-1)+4),1,3))+5)/7))</f>
        <v/>
      </c>
      <c r="D1194" s="21" t="n"/>
      <c r="E1194" s="22" t="n"/>
      <c r="F1194" s="23" t="n"/>
      <c r="G1194" s="23" t="n"/>
      <c r="H1194" s="23" t="n"/>
      <c r="I1194" s="20">
        <f>IF(COUNT(F1194:H1194)=0,"",SUM(F1194:H1194))</f>
        <v/>
      </c>
      <c r="J1194" s="23" t="n"/>
      <c r="K1194" s="23" t="n"/>
      <c r="L1194" s="23" t="n"/>
      <c r="M1194" s="23" t="n"/>
      <c r="N1194" s="23" t="n"/>
      <c r="O1194" s="20">
        <f>IF(OR(I1194="",COUNT(J1194:N1194)=0),"",IF(SUM(J1194:N1194)=I1194,"✓","⚠ "&amp;SUM(J1194:N1194)&amp;" statt "&amp;I1194))</f>
        <v/>
      </c>
      <c r="P1194" s="21" t="n"/>
      <c r="Q1194" s="21" t="n"/>
      <c r="R1194" s="21" t="n"/>
      <c r="S1194" s="24" t="n"/>
      <c r="T1194" s="24" t="n"/>
      <c r="V1194">
        <f>IF(A1194="","",MONTH(A1194))</f>
        <v/>
      </c>
      <c r="W1194">
        <f>N(W1193)+IF(AND(C1194&lt;&gt;"",T1194&lt;&gt;""),IF(C1194=WOCHE!$B$3,1,0),0)</f>
        <v/>
      </c>
      <c r="X1194">
        <f>N(X1193)+IF(AND(V1194&lt;&gt;"",T1194&lt;&gt;""),IF(V1194=MONAT!$AZ$3,1,0),0)</f>
        <v/>
      </c>
    </row>
    <row r="1195">
      <c r="A1195" s="19" t="n"/>
      <c r="B1195" s="20">
        <f>IF(A1195="","",CHOOSE(WEEKDAY(A1195,2),"Mo","Di","Mi","Do","Fr","Sa","So"))</f>
        <v/>
      </c>
      <c r="C1195" s="20">
        <f>IF(A1195="","",INT((A1195-DATE(YEAR(A1195-WEEKDAY(A1195-1)+4),1,3)+WEEKDAY(DATE(YEAR(A1195-WEEKDAY(A1195-1)+4),1,3))+5)/7))</f>
        <v/>
      </c>
      <c r="D1195" s="21" t="n"/>
      <c r="E1195" s="22" t="n"/>
      <c r="F1195" s="23" t="n"/>
      <c r="G1195" s="23" t="n"/>
      <c r="H1195" s="23" t="n"/>
      <c r="I1195" s="20">
        <f>IF(COUNT(F1195:H1195)=0,"",SUM(F1195:H1195))</f>
        <v/>
      </c>
      <c r="J1195" s="23" t="n"/>
      <c r="K1195" s="23" t="n"/>
      <c r="L1195" s="23" t="n"/>
      <c r="M1195" s="23" t="n"/>
      <c r="N1195" s="23" t="n"/>
      <c r="O1195" s="20">
        <f>IF(OR(I1195="",COUNT(J1195:N1195)=0),"",IF(SUM(J1195:N1195)=I1195,"✓","⚠ "&amp;SUM(J1195:N1195)&amp;" statt "&amp;I1195))</f>
        <v/>
      </c>
      <c r="P1195" s="21" t="n"/>
      <c r="Q1195" s="21" t="n"/>
      <c r="R1195" s="21" t="n"/>
      <c r="S1195" s="24" t="n"/>
      <c r="T1195" s="24" t="n"/>
      <c r="V1195">
        <f>IF(A1195="","",MONTH(A1195))</f>
        <v/>
      </c>
      <c r="W1195">
        <f>N(W1194)+IF(AND(C1195&lt;&gt;"",T1195&lt;&gt;""),IF(C1195=WOCHE!$B$3,1,0),0)</f>
        <v/>
      </c>
      <c r="X1195">
        <f>N(X1194)+IF(AND(V1195&lt;&gt;"",T1195&lt;&gt;""),IF(V1195=MONAT!$AZ$3,1,0),0)</f>
        <v/>
      </c>
    </row>
    <row r="1196">
      <c r="A1196" s="19" t="n"/>
      <c r="B1196" s="20">
        <f>IF(A1196="","",CHOOSE(WEEKDAY(A1196,2),"Mo","Di","Mi","Do","Fr","Sa","So"))</f>
        <v/>
      </c>
      <c r="C1196" s="20">
        <f>IF(A1196="","",INT((A1196-DATE(YEAR(A1196-WEEKDAY(A1196-1)+4),1,3)+WEEKDAY(DATE(YEAR(A1196-WEEKDAY(A1196-1)+4),1,3))+5)/7))</f>
        <v/>
      </c>
      <c r="D1196" s="21" t="n"/>
      <c r="E1196" s="22" t="n"/>
      <c r="F1196" s="23" t="n"/>
      <c r="G1196" s="23" t="n"/>
      <c r="H1196" s="23" t="n"/>
      <c r="I1196" s="20">
        <f>IF(COUNT(F1196:H1196)=0,"",SUM(F1196:H1196))</f>
        <v/>
      </c>
      <c r="J1196" s="23" t="n"/>
      <c r="K1196" s="23" t="n"/>
      <c r="L1196" s="23" t="n"/>
      <c r="M1196" s="23" t="n"/>
      <c r="N1196" s="23" t="n"/>
      <c r="O1196" s="20">
        <f>IF(OR(I1196="",COUNT(J1196:N1196)=0),"",IF(SUM(J1196:N1196)=I1196,"✓","⚠ "&amp;SUM(J1196:N1196)&amp;" statt "&amp;I1196))</f>
        <v/>
      </c>
      <c r="P1196" s="21" t="n"/>
      <c r="Q1196" s="21" t="n"/>
      <c r="R1196" s="21" t="n"/>
      <c r="S1196" s="24" t="n"/>
      <c r="T1196" s="24" t="n"/>
      <c r="V1196">
        <f>IF(A1196="","",MONTH(A1196))</f>
        <v/>
      </c>
      <c r="W1196">
        <f>N(W1195)+IF(AND(C1196&lt;&gt;"",T1196&lt;&gt;""),IF(C1196=WOCHE!$B$3,1,0),0)</f>
        <v/>
      </c>
      <c r="X1196">
        <f>N(X1195)+IF(AND(V1196&lt;&gt;"",T1196&lt;&gt;""),IF(V1196=MONAT!$AZ$3,1,0),0)</f>
        <v/>
      </c>
    </row>
    <row r="1197">
      <c r="A1197" s="19" t="n"/>
      <c r="B1197" s="20">
        <f>IF(A1197="","",CHOOSE(WEEKDAY(A1197,2),"Mo","Di","Mi","Do","Fr","Sa","So"))</f>
        <v/>
      </c>
      <c r="C1197" s="20">
        <f>IF(A1197="","",INT((A1197-DATE(YEAR(A1197-WEEKDAY(A1197-1)+4),1,3)+WEEKDAY(DATE(YEAR(A1197-WEEKDAY(A1197-1)+4),1,3))+5)/7))</f>
        <v/>
      </c>
      <c r="D1197" s="21" t="n"/>
      <c r="E1197" s="22" t="n"/>
      <c r="F1197" s="23" t="n"/>
      <c r="G1197" s="23" t="n"/>
      <c r="H1197" s="23" t="n"/>
      <c r="I1197" s="20">
        <f>IF(COUNT(F1197:H1197)=0,"",SUM(F1197:H1197))</f>
        <v/>
      </c>
      <c r="J1197" s="23" t="n"/>
      <c r="K1197" s="23" t="n"/>
      <c r="L1197" s="23" t="n"/>
      <c r="M1197" s="23" t="n"/>
      <c r="N1197" s="23" t="n"/>
      <c r="O1197" s="20">
        <f>IF(OR(I1197="",COUNT(J1197:N1197)=0),"",IF(SUM(J1197:N1197)=I1197,"✓","⚠ "&amp;SUM(J1197:N1197)&amp;" statt "&amp;I1197))</f>
        <v/>
      </c>
      <c r="P1197" s="21" t="n"/>
      <c r="Q1197" s="21" t="n"/>
      <c r="R1197" s="21" t="n"/>
      <c r="S1197" s="24" t="n"/>
      <c r="T1197" s="24" t="n"/>
      <c r="V1197">
        <f>IF(A1197="","",MONTH(A1197))</f>
        <v/>
      </c>
      <c r="W1197">
        <f>N(W1196)+IF(AND(C1197&lt;&gt;"",T1197&lt;&gt;""),IF(C1197=WOCHE!$B$3,1,0),0)</f>
        <v/>
      </c>
      <c r="X1197">
        <f>N(X1196)+IF(AND(V1197&lt;&gt;"",T1197&lt;&gt;""),IF(V1197=MONAT!$AZ$3,1,0),0)</f>
        <v/>
      </c>
    </row>
    <row r="1198">
      <c r="A1198" s="19" t="n"/>
      <c r="B1198" s="20">
        <f>IF(A1198="","",CHOOSE(WEEKDAY(A1198,2),"Mo","Di","Mi","Do","Fr","Sa","So"))</f>
        <v/>
      </c>
      <c r="C1198" s="20">
        <f>IF(A1198="","",INT((A1198-DATE(YEAR(A1198-WEEKDAY(A1198-1)+4),1,3)+WEEKDAY(DATE(YEAR(A1198-WEEKDAY(A1198-1)+4),1,3))+5)/7))</f>
        <v/>
      </c>
      <c r="D1198" s="21" t="n"/>
      <c r="E1198" s="22" t="n"/>
      <c r="F1198" s="23" t="n"/>
      <c r="G1198" s="23" t="n"/>
      <c r="H1198" s="23" t="n"/>
      <c r="I1198" s="20">
        <f>IF(COUNT(F1198:H1198)=0,"",SUM(F1198:H1198))</f>
        <v/>
      </c>
      <c r="J1198" s="23" t="n"/>
      <c r="K1198" s="23" t="n"/>
      <c r="L1198" s="23" t="n"/>
      <c r="M1198" s="23" t="n"/>
      <c r="N1198" s="23" t="n"/>
      <c r="O1198" s="20">
        <f>IF(OR(I1198="",COUNT(J1198:N1198)=0),"",IF(SUM(J1198:N1198)=I1198,"✓","⚠ "&amp;SUM(J1198:N1198)&amp;" statt "&amp;I1198))</f>
        <v/>
      </c>
      <c r="P1198" s="21" t="n"/>
      <c r="Q1198" s="21" t="n"/>
      <c r="R1198" s="21" t="n"/>
      <c r="S1198" s="24" t="n"/>
      <c r="T1198" s="24" t="n"/>
      <c r="V1198">
        <f>IF(A1198="","",MONTH(A1198))</f>
        <v/>
      </c>
      <c r="W1198">
        <f>N(W1197)+IF(AND(C1198&lt;&gt;"",T1198&lt;&gt;""),IF(C1198=WOCHE!$B$3,1,0),0)</f>
        <v/>
      </c>
      <c r="X1198">
        <f>N(X1197)+IF(AND(V1198&lt;&gt;"",T1198&lt;&gt;""),IF(V1198=MONAT!$AZ$3,1,0),0)</f>
        <v/>
      </c>
    </row>
    <row r="1199">
      <c r="A1199" s="19" t="n"/>
      <c r="B1199" s="20">
        <f>IF(A1199="","",CHOOSE(WEEKDAY(A1199,2),"Mo","Di","Mi","Do","Fr","Sa","So"))</f>
        <v/>
      </c>
      <c r="C1199" s="20">
        <f>IF(A1199="","",INT((A1199-DATE(YEAR(A1199-WEEKDAY(A1199-1)+4),1,3)+WEEKDAY(DATE(YEAR(A1199-WEEKDAY(A1199-1)+4),1,3))+5)/7))</f>
        <v/>
      </c>
      <c r="D1199" s="21" t="n"/>
      <c r="E1199" s="22" t="n"/>
      <c r="F1199" s="23" t="n"/>
      <c r="G1199" s="23" t="n"/>
      <c r="H1199" s="23" t="n"/>
      <c r="I1199" s="20">
        <f>IF(COUNT(F1199:H1199)=0,"",SUM(F1199:H1199))</f>
        <v/>
      </c>
      <c r="J1199" s="23" t="n"/>
      <c r="K1199" s="23" t="n"/>
      <c r="L1199" s="23" t="n"/>
      <c r="M1199" s="23" t="n"/>
      <c r="N1199" s="23" t="n"/>
      <c r="O1199" s="20">
        <f>IF(OR(I1199="",COUNT(J1199:N1199)=0),"",IF(SUM(J1199:N1199)=I1199,"✓","⚠ "&amp;SUM(J1199:N1199)&amp;" statt "&amp;I1199))</f>
        <v/>
      </c>
      <c r="P1199" s="21" t="n"/>
      <c r="Q1199" s="21" t="n"/>
      <c r="R1199" s="21" t="n"/>
      <c r="S1199" s="24" t="n"/>
      <c r="T1199" s="24" t="n"/>
      <c r="V1199">
        <f>IF(A1199="","",MONTH(A1199))</f>
        <v/>
      </c>
      <c r="W1199">
        <f>N(W1198)+IF(AND(C1199&lt;&gt;"",T1199&lt;&gt;""),IF(C1199=WOCHE!$B$3,1,0),0)</f>
        <v/>
      </c>
      <c r="X1199">
        <f>N(X1198)+IF(AND(V1199&lt;&gt;"",T1199&lt;&gt;""),IF(V1199=MONAT!$AZ$3,1,0),0)</f>
        <v/>
      </c>
    </row>
    <row r="1200">
      <c r="A1200" s="19" t="n"/>
      <c r="B1200" s="20">
        <f>IF(A1200="","",CHOOSE(WEEKDAY(A1200,2),"Mo","Di","Mi","Do","Fr","Sa","So"))</f>
        <v/>
      </c>
      <c r="C1200" s="20">
        <f>IF(A1200="","",INT((A1200-DATE(YEAR(A1200-WEEKDAY(A1200-1)+4),1,3)+WEEKDAY(DATE(YEAR(A1200-WEEKDAY(A1200-1)+4),1,3))+5)/7))</f>
        <v/>
      </c>
      <c r="D1200" s="21" t="n"/>
      <c r="E1200" s="22" t="n"/>
      <c r="F1200" s="23" t="n"/>
      <c r="G1200" s="23" t="n"/>
      <c r="H1200" s="23" t="n"/>
      <c r="I1200" s="20">
        <f>IF(COUNT(F1200:H1200)=0,"",SUM(F1200:H1200))</f>
        <v/>
      </c>
      <c r="J1200" s="23" t="n"/>
      <c r="K1200" s="23" t="n"/>
      <c r="L1200" s="23" t="n"/>
      <c r="M1200" s="23" t="n"/>
      <c r="N1200" s="23" t="n"/>
      <c r="O1200" s="20">
        <f>IF(OR(I1200="",COUNT(J1200:N1200)=0),"",IF(SUM(J1200:N1200)=I1200,"✓","⚠ "&amp;SUM(J1200:N1200)&amp;" statt "&amp;I1200))</f>
        <v/>
      </c>
      <c r="P1200" s="21" t="n"/>
      <c r="Q1200" s="21" t="n"/>
      <c r="R1200" s="21" t="n"/>
      <c r="S1200" s="24" t="n"/>
      <c r="T1200" s="24" t="n"/>
      <c r="V1200">
        <f>IF(A1200="","",MONTH(A1200))</f>
        <v/>
      </c>
      <c r="W1200">
        <f>N(W1199)+IF(AND(C1200&lt;&gt;"",T1200&lt;&gt;""),IF(C1200=WOCHE!$B$3,1,0),0)</f>
        <v/>
      </c>
      <c r="X1200">
        <f>N(X1199)+IF(AND(V1200&lt;&gt;"",T1200&lt;&gt;""),IF(V1200=MONAT!$AZ$3,1,0),0)</f>
        <v/>
      </c>
    </row>
    <row r="1201">
      <c r="A1201" s="19" t="n"/>
      <c r="B1201" s="20">
        <f>IF(A1201="","",CHOOSE(WEEKDAY(A1201,2),"Mo","Di","Mi","Do","Fr","Sa","So"))</f>
        <v/>
      </c>
      <c r="C1201" s="20">
        <f>IF(A1201="","",INT((A1201-DATE(YEAR(A1201-WEEKDAY(A1201-1)+4),1,3)+WEEKDAY(DATE(YEAR(A1201-WEEKDAY(A1201-1)+4),1,3))+5)/7))</f>
        <v/>
      </c>
      <c r="D1201" s="21" t="n"/>
      <c r="E1201" s="22" t="n"/>
      <c r="F1201" s="23" t="n"/>
      <c r="G1201" s="23" t="n"/>
      <c r="H1201" s="23" t="n"/>
      <c r="I1201" s="20">
        <f>IF(COUNT(F1201:H1201)=0,"",SUM(F1201:H1201))</f>
        <v/>
      </c>
      <c r="J1201" s="23" t="n"/>
      <c r="K1201" s="23" t="n"/>
      <c r="L1201" s="23" t="n"/>
      <c r="M1201" s="23" t="n"/>
      <c r="N1201" s="23" t="n"/>
      <c r="O1201" s="20">
        <f>IF(OR(I1201="",COUNT(J1201:N1201)=0),"",IF(SUM(J1201:N1201)=I1201,"✓","⚠ "&amp;SUM(J1201:N1201)&amp;" statt "&amp;I1201))</f>
        <v/>
      </c>
      <c r="P1201" s="21" t="n"/>
      <c r="Q1201" s="21" t="n"/>
      <c r="R1201" s="21" t="n"/>
      <c r="S1201" s="24" t="n"/>
      <c r="T1201" s="24" t="n"/>
      <c r="V1201">
        <f>IF(A1201="","",MONTH(A1201))</f>
        <v/>
      </c>
      <c r="W1201">
        <f>N(W1200)+IF(AND(C1201&lt;&gt;"",T1201&lt;&gt;""),IF(C1201=WOCHE!$B$3,1,0),0)</f>
        <v/>
      </c>
      <c r="X1201">
        <f>N(X1200)+IF(AND(V1201&lt;&gt;"",T1201&lt;&gt;""),IF(V1201=MONAT!$AZ$3,1,0),0)</f>
        <v/>
      </c>
    </row>
    <row r="1202">
      <c r="A1202" s="19" t="n"/>
      <c r="B1202" s="20">
        <f>IF(A1202="","",CHOOSE(WEEKDAY(A1202,2),"Mo","Di","Mi","Do","Fr","Sa","So"))</f>
        <v/>
      </c>
      <c r="C1202" s="20">
        <f>IF(A1202="","",INT((A1202-DATE(YEAR(A1202-WEEKDAY(A1202-1)+4),1,3)+WEEKDAY(DATE(YEAR(A1202-WEEKDAY(A1202-1)+4),1,3))+5)/7))</f>
        <v/>
      </c>
      <c r="D1202" s="21" t="n"/>
      <c r="E1202" s="22" t="n"/>
      <c r="F1202" s="23" t="n"/>
      <c r="G1202" s="23" t="n"/>
      <c r="H1202" s="23" t="n"/>
      <c r="I1202" s="20">
        <f>IF(COUNT(F1202:H1202)=0,"",SUM(F1202:H1202))</f>
        <v/>
      </c>
      <c r="J1202" s="23" t="n"/>
      <c r="K1202" s="23" t="n"/>
      <c r="L1202" s="23" t="n"/>
      <c r="M1202" s="23" t="n"/>
      <c r="N1202" s="23" t="n"/>
      <c r="O1202" s="20">
        <f>IF(OR(I1202="",COUNT(J1202:N1202)=0),"",IF(SUM(J1202:N1202)=I1202,"✓","⚠ "&amp;SUM(J1202:N1202)&amp;" statt "&amp;I1202))</f>
        <v/>
      </c>
      <c r="P1202" s="21" t="n"/>
      <c r="Q1202" s="21" t="n"/>
      <c r="R1202" s="21" t="n"/>
      <c r="S1202" s="24" t="n"/>
      <c r="T1202" s="24" t="n"/>
      <c r="V1202">
        <f>IF(A1202="","",MONTH(A1202))</f>
        <v/>
      </c>
      <c r="W1202">
        <f>N(W1201)+IF(AND(C1202&lt;&gt;"",T1202&lt;&gt;""),IF(C1202=WOCHE!$B$3,1,0),0)</f>
        <v/>
      </c>
      <c r="X1202">
        <f>N(X1201)+IF(AND(V1202&lt;&gt;"",T1202&lt;&gt;""),IF(V1202=MONAT!$AZ$3,1,0),0)</f>
        <v/>
      </c>
    </row>
    <row r="1203">
      <c r="A1203" s="19" t="n"/>
      <c r="B1203" s="20">
        <f>IF(A1203="","",CHOOSE(WEEKDAY(A1203,2),"Mo","Di","Mi","Do","Fr","Sa","So"))</f>
        <v/>
      </c>
      <c r="C1203" s="20">
        <f>IF(A1203="","",INT((A1203-DATE(YEAR(A1203-WEEKDAY(A1203-1)+4),1,3)+WEEKDAY(DATE(YEAR(A1203-WEEKDAY(A1203-1)+4),1,3))+5)/7))</f>
        <v/>
      </c>
      <c r="D1203" s="21" t="n"/>
      <c r="E1203" s="22" t="n"/>
      <c r="F1203" s="23" t="n"/>
      <c r="G1203" s="23" t="n"/>
      <c r="H1203" s="23" t="n"/>
      <c r="I1203" s="20">
        <f>IF(COUNT(F1203:H1203)=0,"",SUM(F1203:H1203))</f>
        <v/>
      </c>
      <c r="J1203" s="23" t="n"/>
      <c r="K1203" s="23" t="n"/>
      <c r="L1203" s="23" t="n"/>
      <c r="M1203" s="23" t="n"/>
      <c r="N1203" s="23" t="n"/>
      <c r="O1203" s="20">
        <f>IF(OR(I1203="",COUNT(J1203:N1203)=0),"",IF(SUM(J1203:N1203)=I1203,"✓","⚠ "&amp;SUM(J1203:N1203)&amp;" statt "&amp;I1203))</f>
        <v/>
      </c>
      <c r="P1203" s="21" t="n"/>
      <c r="Q1203" s="21" t="n"/>
      <c r="R1203" s="21" t="n"/>
      <c r="S1203" s="24" t="n"/>
      <c r="T1203" s="24" t="n"/>
      <c r="V1203">
        <f>IF(A1203="","",MONTH(A1203))</f>
        <v/>
      </c>
      <c r="W1203">
        <f>N(W1202)+IF(AND(C1203&lt;&gt;"",T1203&lt;&gt;""),IF(C1203=WOCHE!$B$3,1,0),0)</f>
        <v/>
      </c>
      <c r="X1203">
        <f>N(X1202)+IF(AND(V1203&lt;&gt;"",T1203&lt;&gt;""),IF(V1203=MONAT!$AZ$3,1,0),0)</f>
        <v/>
      </c>
    </row>
    <row r="1204">
      <c r="A1204" s="19" t="n"/>
      <c r="B1204" s="20">
        <f>IF(A1204="","",CHOOSE(WEEKDAY(A1204,2),"Mo","Di","Mi","Do","Fr","Sa","So"))</f>
        <v/>
      </c>
      <c r="C1204" s="20">
        <f>IF(A1204="","",INT((A1204-DATE(YEAR(A1204-WEEKDAY(A1204-1)+4),1,3)+WEEKDAY(DATE(YEAR(A1204-WEEKDAY(A1204-1)+4),1,3))+5)/7))</f>
        <v/>
      </c>
      <c r="D1204" s="21" t="n"/>
      <c r="E1204" s="22" t="n"/>
      <c r="F1204" s="23" t="n"/>
      <c r="G1204" s="23" t="n"/>
      <c r="H1204" s="23" t="n"/>
      <c r="I1204" s="20">
        <f>IF(COUNT(F1204:H1204)=0,"",SUM(F1204:H1204))</f>
        <v/>
      </c>
      <c r="J1204" s="23" t="n"/>
      <c r="K1204" s="23" t="n"/>
      <c r="L1204" s="23" t="n"/>
      <c r="M1204" s="23" t="n"/>
      <c r="N1204" s="23" t="n"/>
      <c r="O1204" s="20">
        <f>IF(OR(I1204="",COUNT(J1204:N1204)=0),"",IF(SUM(J1204:N1204)=I1204,"✓","⚠ "&amp;SUM(J1204:N1204)&amp;" statt "&amp;I1204))</f>
        <v/>
      </c>
      <c r="P1204" s="21" t="n"/>
      <c r="Q1204" s="21" t="n"/>
      <c r="R1204" s="21" t="n"/>
      <c r="S1204" s="24" t="n"/>
      <c r="T1204" s="24" t="n"/>
      <c r="V1204">
        <f>IF(A1204="","",MONTH(A1204))</f>
        <v/>
      </c>
      <c r="W1204">
        <f>N(W1203)+IF(AND(C1204&lt;&gt;"",T1204&lt;&gt;""),IF(C1204=WOCHE!$B$3,1,0),0)</f>
        <v/>
      </c>
      <c r="X1204">
        <f>N(X1203)+IF(AND(V1204&lt;&gt;"",T1204&lt;&gt;""),IF(V1204=MONAT!$AZ$3,1,0),0)</f>
        <v/>
      </c>
    </row>
    <row r="1205">
      <c r="A1205" s="19" t="n"/>
      <c r="B1205" s="20">
        <f>IF(A1205="","",CHOOSE(WEEKDAY(A1205,2),"Mo","Di","Mi","Do","Fr","Sa","So"))</f>
        <v/>
      </c>
      <c r="C1205" s="20">
        <f>IF(A1205="","",INT((A1205-DATE(YEAR(A1205-WEEKDAY(A1205-1)+4),1,3)+WEEKDAY(DATE(YEAR(A1205-WEEKDAY(A1205-1)+4),1,3))+5)/7))</f>
        <v/>
      </c>
      <c r="D1205" s="21" t="n"/>
      <c r="E1205" s="22" t="n"/>
      <c r="F1205" s="23" t="n"/>
      <c r="G1205" s="23" t="n"/>
      <c r="H1205" s="23" t="n"/>
      <c r="I1205" s="20">
        <f>IF(COUNT(F1205:H1205)=0,"",SUM(F1205:H1205))</f>
        <v/>
      </c>
      <c r="J1205" s="23" t="n"/>
      <c r="K1205" s="23" t="n"/>
      <c r="L1205" s="23" t="n"/>
      <c r="M1205" s="23" t="n"/>
      <c r="N1205" s="23" t="n"/>
      <c r="O1205" s="20">
        <f>IF(OR(I1205="",COUNT(J1205:N1205)=0),"",IF(SUM(J1205:N1205)=I1205,"✓","⚠ "&amp;SUM(J1205:N1205)&amp;" statt "&amp;I1205))</f>
        <v/>
      </c>
      <c r="P1205" s="21" t="n"/>
      <c r="Q1205" s="21" t="n"/>
      <c r="R1205" s="21" t="n"/>
      <c r="S1205" s="24" t="n"/>
      <c r="T1205" s="24" t="n"/>
      <c r="V1205">
        <f>IF(A1205="","",MONTH(A1205))</f>
        <v/>
      </c>
      <c r="W1205">
        <f>N(W1204)+IF(AND(C1205&lt;&gt;"",T1205&lt;&gt;""),IF(C1205=WOCHE!$B$3,1,0),0)</f>
        <v/>
      </c>
      <c r="X1205">
        <f>N(X1204)+IF(AND(V1205&lt;&gt;"",T1205&lt;&gt;""),IF(V1205=MONAT!$AZ$3,1,0),0)</f>
        <v/>
      </c>
    </row>
    <row r="1206">
      <c r="A1206" s="19" t="n"/>
      <c r="B1206" s="20">
        <f>IF(A1206="","",CHOOSE(WEEKDAY(A1206,2),"Mo","Di","Mi","Do","Fr","Sa","So"))</f>
        <v/>
      </c>
      <c r="C1206" s="20">
        <f>IF(A1206="","",INT((A1206-DATE(YEAR(A1206-WEEKDAY(A1206-1)+4),1,3)+WEEKDAY(DATE(YEAR(A1206-WEEKDAY(A1206-1)+4),1,3))+5)/7))</f>
        <v/>
      </c>
      <c r="D1206" s="21" t="n"/>
      <c r="E1206" s="22" t="n"/>
      <c r="F1206" s="23" t="n"/>
      <c r="G1206" s="23" t="n"/>
      <c r="H1206" s="23" t="n"/>
      <c r="I1206" s="20">
        <f>IF(COUNT(F1206:H1206)=0,"",SUM(F1206:H1206))</f>
        <v/>
      </c>
      <c r="J1206" s="23" t="n"/>
      <c r="K1206" s="23" t="n"/>
      <c r="L1206" s="23" t="n"/>
      <c r="M1206" s="23" t="n"/>
      <c r="N1206" s="23" t="n"/>
      <c r="O1206" s="20">
        <f>IF(OR(I1206="",COUNT(J1206:N1206)=0),"",IF(SUM(J1206:N1206)=I1206,"✓","⚠ "&amp;SUM(J1206:N1206)&amp;" statt "&amp;I1206))</f>
        <v/>
      </c>
      <c r="P1206" s="21" t="n"/>
      <c r="Q1206" s="21" t="n"/>
      <c r="R1206" s="21" t="n"/>
      <c r="S1206" s="24" t="n"/>
      <c r="T1206" s="24" t="n"/>
      <c r="V1206">
        <f>IF(A1206="","",MONTH(A1206))</f>
        <v/>
      </c>
      <c r="W1206">
        <f>N(W1205)+IF(AND(C1206&lt;&gt;"",T1206&lt;&gt;""),IF(C1206=WOCHE!$B$3,1,0),0)</f>
        <v/>
      </c>
      <c r="X1206">
        <f>N(X1205)+IF(AND(V1206&lt;&gt;"",T1206&lt;&gt;""),IF(V1206=MONAT!$AZ$3,1,0),0)</f>
        <v/>
      </c>
    </row>
    <row r="1207">
      <c r="A1207" s="19" t="n"/>
      <c r="B1207" s="20">
        <f>IF(A1207="","",CHOOSE(WEEKDAY(A1207,2),"Mo","Di","Mi","Do","Fr","Sa","So"))</f>
        <v/>
      </c>
      <c r="C1207" s="20">
        <f>IF(A1207="","",INT((A1207-DATE(YEAR(A1207-WEEKDAY(A1207-1)+4),1,3)+WEEKDAY(DATE(YEAR(A1207-WEEKDAY(A1207-1)+4),1,3))+5)/7))</f>
        <v/>
      </c>
      <c r="D1207" s="21" t="n"/>
      <c r="E1207" s="22" t="n"/>
      <c r="F1207" s="23" t="n"/>
      <c r="G1207" s="23" t="n"/>
      <c r="H1207" s="23" t="n"/>
      <c r="I1207" s="20">
        <f>IF(COUNT(F1207:H1207)=0,"",SUM(F1207:H1207))</f>
        <v/>
      </c>
      <c r="J1207" s="23" t="n"/>
      <c r="K1207" s="23" t="n"/>
      <c r="L1207" s="23" t="n"/>
      <c r="M1207" s="23" t="n"/>
      <c r="N1207" s="23" t="n"/>
      <c r="O1207" s="20">
        <f>IF(OR(I1207="",COUNT(J1207:N1207)=0),"",IF(SUM(J1207:N1207)=I1207,"✓","⚠ "&amp;SUM(J1207:N1207)&amp;" statt "&amp;I1207))</f>
        <v/>
      </c>
      <c r="P1207" s="21" t="n"/>
      <c r="Q1207" s="21" t="n"/>
      <c r="R1207" s="21" t="n"/>
      <c r="S1207" s="24" t="n"/>
      <c r="T1207" s="24" t="n"/>
      <c r="V1207">
        <f>IF(A1207="","",MONTH(A1207))</f>
        <v/>
      </c>
      <c r="W1207">
        <f>N(W1206)+IF(AND(C1207&lt;&gt;"",T1207&lt;&gt;""),IF(C1207=WOCHE!$B$3,1,0),0)</f>
        <v/>
      </c>
      <c r="X1207">
        <f>N(X1206)+IF(AND(V1207&lt;&gt;"",T1207&lt;&gt;""),IF(V1207=MONAT!$AZ$3,1,0),0)</f>
        <v/>
      </c>
    </row>
    <row r="1208">
      <c r="A1208" s="19" t="n"/>
      <c r="B1208" s="20">
        <f>IF(A1208="","",CHOOSE(WEEKDAY(A1208,2),"Mo","Di","Mi","Do","Fr","Sa","So"))</f>
        <v/>
      </c>
      <c r="C1208" s="20">
        <f>IF(A1208="","",INT((A1208-DATE(YEAR(A1208-WEEKDAY(A1208-1)+4),1,3)+WEEKDAY(DATE(YEAR(A1208-WEEKDAY(A1208-1)+4),1,3))+5)/7))</f>
        <v/>
      </c>
      <c r="D1208" s="21" t="n"/>
      <c r="E1208" s="22" t="n"/>
      <c r="F1208" s="23" t="n"/>
      <c r="G1208" s="23" t="n"/>
      <c r="H1208" s="23" t="n"/>
      <c r="I1208" s="20">
        <f>IF(COUNT(F1208:H1208)=0,"",SUM(F1208:H1208))</f>
        <v/>
      </c>
      <c r="J1208" s="23" t="n"/>
      <c r="K1208" s="23" t="n"/>
      <c r="L1208" s="23" t="n"/>
      <c r="M1208" s="23" t="n"/>
      <c r="N1208" s="23" t="n"/>
      <c r="O1208" s="20">
        <f>IF(OR(I1208="",COUNT(J1208:N1208)=0),"",IF(SUM(J1208:N1208)=I1208,"✓","⚠ "&amp;SUM(J1208:N1208)&amp;" statt "&amp;I1208))</f>
        <v/>
      </c>
      <c r="P1208" s="21" t="n"/>
      <c r="Q1208" s="21" t="n"/>
      <c r="R1208" s="21" t="n"/>
      <c r="S1208" s="24" t="n"/>
      <c r="T1208" s="24" t="n"/>
      <c r="V1208">
        <f>IF(A1208="","",MONTH(A1208))</f>
        <v/>
      </c>
      <c r="W1208">
        <f>N(W1207)+IF(AND(C1208&lt;&gt;"",T1208&lt;&gt;""),IF(C1208=WOCHE!$B$3,1,0),0)</f>
        <v/>
      </c>
      <c r="X1208">
        <f>N(X1207)+IF(AND(V1208&lt;&gt;"",T1208&lt;&gt;""),IF(V1208=MONAT!$AZ$3,1,0),0)</f>
        <v/>
      </c>
    </row>
    <row r="1209">
      <c r="A1209" s="19" t="n"/>
      <c r="B1209" s="20">
        <f>IF(A1209="","",CHOOSE(WEEKDAY(A1209,2),"Mo","Di","Mi","Do","Fr","Sa","So"))</f>
        <v/>
      </c>
      <c r="C1209" s="20">
        <f>IF(A1209="","",INT((A1209-DATE(YEAR(A1209-WEEKDAY(A1209-1)+4),1,3)+WEEKDAY(DATE(YEAR(A1209-WEEKDAY(A1209-1)+4),1,3))+5)/7))</f>
        <v/>
      </c>
      <c r="D1209" s="21" t="n"/>
      <c r="E1209" s="22" t="n"/>
      <c r="F1209" s="23" t="n"/>
      <c r="G1209" s="23" t="n"/>
      <c r="H1209" s="23" t="n"/>
      <c r="I1209" s="20">
        <f>IF(COUNT(F1209:H1209)=0,"",SUM(F1209:H1209))</f>
        <v/>
      </c>
      <c r="J1209" s="23" t="n"/>
      <c r="K1209" s="23" t="n"/>
      <c r="L1209" s="23" t="n"/>
      <c r="M1209" s="23" t="n"/>
      <c r="N1209" s="23" t="n"/>
      <c r="O1209" s="20">
        <f>IF(OR(I1209="",COUNT(J1209:N1209)=0),"",IF(SUM(J1209:N1209)=I1209,"✓","⚠ "&amp;SUM(J1209:N1209)&amp;" statt "&amp;I1209))</f>
        <v/>
      </c>
      <c r="P1209" s="21" t="n"/>
      <c r="Q1209" s="21" t="n"/>
      <c r="R1209" s="21" t="n"/>
      <c r="S1209" s="24" t="n"/>
      <c r="T1209" s="24" t="n"/>
      <c r="V1209">
        <f>IF(A1209="","",MONTH(A1209))</f>
        <v/>
      </c>
      <c r="W1209">
        <f>N(W1208)+IF(AND(C1209&lt;&gt;"",T1209&lt;&gt;""),IF(C1209=WOCHE!$B$3,1,0),0)</f>
        <v/>
      </c>
      <c r="X1209">
        <f>N(X1208)+IF(AND(V1209&lt;&gt;"",T1209&lt;&gt;""),IF(V1209=MONAT!$AZ$3,1,0),0)</f>
        <v/>
      </c>
    </row>
    <row r="1210">
      <c r="A1210" s="19" t="n"/>
      <c r="B1210" s="20">
        <f>IF(A1210="","",CHOOSE(WEEKDAY(A1210,2),"Mo","Di","Mi","Do","Fr","Sa","So"))</f>
        <v/>
      </c>
      <c r="C1210" s="20">
        <f>IF(A1210="","",INT((A1210-DATE(YEAR(A1210-WEEKDAY(A1210-1)+4),1,3)+WEEKDAY(DATE(YEAR(A1210-WEEKDAY(A1210-1)+4),1,3))+5)/7))</f>
        <v/>
      </c>
      <c r="D1210" s="21" t="n"/>
      <c r="E1210" s="22" t="n"/>
      <c r="F1210" s="23" t="n"/>
      <c r="G1210" s="23" t="n"/>
      <c r="H1210" s="23" t="n"/>
      <c r="I1210" s="20">
        <f>IF(COUNT(F1210:H1210)=0,"",SUM(F1210:H1210))</f>
        <v/>
      </c>
      <c r="J1210" s="23" t="n"/>
      <c r="K1210" s="23" t="n"/>
      <c r="L1210" s="23" t="n"/>
      <c r="M1210" s="23" t="n"/>
      <c r="N1210" s="23" t="n"/>
      <c r="O1210" s="20">
        <f>IF(OR(I1210="",COUNT(J1210:N1210)=0),"",IF(SUM(J1210:N1210)=I1210,"✓","⚠ "&amp;SUM(J1210:N1210)&amp;" statt "&amp;I1210))</f>
        <v/>
      </c>
      <c r="P1210" s="21" t="n"/>
      <c r="Q1210" s="21" t="n"/>
      <c r="R1210" s="21" t="n"/>
      <c r="S1210" s="24" t="n"/>
      <c r="T1210" s="24" t="n"/>
      <c r="V1210">
        <f>IF(A1210="","",MONTH(A1210))</f>
        <v/>
      </c>
      <c r="W1210">
        <f>N(W1209)+IF(AND(C1210&lt;&gt;"",T1210&lt;&gt;""),IF(C1210=WOCHE!$B$3,1,0),0)</f>
        <v/>
      </c>
      <c r="X1210">
        <f>N(X1209)+IF(AND(V1210&lt;&gt;"",T1210&lt;&gt;""),IF(V1210=MONAT!$AZ$3,1,0),0)</f>
        <v/>
      </c>
    </row>
    <row r="1211">
      <c r="A1211" s="19" t="n"/>
      <c r="B1211" s="20">
        <f>IF(A1211="","",CHOOSE(WEEKDAY(A1211,2),"Mo","Di","Mi","Do","Fr","Sa","So"))</f>
        <v/>
      </c>
      <c r="C1211" s="20">
        <f>IF(A1211="","",INT((A1211-DATE(YEAR(A1211-WEEKDAY(A1211-1)+4),1,3)+WEEKDAY(DATE(YEAR(A1211-WEEKDAY(A1211-1)+4),1,3))+5)/7))</f>
        <v/>
      </c>
      <c r="D1211" s="21" t="n"/>
      <c r="E1211" s="22" t="n"/>
      <c r="F1211" s="23" t="n"/>
      <c r="G1211" s="23" t="n"/>
      <c r="H1211" s="23" t="n"/>
      <c r="I1211" s="20">
        <f>IF(COUNT(F1211:H1211)=0,"",SUM(F1211:H1211))</f>
        <v/>
      </c>
      <c r="J1211" s="23" t="n"/>
      <c r="K1211" s="23" t="n"/>
      <c r="L1211" s="23" t="n"/>
      <c r="M1211" s="23" t="n"/>
      <c r="N1211" s="23" t="n"/>
      <c r="O1211" s="20">
        <f>IF(OR(I1211="",COUNT(J1211:N1211)=0),"",IF(SUM(J1211:N1211)=I1211,"✓","⚠ "&amp;SUM(J1211:N1211)&amp;" statt "&amp;I1211))</f>
        <v/>
      </c>
      <c r="P1211" s="21" t="n"/>
      <c r="Q1211" s="21" t="n"/>
      <c r="R1211" s="21" t="n"/>
      <c r="S1211" s="24" t="n"/>
      <c r="T1211" s="24" t="n"/>
      <c r="V1211">
        <f>IF(A1211="","",MONTH(A1211))</f>
        <v/>
      </c>
      <c r="W1211">
        <f>N(W1210)+IF(AND(C1211&lt;&gt;"",T1211&lt;&gt;""),IF(C1211=WOCHE!$B$3,1,0),0)</f>
        <v/>
      </c>
      <c r="X1211">
        <f>N(X1210)+IF(AND(V1211&lt;&gt;"",T1211&lt;&gt;""),IF(V1211=MONAT!$AZ$3,1,0),0)</f>
        <v/>
      </c>
    </row>
    <row r="1212">
      <c r="A1212" s="19" t="n"/>
      <c r="B1212" s="20">
        <f>IF(A1212="","",CHOOSE(WEEKDAY(A1212,2),"Mo","Di","Mi","Do","Fr","Sa","So"))</f>
        <v/>
      </c>
      <c r="C1212" s="20">
        <f>IF(A1212="","",INT((A1212-DATE(YEAR(A1212-WEEKDAY(A1212-1)+4),1,3)+WEEKDAY(DATE(YEAR(A1212-WEEKDAY(A1212-1)+4),1,3))+5)/7))</f>
        <v/>
      </c>
      <c r="D1212" s="21" t="n"/>
      <c r="E1212" s="22" t="n"/>
      <c r="F1212" s="23" t="n"/>
      <c r="G1212" s="23" t="n"/>
      <c r="H1212" s="23" t="n"/>
      <c r="I1212" s="20">
        <f>IF(COUNT(F1212:H1212)=0,"",SUM(F1212:H1212))</f>
        <v/>
      </c>
      <c r="J1212" s="23" t="n"/>
      <c r="K1212" s="23" t="n"/>
      <c r="L1212" s="23" t="n"/>
      <c r="M1212" s="23" t="n"/>
      <c r="N1212" s="23" t="n"/>
      <c r="O1212" s="20">
        <f>IF(OR(I1212="",COUNT(J1212:N1212)=0),"",IF(SUM(J1212:N1212)=I1212,"✓","⚠ "&amp;SUM(J1212:N1212)&amp;" statt "&amp;I1212))</f>
        <v/>
      </c>
      <c r="P1212" s="21" t="n"/>
      <c r="Q1212" s="21" t="n"/>
      <c r="R1212" s="21" t="n"/>
      <c r="S1212" s="24" t="n"/>
      <c r="T1212" s="24" t="n"/>
      <c r="V1212">
        <f>IF(A1212="","",MONTH(A1212))</f>
        <v/>
      </c>
      <c r="W1212">
        <f>N(W1211)+IF(AND(C1212&lt;&gt;"",T1212&lt;&gt;""),IF(C1212=WOCHE!$B$3,1,0),0)</f>
        <v/>
      </c>
      <c r="X1212">
        <f>N(X1211)+IF(AND(V1212&lt;&gt;"",T1212&lt;&gt;""),IF(V1212=MONAT!$AZ$3,1,0),0)</f>
        <v/>
      </c>
    </row>
    <row r="1213">
      <c r="A1213" s="19" t="n"/>
      <c r="B1213" s="20">
        <f>IF(A1213="","",CHOOSE(WEEKDAY(A1213,2),"Mo","Di","Mi","Do","Fr","Sa","So"))</f>
        <v/>
      </c>
      <c r="C1213" s="20">
        <f>IF(A1213="","",INT((A1213-DATE(YEAR(A1213-WEEKDAY(A1213-1)+4),1,3)+WEEKDAY(DATE(YEAR(A1213-WEEKDAY(A1213-1)+4),1,3))+5)/7))</f>
        <v/>
      </c>
      <c r="D1213" s="21" t="n"/>
      <c r="E1213" s="22" t="n"/>
      <c r="F1213" s="23" t="n"/>
      <c r="G1213" s="23" t="n"/>
      <c r="H1213" s="23" t="n"/>
      <c r="I1213" s="20">
        <f>IF(COUNT(F1213:H1213)=0,"",SUM(F1213:H1213))</f>
        <v/>
      </c>
      <c r="J1213" s="23" t="n"/>
      <c r="K1213" s="23" t="n"/>
      <c r="L1213" s="23" t="n"/>
      <c r="M1213" s="23" t="n"/>
      <c r="N1213" s="23" t="n"/>
      <c r="O1213" s="20">
        <f>IF(OR(I1213="",COUNT(J1213:N1213)=0),"",IF(SUM(J1213:N1213)=I1213,"✓","⚠ "&amp;SUM(J1213:N1213)&amp;" statt "&amp;I1213))</f>
        <v/>
      </c>
      <c r="P1213" s="21" t="n"/>
      <c r="Q1213" s="21" t="n"/>
      <c r="R1213" s="21" t="n"/>
      <c r="S1213" s="24" t="n"/>
      <c r="T1213" s="24" t="n"/>
      <c r="V1213">
        <f>IF(A1213="","",MONTH(A1213))</f>
        <v/>
      </c>
      <c r="W1213">
        <f>N(W1212)+IF(AND(C1213&lt;&gt;"",T1213&lt;&gt;""),IF(C1213=WOCHE!$B$3,1,0),0)</f>
        <v/>
      </c>
      <c r="X1213">
        <f>N(X1212)+IF(AND(V1213&lt;&gt;"",T1213&lt;&gt;""),IF(V1213=MONAT!$AZ$3,1,0),0)</f>
        <v/>
      </c>
    </row>
    <row r="1214">
      <c r="A1214" s="19" t="n"/>
      <c r="B1214" s="20">
        <f>IF(A1214="","",CHOOSE(WEEKDAY(A1214,2),"Mo","Di","Mi","Do","Fr","Sa","So"))</f>
        <v/>
      </c>
      <c r="C1214" s="20">
        <f>IF(A1214="","",INT((A1214-DATE(YEAR(A1214-WEEKDAY(A1214-1)+4),1,3)+WEEKDAY(DATE(YEAR(A1214-WEEKDAY(A1214-1)+4),1,3))+5)/7))</f>
        <v/>
      </c>
      <c r="D1214" s="21" t="n"/>
      <c r="E1214" s="22" t="n"/>
      <c r="F1214" s="23" t="n"/>
      <c r="G1214" s="23" t="n"/>
      <c r="H1214" s="23" t="n"/>
      <c r="I1214" s="20">
        <f>IF(COUNT(F1214:H1214)=0,"",SUM(F1214:H1214))</f>
        <v/>
      </c>
      <c r="J1214" s="23" t="n"/>
      <c r="K1214" s="23" t="n"/>
      <c r="L1214" s="23" t="n"/>
      <c r="M1214" s="23" t="n"/>
      <c r="N1214" s="23" t="n"/>
      <c r="O1214" s="20">
        <f>IF(OR(I1214="",COUNT(J1214:N1214)=0),"",IF(SUM(J1214:N1214)=I1214,"✓","⚠ "&amp;SUM(J1214:N1214)&amp;" statt "&amp;I1214))</f>
        <v/>
      </c>
      <c r="P1214" s="21" t="n"/>
      <c r="Q1214" s="21" t="n"/>
      <c r="R1214" s="21" t="n"/>
      <c r="S1214" s="24" t="n"/>
      <c r="T1214" s="24" t="n"/>
      <c r="V1214">
        <f>IF(A1214="","",MONTH(A1214))</f>
        <v/>
      </c>
      <c r="W1214">
        <f>N(W1213)+IF(AND(C1214&lt;&gt;"",T1214&lt;&gt;""),IF(C1214=WOCHE!$B$3,1,0),0)</f>
        <v/>
      </c>
      <c r="X1214">
        <f>N(X1213)+IF(AND(V1214&lt;&gt;"",T1214&lt;&gt;""),IF(V1214=MONAT!$AZ$3,1,0),0)</f>
        <v/>
      </c>
    </row>
    <row r="1215">
      <c r="A1215" s="19" t="n"/>
      <c r="B1215" s="20">
        <f>IF(A1215="","",CHOOSE(WEEKDAY(A1215,2),"Mo","Di","Mi","Do","Fr","Sa","So"))</f>
        <v/>
      </c>
      <c r="C1215" s="20">
        <f>IF(A1215="","",INT((A1215-DATE(YEAR(A1215-WEEKDAY(A1215-1)+4),1,3)+WEEKDAY(DATE(YEAR(A1215-WEEKDAY(A1215-1)+4),1,3))+5)/7))</f>
        <v/>
      </c>
      <c r="D1215" s="21" t="n"/>
      <c r="E1215" s="22" t="n"/>
      <c r="F1215" s="23" t="n"/>
      <c r="G1215" s="23" t="n"/>
      <c r="H1215" s="23" t="n"/>
      <c r="I1215" s="20">
        <f>IF(COUNT(F1215:H1215)=0,"",SUM(F1215:H1215))</f>
        <v/>
      </c>
      <c r="J1215" s="23" t="n"/>
      <c r="K1215" s="23" t="n"/>
      <c r="L1215" s="23" t="n"/>
      <c r="M1215" s="23" t="n"/>
      <c r="N1215" s="23" t="n"/>
      <c r="O1215" s="20">
        <f>IF(OR(I1215="",COUNT(J1215:N1215)=0),"",IF(SUM(J1215:N1215)=I1215,"✓","⚠ "&amp;SUM(J1215:N1215)&amp;" statt "&amp;I1215))</f>
        <v/>
      </c>
      <c r="P1215" s="21" t="n"/>
      <c r="Q1215" s="21" t="n"/>
      <c r="R1215" s="21" t="n"/>
      <c r="S1215" s="24" t="n"/>
      <c r="T1215" s="24" t="n"/>
      <c r="V1215">
        <f>IF(A1215="","",MONTH(A1215))</f>
        <v/>
      </c>
      <c r="W1215">
        <f>N(W1214)+IF(AND(C1215&lt;&gt;"",T1215&lt;&gt;""),IF(C1215=WOCHE!$B$3,1,0),0)</f>
        <v/>
      </c>
      <c r="X1215">
        <f>N(X1214)+IF(AND(V1215&lt;&gt;"",T1215&lt;&gt;""),IF(V1215=MONAT!$AZ$3,1,0),0)</f>
        <v/>
      </c>
    </row>
    <row r="1216">
      <c r="A1216" s="19" t="n"/>
      <c r="B1216" s="20">
        <f>IF(A1216="","",CHOOSE(WEEKDAY(A1216,2),"Mo","Di","Mi","Do","Fr","Sa","So"))</f>
        <v/>
      </c>
      <c r="C1216" s="20">
        <f>IF(A1216="","",INT((A1216-DATE(YEAR(A1216-WEEKDAY(A1216-1)+4),1,3)+WEEKDAY(DATE(YEAR(A1216-WEEKDAY(A1216-1)+4),1,3))+5)/7))</f>
        <v/>
      </c>
      <c r="D1216" s="21" t="n"/>
      <c r="E1216" s="22" t="n"/>
      <c r="F1216" s="23" t="n"/>
      <c r="G1216" s="23" t="n"/>
      <c r="H1216" s="23" t="n"/>
      <c r="I1216" s="20">
        <f>IF(COUNT(F1216:H1216)=0,"",SUM(F1216:H1216))</f>
        <v/>
      </c>
      <c r="J1216" s="23" t="n"/>
      <c r="K1216" s="23" t="n"/>
      <c r="L1216" s="23" t="n"/>
      <c r="M1216" s="23" t="n"/>
      <c r="N1216" s="23" t="n"/>
      <c r="O1216" s="20">
        <f>IF(OR(I1216="",COUNT(J1216:N1216)=0),"",IF(SUM(J1216:N1216)=I1216,"✓","⚠ "&amp;SUM(J1216:N1216)&amp;" statt "&amp;I1216))</f>
        <v/>
      </c>
      <c r="P1216" s="21" t="n"/>
      <c r="Q1216" s="21" t="n"/>
      <c r="R1216" s="21" t="n"/>
      <c r="S1216" s="24" t="n"/>
      <c r="T1216" s="24" t="n"/>
      <c r="V1216">
        <f>IF(A1216="","",MONTH(A1216))</f>
        <v/>
      </c>
      <c r="W1216">
        <f>N(W1215)+IF(AND(C1216&lt;&gt;"",T1216&lt;&gt;""),IF(C1216=WOCHE!$B$3,1,0),0)</f>
        <v/>
      </c>
      <c r="X1216">
        <f>N(X1215)+IF(AND(V1216&lt;&gt;"",T1216&lt;&gt;""),IF(V1216=MONAT!$AZ$3,1,0),0)</f>
        <v/>
      </c>
    </row>
    <row r="1217">
      <c r="A1217" s="19" t="n"/>
      <c r="B1217" s="20">
        <f>IF(A1217="","",CHOOSE(WEEKDAY(A1217,2),"Mo","Di","Mi","Do","Fr","Sa","So"))</f>
        <v/>
      </c>
      <c r="C1217" s="20">
        <f>IF(A1217="","",INT((A1217-DATE(YEAR(A1217-WEEKDAY(A1217-1)+4),1,3)+WEEKDAY(DATE(YEAR(A1217-WEEKDAY(A1217-1)+4),1,3))+5)/7))</f>
        <v/>
      </c>
      <c r="D1217" s="21" t="n"/>
      <c r="E1217" s="22" t="n"/>
      <c r="F1217" s="23" t="n"/>
      <c r="G1217" s="23" t="n"/>
      <c r="H1217" s="23" t="n"/>
      <c r="I1217" s="20">
        <f>IF(COUNT(F1217:H1217)=0,"",SUM(F1217:H1217))</f>
        <v/>
      </c>
      <c r="J1217" s="23" t="n"/>
      <c r="K1217" s="23" t="n"/>
      <c r="L1217" s="23" t="n"/>
      <c r="M1217" s="23" t="n"/>
      <c r="N1217" s="23" t="n"/>
      <c r="O1217" s="20">
        <f>IF(OR(I1217="",COUNT(J1217:N1217)=0),"",IF(SUM(J1217:N1217)=I1217,"✓","⚠ "&amp;SUM(J1217:N1217)&amp;" statt "&amp;I1217))</f>
        <v/>
      </c>
      <c r="P1217" s="21" t="n"/>
      <c r="Q1217" s="21" t="n"/>
      <c r="R1217" s="21" t="n"/>
      <c r="S1217" s="24" t="n"/>
      <c r="T1217" s="24" t="n"/>
      <c r="V1217">
        <f>IF(A1217="","",MONTH(A1217))</f>
        <v/>
      </c>
      <c r="W1217">
        <f>N(W1216)+IF(AND(C1217&lt;&gt;"",T1217&lt;&gt;""),IF(C1217=WOCHE!$B$3,1,0),0)</f>
        <v/>
      </c>
      <c r="X1217">
        <f>N(X1216)+IF(AND(V1217&lt;&gt;"",T1217&lt;&gt;""),IF(V1217=MONAT!$AZ$3,1,0),0)</f>
        <v/>
      </c>
    </row>
    <row r="1218">
      <c r="A1218" s="19" t="n"/>
      <c r="B1218" s="20">
        <f>IF(A1218="","",CHOOSE(WEEKDAY(A1218,2),"Mo","Di","Mi","Do","Fr","Sa","So"))</f>
        <v/>
      </c>
      <c r="C1218" s="20">
        <f>IF(A1218="","",INT((A1218-DATE(YEAR(A1218-WEEKDAY(A1218-1)+4),1,3)+WEEKDAY(DATE(YEAR(A1218-WEEKDAY(A1218-1)+4),1,3))+5)/7))</f>
        <v/>
      </c>
      <c r="D1218" s="21" t="n"/>
      <c r="E1218" s="22" t="n"/>
      <c r="F1218" s="23" t="n"/>
      <c r="G1218" s="23" t="n"/>
      <c r="H1218" s="23" t="n"/>
      <c r="I1218" s="20">
        <f>IF(COUNT(F1218:H1218)=0,"",SUM(F1218:H1218))</f>
        <v/>
      </c>
      <c r="J1218" s="23" t="n"/>
      <c r="K1218" s="23" t="n"/>
      <c r="L1218" s="23" t="n"/>
      <c r="M1218" s="23" t="n"/>
      <c r="N1218" s="23" t="n"/>
      <c r="O1218" s="20">
        <f>IF(OR(I1218="",COUNT(J1218:N1218)=0),"",IF(SUM(J1218:N1218)=I1218,"✓","⚠ "&amp;SUM(J1218:N1218)&amp;" statt "&amp;I1218))</f>
        <v/>
      </c>
      <c r="P1218" s="21" t="n"/>
      <c r="Q1218" s="21" t="n"/>
      <c r="R1218" s="21" t="n"/>
      <c r="S1218" s="24" t="n"/>
      <c r="T1218" s="24" t="n"/>
      <c r="V1218">
        <f>IF(A1218="","",MONTH(A1218))</f>
        <v/>
      </c>
      <c r="W1218">
        <f>N(W1217)+IF(AND(C1218&lt;&gt;"",T1218&lt;&gt;""),IF(C1218=WOCHE!$B$3,1,0),0)</f>
        <v/>
      </c>
      <c r="X1218">
        <f>N(X1217)+IF(AND(V1218&lt;&gt;"",T1218&lt;&gt;""),IF(V1218=MONAT!$AZ$3,1,0),0)</f>
        <v/>
      </c>
    </row>
    <row r="1219">
      <c r="A1219" s="19" t="n"/>
      <c r="B1219" s="20">
        <f>IF(A1219="","",CHOOSE(WEEKDAY(A1219,2),"Mo","Di","Mi","Do","Fr","Sa","So"))</f>
        <v/>
      </c>
      <c r="C1219" s="20">
        <f>IF(A1219="","",INT((A1219-DATE(YEAR(A1219-WEEKDAY(A1219-1)+4),1,3)+WEEKDAY(DATE(YEAR(A1219-WEEKDAY(A1219-1)+4),1,3))+5)/7))</f>
        <v/>
      </c>
      <c r="D1219" s="21" t="n"/>
      <c r="E1219" s="22" t="n"/>
      <c r="F1219" s="23" t="n"/>
      <c r="G1219" s="23" t="n"/>
      <c r="H1219" s="23" t="n"/>
      <c r="I1219" s="20">
        <f>IF(COUNT(F1219:H1219)=0,"",SUM(F1219:H1219))</f>
        <v/>
      </c>
      <c r="J1219" s="23" t="n"/>
      <c r="K1219" s="23" t="n"/>
      <c r="L1219" s="23" t="n"/>
      <c r="M1219" s="23" t="n"/>
      <c r="N1219" s="23" t="n"/>
      <c r="O1219" s="20">
        <f>IF(OR(I1219="",COUNT(J1219:N1219)=0),"",IF(SUM(J1219:N1219)=I1219,"✓","⚠ "&amp;SUM(J1219:N1219)&amp;" statt "&amp;I1219))</f>
        <v/>
      </c>
      <c r="P1219" s="21" t="n"/>
      <c r="Q1219" s="21" t="n"/>
      <c r="R1219" s="21" t="n"/>
      <c r="S1219" s="24" t="n"/>
      <c r="T1219" s="24" t="n"/>
      <c r="V1219">
        <f>IF(A1219="","",MONTH(A1219))</f>
        <v/>
      </c>
      <c r="W1219">
        <f>N(W1218)+IF(AND(C1219&lt;&gt;"",T1219&lt;&gt;""),IF(C1219=WOCHE!$B$3,1,0),0)</f>
        <v/>
      </c>
      <c r="X1219">
        <f>N(X1218)+IF(AND(V1219&lt;&gt;"",T1219&lt;&gt;""),IF(V1219=MONAT!$AZ$3,1,0),0)</f>
        <v/>
      </c>
    </row>
    <row r="1220">
      <c r="A1220" s="19" t="n"/>
      <c r="B1220" s="20">
        <f>IF(A1220="","",CHOOSE(WEEKDAY(A1220,2),"Mo","Di","Mi","Do","Fr","Sa","So"))</f>
        <v/>
      </c>
      <c r="C1220" s="20">
        <f>IF(A1220="","",INT((A1220-DATE(YEAR(A1220-WEEKDAY(A1220-1)+4),1,3)+WEEKDAY(DATE(YEAR(A1220-WEEKDAY(A1220-1)+4),1,3))+5)/7))</f>
        <v/>
      </c>
      <c r="D1220" s="21" t="n"/>
      <c r="E1220" s="22" t="n"/>
      <c r="F1220" s="23" t="n"/>
      <c r="G1220" s="23" t="n"/>
      <c r="H1220" s="23" t="n"/>
      <c r="I1220" s="20">
        <f>IF(COUNT(F1220:H1220)=0,"",SUM(F1220:H1220))</f>
        <v/>
      </c>
      <c r="J1220" s="23" t="n"/>
      <c r="K1220" s="23" t="n"/>
      <c r="L1220" s="23" t="n"/>
      <c r="M1220" s="23" t="n"/>
      <c r="N1220" s="23" t="n"/>
      <c r="O1220" s="20">
        <f>IF(OR(I1220="",COUNT(J1220:N1220)=0),"",IF(SUM(J1220:N1220)=I1220,"✓","⚠ "&amp;SUM(J1220:N1220)&amp;" statt "&amp;I1220))</f>
        <v/>
      </c>
      <c r="P1220" s="21" t="n"/>
      <c r="Q1220" s="21" t="n"/>
      <c r="R1220" s="21" t="n"/>
      <c r="S1220" s="24" t="n"/>
      <c r="T1220" s="24" t="n"/>
      <c r="V1220">
        <f>IF(A1220="","",MONTH(A1220))</f>
        <v/>
      </c>
      <c r="W1220">
        <f>N(W1219)+IF(AND(C1220&lt;&gt;"",T1220&lt;&gt;""),IF(C1220=WOCHE!$B$3,1,0),0)</f>
        <v/>
      </c>
      <c r="X1220">
        <f>N(X1219)+IF(AND(V1220&lt;&gt;"",T1220&lt;&gt;""),IF(V1220=MONAT!$AZ$3,1,0),0)</f>
        <v/>
      </c>
    </row>
    <row r="1221">
      <c r="A1221" s="19" t="n"/>
      <c r="B1221" s="20">
        <f>IF(A1221="","",CHOOSE(WEEKDAY(A1221,2),"Mo","Di","Mi","Do","Fr","Sa","So"))</f>
        <v/>
      </c>
      <c r="C1221" s="20">
        <f>IF(A1221="","",INT((A1221-DATE(YEAR(A1221-WEEKDAY(A1221-1)+4),1,3)+WEEKDAY(DATE(YEAR(A1221-WEEKDAY(A1221-1)+4),1,3))+5)/7))</f>
        <v/>
      </c>
      <c r="D1221" s="21" t="n"/>
      <c r="E1221" s="22" t="n"/>
      <c r="F1221" s="23" t="n"/>
      <c r="G1221" s="23" t="n"/>
      <c r="H1221" s="23" t="n"/>
      <c r="I1221" s="20">
        <f>IF(COUNT(F1221:H1221)=0,"",SUM(F1221:H1221))</f>
        <v/>
      </c>
      <c r="J1221" s="23" t="n"/>
      <c r="K1221" s="23" t="n"/>
      <c r="L1221" s="23" t="n"/>
      <c r="M1221" s="23" t="n"/>
      <c r="N1221" s="23" t="n"/>
      <c r="O1221" s="20">
        <f>IF(OR(I1221="",COUNT(J1221:N1221)=0),"",IF(SUM(J1221:N1221)=I1221,"✓","⚠ "&amp;SUM(J1221:N1221)&amp;" statt "&amp;I1221))</f>
        <v/>
      </c>
      <c r="P1221" s="21" t="n"/>
      <c r="Q1221" s="21" t="n"/>
      <c r="R1221" s="21" t="n"/>
      <c r="S1221" s="24" t="n"/>
      <c r="T1221" s="24" t="n"/>
      <c r="V1221">
        <f>IF(A1221="","",MONTH(A1221))</f>
        <v/>
      </c>
      <c r="W1221">
        <f>N(W1220)+IF(AND(C1221&lt;&gt;"",T1221&lt;&gt;""),IF(C1221=WOCHE!$B$3,1,0),0)</f>
        <v/>
      </c>
      <c r="X1221">
        <f>N(X1220)+IF(AND(V1221&lt;&gt;"",T1221&lt;&gt;""),IF(V1221=MONAT!$AZ$3,1,0),0)</f>
        <v/>
      </c>
    </row>
    <row r="1222">
      <c r="A1222" s="19" t="n"/>
      <c r="B1222" s="20">
        <f>IF(A1222="","",CHOOSE(WEEKDAY(A1222,2),"Mo","Di","Mi","Do","Fr","Sa","So"))</f>
        <v/>
      </c>
      <c r="C1222" s="20">
        <f>IF(A1222="","",INT((A1222-DATE(YEAR(A1222-WEEKDAY(A1222-1)+4),1,3)+WEEKDAY(DATE(YEAR(A1222-WEEKDAY(A1222-1)+4),1,3))+5)/7))</f>
        <v/>
      </c>
      <c r="D1222" s="21" t="n"/>
      <c r="E1222" s="22" t="n"/>
      <c r="F1222" s="23" t="n"/>
      <c r="G1222" s="23" t="n"/>
      <c r="H1222" s="23" t="n"/>
      <c r="I1222" s="20">
        <f>IF(COUNT(F1222:H1222)=0,"",SUM(F1222:H1222))</f>
        <v/>
      </c>
      <c r="J1222" s="23" t="n"/>
      <c r="K1222" s="23" t="n"/>
      <c r="L1222" s="23" t="n"/>
      <c r="M1222" s="23" t="n"/>
      <c r="N1222" s="23" t="n"/>
      <c r="O1222" s="20">
        <f>IF(OR(I1222="",COUNT(J1222:N1222)=0),"",IF(SUM(J1222:N1222)=I1222,"✓","⚠ "&amp;SUM(J1222:N1222)&amp;" statt "&amp;I1222))</f>
        <v/>
      </c>
      <c r="P1222" s="21" t="n"/>
      <c r="Q1222" s="21" t="n"/>
      <c r="R1222" s="21" t="n"/>
      <c r="S1222" s="24" t="n"/>
      <c r="T1222" s="24" t="n"/>
      <c r="V1222">
        <f>IF(A1222="","",MONTH(A1222))</f>
        <v/>
      </c>
      <c r="W1222">
        <f>N(W1221)+IF(AND(C1222&lt;&gt;"",T1222&lt;&gt;""),IF(C1222=WOCHE!$B$3,1,0),0)</f>
        <v/>
      </c>
      <c r="X1222">
        <f>N(X1221)+IF(AND(V1222&lt;&gt;"",T1222&lt;&gt;""),IF(V1222=MONAT!$AZ$3,1,0),0)</f>
        <v/>
      </c>
    </row>
    <row r="1223">
      <c r="A1223" s="19" t="n"/>
      <c r="B1223" s="20">
        <f>IF(A1223="","",CHOOSE(WEEKDAY(A1223,2),"Mo","Di","Mi","Do","Fr","Sa","So"))</f>
        <v/>
      </c>
      <c r="C1223" s="20">
        <f>IF(A1223="","",INT((A1223-DATE(YEAR(A1223-WEEKDAY(A1223-1)+4),1,3)+WEEKDAY(DATE(YEAR(A1223-WEEKDAY(A1223-1)+4),1,3))+5)/7))</f>
        <v/>
      </c>
      <c r="D1223" s="21" t="n"/>
      <c r="E1223" s="22" t="n"/>
      <c r="F1223" s="23" t="n"/>
      <c r="G1223" s="23" t="n"/>
      <c r="H1223" s="23" t="n"/>
      <c r="I1223" s="20">
        <f>IF(COUNT(F1223:H1223)=0,"",SUM(F1223:H1223))</f>
        <v/>
      </c>
      <c r="J1223" s="23" t="n"/>
      <c r="K1223" s="23" t="n"/>
      <c r="L1223" s="23" t="n"/>
      <c r="M1223" s="23" t="n"/>
      <c r="N1223" s="23" t="n"/>
      <c r="O1223" s="20">
        <f>IF(OR(I1223="",COUNT(J1223:N1223)=0),"",IF(SUM(J1223:N1223)=I1223,"✓","⚠ "&amp;SUM(J1223:N1223)&amp;" statt "&amp;I1223))</f>
        <v/>
      </c>
      <c r="P1223" s="21" t="n"/>
      <c r="Q1223" s="21" t="n"/>
      <c r="R1223" s="21" t="n"/>
      <c r="S1223" s="24" t="n"/>
      <c r="T1223" s="24" t="n"/>
      <c r="V1223">
        <f>IF(A1223="","",MONTH(A1223))</f>
        <v/>
      </c>
      <c r="W1223">
        <f>N(W1222)+IF(AND(C1223&lt;&gt;"",T1223&lt;&gt;""),IF(C1223=WOCHE!$B$3,1,0),0)</f>
        <v/>
      </c>
      <c r="X1223">
        <f>N(X1222)+IF(AND(V1223&lt;&gt;"",T1223&lt;&gt;""),IF(V1223=MONAT!$AZ$3,1,0),0)</f>
        <v/>
      </c>
    </row>
    <row r="1224">
      <c r="A1224" s="19" t="n"/>
      <c r="B1224" s="20">
        <f>IF(A1224="","",CHOOSE(WEEKDAY(A1224,2),"Mo","Di","Mi","Do","Fr","Sa","So"))</f>
        <v/>
      </c>
      <c r="C1224" s="20">
        <f>IF(A1224="","",INT((A1224-DATE(YEAR(A1224-WEEKDAY(A1224-1)+4),1,3)+WEEKDAY(DATE(YEAR(A1224-WEEKDAY(A1224-1)+4),1,3))+5)/7))</f>
        <v/>
      </c>
      <c r="D1224" s="21" t="n"/>
      <c r="E1224" s="22" t="n"/>
      <c r="F1224" s="23" t="n"/>
      <c r="G1224" s="23" t="n"/>
      <c r="H1224" s="23" t="n"/>
      <c r="I1224" s="20">
        <f>IF(COUNT(F1224:H1224)=0,"",SUM(F1224:H1224))</f>
        <v/>
      </c>
      <c r="J1224" s="23" t="n"/>
      <c r="K1224" s="23" t="n"/>
      <c r="L1224" s="23" t="n"/>
      <c r="M1224" s="23" t="n"/>
      <c r="N1224" s="23" t="n"/>
      <c r="O1224" s="20">
        <f>IF(OR(I1224="",COUNT(J1224:N1224)=0),"",IF(SUM(J1224:N1224)=I1224,"✓","⚠ "&amp;SUM(J1224:N1224)&amp;" statt "&amp;I1224))</f>
        <v/>
      </c>
      <c r="P1224" s="21" t="n"/>
      <c r="Q1224" s="21" t="n"/>
      <c r="R1224" s="21" t="n"/>
      <c r="S1224" s="24" t="n"/>
      <c r="T1224" s="24" t="n"/>
      <c r="V1224">
        <f>IF(A1224="","",MONTH(A1224))</f>
        <v/>
      </c>
      <c r="W1224">
        <f>N(W1223)+IF(AND(C1224&lt;&gt;"",T1224&lt;&gt;""),IF(C1224=WOCHE!$B$3,1,0),0)</f>
        <v/>
      </c>
      <c r="X1224">
        <f>N(X1223)+IF(AND(V1224&lt;&gt;"",T1224&lt;&gt;""),IF(V1224=MONAT!$AZ$3,1,0),0)</f>
        <v/>
      </c>
    </row>
    <row r="1225">
      <c r="A1225" s="19" t="n"/>
      <c r="B1225" s="20">
        <f>IF(A1225="","",CHOOSE(WEEKDAY(A1225,2),"Mo","Di","Mi","Do","Fr","Sa","So"))</f>
        <v/>
      </c>
      <c r="C1225" s="20">
        <f>IF(A1225="","",INT((A1225-DATE(YEAR(A1225-WEEKDAY(A1225-1)+4),1,3)+WEEKDAY(DATE(YEAR(A1225-WEEKDAY(A1225-1)+4),1,3))+5)/7))</f>
        <v/>
      </c>
      <c r="D1225" s="21" t="n"/>
      <c r="E1225" s="22" t="n"/>
      <c r="F1225" s="23" t="n"/>
      <c r="G1225" s="23" t="n"/>
      <c r="H1225" s="23" t="n"/>
      <c r="I1225" s="20">
        <f>IF(COUNT(F1225:H1225)=0,"",SUM(F1225:H1225))</f>
        <v/>
      </c>
      <c r="J1225" s="23" t="n"/>
      <c r="K1225" s="23" t="n"/>
      <c r="L1225" s="23" t="n"/>
      <c r="M1225" s="23" t="n"/>
      <c r="N1225" s="23" t="n"/>
      <c r="O1225" s="20">
        <f>IF(OR(I1225="",COUNT(J1225:N1225)=0),"",IF(SUM(J1225:N1225)=I1225,"✓","⚠ "&amp;SUM(J1225:N1225)&amp;" statt "&amp;I1225))</f>
        <v/>
      </c>
      <c r="P1225" s="21" t="n"/>
      <c r="Q1225" s="21" t="n"/>
      <c r="R1225" s="21" t="n"/>
      <c r="S1225" s="24" t="n"/>
      <c r="T1225" s="24" t="n"/>
      <c r="V1225">
        <f>IF(A1225="","",MONTH(A1225))</f>
        <v/>
      </c>
      <c r="W1225">
        <f>N(W1224)+IF(AND(C1225&lt;&gt;"",T1225&lt;&gt;""),IF(C1225=WOCHE!$B$3,1,0),0)</f>
        <v/>
      </c>
      <c r="X1225">
        <f>N(X1224)+IF(AND(V1225&lt;&gt;"",T1225&lt;&gt;""),IF(V1225=MONAT!$AZ$3,1,0),0)</f>
        <v/>
      </c>
    </row>
    <row r="1226">
      <c r="A1226" s="19" t="n"/>
      <c r="B1226" s="20">
        <f>IF(A1226="","",CHOOSE(WEEKDAY(A1226,2),"Mo","Di","Mi","Do","Fr","Sa","So"))</f>
        <v/>
      </c>
      <c r="C1226" s="20">
        <f>IF(A1226="","",INT((A1226-DATE(YEAR(A1226-WEEKDAY(A1226-1)+4),1,3)+WEEKDAY(DATE(YEAR(A1226-WEEKDAY(A1226-1)+4),1,3))+5)/7))</f>
        <v/>
      </c>
      <c r="D1226" s="21" t="n"/>
      <c r="E1226" s="22" t="n"/>
      <c r="F1226" s="23" t="n"/>
      <c r="G1226" s="23" t="n"/>
      <c r="H1226" s="23" t="n"/>
      <c r="I1226" s="20">
        <f>IF(COUNT(F1226:H1226)=0,"",SUM(F1226:H1226))</f>
        <v/>
      </c>
      <c r="J1226" s="23" t="n"/>
      <c r="K1226" s="23" t="n"/>
      <c r="L1226" s="23" t="n"/>
      <c r="M1226" s="23" t="n"/>
      <c r="N1226" s="23" t="n"/>
      <c r="O1226" s="20">
        <f>IF(OR(I1226="",COUNT(J1226:N1226)=0),"",IF(SUM(J1226:N1226)=I1226,"✓","⚠ "&amp;SUM(J1226:N1226)&amp;" statt "&amp;I1226))</f>
        <v/>
      </c>
      <c r="P1226" s="21" t="n"/>
      <c r="Q1226" s="21" t="n"/>
      <c r="R1226" s="21" t="n"/>
      <c r="S1226" s="24" t="n"/>
      <c r="T1226" s="24" t="n"/>
      <c r="V1226">
        <f>IF(A1226="","",MONTH(A1226))</f>
        <v/>
      </c>
      <c r="W1226">
        <f>N(W1225)+IF(AND(C1226&lt;&gt;"",T1226&lt;&gt;""),IF(C1226=WOCHE!$B$3,1,0),0)</f>
        <v/>
      </c>
      <c r="X1226">
        <f>N(X1225)+IF(AND(V1226&lt;&gt;"",T1226&lt;&gt;""),IF(V1226=MONAT!$AZ$3,1,0),0)</f>
        <v/>
      </c>
    </row>
    <row r="1227">
      <c r="A1227" s="19" t="n"/>
      <c r="B1227" s="20">
        <f>IF(A1227="","",CHOOSE(WEEKDAY(A1227,2),"Mo","Di","Mi","Do","Fr","Sa","So"))</f>
        <v/>
      </c>
      <c r="C1227" s="20">
        <f>IF(A1227="","",INT((A1227-DATE(YEAR(A1227-WEEKDAY(A1227-1)+4),1,3)+WEEKDAY(DATE(YEAR(A1227-WEEKDAY(A1227-1)+4),1,3))+5)/7))</f>
        <v/>
      </c>
      <c r="D1227" s="21" t="n"/>
      <c r="E1227" s="22" t="n"/>
      <c r="F1227" s="23" t="n"/>
      <c r="G1227" s="23" t="n"/>
      <c r="H1227" s="23" t="n"/>
      <c r="I1227" s="20">
        <f>IF(COUNT(F1227:H1227)=0,"",SUM(F1227:H1227))</f>
        <v/>
      </c>
      <c r="J1227" s="23" t="n"/>
      <c r="K1227" s="23" t="n"/>
      <c r="L1227" s="23" t="n"/>
      <c r="M1227" s="23" t="n"/>
      <c r="N1227" s="23" t="n"/>
      <c r="O1227" s="20">
        <f>IF(OR(I1227="",COUNT(J1227:N1227)=0),"",IF(SUM(J1227:N1227)=I1227,"✓","⚠ "&amp;SUM(J1227:N1227)&amp;" statt "&amp;I1227))</f>
        <v/>
      </c>
      <c r="P1227" s="21" t="n"/>
      <c r="Q1227" s="21" t="n"/>
      <c r="R1227" s="21" t="n"/>
      <c r="S1227" s="24" t="n"/>
      <c r="T1227" s="24" t="n"/>
      <c r="V1227">
        <f>IF(A1227="","",MONTH(A1227))</f>
        <v/>
      </c>
      <c r="W1227">
        <f>N(W1226)+IF(AND(C1227&lt;&gt;"",T1227&lt;&gt;""),IF(C1227=WOCHE!$B$3,1,0),0)</f>
        <v/>
      </c>
      <c r="X1227">
        <f>N(X1226)+IF(AND(V1227&lt;&gt;"",T1227&lt;&gt;""),IF(V1227=MONAT!$AZ$3,1,0),0)</f>
        <v/>
      </c>
    </row>
    <row r="1228">
      <c r="A1228" s="19" t="n"/>
      <c r="B1228" s="20">
        <f>IF(A1228="","",CHOOSE(WEEKDAY(A1228,2),"Mo","Di","Mi","Do","Fr","Sa","So"))</f>
        <v/>
      </c>
      <c r="C1228" s="20">
        <f>IF(A1228="","",INT((A1228-DATE(YEAR(A1228-WEEKDAY(A1228-1)+4),1,3)+WEEKDAY(DATE(YEAR(A1228-WEEKDAY(A1228-1)+4),1,3))+5)/7))</f>
        <v/>
      </c>
      <c r="D1228" s="21" t="n"/>
      <c r="E1228" s="22" t="n"/>
      <c r="F1228" s="23" t="n"/>
      <c r="G1228" s="23" t="n"/>
      <c r="H1228" s="23" t="n"/>
      <c r="I1228" s="20">
        <f>IF(COUNT(F1228:H1228)=0,"",SUM(F1228:H1228))</f>
        <v/>
      </c>
      <c r="J1228" s="23" t="n"/>
      <c r="K1228" s="23" t="n"/>
      <c r="L1228" s="23" t="n"/>
      <c r="M1228" s="23" t="n"/>
      <c r="N1228" s="23" t="n"/>
      <c r="O1228" s="20">
        <f>IF(OR(I1228="",COUNT(J1228:N1228)=0),"",IF(SUM(J1228:N1228)=I1228,"✓","⚠ "&amp;SUM(J1228:N1228)&amp;" statt "&amp;I1228))</f>
        <v/>
      </c>
      <c r="P1228" s="21" t="n"/>
      <c r="Q1228" s="21" t="n"/>
      <c r="R1228" s="21" t="n"/>
      <c r="S1228" s="24" t="n"/>
      <c r="T1228" s="24" t="n"/>
      <c r="V1228">
        <f>IF(A1228="","",MONTH(A1228))</f>
        <v/>
      </c>
      <c r="W1228">
        <f>N(W1227)+IF(AND(C1228&lt;&gt;"",T1228&lt;&gt;""),IF(C1228=WOCHE!$B$3,1,0),0)</f>
        <v/>
      </c>
      <c r="X1228">
        <f>N(X1227)+IF(AND(V1228&lt;&gt;"",T1228&lt;&gt;""),IF(V1228=MONAT!$AZ$3,1,0),0)</f>
        <v/>
      </c>
    </row>
    <row r="1229">
      <c r="A1229" s="19" t="n"/>
      <c r="B1229" s="20">
        <f>IF(A1229="","",CHOOSE(WEEKDAY(A1229,2),"Mo","Di","Mi","Do","Fr","Sa","So"))</f>
        <v/>
      </c>
      <c r="C1229" s="20">
        <f>IF(A1229="","",INT((A1229-DATE(YEAR(A1229-WEEKDAY(A1229-1)+4),1,3)+WEEKDAY(DATE(YEAR(A1229-WEEKDAY(A1229-1)+4),1,3))+5)/7))</f>
        <v/>
      </c>
      <c r="D1229" s="21" t="n"/>
      <c r="E1229" s="22" t="n"/>
      <c r="F1229" s="23" t="n"/>
      <c r="G1229" s="23" t="n"/>
      <c r="H1229" s="23" t="n"/>
      <c r="I1229" s="20">
        <f>IF(COUNT(F1229:H1229)=0,"",SUM(F1229:H1229))</f>
        <v/>
      </c>
      <c r="J1229" s="23" t="n"/>
      <c r="K1229" s="23" t="n"/>
      <c r="L1229" s="23" t="n"/>
      <c r="M1229" s="23" t="n"/>
      <c r="N1229" s="23" t="n"/>
      <c r="O1229" s="20">
        <f>IF(OR(I1229="",COUNT(J1229:N1229)=0),"",IF(SUM(J1229:N1229)=I1229,"✓","⚠ "&amp;SUM(J1229:N1229)&amp;" statt "&amp;I1229))</f>
        <v/>
      </c>
      <c r="P1229" s="21" t="n"/>
      <c r="Q1229" s="21" t="n"/>
      <c r="R1229" s="21" t="n"/>
      <c r="S1229" s="24" t="n"/>
      <c r="T1229" s="24" t="n"/>
      <c r="V1229">
        <f>IF(A1229="","",MONTH(A1229))</f>
        <v/>
      </c>
      <c r="W1229">
        <f>N(W1228)+IF(AND(C1229&lt;&gt;"",T1229&lt;&gt;""),IF(C1229=WOCHE!$B$3,1,0),0)</f>
        <v/>
      </c>
      <c r="X1229">
        <f>N(X1228)+IF(AND(V1229&lt;&gt;"",T1229&lt;&gt;""),IF(V1229=MONAT!$AZ$3,1,0),0)</f>
        <v/>
      </c>
    </row>
    <row r="1230">
      <c r="A1230" s="19" t="n"/>
      <c r="B1230" s="20">
        <f>IF(A1230="","",CHOOSE(WEEKDAY(A1230,2),"Mo","Di","Mi","Do","Fr","Sa","So"))</f>
        <v/>
      </c>
      <c r="C1230" s="20">
        <f>IF(A1230="","",INT((A1230-DATE(YEAR(A1230-WEEKDAY(A1230-1)+4),1,3)+WEEKDAY(DATE(YEAR(A1230-WEEKDAY(A1230-1)+4),1,3))+5)/7))</f>
        <v/>
      </c>
      <c r="D1230" s="21" t="n"/>
      <c r="E1230" s="22" t="n"/>
      <c r="F1230" s="23" t="n"/>
      <c r="G1230" s="23" t="n"/>
      <c r="H1230" s="23" t="n"/>
      <c r="I1230" s="20">
        <f>IF(COUNT(F1230:H1230)=0,"",SUM(F1230:H1230))</f>
        <v/>
      </c>
      <c r="J1230" s="23" t="n"/>
      <c r="K1230" s="23" t="n"/>
      <c r="L1230" s="23" t="n"/>
      <c r="M1230" s="23" t="n"/>
      <c r="N1230" s="23" t="n"/>
      <c r="O1230" s="20">
        <f>IF(OR(I1230="",COUNT(J1230:N1230)=0),"",IF(SUM(J1230:N1230)=I1230,"✓","⚠ "&amp;SUM(J1230:N1230)&amp;" statt "&amp;I1230))</f>
        <v/>
      </c>
      <c r="P1230" s="21" t="n"/>
      <c r="Q1230" s="21" t="n"/>
      <c r="R1230" s="21" t="n"/>
      <c r="S1230" s="24" t="n"/>
      <c r="T1230" s="24" t="n"/>
      <c r="V1230">
        <f>IF(A1230="","",MONTH(A1230))</f>
        <v/>
      </c>
      <c r="W1230">
        <f>N(W1229)+IF(AND(C1230&lt;&gt;"",T1230&lt;&gt;""),IF(C1230=WOCHE!$B$3,1,0),0)</f>
        <v/>
      </c>
      <c r="X1230">
        <f>N(X1229)+IF(AND(V1230&lt;&gt;"",T1230&lt;&gt;""),IF(V1230=MONAT!$AZ$3,1,0),0)</f>
        <v/>
      </c>
    </row>
    <row r="1231">
      <c r="A1231" s="19" t="n"/>
      <c r="B1231" s="20">
        <f>IF(A1231="","",CHOOSE(WEEKDAY(A1231,2),"Mo","Di","Mi","Do","Fr","Sa","So"))</f>
        <v/>
      </c>
      <c r="C1231" s="20">
        <f>IF(A1231="","",INT((A1231-DATE(YEAR(A1231-WEEKDAY(A1231-1)+4),1,3)+WEEKDAY(DATE(YEAR(A1231-WEEKDAY(A1231-1)+4),1,3))+5)/7))</f>
        <v/>
      </c>
      <c r="D1231" s="21" t="n"/>
      <c r="E1231" s="22" t="n"/>
      <c r="F1231" s="23" t="n"/>
      <c r="G1231" s="23" t="n"/>
      <c r="H1231" s="23" t="n"/>
      <c r="I1231" s="20">
        <f>IF(COUNT(F1231:H1231)=0,"",SUM(F1231:H1231))</f>
        <v/>
      </c>
      <c r="J1231" s="23" t="n"/>
      <c r="K1231" s="23" t="n"/>
      <c r="L1231" s="23" t="n"/>
      <c r="M1231" s="23" t="n"/>
      <c r="N1231" s="23" t="n"/>
      <c r="O1231" s="20">
        <f>IF(OR(I1231="",COUNT(J1231:N1231)=0),"",IF(SUM(J1231:N1231)=I1231,"✓","⚠ "&amp;SUM(J1231:N1231)&amp;" statt "&amp;I1231))</f>
        <v/>
      </c>
      <c r="P1231" s="21" t="n"/>
      <c r="Q1231" s="21" t="n"/>
      <c r="R1231" s="21" t="n"/>
      <c r="S1231" s="24" t="n"/>
      <c r="T1231" s="24" t="n"/>
      <c r="V1231">
        <f>IF(A1231="","",MONTH(A1231))</f>
        <v/>
      </c>
      <c r="W1231">
        <f>N(W1230)+IF(AND(C1231&lt;&gt;"",T1231&lt;&gt;""),IF(C1231=WOCHE!$B$3,1,0),0)</f>
        <v/>
      </c>
      <c r="X1231">
        <f>N(X1230)+IF(AND(V1231&lt;&gt;"",T1231&lt;&gt;""),IF(V1231=MONAT!$AZ$3,1,0),0)</f>
        <v/>
      </c>
    </row>
    <row r="1232">
      <c r="A1232" s="19" t="n"/>
      <c r="B1232" s="20">
        <f>IF(A1232="","",CHOOSE(WEEKDAY(A1232,2),"Mo","Di","Mi","Do","Fr","Sa","So"))</f>
        <v/>
      </c>
      <c r="C1232" s="20">
        <f>IF(A1232="","",INT((A1232-DATE(YEAR(A1232-WEEKDAY(A1232-1)+4),1,3)+WEEKDAY(DATE(YEAR(A1232-WEEKDAY(A1232-1)+4),1,3))+5)/7))</f>
        <v/>
      </c>
      <c r="D1232" s="21" t="n"/>
      <c r="E1232" s="22" t="n"/>
      <c r="F1232" s="23" t="n"/>
      <c r="G1232" s="23" t="n"/>
      <c r="H1232" s="23" t="n"/>
      <c r="I1232" s="20">
        <f>IF(COUNT(F1232:H1232)=0,"",SUM(F1232:H1232))</f>
        <v/>
      </c>
      <c r="J1232" s="23" t="n"/>
      <c r="K1232" s="23" t="n"/>
      <c r="L1232" s="23" t="n"/>
      <c r="M1232" s="23" t="n"/>
      <c r="N1232" s="23" t="n"/>
      <c r="O1232" s="20">
        <f>IF(OR(I1232="",COUNT(J1232:N1232)=0),"",IF(SUM(J1232:N1232)=I1232,"✓","⚠ "&amp;SUM(J1232:N1232)&amp;" statt "&amp;I1232))</f>
        <v/>
      </c>
      <c r="P1232" s="21" t="n"/>
      <c r="Q1232" s="21" t="n"/>
      <c r="R1232" s="21" t="n"/>
      <c r="S1232" s="24" t="n"/>
      <c r="T1232" s="24" t="n"/>
      <c r="V1232">
        <f>IF(A1232="","",MONTH(A1232))</f>
        <v/>
      </c>
      <c r="W1232">
        <f>N(W1231)+IF(AND(C1232&lt;&gt;"",T1232&lt;&gt;""),IF(C1232=WOCHE!$B$3,1,0),0)</f>
        <v/>
      </c>
      <c r="X1232">
        <f>N(X1231)+IF(AND(V1232&lt;&gt;"",T1232&lt;&gt;""),IF(V1232=MONAT!$AZ$3,1,0),0)</f>
        <v/>
      </c>
    </row>
    <row r="1233">
      <c r="A1233" s="19" t="n"/>
      <c r="B1233" s="20">
        <f>IF(A1233="","",CHOOSE(WEEKDAY(A1233,2),"Mo","Di","Mi","Do","Fr","Sa","So"))</f>
        <v/>
      </c>
      <c r="C1233" s="20">
        <f>IF(A1233="","",INT((A1233-DATE(YEAR(A1233-WEEKDAY(A1233-1)+4),1,3)+WEEKDAY(DATE(YEAR(A1233-WEEKDAY(A1233-1)+4),1,3))+5)/7))</f>
        <v/>
      </c>
      <c r="D1233" s="21" t="n"/>
      <c r="E1233" s="22" t="n"/>
      <c r="F1233" s="23" t="n"/>
      <c r="G1233" s="23" t="n"/>
      <c r="H1233" s="23" t="n"/>
      <c r="I1233" s="20">
        <f>IF(COUNT(F1233:H1233)=0,"",SUM(F1233:H1233))</f>
        <v/>
      </c>
      <c r="J1233" s="23" t="n"/>
      <c r="K1233" s="23" t="n"/>
      <c r="L1233" s="23" t="n"/>
      <c r="M1233" s="23" t="n"/>
      <c r="N1233" s="23" t="n"/>
      <c r="O1233" s="20">
        <f>IF(OR(I1233="",COUNT(J1233:N1233)=0),"",IF(SUM(J1233:N1233)=I1233,"✓","⚠ "&amp;SUM(J1233:N1233)&amp;" statt "&amp;I1233))</f>
        <v/>
      </c>
      <c r="P1233" s="21" t="n"/>
      <c r="Q1233" s="21" t="n"/>
      <c r="R1233" s="21" t="n"/>
      <c r="S1233" s="24" t="n"/>
      <c r="T1233" s="24" t="n"/>
      <c r="V1233">
        <f>IF(A1233="","",MONTH(A1233))</f>
        <v/>
      </c>
      <c r="W1233">
        <f>N(W1232)+IF(AND(C1233&lt;&gt;"",T1233&lt;&gt;""),IF(C1233=WOCHE!$B$3,1,0),0)</f>
        <v/>
      </c>
      <c r="X1233">
        <f>N(X1232)+IF(AND(V1233&lt;&gt;"",T1233&lt;&gt;""),IF(V1233=MONAT!$AZ$3,1,0),0)</f>
        <v/>
      </c>
    </row>
    <row r="1234">
      <c r="A1234" s="19" t="n"/>
      <c r="B1234" s="20">
        <f>IF(A1234="","",CHOOSE(WEEKDAY(A1234,2),"Mo","Di","Mi","Do","Fr","Sa","So"))</f>
        <v/>
      </c>
      <c r="C1234" s="20">
        <f>IF(A1234="","",INT((A1234-DATE(YEAR(A1234-WEEKDAY(A1234-1)+4),1,3)+WEEKDAY(DATE(YEAR(A1234-WEEKDAY(A1234-1)+4),1,3))+5)/7))</f>
        <v/>
      </c>
      <c r="D1234" s="21" t="n"/>
      <c r="E1234" s="22" t="n"/>
      <c r="F1234" s="23" t="n"/>
      <c r="G1234" s="23" t="n"/>
      <c r="H1234" s="23" t="n"/>
      <c r="I1234" s="20">
        <f>IF(COUNT(F1234:H1234)=0,"",SUM(F1234:H1234))</f>
        <v/>
      </c>
      <c r="J1234" s="23" t="n"/>
      <c r="K1234" s="23" t="n"/>
      <c r="L1234" s="23" t="n"/>
      <c r="M1234" s="23" t="n"/>
      <c r="N1234" s="23" t="n"/>
      <c r="O1234" s="20">
        <f>IF(OR(I1234="",COUNT(J1234:N1234)=0),"",IF(SUM(J1234:N1234)=I1234,"✓","⚠ "&amp;SUM(J1234:N1234)&amp;" statt "&amp;I1234))</f>
        <v/>
      </c>
      <c r="P1234" s="21" t="n"/>
      <c r="Q1234" s="21" t="n"/>
      <c r="R1234" s="21" t="n"/>
      <c r="S1234" s="24" t="n"/>
      <c r="T1234" s="24" t="n"/>
      <c r="V1234">
        <f>IF(A1234="","",MONTH(A1234))</f>
        <v/>
      </c>
      <c r="W1234">
        <f>N(W1233)+IF(AND(C1234&lt;&gt;"",T1234&lt;&gt;""),IF(C1234=WOCHE!$B$3,1,0),0)</f>
        <v/>
      </c>
      <c r="X1234">
        <f>N(X1233)+IF(AND(V1234&lt;&gt;"",T1234&lt;&gt;""),IF(V1234=MONAT!$AZ$3,1,0),0)</f>
        <v/>
      </c>
    </row>
    <row r="1235">
      <c r="A1235" s="19" t="n"/>
      <c r="B1235" s="20">
        <f>IF(A1235="","",CHOOSE(WEEKDAY(A1235,2),"Mo","Di","Mi","Do","Fr","Sa","So"))</f>
        <v/>
      </c>
      <c r="C1235" s="20">
        <f>IF(A1235="","",INT((A1235-DATE(YEAR(A1235-WEEKDAY(A1235-1)+4),1,3)+WEEKDAY(DATE(YEAR(A1235-WEEKDAY(A1235-1)+4),1,3))+5)/7))</f>
        <v/>
      </c>
      <c r="D1235" s="21" t="n"/>
      <c r="E1235" s="22" t="n"/>
      <c r="F1235" s="23" t="n"/>
      <c r="G1235" s="23" t="n"/>
      <c r="H1235" s="23" t="n"/>
      <c r="I1235" s="20">
        <f>IF(COUNT(F1235:H1235)=0,"",SUM(F1235:H1235))</f>
        <v/>
      </c>
      <c r="J1235" s="23" t="n"/>
      <c r="K1235" s="23" t="n"/>
      <c r="L1235" s="23" t="n"/>
      <c r="M1235" s="23" t="n"/>
      <c r="N1235" s="23" t="n"/>
      <c r="O1235" s="20">
        <f>IF(OR(I1235="",COUNT(J1235:N1235)=0),"",IF(SUM(J1235:N1235)=I1235,"✓","⚠ "&amp;SUM(J1235:N1235)&amp;" statt "&amp;I1235))</f>
        <v/>
      </c>
      <c r="P1235" s="21" t="n"/>
      <c r="Q1235" s="21" t="n"/>
      <c r="R1235" s="21" t="n"/>
      <c r="S1235" s="24" t="n"/>
      <c r="T1235" s="24" t="n"/>
      <c r="V1235">
        <f>IF(A1235="","",MONTH(A1235))</f>
        <v/>
      </c>
      <c r="W1235">
        <f>N(W1234)+IF(AND(C1235&lt;&gt;"",T1235&lt;&gt;""),IF(C1235=WOCHE!$B$3,1,0),0)</f>
        <v/>
      </c>
      <c r="X1235">
        <f>N(X1234)+IF(AND(V1235&lt;&gt;"",T1235&lt;&gt;""),IF(V1235=MONAT!$AZ$3,1,0),0)</f>
        <v/>
      </c>
    </row>
    <row r="1236">
      <c r="A1236" s="19" t="n"/>
      <c r="B1236" s="20">
        <f>IF(A1236="","",CHOOSE(WEEKDAY(A1236,2),"Mo","Di","Mi","Do","Fr","Sa","So"))</f>
        <v/>
      </c>
      <c r="C1236" s="20">
        <f>IF(A1236="","",INT((A1236-DATE(YEAR(A1236-WEEKDAY(A1236-1)+4),1,3)+WEEKDAY(DATE(YEAR(A1236-WEEKDAY(A1236-1)+4),1,3))+5)/7))</f>
        <v/>
      </c>
      <c r="D1236" s="21" t="n"/>
      <c r="E1236" s="22" t="n"/>
      <c r="F1236" s="23" t="n"/>
      <c r="G1236" s="23" t="n"/>
      <c r="H1236" s="23" t="n"/>
      <c r="I1236" s="20">
        <f>IF(COUNT(F1236:H1236)=0,"",SUM(F1236:H1236))</f>
        <v/>
      </c>
      <c r="J1236" s="23" t="n"/>
      <c r="K1236" s="23" t="n"/>
      <c r="L1236" s="23" t="n"/>
      <c r="M1236" s="23" t="n"/>
      <c r="N1236" s="23" t="n"/>
      <c r="O1236" s="20">
        <f>IF(OR(I1236="",COUNT(J1236:N1236)=0),"",IF(SUM(J1236:N1236)=I1236,"✓","⚠ "&amp;SUM(J1236:N1236)&amp;" statt "&amp;I1236))</f>
        <v/>
      </c>
      <c r="P1236" s="21" t="n"/>
      <c r="Q1236" s="21" t="n"/>
      <c r="R1236" s="21" t="n"/>
      <c r="S1236" s="24" t="n"/>
      <c r="T1236" s="24" t="n"/>
      <c r="V1236">
        <f>IF(A1236="","",MONTH(A1236))</f>
        <v/>
      </c>
      <c r="W1236">
        <f>N(W1235)+IF(AND(C1236&lt;&gt;"",T1236&lt;&gt;""),IF(C1236=WOCHE!$B$3,1,0),0)</f>
        <v/>
      </c>
      <c r="X1236">
        <f>N(X1235)+IF(AND(V1236&lt;&gt;"",T1236&lt;&gt;""),IF(V1236=MONAT!$AZ$3,1,0),0)</f>
        <v/>
      </c>
    </row>
    <row r="1237">
      <c r="A1237" s="19" t="n"/>
      <c r="B1237" s="20">
        <f>IF(A1237="","",CHOOSE(WEEKDAY(A1237,2),"Mo","Di","Mi","Do","Fr","Sa","So"))</f>
        <v/>
      </c>
      <c r="C1237" s="20">
        <f>IF(A1237="","",INT((A1237-DATE(YEAR(A1237-WEEKDAY(A1237-1)+4),1,3)+WEEKDAY(DATE(YEAR(A1237-WEEKDAY(A1237-1)+4),1,3))+5)/7))</f>
        <v/>
      </c>
      <c r="D1237" s="21" t="n"/>
      <c r="E1237" s="22" t="n"/>
      <c r="F1237" s="23" t="n"/>
      <c r="G1237" s="23" t="n"/>
      <c r="H1237" s="23" t="n"/>
      <c r="I1237" s="20">
        <f>IF(COUNT(F1237:H1237)=0,"",SUM(F1237:H1237))</f>
        <v/>
      </c>
      <c r="J1237" s="23" t="n"/>
      <c r="K1237" s="23" t="n"/>
      <c r="L1237" s="23" t="n"/>
      <c r="M1237" s="23" t="n"/>
      <c r="N1237" s="23" t="n"/>
      <c r="O1237" s="20">
        <f>IF(OR(I1237="",COUNT(J1237:N1237)=0),"",IF(SUM(J1237:N1237)=I1237,"✓","⚠ "&amp;SUM(J1237:N1237)&amp;" statt "&amp;I1237))</f>
        <v/>
      </c>
      <c r="P1237" s="21" t="n"/>
      <c r="Q1237" s="21" t="n"/>
      <c r="R1237" s="21" t="n"/>
      <c r="S1237" s="24" t="n"/>
      <c r="T1237" s="24" t="n"/>
      <c r="V1237">
        <f>IF(A1237="","",MONTH(A1237))</f>
        <v/>
      </c>
      <c r="W1237">
        <f>N(W1236)+IF(AND(C1237&lt;&gt;"",T1237&lt;&gt;""),IF(C1237=WOCHE!$B$3,1,0),0)</f>
        <v/>
      </c>
      <c r="X1237">
        <f>N(X1236)+IF(AND(V1237&lt;&gt;"",T1237&lt;&gt;""),IF(V1237=MONAT!$AZ$3,1,0),0)</f>
        <v/>
      </c>
    </row>
    <row r="1238">
      <c r="A1238" s="19" t="n"/>
      <c r="B1238" s="20">
        <f>IF(A1238="","",CHOOSE(WEEKDAY(A1238,2),"Mo","Di","Mi","Do","Fr","Sa","So"))</f>
        <v/>
      </c>
      <c r="C1238" s="20">
        <f>IF(A1238="","",INT((A1238-DATE(YEAR(A1238-WEEKDAY(A1238-1)+4),1,3)+WEEKDAY(DATE(YEAR(A1238-WEEKDAY(A1238-1)+4),1,3))+5)/7))</f>
        <v/>
      </c>
      <c r="D1238" s="21" t="n"/>
      <c r="E1238" s="22" t="n"/>
      <c r="F1238" s="23" t="n"/>
      <c r="G1238" s="23" t="n"/>
      <c r="H1238" s="23" t="n"/>
      <c r="I1238" s="20">
        <f>IF(COUNT(F1238:H1238)=0,"",SUM(F1238:H1238))</f>
        <v/>
      </c>
      <c r="J1238" s="23" t="n"/>
      <c r="K1238" s="23" t="n"/>
      <c r="L1238" s="23" t="n"/>
      <c r="M1238" s="23" t="n"/>
      <c r="N1238" s="23" t="n"/>
      <c r="O1238" s="20">
        <f>IF(OR(I1238="",COUNT(J1238:N1238)=0),"",IF(SUM(J1238:N1238)=I1238,"✓","⚠ "&amp;SUM(J1238:N1238)&amp;" statt "&amp;I1238))</f>
        <v/>
      </c>
      <c r="P1238" s="21" t="n"/>
      <c r="Q1238" s="21" t="n"/>
      <c r="R1238" s="21" t="n"/>
      <c r="S1238" s="24" t="n"/>
      <c r="T1238" s="24" t="n"/>
      <c r="V1238">
        <f>IF(A1238="","",MONTH(A1238))</f>
        <v/>
      </c>
      <c r="W1238">
        <f>N(W1237)+IF(AND(C1238&lt;&gt;"",T1238&lt;&gt;""),IF(C1238=WOCHE!$B$3,1,0),0)</f>
        <v/>
      </c>
      <c r="X1238">
        <f>N(X1237)+IF(AND(V1238&lt;&gt;"",T1238&lt;&gt;""),IF(V1238=MONAT!$AZ$3,1,0),0)</f>
        <v/>
      </c>
    </row>
    <row r="1239">
      <c r="A1239" s="19" t="n"/>
      <c r="B1239" s="20">
        <f>IF(A1239="","",CHOOSE(WEEKDAY(A1239,2),"Mo","Di","Mi","Do","Fr","Sa","So"))</f>
        <v/>
      </c>
      <c r="C1239" s="20">
        <f>IF(A1239="","",INT((A1239-DATE(YEAR(A1239-WEEKDAY(A1239-1)+4),1,3)+WEEKDAY(DATE(YEAR(A1239-WEEKDAY(A1239-1)+4),1,3))+5)/7))</f>
        <v/>
      </c>
      <c r="D1239" s="21" t="n"/>
      <c r="E1239" s="22" t="n"/>
      <c r="F1239" s="23" t="n"/>
      <c r="G1239" s="23" t="n"/>
      <c r="H1239" s="23" t="n"/>
      <c r="I1239" s="20">
        <f>IF(COUNT(F1239:H1239)=0,"",SUM(F1239:H1239))</f>
        <v/>
      </c>
      <c r="J1239" s="23" t="n"/>
      <c r="K1239" s="23" t="n"/>
      <c r="L1239" s="23" t="n"/>
      <c r="M1239" s="23" t="n"/>
      <c r="N1239" s="23" t="n"/>
      <c r="O1239" s="20">
        <f>IF(OR(I1239="",COUNT(J1239:N1239)=0),"",IF(SUM(J1239:N1239)=I1239,"✓","⚠ "&amp;SUM(J1239:N1239)&amp;" statt "&amp;I1239))</f>
        <v/>
      </c>
      <c r="P1239" s="21" t="n"/>
      <c r="Q1239" s="21" t="n"/>
      <c r="R1239" s="21" t="n"/>
      <c r="S1239" s="24" t="n"/>
      <c r="T1239" s="24" t="n"/>
      <c r="V1239">
        <f>IF(A1239="","",MONTH(A1239))</f>
        <v/>
      </c>
      <c r="W1239">
        <f>N(W1238)+IF(AND(C1239&lt;&gt;"",T1239&lt;&gt;""),IF(C1239=WOCHE!$B$3,1,0),0)</f>
        <v/>
      </c>
      <c r="X1239">
        <f>N(X1238)+IF(AND(V1239&lt;&gt;"",T1239&lt;&gt;""),IF(V1239=MONAT!$AZ$3,1,0),0)</f>
        <v/>
      </c>
    </row>
    <row r="1240">
      <c r="A1240" s="19" t="n"/>
      <c r="B1240" s="20">
        <f>IF(A1240="","",CHOOSE(WEEKDAY(A1240,2),"Mo","Di","Mi","Do","Fr","Sa","So"))</f>
        <v/>
      </c>
      <c r="C1240" s="20">
        <f>IF(A1240="","",INT((A1240-DATE(YEAR(A1240-WEEKDAY(A1240-1)+4),1,3)+WEEKDAY(DATE(YEAR(A1240-WEEKDAY(A1240-1)+4),1,3))+5)/7))</f>
        <v/>
      </c>
      <c r="D1240" s="21" t="n"/>
      <c r="E1240" s="22" t="n"/>
      <c r="F1240" s="23" t="n"/>
      <c r="G1240" s="23" t="n"/>
      <c r="H1240" s="23" t="n"/>
      <c r="I1240" s="20">
        <f>IF(COUNT(F1240:H1240)=0,"",SUM(F1240:H1240))</f>
        <v/>
      </c>
      <c r="J1240" s="23" t="n"/>
      <c r="K1240" s="23" t="n"/>
      <c r="L1240" s="23" t="n"/>
      <c r="M1240" s="23" t="n"/>
      <c r="N1240" s="23" t="n"/>
      <c r="O1240" s="20">
        <f>IF(OR(I1240="",COUNT(J1240:N1240)=0),"",IF(SUM(J1240:N1240)=I1240,"✓","⚠ "&amp;SUM(J1240:N1240)&amp;" statt "&amp;I1240))</f>
        <v/>
      </c>
      <c r="P1240" s="21" t="n"/>
      <c r="Q1240" s="21" t="n"/>
      <c r="R1240" s="21" t="n"/>
      <c r="S1240" s="24" t="n"/>
      <c r="T1240" s="24" t="n"/>
      <c r="V1240">
        <f>IF(A1240="","",MONTH(A1240))</f>
        <v/>
      </c>
      <c r="W1240">
        <f>N(W1239)+IF(AND(C1240&lt;&gt;"",T1240&lt;&gt;""),IF(C1240=WOCHE!$B$3,1,0),0)</f>
        <v/>
      </c>
      <c r="X1240">
        <f>N(X1239)+IF(AND(V1240&lt;&gt;"",T1240&lt;&gt;""),IF(V1240=MONAT!$AZ$3,1,0),0)</f>
        <v/>
      </c>
    </row>
    <row r="1241">
      <c r="A1241" s="19" t="n"/>
      <c r="B1241" s="20">
        <f>IF(A1241="","",CHOOSE(WEEKDAY(A1241,2),"Mo","Di","Mi","Do","Fr","Sa","So"))</f>
        <v/>
      </c>
      <c r="C1241" s="20">
        <f>IF(A1241="","",INT((A1241-DATE(YEAR(A1241-WEEKDAY(A1241-1)+4),1,3)+WEEKDAY(DATE(YEAR(A1241-WEEKDAY(A1241-1)+4),1,3))+5)/7))</f>
        <v/>
      </c>
      <c r="D1241" s="21" t="n"/>
      <c r="E1241" s="22" t="n"/>
      <c r="F1241" s="23" t="n"/>
      <c r="G1241" s="23" t="n"/>
      <c r="H1241" s="23" t="n"/>
      <c r="I1241" s="20">
        <f>IF(COUNT(F1241:H1241)=0,"",SUM(F1241:H1241))</f>
        <v/>
      </c>
      <c r="J1241" s="23" t="n"/>
      <c r="K1241" s="23" t="n"/>
      <c r="L1241" s="23" t="n"/>
      <c r="M1241" s="23" t="n"/>
      <c r="N1241" s="23" t="n"/>
      <c r="O1241" s="20">
        <f>IF(OR(I1241="",COUNT(J1241:N1241)=0),"",IF(SUM(J1241:N1241)=I1241,"✓","⚠ "&amp;SUM(J1241:N1241)&amp;" statt "&amp;I1241))</f>
        <v/>
      </c>
      <c r="P1241" s="21" t="n"/>
      <c r="Q1241" s="21" t="n"/>
      <c r="R1241" s="21" t="n"/>
      <c r="S1241" s="24" t="n"/>
      <c r="T1241" s="24" t="n"/>
      <c r="V1241">
        <f>IF(A1241="","",MONTH(A1241))</f>
        <v/>
      </c>
      <c r="W1241">
        <f>N(W1240)+IF(AND(C1241&lt;&gt;"",T1241&lt;&gt;""),IF(C1241=WOCHE!$B$3,1,0),0)</f>
        <v/>
      </c>
      <c r="X1241">
        <f>N(X1240)+IF(AND(V1241&lt;&gt;"",T1241&lt;&gt;""),IF(V1241=MONAT!$AZ$3,1,0),0)</f>
        <v/>
      </c>
    </row>
    <row r="1242">
      <c r="A1242" s="19" t="n"/>
      <c r="B1242" s="20">
        <f>IF(A1242="","",CHOOSE(WEEKDAY(A1242,2),"Mo","Di","Mi","Do","Fr","Sa","So"))</f>
        <v/>
      </c>
      <c r="C1242" s="20">
        <f>IF(A1242="","",INT((A1242-DATE(YEAR(A1242-WEEKDAY(A1242-1)+4),1,3)+WEEKDAY(DATE(YEAR(A1242-WEEKDAY(A1242-1)+4),1,3))+5)/7))</f>
        <v/>
      </c>
      <c r="D1242" s="21" t="n"/>
      <c r="E1242" s="22" t="n"/>
      <c r="F1242" s="23" t="n"/>
      <c r="G1242" s="23" t="n"/>
      <c r="H1242" s="23" t="n"/>
      <c r="I1242" s="20">
        <f>IF(COUNT(F1242:H1242)=0,"",SUM(F1242:H1242))</f>
        <v/>
      </c>
      <c r="J1242" s="23" t="n"/>
      <c r="K1242" s="23" t="n"/>
      <c r="L1242" s="23" t="n"/>
      <c r="M1242" s="23" t="n"/>
      <c r="N1242" s="23" t="n"/>
      <c r="O1242" s="20">
        <f>IF(OR(I1242="",COUNT(J1242:N1242)=0),"",IF(SUM(J1242:N1242)=I1242,"✓","⚠ "&amp;SUM(J1242:N1242)&amp;" statt "&amp;I1242))</f>
        <v/>
      </c>
      <c r="P1242" s="21" t="n"/>
      <c r="Q1242" s="21" t="n"/>
      <c r="R1242" s="21" t="n"/>
      <c r="S1242" s="24" t="n"/>
      <c r="T1242" s="24" t="n"/>
      <c r="V1242">
        <f>IF(A1242="","",MONTH(A1242))</f>
        <v/>
      </c>
      <c r="W1242">
        <f>N(W1241)+IF(AND(C1242&lt;&gt;"",T1242&lt;&gt;""),IF(C1242=WOCHE!$B$3,1,0),0)</f>
        <v/>
      </c>
      <c r="X1242">
        <f>N(X1241)+IF(AND(V1242&lt;&gt;"",T1242&lt;&gt;""),IF(V1242=MONAT!$AZ$3,1,0),0)</f>
        <v/>
      </c>
    </row>
    <row r="1243">
      <c r="A1243" s="19" t="n"/>
      <c r="B1243" s="20">
        <f>IF(A1243="","",CHOOSE(WEEKDAY(A1243,2),"Mo","Di","Mi","Do","Fr","Sa","So"))</f>
        <v/>
      </c>
      <c r="C1243" s="20">
        <f>IF(A1243="","",INT((A1243-DATE(YEAR(A1243-WEEKDAY(A1243-1)+4),1,3)+WEEKDAY(DATE(YEAR(A1243-WEEKDAY(A1243-1)+4),1,3))+5)/7))</f>
        <v/>
      </c>
      <c r="D1243" s="21" t="n"/>
      <c r="E1243" s="22" t="n"/>
      <c r="F1243" s="23" t="n"/>
      <c r="G1243" s="23" t="n"/>
      <c r="H1243" s="23" t="n"/>
      <c r="I1243" s="20">
        <f>IF(COUNT(F1243:H1243)=0,"",SUM(F1243:H1243))</f>
        <v/>
      </c>
      <c r="J1243" s="23" t="n"/>
      <c r="K1243" s="23" t="n"/>
      <c r="L1243" s="23" t="n"/>
      <c r="M1243" s="23" t="n"/>
      <c r="N1243" s="23" t="n"/>
      <c r="O1243" s="20">
        <f>IF(OR(I1243="",COUNT(J1243:N1243)=0),"",IF(SUM(J1243:N1243)=I1243,"✓","⚠ "&amp;SUM(J1243:N1243)&amp;" statt "&amp;I1243))</f>
        <v/>
      </c>
      <c r="P1243" s="21" t="n"/>
      <c r="Q1243" s="21" t="n"/>
      <c r="R1243" s="21" t="n"/>
      <c r="S1243" s="24" t="n"/>
      <c r="T1243" s="24" t="n"/>
      <c r="V1243">
        <f>IF(A1243="","",MONTH(A1243))</f>
        <v/>
      </c>
      <c r="W1243">
        <f>N(W1242)+IF(AND(C1243&lt;&gt;"",T1243&lt;&gt;""),IF(C1243=WOCHE!$B$3,1,0),0)</f>
        <v/>
      </c>
      <c r="X1243">
        <f>N(X1242)+IF(AND(V1243&lt;&gt;"",T1243&lt;&gt;""),IF(V1243=MONAT!$AZ$3,1,0),0)</f>
        <v/>
      </c>
    </row>
    <row r="1244">
      <c r="A1244" s="19" t="n"/>
      <c r="B1244" s="20">
        <f>IF(A1244="","",CHOOSE(WEEKDAY(A1244,2),"Mo","Di","Mi","Do","Fr","Sa","So"))</f>
        <v/>
      </c>
      <c r="C1244" s="20">
        <f>IF(A1244="","",INT((A1244-DATE(YEAR(A1244-WEEKDAY(A1244-1)+4),1,3)+WEEKDAY(DATE(YEAR(A1244-WEEKDAY(A1244-1)+4),1,3))+5)/7))</f>
        <v/>
      </c>
      <c r="D1244" s="21" t="n"/>
      <c r="E1244" s="22" t="n"/>
      <c r="F1244" s="23" t="n"/>
      <c r="G1244" s="23" t="n"/>
      <c r="H1244" s="23" t="n"/>
      <c r="I1244" s="20">
        <f>IF(COUNT(F1244:H1244)=0,"",SUM(F1244:H1244))</f>
        <v/>
      </c>
      <c r="J1244" s="23" t="n"/>
      <c r="K1244" s="23" t="n"/>
      <c r="L1244" s="23" t="n"/>
      <c r="M1244" s="23" t="n"/>
      <c r="N1244" s="23" t="n"/>
      <c r="O1244" s="20">
        <f>IF(OR(I1244="",COUNT(J1244:N1244)=0),"",IF(SUM(J1244:N1244)=I1244,"✓","⚠ "&amp;SUM(J1244:N1244)&amp;" statt "&amp;I1244))</f>
        <v/>
      </c>
      <c r="P1244" s="21" t="n"/>
      <c r="Q1244" s="21" t="n"/>
      <c r="R1244" s="21" t="n"/>
      <c r="S1244" s="24" t="n"/>
      <c r="T1244" s="24" t="n"/>
      <c r="V1244">
        <f>IF(A1244="","",MONTH(A1244))</f>
        <v/>
      </c>
      <c r="W1244">
        <f>N(W1243)+IF(AND(C1244&lt;&gt;"",T1244&lt;&gt;""),IF(C1244=WOCHE!$B$3,1,0),0)</f>
        <v/>
      </c>
      <c r="X1244">
        <f>N(X1243)+IF(AND(V1244&lt;&gt;"",T1244&lt;&gt;""),IF(V1244=MONAT!$AZ$3,1,0),0)</f>
        <v/>
      </c>
    </row>
    <row r="1245">
      <c r="A1245" s="19" t="n"/>
      <c r="B1245" s="20">
        <f>IF(A1245="","",CHOOSE(WEEKDAY(A1245,2),"Mo","Di","Mi","Do","Fr","Sa","So"))</f>
        <v/>
      </c>
      <c r="C1245" s="20">
        <f>IF(A1245="","",INT((A1245-DATE(YEAR(A1245-WEEKDAY(A1245-1)+4),1,3)+WEEKDAY(DATE(YEAR(A1245-WEEKDAY(A1245-1)+4),1,3))+5)/7))</f>
        <v/>
      </c>
      <c r="D1245" s="21" t="n"/>
      <c r="E1245" s="22" t="n"/>
      <c r="F1245" s="23" t="n"/>
      <c r="G1245" s="23" t="n"/>
      <c r="H1245" s="23" t="n"/>
      <c r="I1245" s="20">
        <f>IF(COUNT(F1245:H1245)=0,"",SUM(F1245:H1245))</f>
        <v/>
      </c>
      <c r="J1245" s="23" t="n"/>
      <c r="K1245" s="23" t="n"/>
      <c r="L1245" s="23" t="n"/>
      <c r="M1245" s="23" t="n"/>
      <c r="N1245" s="23" t="n"/>
      <c r="O1245" s="20">
        <f>IF(OR(I1245="",COUNT(J1245:N1245)=0),"",IF(SUM(J1245:N1245)=I1245,"✓","⚠ "&amp;SUM(J1245:N1245)&amp;" statt "&amp;I1245))</f>
        <v/>
      </c>
      <c r="P1245" s="21" t="n"/>
      <c r="Q1245" s="21" t="n"/>
      <c r="R1245" s="21" t="n"/>
      <c r="S1245" s="24" t="n"/>
      <c r="T1245" s="24" t="n"/>
      <c r="V1245">
        <f>IF(A1245="","",MONTH(A1245))</f>
        <v/>
      </c>
      <c r="W1245">
        <f>N(W1244)+IF(AND(C1245&lt;&gt;"",T1245&lt;&gt;""),IF(C1245=WOCHE!$B$3,1,0),0)</f>
        <v/>
      </c>
      <c r="X1245">
        <f>N(X1244)+IF(AND(V1245&lt;&gt;"",T1245&lt;&gt;""),IF(V1245=MONAT!$AZ$3,1,0),0)</f>
        <v/>
      </c>
    </row>
    <row r="1246">
      <c r="A1246" s="19" t="n"/>
      <c r="B1246" s="20">
        <f>IF(A1246="","",CHOOSE(WEEKDAY(A1246,2),"Mo","Di","Mi","Do","Fr","Sa","So"))</f>
        <v/>
      </c>
      <c r="C1246" s="20">
        <f>IF(A1246="","",INT((A1246-DATE(YEAR(A1246-WEEKDAY(A1246-1)+4),1,3)+WEEKDAY(DATE(YEAR(A1246-WEEKDAY(A1246-1)+4),1,3))+5)/7))</f>
        <v/>
      </c>
      <c r="D1246" s="21" t="n"/>
      <c r="E1246" s="22" t="n"/>
      <c r="F1246" s="23" t="n"/>
      <c r="G1246" s="23" t="n"/>
      <c r="H1246" s="23" t="n"/>
      <c r="I1246" s="20">
        <f>IF(COUNT(F1246:H1246)=0,"",SUM(F1246:H1246))</f>
        <v/>
      </c>
      <c r="J1246" s="23" t="n"/>
      <c r="K1246" s="23" t="n"/>
      <c r="L1246" s="23" t="n"/>
      <c r="M1246" s="23" t="n"/>
      <c r="N1246" s="23" t="n"/>
      <c r="O1246" s="20">
        <f>IF(OR(I1246="",COUNT(J1246:N1246)=0),"",IF(SUM(J1246:N1246)=I1246,"✓","⚠ "&amp;SUM(J1246:N1246)&amp;" statt "&amp;I1246))</f>
        <v/>
      </c>
      <c r="P1246" s="21" t="n"/>
      <c r="Q1246" s="21" t="n"/>
      <c r="R1246" s="21" t="n"/>
      <c r="S1246" s="24" t="n"/>
      <c r="T1246" s="24" t="n"/>
      <c r="V1246">
        <f>IF(A1246="","",MONTH(A1246))</f>
        <v/>
      </c>
      <c r="W1246">
        <f>N(W1245)+IF(AND(C1246&lt;&gt;"",T1246&lt;&gt;""),IF(C1246=WOCHE!$B$3,1,0),0)</f>
        <v/>
      </c>
      <c r="X1246">
        <f>N(X1245)+IF(AND(V1246&lt;&gt;"",T1246&lt;&gt;""),IF(V1246=MONAT!$AZ$3,1,0),0)</f>
        <v/>
      </c>
    </row>
    <row r="1247">
      <c r="A1247" s="19" t="n"/>
      <c r="B1247" s="20">
        <f>IF(A1247="","",CHOOSE(WEEKDAY(A1247,2),"Mo","Di","Mi","Do","Fr","Sa","So"))</f>
        <v/>
      </c>
      <c r="C1247" s="20">
        <f>IF(A1247="","",INT((A1247-DATE(YEAR(A1247-WEEKDAY(A1247-1)+4),1,3)+WEEKDAY(DATE(YEAR(A1247-WEEKDAY(A1247-1)+4),1,3))+5)/7))</f>
        <v/>
      </c>
      <c r="D1247" s="21" t="n"/>
      <c r="E1247" s="22" t="n"/>
      <c r="F1247" s="23" t="n"/>
      <c r="G1247" s="23" t="n"/>
      <c r="H1247" s="23" t="n"/>
      <c r="I1247" s="20">
        <f>IF(COUNT(F1247:H1247)=0,"",SUM(F1247:H1247))</f>
        <v/>
      </c>
      <c r="J1247" s="23" t="n"/>
      <c r="K1247" s="23" t="n"/>
      <c r="L1247" s="23" t="n"/>
      <c r="M1247" s="23" t="n"/>
      <c r="N1247" s="23" t="n"/>
      <c r="O1247" s="20">
        <f>IF(OR(I1247="",COUNT(J1247:N1247)=0),"",IF(SUM(J1247:N1247)=I1247,"✓","⚠ "&amp;SUM(J1247:N1247)&amp;" statt "&amp;I1247))</f>
        <v/>
      </c>
      <c r="P1247" s="21" t="n"/>
      <c r="Q1247" s="21" t="n"/>
      <c r="R1247" s="21" t="n"/>
      <c r="S1247" s="24" t="n"/>
      <c r="T1247" s="24" t="n"/>
      <c r="V1247">
        <f>IF(A1247="","",MONTH(A1247))</f>
        <v/>
      </c>
      <c r="W1247">
        <f>N(W1246)+IF(AND(C1247&lt;&gt;"",T1247&lt;&gt;""),IF(C1247=WOCHE!$B$3,1,0),0)</f>
        <v/>
      </c>
      <c r="X1247">
        <f>N(X1246)+IF(AND(V1247&lt;&gt;"",T1247&lt;&gt;""),IF(V1247=MONAT!$AZ$3,1,0),0)</f>
        <v/>
      </c>
    </row>
    <row r="1248">
      <c r="A1248" s="19" t="n"/>
      <c r="B1248" s="20">
        <f>IF(A1248="","",CHOOSE(WEEKDAY(A1248,2),"Mo","Di","Mi","Do","Fr","Sa","So"))</f>
        <v/>
      </c>
      <c r="C1248" s="20">
        <f>IF(A1248="","",INT((A1248-DATE(YEAR(A1248-WEEKDAY(A1248-1)+4),1,3)+WEEKDAY(DATE(YEAR(A1248-WEEKDAY(A1248-1)+4),1,3))+5)/7))</f>
        <v/>
      </c>
      <c r="D1248" s="21" t="n"/>
      <c r="E1248" s="22" t="n"/>
      <c r="F1248" s="23" t="n"/>
      <c r="G1248" s="23" t="n"/>
      <c r="H1248" s="23" t="n"/>
      <c r="I1248" s="20">
        <f>IF(COUNT(F1248:H1248)=0,"",SUM(F1248:H1248))</f>
        <v/>
      </c>
      <c r="J1248" s="23" t="n"/>
      <c r="K1248" s="23" t="n"/>
      <c r="L1248" s="23" t="n"/>
      <c r="M1248" s="23" t="n"/>
      <c r="N1248" s="23" t="n"/>
      <c r="O1248" s="20">
        <f>IF(OR(I1248="",COUNT(J1248:N1248)=0),"",IF(SUM(J1248:N1248)=I1248,"✓","⚠ "&amp;SUM(J1248:N1248)&amp;" statt "&amp;I1248))</f>
        <v/>
      </c>
      <c r="P1248" s="21" t="n"/>
      <c r="Q1248" s="21" t="n"/>
      <c r="R1248" s="21" t="n"/>
      <c r="S1248" s="24" t="n"/>
      <c r="T1248" s="24" t="n"/>
      <c r="V1248">
        <f>IF(A1248="","",MONTH(A1248))</f>
        <v/>
      </c>
      <c r="W1248">
        <f>N(W1247)+IF(AND(C1248&lt;&gt;"",T1248&lt;&gt;""),IF(C1248=WOCHE!$B$3,1,0),0)</f>
        <v/>
      </c>
      <c r="X1248">
        <f>N(X1247)+IF(AND(V1248&lt;&gt;"",T1248&lt;&gt;""),IF(V1248=MONAT!$AZ$3,1,0),0)</f>
        <v/>
      </c>
    </row>
    <row r="1249">
      <c r="A1249" s="19" t="n"/>
      <c r="B1249" s="20">
        <f>IF(A1249="","",CHOOSE(WEEKDAY(A1249,2),"Mo","Di","Mi","Do","Fr","Sa","So"))</f>
        <v/>
      </c>
      <c r="C1249" s="20">
        <f>IF(A1249="","",INT((A1249-DATE(YEAR(A1249-WEEKDAY(A1249-1)+4),1,3)+WEEKDAY(DATE(YEAR(A1249-WEEKDAY(A1249-1)+4),1,3))+5)/7))</f>
        <v/>
      </c>
      <c r="D1249" s="21" t="n"/>
      <c r="E1249" s="22" t="n"/>
      <c r="F1249" s="23" t="n"/>
      <c r="G1249" s="23" t="n"/>
      <c r="H1249" s="23" t="n"/>
      <c r="I1249" s="20">
        <f>IF(COUNT(F1249:H1249)=0,"",SUM(F1249:H1249))</f>
        <v/>
      </c>
      <c r="J1249" s="23" t="n"/>
      <c r="K1249" s="23" t="n"/>
      <c r="L1249" s="23" t="n"/>
      <c r="M1249" s="23" t="n"/>
      <c r="N1249" s="23" t="n"/>
      <c r="O1249" s="20">
        <f>IF(OR(I1249="",COUNT(J1249:N1249)=0),"",IF(SUM(J1249:N1249)=I1249,"✓","⚠ "&amp;SUM(J1249:N1249)&amp;" statt "&amp;I1249))</f>
        <v/>
      </c>
      <c r="P1249" s="21" t="n"/>
      <c r="Q1249" s="21" t="n"/>
      <c r="R1249" s="21" t="n"/>
      <c r="S1249" s="24" t="n"/>
      <c r="T1249" s="24" t="n"/>
      <c r="V1249">
        <f>IF(A1249="","",MONTH(A1249))</f>
        <v/>
      </c>
      <c r="W1249">
        <f>N(W1248)+IF(AND(C1249&lt;&gt;"",T1249&lt;&gt;""),IF(C1249=WOCHE!$B$3,1,0),0)</f>
        <v/>
      </c>
      <c r="X1249">
        <f>N(X1248)+IF(AND(V1249&lt;&gt;"",T1249&lt;&gt;""),IF(V1249=MONAT!$AZ$3,1,0),0)</f>
        <v/>
      </c>
    </row>
    <row r="1250">
      <c r="A1250" s="19" t="n"/>
      <c r="B1250" s="20">
        <f>IF(A1250="","",CHOOSE(WEEKDAY(A1250,2),"Mo","Di","Mi","Do","Fr","Sa","So"))</f>
        <v/>
      </c>
      <c r="C1250" s="20">
        <f>IF(A1250="","",INT((A1250-DATE(YEAR(A1250-WEEKDAY(A1250-1)+4),1,3)+WEEKDAY(DATE(YEAR(A1250-WEEKDAY(A1250-1)+4),1,3))+5)/7))</f>
        <v/>
      </c>
      <c r="D1250" s="21" t="n"/>
      <c r="E1250" s="22" t="n"/>
      <c r="F1250" s="23" t="n"/>
      <c r="G1250" s="23" t="n"/>
      <c r="H1250" s="23" t="n"/>
      <c r="I1250" s="20">
        <f>IF(COUNT(F1250:H1250)=0,"",SUM(F1250:H1250))</f>
        <v/>
      </c>
      <c r="J1250" s="23" t="n"/>
      <c r="K1250" s="23" t="n"/>
      <c r="L1250" s="23" t="n"/>
      <c r="M1250" s="23" t="n"/>
      <c r="N1250" s="23" t="n"/>
      <c r="O1250" s="20">
        <f>IF(OR(I1250="",COUNT(J1250:N1250)=0),"",IF(SUM(J1250:N1250)=I1250,"✓","⚠ "&amp;SUM(J1250:N1250)&amp;" statt "&amp;I1250))</f>
        <v/>
      </c>
      <c r="P1250" s="21" t="n"/>
      <c r="Q1250" s="21" t="n"/>
      <c r="R1250" s="21" t="n"/>
      <c r="S1250" s="24" t="n"/>
      <c r="T1250" s="24" t="n"/>
      <c r="V1250">
        <f>IF(A1250="","",MONTH(A1250))</f>
        <v/>
      </c>
      <c r="W1250">
        <f>N(W1249)+IF(AND(C1250&lt;&gt;"",T1250&lt;&gt;""),IF(C1250=WOCHE!$B$3,1,0),0)</f>
        <v/>
      </c>
      <c r="X1250">
        <f>N(X1249)+IF(AND(V1250&lt;&gt;"",T1250&lt;&gt;""),IF(V1250=MONAT!$AZ$3,1,0),0)</f>
        <v/>
      </c>
    </row>
    <row r="1251">
      <c r="A1251" s="19" t="n"/>
      <c r="B1251" s="20">
        <f>IF(A1251="","",CHOOSE(WEEKDAY(A1251,2),"Mo","Di","Mi","Do","Fr","Sa","So"))</f>
        <v/>
      </c>
      <c r="C1251" s="20">
        <f>IF(A1251="","",INT((A1251-DATE(YEAR(A1251-WEEKDAY(A1251-1)+4),1,3)+WEEKDAY(DATE(YEAR(A1251-WEEKDAY(A1251-1)+4),1,3))+5)/7))</f>
        <v/>
      </c>
      <c r="D1251" s="21" t="n"/>
      <c r="E1251" s="22" t="n"/>
      <c r="F1251" s="23" t="n"/>
      <c r="G1251" s="23" t="n"/>
      <c r="H1251" s="23" t="n"/>
      <c r="I1251" s="20">
        <f>IF(COUNT(F1251:H1251)=0,"",SUM(F1251:H1251))</f>
        <v/>
      </c>
      <c r="J1251" s="23" t="n"/>
      <c r="K1251" s="23" t="n"/>
      <c r="L1251" s="23" t="n"/>
      <c r="M1251" s="23" t="n"/>
      <c r="N1251" s="23" t="n"/>
      <c r="O1251" s="20">
        <f>IF(OR(I1251="",COUNT(J1251:N1251)=0),"",IF(SUM(J1251:N1251)=I1251,"✓","⚠ "&amp;SUM(J1251:N1251)&amp;" statt "&amp;I1251))</f>
        <v/>
      </c>
      <c r="P1251" s="21" t="n"/>
      <c r="Q1251" s="21" t="n"/>
      <c r="R1251" s="21" t="n"/>
      <c r="S1251" s="24" t="n"/>
      <c r="T1251" s="24" t="n"/>
      <c r="V1251">
        <f>IF(A1251="","",MONTH(A1251))</f>
        <v/>
      </c>
      <c r="W1251">
        <f>N(W1250)+IF(AND(C1251&lt;&gt;"",T1251&lt;&gt;""),IF(C1251=WOCHE!$B$3,1,0),0)</f>
        <v/>
      </c>
      <c r="X1251">
        <f>N(X1250)+IF(AND(V1251&lt;&gt;"",T1251&lt;&gt;""),IF(V1251=MONAT!$AZ$3,1,0),0)</f>
        <v/>
      </c>
    </row>
    <row r="1252">
      <c r="A1252" s="19" t="n"/>
      <c r="B1252" s="20">
        <f>IF(A1252="","",CHOOSE(WEEKDAY(A1252,2),"Mo","Di","Mi","Do","Fr","Sa","So"))</f>
        <v/>
      </c>
      <c r="C1252" s="20">
        <f>IF(A1252="","",INT((A1252-DATE(YEAR(A1252-WEEKDAY(A1252-1)+4),1,3)+WEEKDAY(DATE(YEAR(A1252-WEEKDAY(A1252-1)+4),1,3))+5)/7))</f>
        <v/>
      </c>
      <c r="D1252" s="21" t="n"/>
      <c r="E1252" s="22" t="n"/>
      <c r="F1252" s="23" t="n"/>
      <c r="G1252" s="23" t="n"/>
      <c r="H1252" s="23" t="n"/>
      <c r="I1252" s="20">
        <f>IF(COUNT(F1252:H1252)=0,"",SUM(F1252:H1252))</f>
        <v/>
      </c>
      <c r="J1252" s="23" t="n"/>
      <c r="K1252" s="23" t="n"/>
      <c r="L1252" s="23" t="n"/>
      <c r="M1252" s="23" t="n"/>
      <c r="N1252" s="23" t="n"/>
      <c r="O1252" s="20">
        <f>IF(OR(I1252="",COUNT(J1252:N1252)=0),"",IF(SUM(J1252:N1252)=I1252,"✓","⚠ "&amp;SUM(J1252:N1252)&amp;" statt "&amp;I1252))</f>
        <v/>
      </c>
      <c r="P1252" s="21" t="n"/>
      <c r="Q1252" s="21" t="n"/>
      <c r="R1252" s="21" t="n"/>
      <c r="S1252" s="24" t="n"/>
      <c r="T1252" s="24" t="n"/>
      <c r="V1252">
        <f>IF(A1252="","",MONTH(A1252))</f>
        <v/>
      </c>
      <c r="W1252">
        <f>N(W1251)+IF(AND(C1252&lt;&gt;"",T1252&lt;&gt;""),IF(C1252=WOCHE!$B$3,1,0),0)</f>
        <v/>
      </c>
      <c r="X1252">
        <f>N(X1251)+IF(AND(V1252&lt;&gt;"",T1252&lt;&gt;""),IF(V1252=MONAT!$AZ$3,1,0),0)</f>
        <v/>
      </c>
    </row>
    <row r="1253">
      <c r="A1253" s="19" t="n"/>
      <c r="B1253" s="20">
        <f>IF(A1253="","",CHOOSE(WEEKDAY(A1253,2),"Mo","Di","Mi","Do","Fr","Sa","So"))</f>
        <v/>
      </c>
      <c r="C1253" s="20">
        <f>IF(A1253="","",INT((A1253-DATE(YEAR(A1253-WEEKDAY(A1253-1)+4),1,3)+WEEKDAY(DATE(YEAR(A1253-WEEKDAY(A1253-1)+4),1,3))+5)/7))</f>
        <v/>
      </c>
      <c r="D1253" s="21" t="n"/>
      <c r="E1253" s="22" t="n"/>
      <c r="F1253" s="23" t="n"/>
      <c r="G1253" s="23" t="n"/>
      <c r="H1253" s="23" t="n"/>
      <c r="I1253" s="20">
        <f>IF(COUNT(F1253:H1253)=0,"",SUM(F1253:H1253))</f>
        <v/>
      </c>
      <c r="J1253" s="23" t="n"/>
      <c r="K1253" s="23" t="n"/>
      <c r="L1253" s="23" t="n"/>
      <c r="M1253" s="23" t="n"/>
      <c r="N1253" s="23" t="n"/>
      <c r="O1253" s="20">
        <f>IF(OR(I1253="",COUNT(J1253:N1253)=0),"",IF(SUM(J1253:N1253)=I1253,"✓","⚠ "&amp;SUM(J1253:N1253)&amp;" statt "&amp;I1253))</f>
        <v/>
      </c>
      <c r="P1253" s="21" t="n"/>
      <c r="Q1253" s="21" t="n"/>
      <c r="R1253" s="21" t="n"/>
      <c r="S1253" s="24" t="n"/>
      <c r="T1253" s="24" t="n"/>
      <c r="V1253">
        <f>IF(A1253="","",MONTH(A1253))</f>
        <v/>
      </c>
      <c r="W1253">
        <f>N(W1252)+IF(AND(C1253&lt;&gt;"",T1253&lt;&gt;""),IF(C1253=WOCHE!$B$3,1,0),0)</f>
        <v/>
      </c>
      <c r="X1253">
        <f>N(X1252)+IF(AND(V1253&lt;&gt;"",T1253&lt;&gt;""),IF(V1253=MONAT!$AZ$3,1,0),0)</f>
        <v/>
      </c>
    </row>
    <row r="1254">
      <c r="A1254" s="19" t="n"/>
      <c r="B1254" s="20">
        <f>IF(A1254="","",CHOOSE(WEEKDAY(A1254,2),"Mo","Di","Mi","Do","Fr","Sa","So"))</f>
        <v/>
      </c>
      <c r="C1254" s="20">
        <f>IF(A1254="","",INT((A1254-DATE(YEAR(A1254-WEEKDAY(A1254-1)+4),1,3)+WEEKDAY(DATE(YEAR(A1254-WEEKDAY(A1254-1)+4),1,3))+5)/7))</f>
        <v/>
      </c>
      <c r="D1254" s="21" t="n"/>
      <c r="E1254" s="22" t="n"/>
      <c r="F1254" s="23" t="n"/>
      <c r="G1254" s="23" t="n"/>
      <c r="H1254" s="23" t="n"/>
      <c r="I1254" s="20">
        <f>IF(COUNT(F1254:H1254)=0,"",SUM(F1254:H1254))</f>
        <v/>
      </c>
      <c r="J1254" s="23" t="n"/>
      <c r="K1254" s="23" t="n"/>
      <c r="L1254" s="23" t="n"/>
      <c r="M1254" s="23" t="n"/>
      <c r="N1254" s="23" t="n"/>
      <c r="O1254" s="20">
        <f>IF(OR(I1254="",COUNT(J1254:N1254)=0),"",IF(SUM(J1254:N1254)=I1254,"✓","⚠ "&amp;SUM(J1254:N1254)&amp;" statt "&amp;I1254))</f>
        <v/>
      </c>
      <c r="P1254" s="21" t="n"/>
      <c r="Q1254" s="21" t="n"/>
      <c r="R1254" s="21" t="n"/>
      <c r="S1254" s="24" t="n"/>
      <c r="T1254" s="24" t="n"/>
      <c r="V1254">
        <f>IF(A1254="","",MONTH(A1254))</f>
        <v/>
      </c>
      <c r="W1254">
        <f>N(W1253)+IF(AND(C1254&lt;&gt;"",T1254&lt;&gt;""),IF(C1254=WOCHE!$B$3,1,0),0)</f>
        <v/>
      </c>
      <c r="X1254">
        <f>N(X1253)+IF(AND(V1254&lt;&gt;"",T1254&lt;&gt;""),IF(V1254=MONAT!$AZ$3,1,0),0)</f>
        <v/>
      </c>
    </row>
    <row r="1255">
      <c r="A1255" s="19" t="n"/>
      <c r="B1255" s="20">
        <f>IF(A1255="","",CHOOSE(WEEKDAY(A1255,2),"Mo","Di","Mi","Do","Fr","Sa","So"))</f>
        <v/>
      </c>
      <c r="C1255" s="20">
        <f>IF(A1255="","",INT((A1255-DATE(YEAR(A1255-WEEKDAY(A1255-1)+4),1,3)+WEEKDAY(DATE(YEAR(A1255-WEEKDAY(A1255-1)+4),1,3))+5)/7))</f>
        <v/>
      </c>
      <c r="D1255" s="21" t="n"/>
      <c r="E1255" s="22" t="n"/>
      <c r="F1255" s="23" t="n"/>
      <c r="G1255" s="23" t="n"/>
      <c r="H1255" s="23" t="n"/>
      <c r="I1255" s="20">
        <f>IF(COUNT(F1255:H1255)=0,"",SUM(F1255:H1255))</f>
        <v/>
      </c>
      <c r="J1255" s="23" t="n"/>
      <c r="K1255" s="23" t="n"/>
      <c r="L1255" s="23" t="n"/>
      <c r="M1255" s="23" t="n"/>
      <c r="N1255" s="23" t="n"/>
      <c r="O1255" s="20">
        <f>IF(OR(I1255="",COUNT(J1255:N1255)=0),"",IF(SUM(J1255:N1255)=I1255,"✓","⚠ "&amp;SUM(J1255:N1255)&amp;" statt "&amp;I1255))</f>
        <v/>
      </c>
      <c r="P1255" s="21" t="n"/>
      <c r="Q1255" s="21" t="n"/>
      <c r="R1255" s="21" t="n"/>
      <c r="S1255" s="24" t="n"/>
      <c r="T1255" s="24" t="n"/>
      <c r="V1255">
        <f>IF(A1255="","",MONTH(A1255))</f>
        <v/>
      </c>
      <c r="W1255">
        <f>N(W1254)+IF(AND(C1255&lt;&gt;"",T1255&lt;&gt;""),IF(C1255=WOCHE!$B$3,1,0),0)</f>
        <v/>
      </c>
      <c r="X1255">
        <f>N(X1254)+IF(AND(V1255&lt;&gt;"",T1255&lt;&gt;""),IF(V1255=MONAT!$AZ$3,1,0),0)</f>
        <v/>
      </c>
    </row>
    <row r="1256">
      <c r="A1256" s="19" t="n"/>
      <c r="B1256" s="20">
        <f>IF(A1256="","",CHOOSE(WEEKDAY(A1256,2),"Mo","Di","Mi","Do","Fr","Sa","So"))</f>
        <v/>
      </c>
      <c r="C1256" s="20">
        <f>IF(A1256="","",INT((A1256-DATE(YEAR(A1256-WEEKDAY(A1256-1)+4),1,3)+WEEKDAY(DATE(YEAR(A1256-WEEKDAY(A1256-1)+4),1,3))+5)/7))</f>
        <v/>
      </c>
      <c r="D1256" s="21" t="n"/>
      <c r="E1256" s="22" t="n"/>
      <c r="F1256" s="23" t="n"/>
      <c r="G1256" s="23" t="n"/>
      <c r="H1256" s="23" t="n"/>
      <c r="I1256" s="20">
        <f>IF(COUNT(F1256:H1256)=0,"",SUM(F1256:H1256))</f>
        <v/>
      </c>
      <c r="J1256" s="23" t="n"/>
      <c r="K1256" s="23" t="n"/>
      <c r="L1256" s="23" t="n"/>
      <c r="M1256" s="23" t="n"/>
      <c r="N1256" s="23" t="n"/>
      <c r="O1256" s="20">
        <f>IF(OR(I1256="",COUNT(J1256:N1256)=0),"",IF(SUM(J1256:N1256)=I1256,"✓","⚠ "&amp;SUM(J1256:N1256)&amp;" statt "&amp;I1256))</f>
        <v/>
      </c>
      <c r="P1256" s="21" t="n"/>
      <c r="Q1256" s="21" t="n"/>
      <c r="R1256" s="21" t="n"/>
      <c r="S1256" s="24" t="n"/>
      <c r="T1256" s="24" t="n"/>
      <c r="V1256">
        <f>IF(A1256="","",MONTH(A1256))</f>
        <v/>
      </c>
      <c r="W1256">
        <f>N(W1255)+IF(AND(C1256&lt;&gt;"",T1256&lt;&gt;""),IF(C1256=WOCHE!$B$3,1,0),0)</f>
        <v/>
      </c>
      <c r="X1256">
        <f>N(X1255)+IF(AND(V1256&lt;&gt;"",T1256&lt;&gt;""),IF(V1256=MONAT!$AZ$3,1,0),0)</f>
        <v/>
      </c>
    </row>
    <row r="1257">
      <c r="A1257" s="19" t="n"/>
      <c r="B1257" s="20">
        <f>IF(A1257="","",CHOOSE(WEEKDAY(A1257,2),"Mo","Di","Mi","Do","Fr","Sa","So"))</f>
        <v/>
      </c>
      <c r="C1257" s="20">
        <f>IF(A1257="","",INT((A1257-DATE(YEAR(A1257-WEEKDAY(A1257-1)+4),1,3)+WEEKDAY(DATE(YEAR(A1257-WEEKDAY(A1257-1)+4),1,3))+5)/7))</f>
        <v/>
      </c>
      <c r="D1257" s="21" t="n"/>
      <c r="E1257" s="22" t="n"/>
      <c r="F1257" s="23" t="n"/>
      <c r="G1257" s="23" t="n"/>
      <c r="H1257" s="23" t="n"/>
      <c r="I1257" s="20">
        <f>IF(COUNT(F1257:H1257)=0,"",SUM(F1257:H1257))</f>
        <v/>
      </c>
      <c r="J1257" s="23" t="n"/>
      <c r="K1257" s="23" t="n"/>
      <c r="L1257" s="23" t="n"/>
      <c r="M1257" s="23" t="n"/>
      <c r="N1257" s="23" t="n"/>
      <c r="O1257" s="20">
        <f>IF(OR(I1257="",COUNT(J1257:N1257)=0),"",IF(SUM(J1257:N1257)=I1257,"✓","⚠ "&amp;SUM(J1257:N1257)&amp;" statt "&amp;I1257))</f>
        <v/>
      </c>
      <c r="P1257" s="21" t="n"/>
      <c r="Q1257" s="21" t="n"/>
      <c r="R1257" s="21" t="n"/>
      <c r="S1257" s="24" t="n"/>
      <c r="T1257" s="24" t="n"/>
      <c r="V1257">
        <f>IF(A1257="","",MONTH(A1257))</f>
        <v/>
      </c>
      <c r="W1257">
        <f>N(W1256)+IF(AND(C1257&lt;&gt;"",T1257&lt;&gt;""),IF(C1257=WOCHE!$B$3,1,0),0)</f>
        <v/>
      </c>
      <c r="X1257">
        <f>N(X1256)+IF(AND(V1257&lt;&gt;"",T1257&lt;&gt;""),IF(V1257=MONAT!$AZ$3,1,0),0)</f>
        <v/>
      </c>
    </row>
    <row r="1258">
      <c r="A1258" s="19" t="n"/>
      <c r="B1258" s="20">
        <f>IF(A1258="","",CHOOSE(WEEKDAY(A1258,2),"Mo","Di","Mi","Do","Fr","Sa","So"))</f>
        <v/>
      </c>
      <c r="C1258" s="20">
        <f>IF(A1258="","",INT((A1258-DATE(YEAR(A1258-WEEKDAY(A1258-1)+4),1,3)+WEEKDAY(DATE(YEAR(A1258-WEEKDAY(A1258-1)+4),1,3))+5)/7))</f>
        <v/>
      </c>
      <c r="D1258" s="21" t="n"/>
      <c r="E1258" s="22" t="n"/>
      <c r="F1258" s="23" t="n"/>
      <c r="G1258" s="23" t="n"/>
      <c r="H1258" s="23" t="n"/>
      <c r="I1258" s="20">
        <f>IF(COUNT(F1258:H1258)=0,"",SUM(F1258:H1258))</f>
        <v/>
      </c>
      <c r="J1258" s="23" t="n"/>
      <c r="K1258" s="23" t="n"/>
      <c r="L1258" s="23" t="n"/>
      <c r="M1258" s="23" t="n"/>
      <c r="N1258" s="23" t="n"/>
      <c r="O1258" s="20">
        <f>IF(OR(I1258="",COUNT(J1258:N1258)=0),"",IF(SUM(J1258:N1258)=I1258,"✓","⚠ "&amp;SUM(J1258:N1258)&amp;" statt "&amp;I1258))</f>
        <v/>
      </c>
      <c r="P1258" s="21" t="n"/>
      <c r="Q1258" s="21" t="n"/>
      <c r="R1258" s="21" t="n"/>
      <c r="S1258" s="24" t="n"/>
      <c r="T1258" s="24" t="n"/>
      <c r="V1258">
        <f>IF(A1258="","",MONTH(A1258))</f>
        <v/>
      </c>
      <c r="W1258">
        <f>N(W1257)+IF(AND(C1258&lt;&gt;"",T1258&lt;&gt;""),IF(C1258=WOCHE!$B$3,1,0),0)</f>
        <v/>
      </c>
      <c r="X1258">
        <f>N(X1257)+IF(AND(V1258&lt;&gt;"",T1258&lt;&gt;""),IF(V1258=MONAT!$AZ$3,1,0),0)</f>
        <v/>
      </c>
    </row>
    <row r="1259">
      <c r="A1259" s="19" t="n"/>
      <c r="B1259" s="20">
        <f>IF(A1259="","",CHOOSE(WEEKDAY(A1259,2),"Mo","Di","Mi","Do","Fr","Sa","So"))</f>
        <v/>
      </c>
      <c r="C1259" s="20">
        <f>IF(A1259="","",INT((A1259-DATE(YEAR(A1259-WEEKDAY(A1259-1)+4),1,3)+WEEKDAY(DATE(YEAR(A1259-WEEKDAY(A1259-1)+4),1,3))+5)/7))</f>
        <v/>
      </c>
      <c r="D1259" s="21" t="n"/>
      <c r="E1259" s="22" t="n"/>
      <c r="F1259" s="23" t="n"/>
      <c r="G1259" s="23" t="n"/>
      <c r="H1259" s="23" t="n"/>
      <c r="I1259" s="20">
        <f>IF(COUNT(F1259:H1259)=0,"",SUM(F1259:H1259))</f>
        <v/>
      </c>
      <c r="J1259" s="23" t="n"/>
      <c r="K1259" s="23" t="n"/>
      <c r="L1259" s="23" t="n"/>
      <c r="M1259" s="23" t="n"/>
      <c r="N1259" s="23" t="n"/>
      <c r="O1259" s="20">
        <f>IF(OR(I1259="",COUNT(J1259:N1259)=0),"",IF(SUM(J1259:N1259)=I1259,"✓","⚠ "&amp;SUM(J1259:N1259)&amp;" statt "&amp;I1259))</f>
        <v/>
      </c>
      <c r="P1259" s="21" t="n"/>
      <c r="Q1259" s="21" t="n"/>
      <c r="R1259" s="21" t="n"/>
      <c r="S1259" s="24" t="n"/>
      <c r="T1259" s="24" t="n"/>
      <c r="V1259">
        <f>IF(A1259="","",MONTH(A1259))</f>
        <v/>
      </c>
      <c r="W1259">
        <f>N(W1258)+IF(AND(C1259&lt;&gt;"",T1259&lt;&gt;""),IF(C1259=WOCHE!$B$3,1,0),0)</f>
        <v/>
      </c>
      <c r="X1259">
        <f>N(X1258)+IF(AND(V1259&lt;&gt;"",T1259&lt;&gt;""),IF(V1259=MONAT!$AZ$3,1,0),0)</f>
        <v/>
      </c>
    </row>
    <row r="1260">
      <c r="A1260" s="19" t="n"/>
      <c r="B1260" s="20">
        <f>IF(A1260="","",CHOOSE(WEEKDAY(A1260,2),"Mo","Di","Mi","Do","Fr","Sa","So"))</f>
        <v/>
      </c>
      <c r="C1260" s="20">
        <f>IF(A1260="","",INT((A1260-DATE(YEAR(A1260-WEEKDAY(A1260-1)+4),1,3)+WEEKDAY(DATE(YEAR(A1260-WEEKDAY(A1260-1)+4),1,3))+5)/7))</f>
        <v/>
      </c>
      <c r="D1260" s="21" t="n"/>
      <c r="E1260" s="22" t="n"/>
      <c r="F1260" s="23" t="n"/>
      <c r="G1260" s="23" t="n"/>
      <c r="H1260" s="23" t="n"/>
      <c r="I1260" s="20">
        <f>IF(COUNT(F1260:H1260)=0,"",SUM(F1260:H1260))</f>
        <v/>
      </c>
      <c r="J1260" s="23" t="n"/>
      <c r="K1260" s="23" t="n"/>
      <c r="L1260" s="23" t="n"/>
      <c r="M1260" s="23" t="n"/>
      <c r="N1260" s="23" t="n"/>
      <c r="O1260" s="20">
        <f>IF(OR(I1260="",COUNT(J1260:N1260)=0),"",IF(SUM(J1260:N1260)=I1260,"✓","⚠ "&amp;SUM(J1260:N1260)&amp;" statt "&amp;I1260))</f>
        <v/>
      </c>
      <c r="P1260" s="21" t="n"/>
      <c r="Q1260" s="21" t="n"/>
      <c r="R1260" s="21" t="n"/>
      <c r="S1260" s="24" t="n"/>
      <c r="T1260" s="24" t="n"/>
      <c r="V1260">
        <f>IF(A1260="","",MONTH(A1260))</f>
        <v/>
      </c>
      <c r="W1260">
        <f>N(W1259)+IF(AND(C1260&lt;&gt;"",T1260&lt;&gt;""),IF(C1260=WOCHE!$B$3,1,0),0)</f>
        <v/>
      </c>
      <c r="X1260">
        <f>N(X1259)+IF(AND(V1260&lt;&gt;"",T1260&lt;&gt;""),IF(V1260=MONAT!$AZ$3,1,0),0)</f>
        <v/>
      </c>
    </row>
    <row r="1261">
      <c r="A1261" s="19" t="n"/>
      <c r="B1261" s="20">
        <f>IF(A1261="","",CHOOSE(WEEKDAY(A1261,2),"Mo","Di","Mi","Do","Fr","Sa","So"))</f>
        <v/>
      </c>
      <c r="C1261" s="20">
        <f>IF(A1261="","",INT((A1261-DATE(YEAR(A1261-WEEKDAY(A1261-1)+4),1,3)+WEEKDAY(DATE(YEAR(A1261-WEEKDAY(A1261-1)+4),1,3))+5)/7))</f>
        <v/>
      </c>
      <c r="D1261" s="21" t="n"/>
      <c r="E1261" s="22" t="n"/>
      <c r="F1261" s="23" t="n"/>
      <c r="G1261" s="23" t="n"/>
      <c r="H1261" s="23" t="n"/>
      <c r="I1261" s="20">
        <f>IF(COUNT(F1261:H1261)=0,"",SUM(F1261:H1261))</f>
        <v/>
      </c>
      <c r="J1261" s="23" t="n"/>
      <c r="K1261" s="23" t="n"/>
      <c r="L1261" s="23" t="n"/>
      <c r="M1261" s="23" t="n"/>
      <c r="N1261" s="23" t="n"/>
      <c r="O1261" s="20">
        <f>IF(OR(I1261="",COUNT(J1261:N1261)=0),"",IF(SUM(J1261:N1261)=I1261,"✓","⚠ "&amp;SUM(J1261:N1261)&amp;" statt "&amp;I1261))</f>
        <v/>
      </c>
      <c r="P1261" s="21" t="n"/>
      <c r="Q1261" s="21" t="n"/>
      <c r="R1261" s="21" t="n"/>
      <c r="S1261" s="24" t="n"/>
      <c r="T1261" s="24" t="n"/>
      <c r="V1261">
        <f>IF(A1261="","",MONTH(A1261))</f>
        <v/>
      </c>
      <c r="W1261">
        <f>N(W1260)+IF(AND(C1261&lt;&gt;"",T1261&lt;&gt;""),IF(C1261=WOCHE!$B$3,1,0),0)</f>
        <v/>
      </c>
      <c r="X1261">
        <f>N(X1260)+IF(AND(V1261&lt;&gt;"",T1261&lt;&gt;""),IF(V1261=MONAT!$AZ$3,1,0),0)</f>
        <v/>
      </c>
    </row>
    <row r="1262">
      <c r="A1262" s="19" t="n"/>
      <c r="B1262" s="20">
        <f>IF(A1262="","",CHOOSE(WEEKDAY(A1262,2),"Mo","Di","Mi","Do","Fr","Sa","So"))</f>
        <v/>
      </c>
      <c r="C1262" s="20">
        <f>IF(A1262="","",INT((A1262-DATE(YEAR(A1262-WEEKDAY(A1262-1)+4),1,3)+WEEKDAY(DATE(YEAR(A1262-WEEKDAY(A1262-1)+4),1,3))+5)/7))</f>
        <v/>
      </c>
      <c r="D1262" s="21" t="n"/>
      <c r="E1262" s="22" t="n"/>
      <c r="F1262" s="23" t="n"/>
      <c r="G1262" s="23" t="n"/>
      <c r="H1262" s="23" t="n"/>
      <c r="I1262" s="20">
        <f>IF(COUNT(F1262:H1262)=0,"",SUM(F1262:H1262))</f>
        <v/>
      </c>
      <c r="J1262" s="23" t="n"/>
      <c r="K1262" s="23" t="n"/>
      <c r="L1262" s="23" t="n"/>
      <c r="M1262" s="23" t="n"/>
      <c r="N1262" s="23" t="n"/>
      <c r="O1262" s="20">
        <f>IF(OR(I1262="",COUNT(J1262:N1262)=0),"",IF(SUM(J1262:N1262)=I1262,"✓","⚠ "&amp;SUM(J1262:N1262)&amp;" statt "&amp;I1262))</f>
        <v/>
      </c>
      <c r="P1262" s="21" t="n"/>
      <c r="Q1262" s="21" t="n"/>
      <c r="R1262" s="21" t="n"/>
      <c r="S1262" s="24" t="n"/>
      <c r="T1262" s="24" t="n"/>
      <c r="V1262">
        <f>IF(A1262="","",MONTH(A1262))</f>
        <v/>
      </c>
      <c r="W1262">
        <f>N(W1261)+IF(AND(C1262&lt;&gt;"",T1262&lt;&gt;""),IF(C1262=WOCHE!$B$3,1,0),0)</f>
        <v/>
      </c>
      <c r="X1262">
        <f>N(X1261)+IF(AND(V1262&lt;&gt;"",T1262&lt;&gt;""),IF(V1262=MONAT!$AZ$3,1,0),0)</f>
        <v/>
      </c>
    </row>
    <row r="1263">
      <c r="A1263" s="19" t="n"/>
      <c r="B1263" s="20">
        <f>IF(A1263="","",CHOOSE(WEEKDAY(A1263,2),"Mo","Di","Mi","Do","Fr","Sa","So"))</f>
        <v/>
      </c>
      <c r="C1263" s="20">
        <f>IF(A1263="","",INT((A1263-DATE(YEAR(A1263-WEEKDAY(A1263-1)+4),1,3)+WEEKDAY(DATE(YEAR(A1263-WEEKDAY(A1263-1)+4),1,3))+5)/7))</f>
        <v/>
      </c>
      <c r="D1263" s="21" t="n"/>
      <c r="E1263" s="22" t="n"/>
      <c r="F1263" s="23" t="n"/>
      <c r="G1263" s="23" t="n"/>
      <c r="H1263" s="23" t="n"/>
      <c r="I1263" s="20">
        <f>IF(COUNT(F1263:H1263)=0,"",SUM(F1263:H1263))</f>
        <v/>
      </c>
      <c r="J1263" s="23" t="n"/>
      <c r="K1263" s="23" t="n"/>
      <c r="L1263" s="23" t="n"/>
      <c r="M1263" s="23" t="n"/>
      <c r="N1263" s="23" t="n"/>
      <c r="O1263" s="20">
        <f>IF(OR(I1263="",COUNT(J1263:N1263)=0),"",IF(SUM(J1263:N1263)=I1263,"✓","⚠ "&amp;SUM(J1263:N1263)&amp;" statt "&amp;I1263))</f>
        <v/>
      </c>
      <c r="P1263" s="21" t="n"/>
      <c r="Q1263" s="21" t="n"/>
      <c r="R1263" s="21" t="n"/>
      <c r="S1263" s="24" t="n"/>
      <c r="T1263" s="24" t="n"/>
      <c r="V1263">
        <f>IF(A1263="","",MONTH(A1263))</f>
        <v/>
      </c>
      <c r="W1263">
        <f>N(W1262)+IF(AND(C1263&lt;&gt;"",T1263&lt;&gt;""),IF(C1263=WOCHE!$B$3,1,0),0)</f>
        <v/>
      </c>
      <c r="X1263">
        <f>N(X1262)+IF(AND(V1263&lt;&gt;"",T1263&lt;&gt;""),IF(V1263=MONAT!$AZ$3,1,0),0)</f>
        <v/>
      </c>
    </row>
    <row r="1264">
      <c r="A1264" s="19" t="n"/>
      <c r="B1264" s="20">
        <f>IF(A1264="","",CHOOSE(WEEKDAY(A1264,2),"Mo","Di","Mi","Do","Fr","Sa","So"))</f>
        <v/>
      </c>
      <c r="C1264" s="20">
        <f>IF(A1264="","",INT((A1264-DATE(YEAR(A1264-WEEKDAY(A1264-1)+4),1,3)+WEEKDAY(DATE(YEAR(A1264-WEEKDAY(A1264-1)+4),1,3))+5)/7))</f>
        <v/>
      </c>
      <c r="D1264" s="21" t="n"/>
      <c r="E1264" s="22" t="n"/>
      <c r="F1264" s="23" t="n"/>
      <c r="G1264" s="23" t="n"/>
      <c r="H1264" s="23" t="n"/>
      <c r="I1264" s="20">
        <f>IF(COUNT(F1264:H1264)=0,"",SUM(F1264:H1264))</f>
        <v/>
      </c>
      <c r="J1264" s="23" t="n"/>
      <c r="K1264" s="23" t="n"/>
      <c r="L1264" s="23" t="n"/>
      <c r="M1264" s="23" t="n"/>
      <c r="N1264" s="23" t="n"/>
      <c r="O1264" s="20">
        <f>IF(OR(I1264="",COUNT(J1264:N1264)=0),"",IF(SUM(J1264:N1264)=I1264,"✓","⚠ "&amp;SUM(J1264:N1264)&amp;" statt "&amp;I1264))</f>
        <v/>
      </c>
      <c r="P1264" s="21" t="n"/>
      <c r="Q1264" s="21" t="n"/>
      <c r="R1264" s="21" t="n"/>
      <c r="S1264" s="24" t="n"/>
      <c r="T1264" s="24" t="n"/>
      <c r="V1264">
        <f>IF(A1264="","",MONTH(A1264))</f>
        <v/>
      </c>
      <c r="W1264">
        <f>N(W1263)+IF(AND(C1264&lt;&gt;"",T1264&lt;&gt;""),IF(C1264=WOCHE!$B$3,1,0),0)</f>
        <v/>
      </c>
      <c r="X1264">
        <f>N(X1263)+IF(AND(V1264&lt;&gt;"",T1264&lt;&gt;""),IF(V1264=MONAT!$AZ$3,1,0),0)</f>
        <v/>
      </c>
    </row>
    <row r="1265">
      <c r="A1265" s="19" t="n"/>
      <c r="B1265" s="20">
        <f>IF(A1265="","",CHOOSE(WEEKDAY(A1265,2),"Mo","Di","Mi","Do","Fr","Sa","So"))</f>
        <v/>
      </c>
      <c r="C1265" s="20">
        <f>IF(A1265="","",INT((A1265-DATE(YEAR(A1265-WEEKDAY(A1265-1)+4),1,3)+WEEKDAY(DATE(YEAR(A1265-WEEKDAY(A1265-1)+4),1,3))+5)/7))</f>
        <v/>
      </c>
      <c r="D1265" s="21" t="n"/>
      <c r="E1265" s="22" t="n"/>
      <c r="F1265" s="23" t="n"/>
      <c r="G1265" s="23" t="n"/>
      <c r="H1265" s="23" t="n"/>
      <c r="I1265" s="20">
        <f>IF(COUNT(F1265:H1265)=0,"",SUM(F1265:H1265))</f>
        <v/>
      </c>
      <c r="J1265" s="23" t="n"/>
      <c r="K1265" s="23" t="n"/>
      <c r="L1265" s="23" t="n"/>
      <c r="M1265" s="23" t="n"/>
      <c r="N1265" s="23" t="n"/>
      <c r="O1265" s="20">
        <f>IF(OR(I1265="",COUNT(J1265:N1265)=0),"",IF(SUM(J1265:N1265)=I1265,"✓","⚠ "&amp;SUM(J1265:N1265)&amp;" statt "&amp;I1265))</f>
        <v/>
      </c>
      <c r="P1265" s="21" t="n"/>
      <c r="Q1265" s="21" t="n"/>
      <c r="R1265" s="21" t="n"/>
      <c r="S1265" s="24" t="n"/>
      <c r="T1265" s="24" t="n"/>
      <c r="V1265">
        <f>IF(A1265="","",MONTH(A1265))</f>
        <v/>
      </c>
      <c r="W1265">
        <f>N(W1264)+IF(AND(C1265&lt;&gt;"",T1265&lt;&gt;""),IF(C1265=WOCHE!$B$3,1,0),0)</f>
        <v/>
      </c>
      <c r="X1265">
        <f>N(X1264)+IF(AND(V1265&lt;&gt;"",T1265&lt;&gt;""),IF(V1265=MONAT!$AZ$3,1,0),0)</f>
        <v/>
      </c>
    </row>
    <row r="1266">
      <c r="A1266" s="19" t="n"/>
      <c r="B1266" s="20">
        <f>IF(A1266="","",CHOOSE(WEEKDAY(A1266,2),"Mo","Di","Mi","Do","Fr","Sa","So"))</f>
        <v/>
      </c>
      <c r="C1266" s="20">
        <f>IF(A1266="","",INT((A1266-DATE(YEAR(A1266-WEEKDAY(A1266-1)+4),1,3)+WEEKDAY(DATE(YEAR(A1266-WEEKDAY(A1266-1)+4),1,3))+5)/7))</f>
        <v/>
      </c>
      <c r="D1266" s="21" t="n"/>
      <c r="E1266" s="22" t="n"/>
      <c r="F1266" s="23" t="n"/>
      <c r="G1266" s="23" t="n"/>
      <c r="H1266" s="23" t="n"/>
      <c r="I1266" s="20">
        <f>IF(COUNT(F1266:H1266)=0,"",SUM(F1266:H1266))</f>
        <v/>
      </c>
      <c r="J1266" s="23" t="n"/>
      <c r="K1266" s="23" t="n"/>
      <c r="L1266" s="23" t="n"/>
      <c r="M1266" s="23" t="n"/>
      <c r="N1266" s="23" t="n"/>
      <c r="O1266" s="20">
        <f>IF(OR(I1266="",COUNT(J1266:N1266)=0),"",IF(SUM(J1266:N1266)=I1266,"✓","⚠ "&amp;SUM(J1266:N1266)&amp;" statt "&amp;I1266))</f>
        <v/>
      </c>
      <c r="P1266" s="21" t="n"/>
      <c r="Q1266" s="21" t="n"/>
      <c r="R1266" s="21" t="n"/>
      <c r="S1266" s="24" t="n"/>
      <c r="T1266" s="24" t="n"/>
      <c r="V1266">
        <f>IF(A1266="","",MONTH(A1266))</f>
        <v/>
      </c>
      <c r="W1266">
        <f>N(W1265)+IF(AND(C1266&lt;&gt;"",T1266&lt;&gt;""),IF(C1266=WOCHE!$B$3,1,0),0)</f>
        <v/>
      </c>
      <c r="X1266">
        <f>N(X1265)+IF(AND(V1266&lt;&gt;"",T1266&lt;&gt;""),IF(V1266=MONAT!$AZ$3,1,0),0)</f>
        <v/>
      </c>
    </row>
    <row r="1267">
      <c r="A1267" s="19" t="n"/>
      <c r="B1267" s="20">
        <f>IF(A1267="","",CHOOSE(WEEKDAY(A1267,2),"Mo","Di","Mi","Do","Fr","Sa","So"))</f>
        <v/>
      </c>
      <c r="C1267" s="20">
        <f>IF(A1267="","",INT((A1267-DATE(YEAR(A1267-WEEKDAY(A1267-1)+4),1,3)+WEEKDAY(DATE(YEAR(A1267-WEEKDAY(A1267-1)+4),1,3))+5)/7))</f>
        <v/>
      </c>
      <c r="D1267" s="21" t="n"/>
      <c r="E1267" s="22" t="n"/>
      <c r="F1267" s="23" t="n"/>
      <c r="G1267" s="23" t="n"/>
      <c r="H1267" s="23" t="n"/>
      <c r="I1267" s="20">
        <f>IF(COUNT(F1267:H1267)=0,"",SUM(F1267:H1267))</f>
        <v/>
      </c>
      <c r="J1267" s="23" t="n"/>
      <c r="K1267" s="23" t="n"/>
      <c r="L1267" s="23" t="n"/>
      <c r="M1267" s="23" t="n"/>
      <c r="N1267" s="23" t="n"/>
      <c r="O1267" s="20">
        <f>IF(OR(I1267="",COUNT(J1267:N1267)=0),"",IF(SUM(J1267:N1267)=I1267,"✓","⚠ "&amp;SUM(J1267:N1267)&amp;" statt "&amp;I1267))</f>
        <v/>
      </c>
      <c r="P1267" s="21" t="n"/>
      <c r="Q1267" s="21" t="n"/>
      <c r="R1267" s="21" t="n"/>
      <c r="S1267" s="24" t="n"/>
      <c r="T1267" s="24" t="n"/>
      <c r="V1267">
        <f>IF(A1267="","",MONTH(A1267))</f>
        <v/>
      </c>
      <c r="W1267">
        <f>N(W1266)+IF(AND(C1267&lt;&gt;"",T1267&lt;&gt;""),IF(C1267=WOCHE!$B$3,1,0),0)</f>
        <v/>
      </c>
      <c r="X1267">
        <f>N(X1266)+IF(AND(V1267&lt;&gt;"",T1267&lt;&gt;""),IF(V1267=MONAT!$AZ$3,1,0),0)</f>
        <v/>
      </c>
    </row>
    <row r="1268">
      <c r="A1268" s="19" t="n"/>
      <c r="B1268" s="20">
        <f>IF(A1268="","",CHOOSE(WEEKDAY(A1268,2),"Mo","Di","Mi","Do","Fr","Sa","So"))</f>
        <v/>
      </c>
      <c r="C1268" s="20">
        <f>IF(A1268="","",INT((A1268-DATE(YEAR(A1268-WEEKDAY(A1268-1)+4),1,3)+WEEKDAY(DATE(YEAR(A1268-WEEKDAY(A1268-1)+4),1,3))+5)/7))</f>
        <v/>
      </c>
      <c r="D1268" s="21" t="n"/>
      <c r="E1268" s="22" t="n"/>
      <c r="F1268" s="23" t="n"/>
      <c r="G1268" s="23" t="n"/>
      <c r="H1268" s="23" t="n"/>
      <c r="I1268" s="20">
        <f>IF(COUNT(F1268:H1268)=0,"",SUM(F1268:H1268))</f>
        <v/>
      </c>
      <c r="J1268" s="23" t="n"/>
      <c r="K1268" s="23" t="n"/>
      <c r="L1268" s="23" t="n"/>
      <c r="M1268" s="23" t="n"/>
      <c r="N1268" s="23" t="n"/>
      <c r="O1268" s="20">
        <f>IF(OR(I1268="",COUNT(J1268:N1268)=0),"",IF(SUM(J1268:N1268)=I1268,"✓","⚠ "&amp;SUM(J1268:N1268)&amp;" statt "&amp;I1268))</f>
        <v/>
      </c>
      <c r="P1268" s="21" t="n"/>
      <c r="Q1268" s="21" t="n"/>
      <c r="R1268" s="21" t="n"/>
      <c r="S1268" s="24" t="n"/>
      <c r="T1268" s="24" t="n"/>
      <c r="V1268">
        <f>IF(A1268="","",MONTH(A1268))</f>
        <v/>
      </c>
      <c r="W1268">
        <f>N(W1267)+IF(AND(C1268&lt;&gt;"",T1268&lt;&gt;""),IF(C1268=WOCHE!$B$3,1,0),0)</f>
        <v/>
      </c>
      <c r="X1268">
        <f>N(X1267)+IF(AND(V1268&lt;&gt;"",T1268&lt;&gt;""),IF(V1268=MONAT!$AZ$3,1,0),0)</f>
        <v/>
      </c>
    </row>
    <row r="1269">
      <c r="A1269" s="19" t="n"/>
      <c r="B1269" s="20">
        <f>IF(A1269="","",CHOOSE(WEEKDAY(A1269,2),"Mo","Di","Mi","Do","Fr","Sa","So"))</f>
        <v/>
      </c>
      <c r="C1269" s="20">
        <f>IF(A1269="","",INT((A1269-DATE(YEAR(A1269-WEEKDAY(A1269-1)+4),1,3)+WEEKDAY(DATE(YEAR(A1269-WEEKDAY(A1269-1)+4),1,3))+5)/7))</f>
        <v/>
      </c>
      <c r="D1269" s="21" t="n"/>
      <c r="E1269" s="22" t="n"/>
      <c r="F1269" s="23" t="n"/>
      <c r="G1269" s="23" t="n"/>
      <c r="H1269" s="23" t="n"/>
      <c r="I1269" s="20">
        <f>IF(COUNT(F1269:H1269)=0,"",SUM(F1269:H1269))</f>
        <v/>
      </c>
      <c r="J1269" s="23" t="n"/>
      <c r="K1269" s="23" t="n"/>
      <c r="L1269" s="23" t="n"/>
      <c r="M1269" s="23" t="n"/>
      <c r="N1269" s="23" t="n"/>
      <c r="O1269" s="20">
        <f>IF(OR(I1269="",COUNT(J1269:N1269)=0),"",IF(SUM(J1269:N1269)=I1269,"✓","⚠ "&amp;SUM(J1269:N1269)&amp;" statt "&amp;I1269))</f>
        <v/>
      </c>
      <c r="P1269" s="21" t="n"/>
      <c r="Q1269" s="21" t="n"/>
      <c r="R1269" s="21" t="n"/>
      <c r="S1269" s="24" t="n"/>
      <c r="T1269" s="24" t="n"/>
      <c r="V1269">
        <f>IF(A1269="","",MONTH(A1269))</f>
        <v/>
      </c>
      <c r="W1269">
        <f>N(W1268)+IF(AND(C1269&lt;&gt;"",T1269&lt;&gt;""),IF(C1269=WOCHE!$B$3,1,0),0)</f>
        <v/>
      </c>
      <c r="X1269">
        <f>N(X1268)+IF(AND(V1269&lt;&gt;"",T1269&lt;&gt;""),IF(V1269=MONAT!$AZ$3,1,0),0)</f>
        <v/>
      </c>
    </row>
    <row r="1270">
      <c r="A1270" s="19" t="n"/>
      <c r="B1270" s="20">
        <f>IF(A1270="","",CHOOSE(WEEKDAY(A1270,2),"Mo","Di","Mi","Do","Fr","Sa","So"))</f>
        <v/>
      </c>
      <c r="C1270" s="20">
        <f>IF(A1270="","",INT((A1270-DATE(YEAR(A1270-WEEKDAY(A1270-1)+4),1,3)+WEEKDAY(DATE(YEAR(A1270-WEEKDAY(A1270-1)+4),1,3))+5)/7))</f>
        <v/>
      </c>
      <c r="D1270" s="21" t="n"/>
      <c r="E1270" s="22" t="n"/>
      <c r="F1270" s="23" t="n"/>
      <c r="G1270" s="23" t="n"/>
      <c r="H1270" s="23" t="n"/>
      <c r="I1270" s="20">
        <f>IF(COUNT(F1270:H1270)=0,"",SUM(F1270:H1270))</f>
        <v/>
      </c>
      <c r="J1270" s="23" t="n"/>
      <c r="K1270" s="23" t="n"/>
      <c r="L1270" s="23" t="n"/>
      <c r="M1270" s="23" t="n"/>
      <c r="N1270" s="23" t="n"/>
      <c r="O1270" s="20">
        <f>IF(OR(I1270="",COUNT(J1270:N1270)=0),"",IF(SUM(J1270:N1270)=I1270,"✓","⚠ "&amp;SUM(J1270:N1270)&amp;" statt "&amp;I1270))</f>
        <v/>
      </c>
      <c r="P1270" s="21" t="n"/>
      <c r="Q1270" s="21" t="n"/>
      <c r="R1270" s="21" t="n"/>
      <c r="S1270" s="24" t="n"/>
      <c r="T1270" s="24" t="n"/>
      <c r="V1270">
        <f>IF(A1270="","",MONTH(A1270))</f>
        <v/>
      </c>
      <c r="W1270">
        <f>N(W1269)+IF(AND(C1270&lt;&gt;"",T1270&lt;&gt;""),IF(C1270=WOCHE!$B$3,1,0),0)</f>
        <v/>
      </c>
      <c r="X1270">
        <f>N(X1269)+IF(AND(V1270&lt;&gt;"",T1270&lt;&gt;""),IF(V1270=MONAT!$AZ$3,1,0),0)</f>
        <v/>
      </c>
    </row>
    <row r="1271">
      <c r="A1271" s="19" t="n"/>
      <c r="B1271" s="20">
        <f>IF(A1271="","",CHOOSE(WEEKDAY(A1271,2),"Mo","Di","Mi","Do","Fr","Sa","So"))</f>
        <v/>
      </c>
      <c r="C1271" s="20">
        <f>IF(A1271="","",INT((A1271-DATE(YEAR(A1271-WEEKDAY(A1271-1)+4),1,3)+WEEKDAY(DATE(YEAR(A1271-WEEKDAY(A1271-1)+4),1,3))+5)/7))</f>
        <v/>
      </c>
      <c r="D1271" s="21" t="n"/>
      <c r="E1271" s="22" t="n"/>
      <c r="F1271" s="23" t="n"/>
      <c r="G1271" s="23" t="n"/>
      <c r="H1271" s="23" t="n"/>
      <c r="I1271" s="20">
        <f>IF(COUNT(F1271:H1271)=0,"",SUM(F1271:H1271))</f>
        <v/>
      </c>
      <c r="J1271" s="23" t="n"/>
      <c r="K1271" s="23" t="n"/>
      <c r="L1271" s="23" t="n"/>
      <c r="M1271" s="23" t="n"/>
      <c r="N1271" s="23" t="n"/>
      <c r="O1271" s="20">
        <f>IF(OR(I1271="",COUNT(J1271:N1271)=0),"",IF(SUM(J1271:N1271)=I1271,"✓","⚠ "&amp;SUM(J1271:N1271)&amp;" statt "&amp;I1271))</f>
        <v/>
      </c>
      <c r="P1271" s="21" t="n"/>
      <c r="Q1271" s="21" t="n"/>
      <c r="R1271" s="21" t="n"/>
      <c r="S1271" s="24" t="n"/>
      <c r="T1271" s="24" t="n"/>
      <c r="V1271">
        <f>IF(A1271="","",MONTH(A1271))</f>
        <v/>
      </c>
      <c r="W1271">
        <f>N(W1270)+IF(AND(C1271&lt;&gt;"",T1271&lt;&gt;""),IF(C1271=WOCHE!$B$3,1,0),0)</f>
        <v/>
      </c>
      <c r="X1271">
        <f>N(X1270)+IF(AND(V1271&lt;&gt;"",T1271&lt;&gt;""),IF(V1271=MONAT!$AZ$3,1,0),0)</f>
        <v/>
      </c>
    </row>
    <row r="1272">
      <c r="A1272" s="19" t="n"/>
      <c r="B1272" s="20">
        <f>IF(A1272="","",CHOOSE(WEEKDAY(A1272,2),"Mo","Di","Mi","Do","Fr","Sa","So"))</f>
        <v/>
      </c>
      <c r="C1272" s="20">
        <f>IF(A1272="","",INT((A1272-DATE(YEAR(A1272-WEEKDAY(A1272-1)+4),1,3)+WEEKDAY(DATE(YEAR(A1272-WEEKDAY(A1272-1)+4),1,3))+5)/7))</f>
        <v/>
      </c>
      <c r="D1272" s="21" t="n"/>
      <c r="E1272" s="22" t="n"/>
      <c r="F1272" s="23" t="n"/>
      <c r="G1272" s="23" t="n"/>
      <c r="H1272" s="23" t="n"/>
      <c r="I1272" s="20">
        <f>IF(COUNT(F1272:H1272)=0,"",SUM(F1272:H1272))</f>
        <v/>
      </c>
      <c r="J1272" s="23" t="n"/>
      <c r="K1272" s="23" t="n"/>
      <c r="L1272" s="23" t="n"/>
      <c r="M1272" s="23" t="n"/>
      <c r="N1272" s="23" t="n"/>
      <c r="O1272" s="20">
        <f>IF(OR(I1272="",COUNT(J1272:N1272)=0),"",IF(SUM(J1272:N1272)=I1272,"✓","⚠ "&amp;SUM(J1272:N1272)&amp;" statt "&amp;I1272))</f>
        <v/>
      </c>
      <c r="P1272" s="21" t="n"/>
      <c r="Q1272" s="21" t="n"/>
      <c r="R1272" s="21" t="n"/>
      <c r="S1272" s="24" t="n"/>
      <c r="T1272" s="24" t="n"/>
      <c r="V1272">
        <f>IF(A1272="","",MONTH(A1272))</f>
        <v/>
      </c>
      <c r="W1272">
        <f>N(W1271)+IF(AND(C1272&lt;&gt;"",T1272&lt;&gt;""),IF(C1272=WOCHE!$B$3,1,0),0)</f>
        <v/>
      </c>
      <c r="X1272">
        <f>N(X1271)+IF(AND(V1272&lt;&gt;"",T1272&lt;&gt;""),IF(V1272=MONAT!$AZ$3,1,0),0)</f>
        <v/>
      </c>
    </row>
    <row r="1273">
      <c r="A1273" s="19" t="n"/>
      <c r="B1273" s="20">
        <f>IF(A1273="","",CHOOSE(WEEKDAY(A1273,2),"Mo","Di","Mi","Do","Fr","Sa","So"))</f>
        <v/>
      </c>
      <c r="C1273" s="20">
        <f>IF(A1273="","",INT((A1273-DATE(YEAR(A1273-WEEKDAY(A1273-1)+4),1,3)+WEEKDAY(DATE(YEAR(A1273-WEEKDAY(A1273-1)+4),1,3))+5)/7))</f>
        <v/>
      </c>
      <c r="D1273" s="21" t="n"/>
      <c r="E1273" s="22" t="n"/>
      <c r="F1273" s="23" t="n"/>
      <c r="G1273" s="23" t="n"/>
      <c r="H1273" s="23" t="n"/>
      <c r="I1273" s="20">
        <f>IF(COUNT(F1273:H1273)=0,"",SUM(F1273:H1273))</f>
        <v/>
      </c>
      <c r="J1273" s="23" t="n"/>
      <c r="K1273" s="23" t="n"/>
      <c r="L1273" s="23" t="n"/>
      <c r="M1273" s="23" t="n"/>
      <c r="N1273" s="23" t="n"/>
      <c r="O1273" s="20">
        <f>IF(OR(I1273="",COUNT(J1273:N1273)=0),"",IF(SUM(J1273:N1273)=I1273,"✓","⚠ "&amp;SUM(J1273:N1273)&amp;" statt "&amp;I1273))</f>
        <v/>
      </c>
      <c r="P1273" s="21" t="n"/>
      <c r="Q1273" s="21" t="n"/>
      <c r="R1273" s="21" t="n"/>
      <c r="S1273" s="24" t="n"/>
      <c r="T1273" s="24" t="n"/>
      <c r="V1273">
        <f>IF(A1273="","",MONTH(A1273))</f>
        <v/>
      </c>
      <c r="W1273">
        <f>N(W1272)+IF(AND(C1273&lt;&gt;"",T1273&lt;&gt;""),IF(C1273=WOCHE!$B$3,1,0),0)</f>
        <v/>
      </c>
      <c r="X1273">
        <f>N(X1272)+IF(AND(V1273&lt;&gt;"",T1273&lt;&gt;""),IF(V1273=MONAT!$AZ$3,1,0),0)</f>
        <v/>
      </c>
    </row>
    <row r="1274">
      <c r="A1274" s="19" t="n"/>
      <c r="B1274" s="20">
        <f>IF(A1274="","",CHOOSE(WEEKDAY(A1274,2),"Mo","Di","Mi","Do","Fr","Sa","So"))</f>
        <v/>
      </c>
      <c r="C1274" s="20">
        <f>IF(A1274="","",INT((A1274-DATE(YEAR(A1274-WEEKDAY(A1274-1)+4),1,3)+WEEKDAY(DATE(YEAR(A1274-WEEKDAY(A1274-1)+4),1,3))+5)/7))</f>
        <v/>
      </c>
      <c r="D1274" s="21" t="n"/>
      <c r="E1274" s="22" t="n"/>
      <c r="F1274" s="23" t="n"/>
      <c r="G1274" s="23" t="n"/>
      <c r="H1274" s="23" t="n"/>
      <c r="I1274" s="20">
        <f>IF(COUNT(F1274:H1274)=0,"",SUM(F1274:H1274))</f>
        <v/>
      </c>
      <c r="J1274" s="23" t="n"/>
      <c r="K1274" s="23" t="n"/>
      <c r="L1274" s="23" t="n"/>
      <c r="M1274" s="23" t="n"/>
      <c r="N1274" s="23" t="n"/>
      <c r="O1274" s="20">
        <f>IF(OR(I1274="",COUNT(J1274:N1274)=0),"",IF(SUM(J1274:N1274)=I1274,"✓","⚠ "&amp;SUM(J1274:N1274)&amp;" statt "&amp;I1274))</f>
        <v/>
      </c>
      <c r="P1274" s="21" t="n"/>
      <c r="Q1274" s="21" t="n"/>
      <c r="R1274" s="21" t="n"/>
      <c r="S1274" s="24" t="n"/>
      <c r="T1274" s="24" t="n"/>
      <c r="V1274">
        <f>IF(A1274="","",MONTH(A1274))</f>
        <v/>
      </c>
      <c r="W1274">
        <f>N(W1273)+IF(AND(C1274&lt;&gt;"",T1274&lt;&gt;""),IF(C1274=WOCHE!$B$3,1,0),0)</f>
        <v/>
      </c>
      <c r="X1274">
        <f>N(X1273)+IF(AND(V1274&lt;&gt;"",T1274&lt;&gt;""),IF(V1274=MONAT!$AZ$3,1,0),0)</f>
        <v/>
      </c>
    </row>
    <row r="1275">
      <c r="A1275" s="19" t="n"/>
      <c r="B1275" s="20">
        <f>IF(A1275="","",CHOOSE(WEEKDAY(A1275,2),"Mo","Di","Mi","Do","Fr","Sa","So"))</f>
        <v/>
      </c>
      <c r="C1275" s="20">
        <f>IF(A1275="","",INT((A1275-DATE(YEAR(A1275-WEEKDAY(A1275-1)+4),1,3)+WEEKDAY(DATE(YEAR(A1275-WEEKDAY(A1275-1)+4),1,3))+5)/7))</f>
        <v/>
      </c>
      <c r="D1275" s="21" t="n"/>
      <c r="E1275" s="22" t="n"/>
      <c r="F1275" s="23" t="n"/>
      <c r="G1275" s="23" t="n"/>
      <c r="H1275" s="23" t="n"/>
      <c r="I1275" s="20">
        <f>IF(COUNT(F1275:H1275)=0,"",SUM(F1275:H1275))</f>
        <v/>
      </c>
      <c r="J1275" s="23" t="n"/>
      <c r="K1275" s="23" t="n"/>
      <c r="L1275" s="23" t="n"/>
      <c r="M1275" s="23" t="n"/>
      <c r="N1275" s="23" t="n"/>
      <c r="O1275" s="20">
        <f>IF(OR(I1275="",COUNT(J1275:N1275)=0),"",IF(SUM(J1275:N1275)=I1275,"✓","⚠ "&amp;SUM(J1275:N1275)&amp;" statt "&amp;I1275))</f>
        <v/>
      </c>
      <c r="P1275" s="21" t="n"/>
      <c r="Q1275" s="21" t="n"/>
      <c r="R1275" s="21" t="n"/>
      <c r="S1275" s="24" t="n"/>
      <c r="T1275" s="24" t="n"/>
      <c r="V1275">
        <f>IF(A1275="","",MONTH(A1275))</f>
        <v/>
      </c>
      <c r="W1275">
        <f>N(W1274)+IF(AND(C1275&lt;&gt;"",T1275&lt;&gt;""),IF(C1275=WOCHE!$B$3,1,0),0)</f>
        <v/>
      </c>
      <c r="X1275">
        <f>N(X1274)+IF(AND(V1275&lt;&gt;"",T1275&lt;&gt;""),IF(V1275=MONAT!$AZ$3,1,0),0)</f>
        <v/>
      </c>
    </row>
    <row r="1276">
      <c r="A1276" s="19" t="n"/>
      <c r="B1276" s="20">
        <f>IF(A1276="","",CHOOSE(WEEKDAY(A1276,2),"Mo","Di","Mi","Do","Fr","Sa","So"))</f>
        <v/>
      </c>
      <c r="C1276" s="20">
        <f>IF(A1276="","",INT((A1276-DATE(YEAR(A1276-WEEKDAY(A1276-1)+4),1,3)+WEEKDAY(DATE(YEAR(A1276-WEEKDAY(A1276-1)+4),1,3))+5)/7))</f>
        <v/>
      </c>
      <c r="D1276" s="21" t="n"/>
      <c r="E1276" s="22" t="n"/>
      <c r="F1276" s="23" t="n"/>
      <c r="G1276" s="23" t="n"/>
      <c r="H1276" s="23" t="n"/>
      <c r="I1276" s="20">
        <f>IF(COUNT(F1276:H1276)=0,"",SUM(F1276:H1276))</f>
        <v/>
      </c>
      <c r="J1276" s="23" t="n"/>
      <c r="K1276" s="23" t="n"/>
      <c r="L1276" s="23" t="n"/>
      <c r="M1276" s="23" t="n"/>
      <c r="N1276" s="23" t="n"/>
      <c r="O1276" s="20">
        <f>IF(OR(I1276="",COUNT(J1276:N1276)=0),"",IF(SUM(J1276:N1276)=I1276,"✓","⚠ "&amp;SUM(J1276:N1276)&amp;" statt "&amp;I1276))</f>
        <v/>
      </c>
      <c r="P1276" s="21" t="n"/>
      <c r="Q1276" s="21" t="n"/>
      <c r="R1276" s="21" t="n"/>
      <c r="S1276" s="24" t="n"/>
      <c r="T1276" s="24" t="n"/>
      <c r="V1276">
        <f>IF(A1276="","",MONTH(A1276))</f>
        <v/>
      </c>
      <c r="W1276">
        <f>N(W1275)+IF(AND(C1276&lt;&gt;"",T1276&lt;&gt;""),IF(C1276=WOCHE!$B$3,1,0),0)</f>
        <v/>
      </c>
      <c r="X1276">
        <f>N(X1275)+IF(AND(V1276&lt;&gt;"",T1276&lt;&gt;""),IF(V1276=MONAT!$AZ$3,1,0),0)</f>
        <v/>
      </c>
    </row>
    <row r="1277">
      <c r="A1277" s="19" t="n"/>
      <c r="B1277" s="20">
        <f>IF(A1277="","",CHOOSE(WEEKDAY(A1277,2),"Mo","Di","Mi","Do","Fr","Sa","So"))</f>
        <v/>
      </c>
      <c r="C1277" s="20">
        <f>IF(A1277="","",INT((A1277-DATE(YEAR(A1277-WEEKDAY(A1277-1)+4),1,3)+WEEKDAY(DATE(YEAR(A1277-WEEKDAY(A1277-1)+4),1,3))+5)/7))</f>
        <v/>
      </c>
      <c r="D1277" s="21" t="n"/>
      <c r="E1277" s="22" t="n"/>
      <c r="F1277" s="23" t="n"/>
      <c r="G1277" s="23" t="n"/>
      <c r="H1277" s="23" t="n"/>
      <c r="I1277" s="20">
        <f>IF(COUNT(F1277:H1277)=0,"",SUM(F1277:H1277))</f>
        <v/>
      </c>
      <c r="J1277" s="23" t="n"/>
      <c r="K1277" s="23" t="n"/>
      <c r="L1277" s="23" t="n"/>
      <c r="M1277" s="23" t="n"/>
      <c r="N1277" s="23" t="n"/>
      <c r="O1277" s="20">
        <f>IF(OR(I1277="",COUNT(J1277:N1277)=0),"",IF(SUM(J1277:N1277)=I1277,"✓","⚠ "&amp;SUM(J1277:N1277)&amp;" statt "&amp;I1277))</f>
        <v/>
      </c>
      <c r="P1277" s="21" t="n"/>
      <c r="Q1277" s="21" t="n"/>
      <c r="R1277" s="21" t="n"/>
      <c r="S1277" s="24" t="n"/>
      <c r="T1277" s="24" t="n"/>
      <c r="V1277">
        <f>IF(A1277="","",MONTH(A1277))</f>
        <v/>
      </c>
      <c r="W1277">
        <f>N(W1276)+IF(AND(C1277&lt;&gt;"",T1277&lt;&gt;""),IF(C1277=WOCHE!$B$3,1,0),0)</f>
        <v/>
      </c>
      <c r="X1277">
        <f>N(X1276)+IF(AND(V1277&lt;&gt;"",T1277&lt;&gt;""),IF(V1277=MONAT!$AZ$3,1,0),0)</f>
        <v/>
      </c>
    </row>
    <row r="1278">
      <c r="A1278" s="19" t="n"/>
      <c r="B1278" s="20">
        <f>IF(A1278="","",CHOOSE(WEEKDAY(A1278,2),"Mo","Di","Mi","Do","Fr","Sa","So"))</f>
        <v/>
      </c>
      <c r="C1278" s="20">
        <f>IF(A1278="","",INT((A1278-DATE(YEAR(A1278-WEEKDAY(A1278-1)+4),1,3)+WEEKDAY(DATE(YEAR(A1278-WEEKDAY(A1278-1)+4),1,3))+5)/7))</f>
        <v/>
      </c>
      <c r="D1278" s="21" t="n"/>
      <c r="E1278" s="22" t="n"/>
      <c r="F1278" s="23" t="n"/>
      <c r="G1278" s="23" t="n"/>
      <c r="H1278" s="23" t="n"/>
      <c r="I1278" s="20">
        <f>IF(COUNT(F1278:H1278)=0,"",SUM(F1278:H1278))</f>
        <v/>
      </c>
      <c r="J1278" s="23" t="n"/>
      <c r="K1278" s="23" t="n"/>
      <c r="L1278" s="23" t="n"/>
      <c r="M1278" s="23" t="n"/>
      <c r="N1278" s="23" t="n"/>
      <c r="O1278" s="20">
        <f>IF(OR(I1278="",COUNT(J1278:N1278)=0),"",IF(SUM(J1278:N1278)=I1278,"✓","⚠ "&amp;SUM(J1278:N1278)&amp;" statt "&amp;I1278))</f>
        <v/>
      </c>
      <c r="P1278" s="21" t="n"/>
      <c r="Q1278" s="21" t="n"/>
      <c r="R1278" s="21" t="n"/>
      <c r="S1278" s="24" t="n"/>
      <c r="T1278" s="24" t="n"/>
      <c r="V1278">
        <f>IF(A1278="","",MONTH(A1278))</f>
        <v/>
      </c>
      <c r="W1278">
        <f>N(W1277)+IF(AND(C1278&lt;&gt;"",T1278&lt;&gt;""),IF(C1278=WOCHE!$B$3,1,0),0)</f>
        <v/>
      </c>
      <c r="X1278">
        <f>N(X1277)+IF(AND(V1278&lt;&gt;"",T1278&lt;&gt;""),IF(V1278=MONAT!$AZ$3,1,0),0)</f>
        <v/>
      </c>
    </row>
    <row r="1279">
      <c r="A1279" s="19" t="n"/>
      <c r="B1279" s="20">
        <f>IF(A1279="","",CHOOSE(WEEKDAY(A1279,2),"Mo","Di","Mi","Do","Fr","Sa","So"))</f>
        <v/>
      </c>
      <c r="C1279" s="20">
        <f>IF(A1279="","",INT((A1279-DATE(YEAR(A1279-WEEKDAY(A1279-1)+4),1,3)+WEEKDAY(DATE(YEAR(A1279-WEEKDAY(A1279-1)+4),1,3))+5)/7))</f>
        <v/>
      </c>
      <c r="D1279" s="21" t="n"/>
      <c r="E1279" s="22" t="n"/>
      <c r="F1279" s="23" t="n"/>
      <c r="G1279" s="23" t="n"/>
      <c r="H1279" s="23" t="n"/>
      <c r="I1279" s="20">
        <f>IF(COUNT(F1279:H1279)=0,"",SUM(F1279:H1279))</f>
        <v/>
      </c>
      <c r="J1279" s="23" t="n"/>
      <c r="K1279" s="23" t="n"/>
      <c r="L1279" s="23" t="n"/>
      <c r="M1279" s="23" t="n"/>
      <c r="N1279" s="23" t="n"/>
      <c r="O1279" s="20">
        <f>IF(OR(I1279="",COUNT(J1279:N1279)=0),"",IF(SUM(J1279:N1279)=I1279,"✓","⚠ "&amp;SUM(J1279:N1279)&amp;" statt "&amp;I1279))</f>
        <v/>
      </c>
      <c r="P1279" s="21" t="n"/>
      <c r="Q1279" s="21" t="n"/>
      <c r="R1279" s="21" t="n"/>
      <c r="S1279" s="24" t="n"/>
      <c r="T1279" s="24" t="n"/>
      <c r="V1279">
        <f>IF(A1279="","",MONTH(A1279))</f>
        <v/>
      </c>
      <c r="W1279">
        <f>N(W1278)+IF(AND(C1279&lt;&gt;"",T1279&lt;&gt;""),IF(C1279=WOCHE!$B$3,1,0),0)</f>
        <v/>
      </c>
      <c r="X1279">
        <f>N(X1278)+IF(AND(V1279&lt;&gt;"",T1279&lt;&gt;""),IF(V1279=MONAT!$AZ$3,1,0),0)</f>
        <v/>
      </c>
    </row>
    <row r="1280">
      <c r="A1280" s="19" t="n"/>
      <c r="B1280" s="20">
        <f>IF(A1280="","",CHOOSE(WEEKDAY(A1280,2),"Mo","Di","Mi","Do","Fr","Sa","So"))</f>
        <v/>
      </c>
      <c r="C1280" s="20">
        <f>IF(A1280="","",INT((A1280-DATE(YEAR(A1280-WEEKDAY(A1280-1)+4),1,3)+WEEKDAY(DATE(YEAR(A1280-WEEKDAY(A1280-1)+4),1,3))+5)/7))</f>
        <v/>
      </c>
      <c r="D1280" s="21" t="n"/>
      <c r="E1280" s="22" t="n"/>
      <c r="F1280" s="23" t="n"/>
      <c r="G1280" s="23" t="n"/>
      <c r="H1280" s="23" t="n"/>
      <c r="I1280" s="20">
        <f>IF(COUNT(F1280:H1280)=0,"",SUM(F1280:H1280))</f>
        <v/>
      </c>
      <c r="J1280" s="23" t="n"/>
      <c r="K1280" s="23" t="n"/>
      <c r="L1280" s="23" t="n"/>
      <c r="M1280" s="23" t="n"/>
      <c r="N1280" s="23" t="n"/>
      <c r="O1280" s="20">
        <f>IF(OR(I1280="",COUNT(J1280:N1280)=0),"",IF(SUM(J1280:N1280)=I1280,"✓","⚠ "&amp;SUM(J1280:N1280)&amp;" statt "&amp;I1280))</f>
        <v/>
      </c>
      <c r="P1280" s="21" t="n"/>
      <c r="Q1280" s="21" t="n"/>
      <c r="R1280" s="21" t="n"/>
      <c r="S1280" s="24" t="n"/>
      <c r="T1280" s="24" t="n"/>
      <c r="V1280">
        <f>IF(A1280="","",MONTH(A1280))</f>
        <v/>
      </c>
      <c r="W1280">
        <f>N(W1279)+IF(AND(C1280&lt;&gt;"",T1280&lt;&gt;""),IF(C1280=WOCHE!$B$3,1,0),0)</f>
        <v/>
      </c>
      <c r="X1280">
        <f>N(X1279)+IF(AND(V1280&lt;&gt;"",T1280&lt;&gt;""),IF(V1280=MONAT!$AZ$3,1,0),0)</f>
        <v/>
      </c>
    </row>
    <row r="1281">
      <c r="A1281" s="19" t="n"/>
      <c r="B1281" s="20">
        <f>IF(A1281="","",CHOOSE(WEEKDAY(A1281,2),"Mo","Di","Mi","Do","Fr","Sa","So"))</f>
        <v/>
      </c>
      <c r="C1281" s="20">
        <f>IF(A1281="","",INT((A1281-DATE(YEAR(A1281-WEEKDAY(A1281-1)+4),1,3)+WEEKDAY(DATE(YEAR(A1281-WEEKDAY(A1281-1)+4),1,3))+5)/7))</f>
        <v/>
      </c>
      <c r="D1281" s="21" t="n"/>
      <c r="E1281" s="22" t="n"/>
      <c r="F1281" s="23" t="n"/>
      <c r="G1281" s="23" t="n"/>
      <c r="H1281" s="23" t="n"/>
      <c r="I1281" s="20">
        <f>IF(COUNT(F1281:H1281)=0,"",SUM(F1281:H1281))</f>
        <v/>
      </c>
      <c r="J1281" s="23" t="n"/>
      <c r="K1281" s="23" t="n"/>
      <c r="L1281" s="23" t="n"/>
      <c r="M1281" s="23" t="n"/>
      <c r="N1281" s="23" t="n"/>
      <c r="O1281" s="20">
        <f>IF(OR(I1281="",COUNT(J1281:N1281)=0),"",IF(SUM(J1281:N1281)=I1281,"✓","⚠ "&amp;SUM(J1281:N1281)&amp;" statt "&amp;I1281))</f>
        <v/>
      </c>
      <c r="P1281" s="21" t="n"/>
      <c r="Q1281" s="21" t="n"/>
      <c r="R1281" s="21" t="n"/>
      <c r="S1281" s="24" t="n"/>
      <c r="T1281" s="24" t="n"/>
      <c r="V1281">
        <f>IF(A1281="","",MONTH(A1281))</f>
        <v/>
      </c>
      <c r="W1281">
        <f>N(W1280)+IF(AND(C1281&lt;&gt;"",T1281&lt;&gt;""),IF(C1281=WOCHE!$B$3,1,0),0)</f>
        <v/>
      </c>
      <c r="X1281">
        <f>N(X1280)+IF(AND(V1281&lt;&gt;"",T1281&lt;&gt;""),IF(V1281=MONAT!$AZ$3,1,0),0)</f>
        <v/>
      </c>
    </row>
    <row r="1282">
      <c r="A1282" s="19" t="n"/>
      <c r="B1282" s="20">
        <f>IF(A1282="","",CHOOSE(WEEKDAY(A1282,2),"Mo","Di","Mi","Do","Fr","Sa","So"))</f>
        <v/>
      </c>
      <c r="C1282" s="20">
        <f>IF(A1282="","",INT((A1282-DATE(YEAR(A1282-WEEKDAY(A1282-1)+4),1,3)+WEEKDAY(DATE(YEAR(A1282-WEEKDAY(A1282-1)+4),1,3))+5)/7))</f>
        <v/>
      </c>
      <c r="D1282" s="21" t="n"/>
      <c r="E1282" s="22" t="n"/>
      <c r="F1282" s="23" t="n"/>
      <c r="G1282" s="23" t="n"/>
      <c r="H1282" s="23" t="n"/>
      <c r="I1282" s="20">
        <f>IF(COUNT(F1282:H1282)=0,"",SUM(F1282:H1282))</f>
        <v/>
      </c>
      <c r="J1282" s="23" t="n"/>
      <c r="K1282" s="23" t="n"/>
      <c r="L1282" s="23" t="n"/>
      <c r="M1282" s="23" t="n"/>
      <c r="N1282" s="23" t="n"/>
      <c r="O1282" s="20">
        <f>IF(OR(I1282="",COUNT(J1282:N1282)=0),"",IF(SUM(J1282:N1282)=I1282,"✓","⚠ "&amp;SUM(J1282:N1282)&amp;" statt "&amp;I1282))</f>
        <v/>
      </c>
      <c r="P1282" s="21" t="n"/>
      <c r="Q1282" s="21" t="n"/>
      <c r="R1282" s="21" t="n"/>
      <c r="S1282" s="24" t="n"/>
      <c r="T1282" s="24" t="n"/>
      <c r="V1282">
        <f>IF(A1282="","",MONTH(A1282))</f>
        <v/>
      </c>
      <c r="W1282">
        <f>N(W1281)+IF(AND(C1282&lt;&gt;"",T1282&lt;&gt;""),IF(C1282=WOCHE!$B$3,1,0),0)</f>
        <v/>
      </c>
      <c r="X1282">
        <f>N(X1281)+IF(AND(V1282&lt;&gt;"",T1282&lt;&gt;""),IF(V1282=MONAT!$AZ$3,1,0),0)</f>
        <v/>
      </c>
    </row>
    <row r="1283">
      <c r="A1283" s="19" t="n"/>
      <c r="B1283" s="20">
        <f>IF(A1283="","",CHOOSE(WEEKDAY(A1283,2),"Mo","Di","Mi","Do","Fr","Sa","So"))</f>
        <v/>
      </c>
      <c r="C1283" s="20">
        <f>IF(A1283="","",INT((A1283-DATE(YEAR(A1283-WEEKDAY(A1283-1)+4),1,3)+WEEKDAY(DATE(YEAR(A1283-WEEKDAY(A1283-1)+4),1,3))+5)/7))</f>
        <v/>
      </c>
      <c r="D1283" s="21" t="n"/>
      <c r="E1283" s="22" t="n"/>
      <c r="F1283" s="23" t="n"/>
      <c r="G1283" s="23" t="n"/>
      <c r="H1283" s="23" t="n"/>
      <c r="I1283" s="20">
        <f>IF(COUNT(F1283:H1283)=0,"",SUM(F1283:H1283))</f>
        <v/>
      </c>
      <c r="J1283" s="23" t="n"/>
      <c r="K1283" s="23" t="n"/>
      <c r="L1283" s="23" t="n"/>
      <c r="M1283" s="23" t="n"/>
      <c r="N1283" s="23" t="n"/>
      <c r="O1283" s="20">
        <f>IF(OR(I1283="",COUNT(J1283:N1283)=0),"",IF(SUM(J1283:N1283)=I1283,"✓","⚠ "&amp;SUM(J1283:N1283)&amp;" statt "&amp;I1283))</f>
        <v/>
      </c>
      <c r="P1283" s="21" t="n"/>
      <c r="Q1283" s="21" t="n"/>
      <c r="R1283" s="21" t="n"/>
      <c r="S1283" s="24" t="n"/>
      <c r="T1283" s="24" t="n"/>
      <c r="V1283">
        <f>IF(A1283="","",MONTH(A1283))</f>
        <v/>
      </c>
      <c r="W1283">
        <f>N(W1282)+IF(AND(C1283&lt;&gt;"",T1283&lt;&gt;""),IF(C1283=WOCHE!$B$3,1,0),0)</f>
        <v/>
      </c>
      <c r="X1283">
        <f>N(X1282)+IF(AND(V1283&lt;&gt;"",T1283&lt;&gt;""),IF(V1283=MONAT!$AZ$3,1,0),0)</f>
        <v/>
      </c>
    </row>
    <row r="1284">
      <c r="A1284" s="19" t="n"/>
      <c r="B1284" s="20">
        <f>IF(A1284="","",CHOOSE(WEEKDAY(A1284,2),"Mo","Di","Mi","Do","Fr","Sa","So"))</f>
        <v/>
      </c>
      <c r="C1284" s="20">
        <f>IF(A1284="","",INT((A1284-DATE(YEAR(A1284-WEEKDAY(A1284-1)+4),1,3)+WEEKDAY(DATE(YEAR(A1284-WEEKDAY(A1284-1)+4),1,3))+5)/7))</f>
        <v/>
      </c>
      <c r="D1284" s="21" t="n"/>
      <c r="E1284" s="22" t="n"/>
      <c r="F1284" s="23" t="n"/>
      <c r="G1284" s="23" t="n"/>
      <c r="H1284" s="23" t="n"/>
      <c r="I1284" s="20">
        <f>IF(COUNT(F1284:H1284)=0,"",SUM(F1284:H1284))</f>
        <v/>
      </c>
      <c r="J1284" s="23" t="n"/>
      <c r="K1284" s="23" t="n"/>
      <c r="L1284" s="23" t="n"/>
      <c r="M1284" s="23" t="n"/>
      <c r="N1284" s="23" t="n"/>
      <c r="O1284" s="20">
        <f>IF(OR(I1284="",COUNT(J1284:N1284)=0),"",IF(SUM(J1284:N1284)=I1284,"✓","⚠ "&amp;SUM(J1284:N1284)&amp;" statt "&amp;I1284))</f>
        <v/>
      </c>
      <c r="P1284" s="21" t="n"/>
      <c r="Q1284" s="21" t="n"/>
      <c r="R1284" s="21" t="n"/>
      <c r="S1284" s="24" t="n"/>
      <c r="T1284" s="24" t="n"/>
      <c r="V1284">
        <f>IF(A1284="","",MONTH(A1284))</f>
        <v/>
      </c>
      <c r="W1284">
        <f>N(W1283)+IF(AND(C1284&lt;&gt;"",T1284&lt;&gt;""),IF(C1284=WOCHE!$B$3,1,0),0)</f>
        <v/>
      </c>
      <c r="X1284">
        <f>N(X1283)+IF(AND(V1284&lt;&gt;"",T1284&lt;&gt;""),IF(V1284=MONAT!$AZ$3,1,0),0)</f>
        <v/>
      </c>
    </row>
    <row r="1285">
      <c r="A1285" s="19" t="n"/>
      <c r="B1285" s="20">
        <f>IF(A1285="","",CHOOSE(WEEKDAY(A1285,2),"Mo","Di","Mi","Do","Fr","Sa","So"))</f>
        <v/>
      </c>
      <c r="C1285" s="20">
        <f>IF(A1285="","",INT((A1285-DATE(YEAR(A1285-WEEKDAY(A1285-1)+4),1,3)+WEEKDAY(DATE(YEAR(A1285-WEEKDAY(A1285-1)+4),1,3))+5)/7))</f>
        <v/>
      </c>
      <c r="D1285" s="21" t="n"/>
      <c r="E1285" s="22" t="n"/>
      <c r="F1285" s="23" t="n"/>
      <c r="G1285" s="23" t="n"/>
      <c r="H1285" s="23" t="n"/>
      <c r="I1285" s="20">
        <f>IF(COUNT(F1285:H1285)=0,"",SUM(F1285:H1285))</f>
        <v/>
      </c>
      <c r="J1285" s="23" t="n"/>
      <c r="K1285" s="23" t="n"/>
      <c r="L1285" s="23" t="n"/>
      <c r="M1285" s="23" t="n"/>
      <c r="N1285" s="23" t="n"/>
      <c r="O1285" s="20">
        <f>IF(OR(I1285="",COUNT(J1285:N1285)=0),"",IF(SUM(J1285:N1285)=I1285,"✓","⚠ "&amp;SUM(J1285:N1285)&amp;" statt "&amp;I1285))</f>
        <v/>
      </c>
      <c r="P1285" s="21" t="n"/>
      <c r="Q1285" s="21" t="n"/>
      <c r="R1285" s="21" t="n"/>
      <c r="S1285" s="24" t="n"/>
      <c r="T1285" s="24" t="n"/>
      <c r="V1285">
        <f>IF(A1285="","",MONTH(A1285))</f>
        <v/>
      </c>
      <c r="W1285">
        <f>N(W1284)+IF(AND(C1285&lt;&gt;"",T1285&lt;&gt;""),IF(C1285=WOCHE!$B$3,1,0),0)</f>
        <v/>
      </c>
      <c r="X1285">
        <f>N(X1284)+IF(AND(V1285&lt;&gt;"",T1285&lt;&gt;""),IF(V1285=MONAT!$AZ$3,1,0),0)</f>
        <v/>
      </c>
    </row>
    <row r="1286">
      <c r="A1286" s="19" t="n"/>
      <c r="B1286" s="20">
        <f>IF(A1286="","",CHOOSE(WEEKDAY(A1286,2),"Mo","Di","Mi","Do","Fr","Sa","So"))</f>
        <v/>
      </c>
      <c r="C1286" s="20">
        <f>IF(A1286="","",INT((A1286-DATE(YEAR(A1286-WEEKDAY(A1286-1)+4),1,3)+WEEKDAY(DATE(YEAR(A1286-WEEKDAY(A1286-1)+4),1,3))+5)/7))</f>
        <v/>
      </c>
      <c r="D1286" s="21" t="n"/>
      <c r="E1286" s="22" t="n"/>
      <c r="F1286" s="23" t="n"/>
      <c r="G1286" s="23" t="n"/>
      <c r="H1286" s="23" t="n"/>
      <c r="I1286" s="20">
        <f>IF(COUNT(F1286:H1286)=0,"",SUM(F1286:H1286))</f>
        <v/>
      </c>
      <c r="J1286" s="23" t="n"/>
      <c r="K1286" s="23" t="n"/>
      <c r="L1286" s="23" t="n"/>
      <c r="M1286" s="23" t="n"/>
      <c r="N1286" s="23" t="n"/>
      <c r="O1286" s="20">
        <f>IF(OR(I1286="",COUNT(J1286:N1286)=0),"",IF(SUM(J1286:N1286)=I1286,"✓","⚠ "&amp;SUM(J1286:N1286)&amp;" statt "&amp;I1286))</f>
        <v/>
      </c>
      <c r="P1286" s="21" t="n"/>
      <c r="Q1286" s="21" t="n"/>
      <c r="R1286" s="21" t="n"/>
      <c r="S1286" s="24" t="n"/>
      <c r="T1286" s="24" t="n"/>
      <c r="V1286">
        <f>IF(A1286="","",MONTH(A1286))</f>
        <v/>
      </c>
      <c r="W1286">
        <f>N(W1285)+IF(AND(C1286&lt;&gt;"",T1286&lt;&gt;""),IF(C1286=WOCHE!$B$3,1,0),0)</f>
        <v/>
      </c>
      <c r="X1286">
        <f>N(X1285)+IF(AND(V1286&lt;&gt;"",T1286&lt;&gt;""),IF(V1286=MONAT!$AZ$3,1,0),0)</f>
        <v/>
      </c>
    </row>
    <row r="1287">
      <c r="A1287" s="19" t="n"/>
      <c r="B1287" s="20">
        <f>IF(A1287="","",CHOOSE(WEEKDAY(A1287,2),"Mo","Di","Mi","Do","Fr","Sa","So"))</f>
        <v/>
      </c>
      <c r="C1287" s="20">
        <f>IF(A1287="","",INT((A1287-DATE(YEAR(A1287-WEEKDAY(A1287-1)+4),1,3)+WEEKDAY(DATE(YEAR(A1287-WEEKDAY(A1287-1)+4),1,3))+5)/7))</f>
        <v/>
      </c>
      <c r="D1287" s="21" t="n"/>
      <c r="E1287" s="22" t="n"/>
      <c r="F1287" s="23" t="n"/>
      <c r="G1287" s="23" t="n"/>
      <c r="H1287" s="23" t="n"/>
      <c r="I1287" s="20">
        <f>IF(COUNT(F1287:H1287)=0,"",SUM(F1287:H1287))</f>
        <v/>
      </c>
      <c r="J1287" s="23" t="n"/>
      <c r="K1287" s="23" t="n"/>
      <c r="L1287" s="23" t="n"/>
      <c r="M1287" s="23" t="n"/>
      <c r="N1287" s="23" t="n"/>
      <c r="O1287" s="20">
        <f>IF(OR(I1287="",COUNT(J1287:N1287)=0),"",IF(SUM(J1287:N1287)=I1287,"✓","⚠ "&amp;SUM(J1287:N1287)&amp;" statt "&amp;I1287))</f>
        <v/>
      </c>
      <c r="P1287" s="21" t="n"/>
      <c r="Q1287" s="21" t="n"/>
      <c r="R1287" s="21" t="n"/>
      <c r="S1287" s="24" t="n"/>
      <c r="T1287" s="24" t="n"/>
      <c r="V1287">
        <f>IF(A1287="","",MONTH(A1287))</f>
        <v/>
      </c>
      <c r="W1287">
        <f>N(W1286)+IF(AND(C1287&lt;&gt;"",T1287&lt;&gt;""),IF(C1287=WOCHE!$B$3,1,0),0)</f>
        <v/>
      </c>
      <c r="X1287">
        <f>N(X1286)+IF(AND(V1287&lt;&gt;"",T1287&lt;&gt;""),IF(V1287=MONAT!$AZ$3,1,0),0)</f>
        <v/>
      </c>
    </row>
    <row r="1288">
      <c r="A1288" s="19" t="n"/>
      <c r="B1288" s="20">
        <f>IF(A1288="","",CHOOSE(WEEKDAY(A1288,2),"Mo","Di","Mi","Do","Fr","Sa","So"))</f>
        <v/>
      </c>
      <c r="C1288" s="20">
        <f>IF(A1288="","",INT((A1288-DATE(YEAR(A1288-WEEKDAY(A1288-1)+4),1,3)+WEEKDAY(DATE(YEAR(A1288-WEEKDAY(A1288-1)+4),1,3))+5)/7))</f>
        <v/>
      </c>
      <c r="D1288" s="21" t="n"/>
      <c r="E1288" s="22" t="n"/>
      <c r="F1288" s="23" t="n"/>
      <c r="G1288" s="23" t="n"/>
      <c r="H1288" s="23" t="n"/>
      <c r="I1288" s="20">
        <f>IF(COUNT(F1288:H1288)=0,"",SUM(F1288:H1288))</f>
        <v/>
      </c>
      <c r="J1288" s="23" t="n"/>
      <c r="K1288" s="23" t="n"/>
      <c r="L1288" s="23" t="n"/>
      <c r="M1288" s="23" t="n"/>
      <c r="N1288" s="23" t="n"/>
      <c r="O1288" s="20">
        <f>IF(OR(I1288="",COUNT(J1288:N1288)=0),"",IF(SUM(J1288:N1288)=I1288,"✓","⚠ "&amp;SUM(J1288:N1288)&amp;" statt "&amp;I1288))</f>
        <v/>
      </c>
      <c r="P1288" s="21" t="n"/>
      <c r="Q1288" s="21" t="n"/>
      <c r="R1288" s="21" t="n"/>
      <c r="S1288" s="24" t="n"/>
      <c r="T1288" s="24" t="n"/>
      <c r="V1288">
        <f>IF(A1288="","",MONTH(A1288))</f>
        <v/>
      </c>
      <c r="W1288">
        <f>N(W1287)+IF(AND(C1288&lt;&gt;"",T1288&lt;&gt;""),IF(C1288=WOCHE!$B$3,1,0),0)</f>
        <v/>
      </c>
      <c r="X1288">
        <f>N(X1287)+IF(AND(V1288&lt;&gt;"",T1288&lt;&gt;""),IF(V1288=MONAT!$AZ$3,1,0),0)</f>
        <v/>
      </c>
    </row>
    <row r="1289">
      <c r="A1289" s="19" t="n"/>
      <c r="B1289" s="20">
        <f>IF(A1289="","",CHOOSE(WEEKDAY(A1289,2),"Mo","Di","Mi","Do","Fr","Sa","So"))</f>
        <v/>
      </c>
      <c r="C1289" s="20">
        <f>IF(A1289="","",INT((A1289-DATE(YEAR(A1289-WEEKDAY(A1289-1)+4),1,3)+WEEKDAY(DATE(YEAR(A1289-WEEKDAY(A1289-1)+4),1,3))+5)/7))</f>
        <v/>
      </c>
      <c r="D1289" s="21" t="n"/>
      <c r="E1289" s="22" t="n"/>
      <c r="F1289" s="23" t="n"/>
      <c r="G1289" s="23" t="n"/>
      <c r="H1289" s="23" t="n"/>
      <c r="I1289" s="20">
        <f>IF(COUNT(F1289:H1289)=0,"",SUM(F1289:H1289))</f>
        <v/>
      </c>
      <c r="J1289" s="23" t="n"/>
      <c r="K1289" s="23" t="n"/>
      <c r="L1289" s="23" t="n"/>
      <c r="M1289" s="23" t="n"/>
      <c r="N1289" s="23" t="n"/>
      <c r="O1289" s="20">
        <f>IF(OR(I1289="",COUNT(J1289:N1289)=0),"",IF(SUM(J1289:N1289)=I1289,"✓","⚠ "&amp;SUM(J1289:N1289)&amp;" statt "&amp;I1289))</f>
        <v/>
      </c>
      <c r="P1289" s="21" t="n"/>
      <c r="Q1289" s="21" t="n"/>
      <c r="R1289" s="21" t="n"/>
      <c r="S1289" s="24" t="n"/>
      <c r="T1289" s="24" t="n"/>
      <c r="V1289">
        <f>IF(A1289="","",MONTH(A1289))</f>
        <v/>
      </c>
      <c r="W1289">
        <f>N(W1288)+IF(AND(C1289&lt;&gt;"",T1289&lt;&gt;""),IF(C1289=WOCHE!$B$3,1,0),0)</f>
        <v/>
      </c>
      <c r="X1289">
        <f>N(X1288)+IF(AND(V1289&lt;&gt;"",T1289&lt;&gt;""),IF(V1289=MONAT!$AZ$3,1,0),0)</f>
        <v/>
      </c>
    </row>
    <row r="1290">
      <c r="A1290" s="19" t="n"/>
      <c r="B1290" s="20">
        <f>IF(A1290="","",CHOOSE(WEEKDAY(A1290,2),"Mo","Di","Mi","Do","Fr","Sa","So"))</f>
        <v/>
      </c>
      <c r="C1290" s="20">
        <f>IF(A1290="","",INT((A1290-DATE(YEAR(A1290-WEEKDAY(A1290-1)+4),1,3)+WEEKDAY(DATE(YEAR(A1290-WEEKDAY(A1290-1)+4),1,3))+5)/7))</f>
        <v/>
      </c>
      <c r="D1290" s="21" t="n"/>
      <c r="E1290" s="22" t="n"/>
      <c r="F1290" s="23" t="n"/>
      <c r="G1290" s="23" t="n"/>
      <c r="H1290" s="23" t="n"/>
      <c r="I1290" s="20">
        <f>IF(COUNT(F1290:H1290)=0,"",SUM(F1290:H1290))</f>
        <v/>
      </c>
      <c r="J1290" s="23" t="n"/>
      <c r="K1290" s="23" t="n"/>
      <c r="L1290" s="23" t="n"/>
      <c r="M1290" s="23" t="n"/>
      <c r="N1290" s="23" t="n"/>
      <c r="O1290" s="20">
        <f>IF(OR(I1290="",COUNT(J1290:N1290)=0),"",IF(SUM(J1290:N1290)=I1290,"✓","⚠ "&amp;SUM(J1290:N1290)&amp;" statt "&amp;I1290))</f>
        <v/>
      </c>
      <c r="P1290" s="21" t="n"/>
      <c r="Q1290" s="21" t="n"/>
      <c r="R1290" s="21" t="n"/>
      <c r="S1290" s="24" t="n"/>
      <c r="T1290" s="24" t="n"/>
      <c r="V1290">
        <f>IF(A1290="","",MONTH(A1290))</f>
        <v/>
      </c>
      <c r="W1290">
        <f>N(W1289)+IF(AND(C1290&lt;&gt;"",T1290&lt;&gt;""),IF(C1290=WOCHE!$B$3,1,0),0)</f>
        <v/>
      </c>
      <c r="X1290">
        <f>N(X1289)+IF(AND(V1290&lt;&gt;"",T1290&lt;&gt;""),IF(V1290=MONAT!$AZ$3,1,0),0)</f>
        <v/>
      </c>
    </row>
    <row r="1291">
      <c r="A1291" s="19" t="n"/>
      <c r="B1291" s="20">
        <f>IF(A1291="","",CHOOSE(WEEKDAY(A1291,2),"Mo","Di","Mi","Do","Fr","Sa","So"))</f>
        <v/>
      </c>
      <c r="C1291" s="20">
        <f>IF(A1291="","",INT((A1291-DATE(YEAR(A1291-WEEKDAY(A1291-1)+4),1,3)+WEEKDAY(DATE(YEAR(A1291-WEEKDAY(A1291-1)+4),1,3))+5)/7))</f>
        <v/>
      </c>
      <c r="D1291" s="21" t="n"/>
      <c r="E1291" s="22" t="n"/>
      <c r="F1291" s="23" t="n"/>
      <c r="G1291" s="23" t="n"/>
      <c r="H1291" s="23" t="n"/>
      <c r="I1291" s="20">
        <f>IF(COUNT(F1291:H1291)=0,"",SUM(F1291:H1291))</f>
        <v/>
      </c>
      <c r="J1291" s="23" t="n"/>
      <c r="K1291" s="23" t="n"/>
      <c r="L1291" s="23" t="n"/>
      <c r="M1291" s="23" t="n"/>
      <c r="N1291" s="23" t="n"/>
      <c r="O1291" s="20">
        <f>IF(OR(I1291="",COUNT(J1291:N1291)=0),"",IF(SUM(J1291:N1291)=I1291,"✓","⚠ "&amp;SUM(J1291:N1291)&amp;" statt "&amp;I1291))</f>
        <v/>
      </c>
      <c r="P1291" s="21" t="n"/>
      <c r="Q1291" s="21" t="n"/>
      <c r="R1291" s="21" t="n"/>
      <c r="S1291" s="24" t="n"/>
      <c r="T1291" s="24" t="n"/>
      <c r="V1291">
        <f>IF(A1291="","",MONTH(A1291))</f>
        <v/>
      </c>
      <c r="W1291">
        <f>N(W1290)+IF(AND(C1291&lt;&gt;"",T1291&lt;&gt;""),IF(C1291=WOCHE!$B$3,1,0),0)</f>
        <v/>
      </c>
      <c r="X1291">
        <f>N(X1290)+IF(AND(V1291&lt;&gt;"",T1291&lt;&gt;""),IF(V1291=MONAT!$AZ$3,1,0),0)</f>
        <v/>
      </c>
    </row>
    <row r="1292">
      <c r="A1292" s="19" t="n"/>
      <c r="B1292" s="20">
        <f>IF(A1292="","",CHOOSE(WEEKDAY(A1292,2),"Mo","Di","Mi","Do","Fr","Sa","So"))</f>
        <v/>
      </c>
      <c r="C1292" s="20">
        <f>IF(A1292="","",INT((A1292-DATE(YEAR(A1292-WEEKDAY(A1292-1)+4),1,3)+WEEKDAY(DATE(YEAR(A1292-WEEKDAY(A1292-1)+4),1,3))+5)/7))</f>
        <v/>
      </c>
      <c r="D1292" s="21" t="n"/>
      <c r="E1292" s="22" t="n"/>
      <c r="F1292" s="23" t="n"/>
      <c r="G1292" s="23" t="n"/>
      <c r="H1292" s="23" t="n"/>
      <c r="I1292" s="20">
        <f>IF(COUNT(F1292:H1292)=0,"",SUM(F1292:H1292))</f>
        <v/>
      </c>
      <c r="J1292" s="23" t="n"/>
      <c r="K1292" s="23" t="n"/>
      <c r="L1292" s="23" t="n"/>
      <c r="M1292" s="23" t="n"/>
      <c r="N1292" s="23" t="n"/>
      <c r="O1292" s="20">
        <f>IF(OR(I1292="",COUNT(J1292:N1292)=0),"",IF(SUM(J1292:N1292)=I1292,"✓","⚠ "&amp;SUM(J1292:N1292)&amp;" statt "&amp;I1292))</f>
        <v/>
      </c>
      <c r="P1292" s="21" t="n"/>
      <c r="Q1292" s="21" t="n"/>
      <c r="R1292" s="21" t="n"/>
      <c r="S1292" s="24" t="n"/>
      <c r="T1292" s="24" t="n"/>
      <c r="V1292">
        <f>IF(A1292="","",MONTH(A1292))</f>
        <v/>
      </c>
      <c r="W1292">
        <f>N(W1291)+IF(AND(C1292&lt;&gt;"",T1292&lt;&gt;""),IF(C1292=WOCHE!$B$3,1,0),0)</f>
        <v/>
      </c>
      <c r="X1292">
        <f>N(X1291)+IF(AND(V1292&lt;&gt;"",T1292&lt;&gt;""),IF(V1292=MONAT!$AZ$3,1,0),0)</f>
        <v/>
      </c>
    </row>
    <row r="1293">
      <c r="A1293" s="19" t="n"/>
      <c r="B1293" s="20">
        <f>IF(A1293="","",CHOOSE(WEEKDAY(A1293,2),"Mo","Di","Mi","Do","Fr","Sa","So"))</f>
        <v/>
      </c>
      <c r="C1293" s="20">
        <f>IF(A1293="","",INT((A1293-DATE(YEAR(A1293-WEEKDAY(A1293-1)+4),1,3)+WEEKDAY(DATE(YEAR(A1293-WEEKDAY(A1293-1)+4),1,3))+5)/7))</f>
        <v/>
      </c>
      <c r="D1293" s="21" t="n"/>
      <c r="E1293" s="22" t="n"/>
      <c r="F1293" s="23" t="n"/>
      <c r="G1293" s="23" t="n"/>
      <c r="H1293" s="23" t="n"/>
      <c r="I1293" s="20">
        <f>IF(COUNT(F1293:H1293)=0,"",SUM(F1293:H1293))</f>
        <v/>
      </c>
      <c r="J1293" s="23" t="n"/>
      <c r="K1293" s="23" t="n"/>
      <c r="L1293" s="23" t="n"/>
      <c r="M1293" s="23" t="n"/>
      <c r="N1293" s="23" t="n"/>
      <c r="O1293" s="20">
        <f>IF(OR(I1293="",COUNT(J1293:N1293)=0),"",IF(SUM(J1293:N1293)=I1293,"✓","⚠ "&amp;SUM(J1293:N1293)&amp;" statt "&amp;I1293))</f>
        <v/>
      </c>
      <c r="P1293" s="21" t="n"/>
      <c r="Q1293" s="21" t="n"/>
      <c r="R1293" s="21" t="n"/>
      <c r="S1293" s="24" t="n"/>
      <c r="T1293" s="24" t="n"/>
      <c r="V1293">
        <f>IF(A1293="","",MONTH(A1293))</f>
        <v/>
      </c>
      <c r="W1293">
        <f>N(W1292)+IF(AND(C1293&lt;&gt;"",T1293&lt;&gt;""),IF(C1293=WOCHE!$B$3,1,0),0)</f>
        <v/>
      </c>
      <c r="X1293">
        <f>N(X1292)+IF(AND(V1293&lt;&gt;"",T1293&lt;&gt;""),IF(V1293=MONAT!$AZ$3,1,0),0)</f>
        <v/>
      </c>
    </row>
    <row r="1294">
      <c r="A1294" s="19" t="n"/>
      <c r="B1294" s="20">
        <f>IF(A1294="","",CHOOSE(WEEKDAY(A1294,2),"Mo","Di","Mi","Do","Fr","Sa","So"))</f>
        <v/>
      </c>
      <c r="C1294" s="20">
        <f>IF(A1294="","",INT((A1294-DATE(YEAR(A1294-WEEKDAY(A1294-1)+4),1,3)+WEEKDAY(DATE(YEAR(A1294-WEEKDAY(A1294-1)+4),1,3))+5)/7))</f>
        <v/>
      </c>
      <c r="D1294" s="21" t="n"/>
      <c r="E1294" s="22" t="n"/>
      <c r="F1294" s="23" t="n"/>
      <c r="G1294" s="23" t="n"/>
      <c r="H1294" s="23" t="n"/>
      <c r="I1294" s="20">
        <f>IF(COUNT(F1294:H1294)=0,"",SUM(F1294:H1294))</f>
        <v/>
      </c>
      <c r="J1294" s="23" t="n"/>
      <c r="K1294" s="23" t="n"/>
      <c r="L1294" s="23" t="n"/>
      <c r="M1294" s="23" t="n"/>
      <c r="N1294" s="23" t="n"/>
      <c r="O1294" s="20">
        <f>IF(OR(I1294="",COUNT(J1294:N1294)=0),"",IF(SUM(J1294:N1294)=I1294,"✓","⚠ "&amp;SUM(J1294:N1294)&amp;" statt "&amp;I1294))</f>
        <v/>
      </c>
      <c r="P1294" s="21" t="n"/>
      <c r="Q1294" s="21" t="n"/>
      <c r="R1294" s="21" t="n"/>
      <c r="S1294" s="24" t="n"/>
      <c r="T1294" s="24" t="n"/>
      <c r="V1294">
        <f>IF(A1294="","",MONTH(A1294))</f>
        <v/>
      </c>
      <c r="W1294">
        <f>N(W1293)+IF(AND(C1294&lt;&gt;"",T1294&lt;&gt;""),IF(C1294=WOCHE!$B$3,1,0),0)</f>
        <v/>
      </c>
      <c r="X1294">
        <f>N(X1293)+IF(AND(V1294&lt;&gt;"",T1294&lt;&gt;""),IF(V1294=MONAT!$AZ$3,1,0),0)</f>
        <v/>
      </c>
    </row>
    <row r="1295">
      <c r="A1295" s="19" t="n"/>
      <c r="B1295" s="20">
        <f>IF(A1295="","",CHOOSE(WEEKDAY(A1295,2),"Mo","Di","Mi","Do","Fr","Sa","So"))</f>
        <v/>
      </c>
      <c r="C1295" s="20">
        <f>IF(A1295="","",INT((A1295-DATE(YEAR(A1295-WEEKDAY(A1295-1)+4),1,3)+WEEKDAY(DATE(YEAR(A1295-WEEKDAY(A1295-1)+4),1,3))+5)/7))</f>
        <v/>
      </c>
      <c r="D1295" s="21" t="n"/>
      <c r="E1295" s="22" t="n"/>
      <c r="F1295" s="23" t="n"/>
      <c r="G1295" s="23" t="n"/>
      <c r="H1295" s="23" t="n"/>
      <c r="I1295" s="20">
        <f>IF(COUNT(F1295:H1295)=0,"",SUM(F1295:H1295))</f>
        <v/>
      </c>
      <c r="J1295" s="23" t="n"/>
      <c r="K1295" s="23" t="n"/>
      <c r="L1295" s="23" t="n"/>
      <c r="M1295" s="23" t="n"/>
      <c r="N1295" s="23" t="n"/>
      <c r="O1295" s="20">
        <f>IF(OR(I1295="",COUNT(J1295:N1295)=0),"",IF(SUM(J1295:N1295)=I1295,"✓","⚠ "&amp;SUM(J1295:N1295)&amp;" statt "&amp;I1295))</f>
        <v/>
      </c>
      <c r="P1295" s="21" t="n"/>
      <c r="Q1295" s="21" t="n"/>
      <c r="R1295" s="21" t="n"/>
      <c r="S1295" s="24" t="n"/>
      <c r="T1295" s="24" t="n"/>
      <c r="V1295">
        <f>IF(A1295="","",MONTH(A1295))</f>
        <v/>
      </c>
      <c r="W1295">
        <f>N(W1294)+IF(AND(C1295&lt;&gt;"",T1295&lt;&gt;""),IF(C1295=WOCHE!$B$3,1,0),0)</f>
        <v/>
      </c>
      <c r="X1295">
        <f>N(X1294)+IF(AND(V1295&lt;&gt;"",T1295&lt;&gt;""),IF(V1295=MONAT!$AZ$3,1,0),0)</f>
        <v/>
      </c>
    </row>
    <row r="1296">
      <c r="A1296" s="19" t="n"/>
      <c r="B1296" s="20">
        <f>IF(A1296="","",CHOOSE(WEEKDAY(A1296,2),"Mo","Di","Mi","Do","Fr","Sa","So"))</f>
        <v/>
      </c>
      <c r="C1296" s="20">
        <f>IF(A1296="","",INT((A1296-DATE(YEAR(A1296-WEEKDAY(A1296-1)+4),1,3)+WEEKDAY(DATE(YEAR(A1296-WEEKDAY(A1296-1)+4),1,3))+5)/7))</f>
        <v/>
      </c>
      <c r="D1296" s="21" t="n"/>
      <c r="E1296" s="22" t="n"/>
      <c r="F1296" s="23" t="n"/>
      <c r="G1296" s="23" t="n"/>
      <c r="H1296" s="23" t="n"/>
      <c r="I1296" s="20">
        <f>IF(COUNT(F1296:H1296)=0,"",SUM(F1296:H1296))</f>
        <v/>
      </c>
      <c r="J1296" s="23" t="n"/>
      <c r="K1296" s="23" t="n"/>
      <c r="L1296" s="23" t="n"/>
      <c r="M1296" s="23" t="n"/>
      <c r="N1296" s="23" t="n"/>
      <c r="O1296" s="20">
        <f>IF(OR(I1296="",COUNT(J1296:N1296)=0),"",IF(SUM(J1296:N1296)=I1296,"✓","⚠ "&amp;SUM(J1296:N1296)&amp;" statt "&amp;I1296))</f>
        <v/>
      </c>
      <c r="P1296" s="21" t="n"/>
      <c r="Q1296" s="21" t="n"/>
      <c r="R1296" s="21" t="n"/>
      <c r="S1296" s="24" t="n"/>
      <c r="T1296" s="24" t="n"/>
      <c r="V1296">
        <f>IF(A1296="","",MONTH(A1296))</f>
        <v/>
      </c>
      <c r="W1296">
        <f>N(W1295)+IF(AND(C1296&lt;&gt;"",T1296&lt;&gt;""),IF(C1296=WOCHE!$B$3,1,0),0)</f>
        <v/>
      </c>
      <c r="X1296">
        <f>N(X1295)+IF(AND(V1296&lt;&gt;"",T1296&lt;&gt;""),IF(V1296=MONAT!$AZ$3,1,0),0)</f>
        <v/>
      </c>
    </row>
    <row r="1297">
      <c r="A1297" s="19" t="n"/>
      <c r="B1297" s="20">
        <f>IF(A1297="","",CHOOSE(WEEKDAY(A1297,2),"Mo","Di","Mi","Do","Fr","Sa","So"))</f>
        <v/>
      </c>
      <c r="C1297" s="20">
        <f>IF(A1297="","",INT((A1297-DATE(YEAR(A1297-WEEKDAY(A1297-1)+4),1,3)+WEEKDAY(DATE(YEAR(A1297-WEEKDAY(A1297-1)+4),1,3))+5)/7))</f>
        <v/>
      </c>
      <c r="D1297" s="21" t="n"/>
      <c r="E1297" s="22" t="n"/>
      <c r="F1297" s="23" t="n"/>
      <c r="G1297" s="23" t="n"/>
      <c r="H1297" s="23" t="n"/>
      <c r="I1297" s="20">
        <f>IF(COUNT(F1297:H1297)=0,"",SUM(F1297:H1297))</f>
        <v/>
      </c>
      <c r="J1297" s="23" t="n"/>
      <c r="K1297" s="23" t="n"/>
      <c r="L1297" s="23" t="n"/>
      <c r="M1297" s="23" t="n"/>
      <c r="N1297" s="23" t="n"/>
      <c r="O1297" s="20">
        <f>IF(OR(I1297="",COUNT(J1297:N1297)=0),"",IF(SUM(J1297:N1297)=I1297,"✓","⚠ "&amp;SUM(J1297:N1297)&amp;" statt "&amp;I1297))</f>
        <v/>
      </c>
      <c r="P1297" s="21" t="n"/>
      <c r="Q1297" s="21" t="n"/>
      <c r="R1297" s="21" t="n"/>
      <c r="S1297" s="24" t="n"/>
      <c r="T1297" s="24" t="n"/>
      <c r="V1297">
        <f>IF(A1297="","",MONTH(A1297))</f>
        <v/>
      </c>
      <c r="W1297">
        <f>N(W1296)+IF(AND(C1297&lt;&gt;"",T1297&lt;&gt;""),IF(C1297=WOCHE!$B$3,1,0),0)</f>
        <v/>
      </c>
      <c r="X1297">
        <f>N(X1296)+IF(AND(V1297&lt;&gt;"",T1297&lt;&gt;""),IF(V1297=MONAT!$AZ$3,1,0),0)</f>
        <v/>
      </c>
    </row>
    <row r="1298">
      <c r="A1298" s="19" t="n"/>
      <c r="B1298" s="20">
        <f>IF(A1298="","",CHOOSE(WEEKDAY(A1298,2),"Mo","Di","Mi","Do","Fr","Sa","So"))</f>
        <v/>
      </c>
      <c r="C1298" s="20">
        <f>IF(A1298="","",INT((A1298-DATE(YEAR(A1298-WEEKDAY(A1298-1)+4),1,3)+WEEKDAY(DATE(YEAR(A1298-WEEKDAY(A1298-1)+4),1,3))+5)/7))</f>
        <v/>
      </c>
      <c r="D1298" s="21" t="n"/>
      <c r="E1298" s="22" t="n"/>
      <c r="F1298" s="23" t="n"/>
      <c r="G1298" s="23" t="n"/>
      <c r="H1298" s="23" t="n"/>
      <c r="I1298" s="20">
        <f>IF(COUNT(F1298:H1298)=0,"",SUM(F1298:H1298))</f>
        <v/>
      </c>
      <c r="J1298" s="23" t="n"/>
      <c r="K1298" s="23" t="n"/>
      <c r="L1298" s="23" t="n"/>
      <c r="M1298" s="23" t="n"/>
      <c r="N1298" s="23" t="n"/>
      <c r="O1298" s="20">
        <f>IF(OR(I1298="",COUNT(J1298:N1298)=0),"",IF(SUM(J1298:N1298)=I1298,"✓","⚠ "&amp;SUM(J1298:N1298)&amp;" statt "&amp;I1298))</f>
        <v/>
      </c>
      <c r="P1298" s="21" t="n"/>
      <c r="Q1298" s="21" t="n"/>
      <c r="R1298" s="21" t="n"/>
      <c r="S1298" s="24" t="n"/>
      <c r="T1298" s="24" t="n"/>
      <c r="V1298">
        <f>IF(A1298="","",MONTH(A1298))</f>
        <v/>
      </c>
      <c r="W1298">
        <f>N(W1297)+IF(AND(C1298&lt;&gt;"",T1298&lt;&gt;""),IF(C1298=WOCHE!$B$3,1,0),0)</f>
        <v/>
      </c>
      <c r="X1298">
        <f>N(X1297)+IF(AND(V1298&lt;&gt;"",T1298&lt;&gt;""),IF(V1298=MONAT!$AZ$3,1,0),0)</f>
        <v/>
      </c>
    </row>
    <row r="1299">
      <c r="A1299" s="19" t="n"/>
      <c r="B1299" s="20">
        <f>IF(A1299="","",CHOOSE(WEEKDAY(A1299,2),"Mo","Di","Mi","Do","Fr","Sa","So"))</f>
        <v/>
      </c>
      <c r="C1299" s="20">
        <f>IF(A1299="","",INT((A1299-DATE(YEAR(A1299-WEEKDAY(A1299-1)+4),1,3)+WEEKDAY(DATE(YEAR(A1299-WEEKDAY(A1299-1)+4),1,3))+5)/7))</f>
        <v/>
      </c>
      <c r="D1299" s="21" t="n"/>
      <c r="E1299" s="22" t="n"/>
      <c r="F1299" s="23" t="n"/>
      <c r="G1299" s="23" t="n"/>
      <c r="H1299" s="23" t="n"/>
      <c r="I1299" s="20">
        <f>IF(COUNT(F1299:H1299)=0,"",SUM(F1299:H1299))</f>
        <v/>
      </c>
      <c r="J1299" s="23" t="n"/>
      <c r="K1299" s="23" t="n"/>
      <c r="L1299" s="23" t="n"/>
      <c r="M1299" s="23" t="n"/>
      <c r="N1299" s="23" t="n"/>
      <c r="O1299" s="20">
        <f>IF(OR(I1299="",COUNT(J1299:N1299)=0),"",IF(SUM(J1299:N1299)=I1299,"✓","⚠ "&amp;SUM(J1299:N1299)&amp;" statt "&amp;I1299))</f>
        <v/>
      </c>
      <c r="P1299" s="21" t="n"/>
      <c r="Q1299" s="21" t="n"/>
      <c r="R1299" s="21" t="n"/>
      <c r="S1299" s="24" t="n"/>
      <c r="T1299" s="24" t="n"/>
      <c r="V1299">
        <f>IF(A1299="","",MONTH(A1299))</f>
        <v/>
      </c>
      <c r="W1299">
        <f>N(W1298)+IF(AND(C1299&lt;&gt;"",T1299&lt;&gt;""),IF(C1299=WOCHE!$B$3,1,0),0)</f>
        <v/>
      </c>
      <c r="X1299">
        <f>N(X1298)+IF(AND(V1299&lt;&gt;"",T1299&lt;&gt;""),IF(V1299=MONAT!$AZ$3,1,0),0)</f>
        <v/>
      </c>
    </row>
    <row r="1300">
      <c r="A1300" s="19" t="n"/>
      <c r="B1300" s="20">
        <f>IF(A1300="","",CHOOSE(WEEKDAY(A1300,2),"Mo","Di","Mi","Do","Fr","Sa","So"))</f>
        <v/>
      </c>
      <c r="C1300" s="20">
        <f>IF(A1300="","",INT((A1300-DATE(YEAR(A1300-WEEKDAY(A1300-1)+4),1,3)+WEEKDAY(DATE(YEAR(A1300-WEEKDAY(A1300-1)+4),1,3))+5)/7))</f>
        <v/>
      </c>
      <c r="D1300" s="21" t="n"/>
      <c r="E1300" s="22" t="n"/>
      <c r="F1300" s="23" t="n"/>
      <c r="G1300" s="23" t="n"/>
      <c r="H1300" s="23" t="n"/>
      <c r="I1300" s="20">
        <f>IF(COUNT(F1300:H1300)=0,"",SUM(F1300:H1300))</f>
        <v/>
      </c>
      <c r="J1300" s="23" t="n"/>
      <c r="K1300" s="23" t="n"/>
      <c r="L1300" s="23" t="n"/>
      <c r="M1300" s="23" t="n"/>
      <c r="N1300" s="23" t="n"/>
      <c r="O1300" s="20">
        <f>IF(OR(I1300="",COUNT(J1300:N1300)=0),"",IF(SUM(J1300:N1300)=I1300,"✓","⚠ "&amp;SUM(J1300:N1300)&amp;" statt "&amp;I1300))</f>
        <v/>
      </c>
      <c r="P1300" s="21" t="n"/>
      <c r="Q1300" s="21" t="n"/>
      <c r="R1300" s="21" t="n"/>
      <c r="S1300" s="24" t="n"/>
      <c r="T1300" s="24" t="n"/>
      <c r="V1300">
        <f>IF(A1300="","",MONTH(A1300))</f>
        <v/>
      </c>
      <c r="W1300">
        <f>N(W1299)+IF(AND(C1300&lt;&gt;"",T1300&lt;&gt;""),IF(C1300=WOCHE!$B$3,1,0),0)</f>
        <v/>
      </c>
      <c r="X1300">
        <f>N(X1299)+IF(AND(V1300&lt;&gt;"",T1300&lt;&gt;""),IF(V1300=MONAT!$AZ$3,1,0),0)</f>
        <v/>
      </c>
    </row>
    <row r="1301">
      <c r="A1301" s="19" t="n"/>
      <c r="B1301" s="20">
        <f>IF(A1301="","",CHOOSE(WEEKDAY(A1301,2),"Mo","Di","Mi","Do","Fr","Sa","So"))</f>
        <v/>
      </c>
      <c r="C1301" s="20">
        <f>IF(A1301="","",INT((A1301-DATE(YEAR(A1301-WEEKDAY(A1301-1)+4),1,3)+WEEKDAY(DATE(YEAR(A1301-WEEKDAY(A1301-1)+4),1,3))+5)/7))</f>
        <v/>
      </c>
      <c r="D1301" s="21" t="n"/>
      <c r="E1301" s="22" t="n"/>
      <c r="F1301" s="23" t="n"/>
      <c r="G1301" s="23" t="n"/>
      <c r="H1301" s="23" t="n"/>
      <c r="I1301" s="20">
        <f>IF(COUNT(F1301:H1301)=0,"",SUM(F1301:H1301))</f>
        <v/>
      </c>
      <c r="J1301" s="23" t="n"/>
      <c r="K1301" s="23" t="n"/>
      <c r="L1301" s="23" t="n"/>
      <c r="M1301" s="23" t="n"/>
      <c r="N1301" s="23" t="n"/>
      <c r="O1301" s="20">
        <f>IF(OR(I1301="",COUNT(J1301:N1301)=0),"",IF(SUM(J1301:N1301)=I1301,"✓","⚠ "&amp;SUM(J1301:N1301)&amp;" statt "&amp;I1301))</f>
        <v/>
      </c>
      <c r="P1301" s="21" t="n"/>
      <c r="Q1301" s="21" t="n"/>
      <c r="R1301" s="21" t="n"/>
      <c r="S1301" s="24" t="n"/>
      <c r="T1301" s="24" t="n"/>
      <c r="V1301">
        <f>IF(A1301="","",MONTH(A1301))</f>
        <v/>
      </c>
      <c r="W1301">
        <f>N(W1300)+IF(AND(C1301&lt;&gt;"",T1301&lt;&gt;""),IF(C1301=WOCHE!$B$3,1,0),0)</f>
        <v/>
      </c>
      <c r="X1301">
        <f>N(X1300)+IF(AND(V1301&lt;&gt;"",T1301&lt;&gt;""),IF(V1301=MONAT!$AZ$3,1,0),0)</f>
        <v/>
      </c>
    </row>
    <row r="1302">
      <c r="A1302" s="19" t="n"/>
      <c r="B1302" s="20">
        <f>IF(A1302="","",CHOOSE(WEEKDAY(A1302,2),"Mo","Di","Mi","Do","Fr","Sa","So"))</f>
        <v/>
      </c>
      <c r="C1302" s="20">
        <f>IF(A1302="","",INT((A1302-DATE(YEAR(A1302-WEEKDAY(A1302-1)+4),1,3)+WEEKDAY(DATE(YEAR(A1302-WEEKDAY(A1302-1)+4),1,3))+5)/7))</f>
        <v/>
      </c>
      <c r="D1302" s="21" t="n"/>
      <c r="E1302" s="22" t="n"/>
      <c r="F1302" s="23" t="n"/>
      <c r="G1302" s="23" t="n"/>
      <c r="H1302" s="23" t="n"/>
      <c r="I1302" s="20">
        <f>IF(COUNT(F1302:H1302)=0,"",SUM(F1302:H1302))</f>
        <v/>
      </c>
      <c r="J1302" s="23" t="n"/>
      <c r="K1302" s="23" t="n"/>
      <c r="L1302" s="23" t="n"/>
      <c r="M1302" s="23" t="n"/>
      <c r="N1302" s="23" t="n"/>
      <c r="O1302" s="20">
        <f>IF(OR(I1302="",COUNT(J1302:N1302)=0),"",IF(SUM(J1302:N1302)=I1302,"✓","⚠ "&amp;SUM(J1302:N1302)&amp;" statt "&amp;I1302))</f>
        <v/>
      </c>
      <c r="P1302" s="21" t="n"/>
      <c r="Q1302" s="21" t="n"/>
      <c r="R1302" s="21" t="n"/>
      <c r="S1302" s="24" t="n"/>
      <c r="T1302" s="24" t="n"/>
      <c r="V1302">
        <f>IF(A1302="","",MONTH(A1302))</f>
        <v/>
      </c>
      <c r="W1302">
        <f>N(W1301)+IF(AND(C1302&lt;&gt;"",T1302&lt;&gt;""),IF(C1302=WOCHE!$B$3,1,0),0)</f>
        <v/>
      </c>
      <c r="X1302">
        <f>N(X1301)+IF(AND(V1302&lt;&gt;"",T1302&lt;&gt;""),IF(V1302=MONAT!$AZ$3,1,0),0)</f>
        <v/>
      </c>
    </row>
    <row r="1303">
      <c r="A1303" s="19" t="n"/>
      <c r="B1303" s="20">
        <f>IF(A1303="","",CHOOSE(WEEKDAY(A1303,2),"Mo","Di","Mi","Do","Fr","Sa","So"))</f>
        <v/>
      </c>
      <c r="C1303" s="20">
        <f>IF(A1303="","",INT((A1303-DATE(YEAR(A1303-WEEKDAY(A1303-1)+4),1,3)+WEEKDAY(DATE(YEAR(A1303-WEEKDAY(A1303-1)+4),1,3))+5)/7))</f>
        <v/>
      </c>
      <c r="D1303" s="21" t="n"/>
      <c r="E1303" s="22" t="n"/>
      <c r="F1303" s="23" t="n"/>
      <c r="G1303" s="23" t="n"/>
      <c r="H1303" s="23" t="n"/>
      <c r="I1303" s="20">
        <f>IF(COUNT(F1303:H1303)=0,"",SUM(F1303:H1303))</f>
        <v/>
      </c>
      <c r="J1303" s="23" t="n"/>
      <c r="K1303" s="23" t="n"/>
      <c r="L1303" s="23" t="n"/>
      <c r="M1303" s="23" t="n"/>
      <c r="N1303" s="23" t="n"/>
      <c r="O1303" s="20">
        <f>IF(OR(I1303="",COUNT(J1303:N1303)=0),"",IF(SUM(J1303:N1303)=I1303,"✓","⚠ "&amp;SUM(J1303:N1303)&amp;" statt "&amp;I1303))</f>
        <v/>
      </c>
      <c r="P1303" s="21" t="n"/>
      <c r="Q1303" s="21" t="n"/>
      <c r="R1303" s="21" t="n"/>
      <c r="S1303" s="24" t="n"/>
      <c r="T1303" s="24" t="n"/>
      <c r="V1303">
        <f>IF(A1303="","",MONTH(A1303))</f>
        <v/>
      </c>
      <c r="W1303">
        <f>N(W1302)+IF(AND(C1303&lt;&gt;"",T1303&lt;&gt;""),IF(C1303=WOCHE!$B$3,1,0),0)</f>
        <v/>
      </c>
      <c r="X1303">
        <f>N(X1302)+IF(AND(V1303&lt;&gt;"",T1303&lt;&gt;""),IF(V1303=MONAT!$AZ$3,1,0),0)</f>
        <v/>
      </c>
    </row>
    <row r="1304">
      <c r="A1304" s="19" t="n"/>
      <c r="B1304" s="20">
        <f>IF(A1304="","",CHOOSE(WEEKDAY(A1304,2),"Mo","Di","Mi","Do","Fr","Sa","So"))</f>
        <v/>
      </c>
      <c r="C1304" s="20">
        <f>IF(A1304="","",INT((A1304-DATE(YEAR(A1304-WEEKDAY(A1304-1)+4),1,3)+WEEKDAY(DATE(YEAR(A1304-WEEKDAY(A1304-1)+4),1,3))+5)/7))</f>
        <v/>
      </c>
      <c r="D1304" s="21" t="n"/>
      <c r="E1304" s="22" t="n"/>
      <c r="F1304" s="23" t="n"/>
      <c r="G1304" s="23" t="n"/>
      <c r="H1304" s="23" t="n"/>
      <c r="I1304" s="20">
        <f>IF(COUNT(F1304:H1304)=0,"",SUM(F1304:H1304))</f>
        <v/>
      </c>
      <c r="J1304" s="23" t="n"/>
      <c r="K1304" s="23" t="n"/>
      <c r="L1304" s="23" t="n"/>
      <c r="M1304" s="23" t="n"/>
      <c r="N1304" s="23" t="n"/>
      <c r="O1304" s="20">
        <f>IF(OR(I1304="",COUNT(J1304:N1304)=0),"",IF(SUM(J1304:N1304)=I1304,"✓","⚠ "&amp;SUM(J1304:N1304)&amp;" statt "&amp;I1304))</f>
        <v/>
      </c>
      <c r="P1304" s="21" t="n"/>
      <c r="Q1304" s="21" t="n"/>
      <c r="R1304" s="21" t="n"/>
      <c r="S1304" s="24" t="n"/>
      <c r="T1304" s="24" t="n"/>
      <c r="V1304">
        <f>IF(A1304="","",MONTH(A1304))</f>
        <v/>
      </c>
      <c r="W1304">
        <f>N(W1303)+IF(AND(C1304&lt;&gt;"",T1304&lt;&gt;""),IF(C1304=WOCHE!$B$3,1,0),0)</f>
        <v/>
      </c>
      <c r="X1304">
        <f>N(X1303)+IF(AND(V1304&lt;&gt;"",T1304&lt;&gt;""),IF(V1304=MONAT!$AZ$3,1,0),0)</f>
        <v/>
      </c>
    </row>
    <row r="1305">
      <c r="A1305" s="19" t="n"/>
      <c r="B1305" s="20">
        <f>IF(A1305="","",CHOOSE(WEEKDAY(A1305,2),"Mo","Di","Mi","Do","Fr","Sa","So"))</f>
        <v/>
      </c>
      <c r="C1305" s="20">
        <f>IF(A1305="","",INT((A1305-DATE(YEAR(A1305-WEEKDAY(A1305-1)+4),1,3)+WEEKDAY(DATE(YEAR(A1305-WEEKDAY(A1305-1)+4),1,3))+5)/7))</f>
        <v/>
      </c>
      <c r="D1305" s="21" t="n"/>
      <c r="E1305" s="22" t="n"/>
      <c r="F1305" s="23" t="n"/>
      <c r="G1305" s="23" t="n"/>
      <c r="H1305" s="23" t="n"/>
      <c r="I1305" s="20">
        <f>IF(COUNT(F1305:H1305)=0,"",SUM(F1305:H1305))</f>
        <v/>
      </c>
      <c r="J1305" s="23" t="n"/>
      <c r="K1305" s="23" t="n"/>
      <c r="L1305" s="23" t="n"/>
      <c r="M1305" s="23" t="n"/>
      <c r="N1305" s="23" t="n"/>
      <c r="O1305" s="20">
        <f>IF(OR(I1305="",COUNT(J1305:N1305)=0),"",IF(SUM(J1305:N1305)=I1305,"✓","⚠ "&amp;SUM(J1305:N1305)&amp;" statt "&amp;I1305))</f>
        <v/>
      </c>
      <c r="P1305" s="21" t="n"/>
      <c r="Q1305" s="21" t="n"/>
      <c r="R1305" s="21" t="n"/>
      <c r="S1305" s="24" t="n"/>
      <c r="T1305" s="24" t="n"/>
      <c r="V1305">
        <f>IF(A1305="","",MONTH(A1305))</f>
        <v/>
      </c>
      <c r="W1305">
        <f>N(W1304)+IF(AND(C1305&lt;&gt;"",T1305&lt;&gt;""),IF(C1305=WOCHE!$B$3,1,0),0)</f>
        <v/>
      </c>
      <c r="X1305">
        <f>N(X1304)+IF(AND(V1305&lt;&gt;"",T1305&lt;&gt;""),IF(V1305=MONAT!$AZ$3,1,0),0)</f>
        <v/>
      </c>
    </row>
    <row r="1306">
      <c r="A1306" s="19" t="n"/>
      <c r="B1306" s="20">
        <f>IF(A1306="","",CHOOSE(WEEKDAY(A1306,2),"Mo","Di","Mi","Do","Fr","Sa","So"))</f>
        <v/>
      </c>
      <c r="C1306" s="20">
        <f>IF(A1306="","",INT((A1306-DATE(YEAR(A1306-WEEKDAY(A1306-1)+4),1,3)+WEEKDAY(DATE(YEAR(A1306-WEEKDAY(A1306-1)+4),1,3))+5)/7))</f>
        <v/>
      </c>
      <c r="D1306" s="21" t="n"/>
      <c r="E1306" s="22" t="n"/>
      <c r="F1306" s="23" t="n"/>
      <c r="G1306" s="23" t="n"/>
      <c r="H1306" s="23" t="n"/>
      <c r="I1306" s="20">
        <f>IF(COUNT(F1306:H1306)=0,"",SUM(F1306:H1306))</f>
        <v/>
      </c>
      <c r="J1306" s="23" t="n"/>
      <c r="K1306" s="23" t="n"/>
      <c r="L1306" s="23" t="n"/>
      <c r="M1306" s="23" t="n"/>
      <c r="N1306" s="23" t="n"/>
      <c r="O1306" s="20">
        <f>IF(OR(I1306="",COUNT(J1306:N1306)=0),"",IF(SUM(J1306:N1306)=I1306,"✓","⚠ "&amp;SUM(J1306:N1306)&amp;" statt "&amp;I1306))</f>
        <v/>
      </c>
      <c r="P1306" s="21" t="n"/>
      <c r="Q1306" s="21" t="n"/>
      <c r="R1306" s="21" t="n"/>
      <c r="S1306" s="24" t="n"/>
      <c r="T1306" s="24" t="n"/>
      <c r="V1306">
        <f>IF(A1306="","",MONTH(A1306))</f>
        <v/>
      </c>
      <c r="W1306">
        <f>N(W1305)+IF(AND(C1306&lt;&gt;"",T1306&lt;&gt;""),IF(C1306=WOCHE!$B$3,1,0),0)</f>
        <v/>
      </c>
      <c r="X1306">
        <f>N(X1305)+IF(AND(V1306&lt;&gt;"",T1306&lt;&gt;""),IF(V1306=MONAT!$AZ$3,1,0),0)</f>
        <v/>
      </c>
    </row>
    <row r="1307">
      <c r="A1307" s="19" t="n"/>
      <c r="B1307" s="20">
        <f>IF(A1307="","",CHOOSE(WEEKDAY(A1307,2),"Mo","Di","Mi","Do","Fr","Sa","So"))</f>
        <v/>
      </c>
      <c r="C1307" s="20">
        <f>IF(A1307="","",INT((A1307-DATE(YEAR(A1307-WEEKDAY(A1307-1)+4),1,3)+WEEKDAY(DATE(YEAR(A1307-WEEKDAY(A1307-1)+4),1,3))+5)/7))</f>
        <v/>
      </c>
      <c r="D1307" s="21" t="n"/>
      <c r="E1307" s="22" t="n"/>
      <c r="F1307" s="23" t="n"/>
      <c r="G1307" s="23" t="n"/>
      <c r="H1307" s="23" t="n"/>
      <c r="I1307" s="20">
        <f>IF(COUNT(F1307:H1307)=0,"",SUM(F1307:H1307))</f>
        <v/>
      </c>
      <c r="J1307" s="23" t="n"/>
      <c r="K1307" s="23" t="n"/>
      <c r="L1307" s="23" t="n"/>
      <c r="M1307" s="23" t="n"/>
      <c r="N1307" s="23" t="n"/>
      <c r="O1307" s="20">
        <f>IF(OR(I1307="",COUNT(J1307:N1307)=0),"",IF(SUM(J1307:N1307)=I1307,"✓","⚠ "&amp;SUM(J1307:N1307)&amp;" statt "&amp;I1307))</f>
        <v/>
      </c>
      <c r="P1307" s="21" t="n"/>
      <c r="Q1307" s="21" t="n"/>
      <c r="R1307" s="21" t="n"/>
      <c r="S1307" s="24" t="n"/>
      <c r="T1307" s="24" t="n"/>
      <c r="V1307">
        <f>IF(A1307="","",MONTH(A1307))</f>
        <v/>
      </c>
      <c r="W1307">
        <f>N(W1306)+IF(AND(C1307&lt;&gt;"",T1307&lt;&gt;""),IF(C1307=WOCHE!$B$3,1,0),0)</f>
        <v/>
      </c>
      <c r="X1307">
        <f>N(X1306)+IF(AND(V1307&lt;&gt;"",T1307&lt;&gt;""),IF(V1307=MONAT!$AZ$3,1,0),0)</f>
        <v/>
      </c>
    </row>
    <row r="1308">
      <c r="A1308" s="19" t="n"/>
      <c r="B1308" s="20">
        <f>IF(A1308="","",CHOOSE(WEEKDAY(A1308,2),"Mo","Di","Mi","Do","Fr","Sa","So"))</f>
        <v/>
      </c>
      <c r="C1308" s="20">
        <f>IF(A1308="","",INT((A1308-DATE(YEAR(A1308-WEEKDAY(A1308-1)+4),1,3)+WEEKDAY(DATE(YEAR(A1308-WEEKDAY(A1308-1)+4),1,3))+5)/7))</f>
        <v/>
      </c>
      <c r="D1308" s="21" t="n"/>
      <c r="E1308" s="22" t="n"/>
      <c r="F1308" s="23" t="n"/>
      <c r="G1308" s="23" t="n"/>
      <c r="H1308" s="23" t="n"/>
      <c r="I1308" s="20">
        <f>IF(COUNT(F1308:H1308)=0,"",SUM(F1308:H1308))</f>
        <v/>
      </c>
      <c r="J1308" s="23" t="n"/>
      <c r="K1308" s="23" t="n"/>
      <c r="L1308" s="23" t="n"/>
      <c r="M1308" s="23" t="n"/>
      <c r="N1308" s="23" t="n"/>
      <c r="O1308" s="20">
        <f>IF(OR(I1308="",COUNT(J1308:N1308)=0),"",IF(SUM(J1308:N1308)=I1308,"✓","⚠ "&amp;SUM(J1308:N1308)&amp;" statt "&amp;I1308))</f>
        <v/>
      </c>
      <c r="P1308" s="21" t="n"/>
      <c r="Q1308" s="21" t="n"/>
      <c r="R1308" s="21" t="n"/>
      <c r="S1308" s="24" t="n"/>
      <c r="T1308" s="24" t="n"/>
      <c r="V1308">
        <f>IF(A1308="","",MONTH(A1308))</f>
        <v/>
      </c>
      <c r="W1308">
        <f>N(W1307)+IF(AND(C1308&lt;&gt;"",T1308&lt;&gt;""),IF(C1308=WOCHE!$B$3,1,0),0)</f>
        <v/>
      </c>
      <c r="X1308">
        <f>N(X1307)+IF(AND(V1308&lt;&gt;"",T1308&lt;&gt;""),IF(V1308=MONAT!$AZ$3,1,0),0)</f>
        <v/>
      </c>
    </row>
    <row r="1309">
      <c r="A1309" s="19" t="n"/>
      <c r="B1309" s="20">
        <f>IF(A1309="","",CHOOSE(WEEKDAY(A1309,2),"Mo","Di","Mi","Do","Fr","Sa","So"))</f>
        <v/>
      </c>
      <c r="C1309" s="20">
        <f>IF(A1309="","",INT((A1309-DATE(YEAR(A1309-WEEKDAY(A1309-1)+4),1,3)+WEEKDAY(DATE(YEAR(A1309-WEEKDAY(A1309-1)+4),1,3))+5)/7))</f>
        <v/>
      </c>
      <c r="D1309" s="21" t="n"/>
      <c r="E1309" s="22" t="n"/>
      <c r="F1309" s="23" t="n"/>
      <c r="G1309" s="23" t="n"/>
      <c r="H1309" s="23" t="n"/>
      <c r="I1309" s="20">
        <f>IF(COUNT(F1309:H1309)=0,"",SUM(F1309:H1309))</f>
        <v/>
      </c>
      <c r="J1309" s="23" t="n"/>
      <c r="K1309" s="23" t="n"/>
      <c r="L1309" s="23" t="n"/>
      <c r="M1309" s="23" t="n"/>
      <c r="N1309" s="23" t="n"/>
      <c r="O1309" s="20">
        <f>IF(OR(I1309="",COUNT(J1309:N1309)=0),"",IF(SUM(J1309:N1309)=I1309,"✓","⚠ "&amp;SUM(J1309:N1309)&amp;" statt "&amp;I1309))</f>
        <v/>
      </c>
      <c r="P1309" s="21" t="n"/>
      <c r="Q1309" s="21" t="n"/>
      <c r="R1309" s="21" t="n"/>
      <c r="S1309" s="24" t="n"/>
      <c r="T1309" s="24" t="n"/>
      <c r="V1309">
        <f>IF(A1309="","",MONTH(A1309))</f>
        <v/>
      </c>
      <c r="W1309">
        <f>N(W1308)+IF(AND(C1309&lt;&gt;"",T1309&lt;&gt;""),IF(C1309=WOCHE!$B$3,1,0),0)</f>
        <v/>
      </c>
      <c r="X1309">
        <f>N(X1308)+IF(AND(V1309&lt;&gt;"",T1309&lt;&gt;""),IF(V1309=MONAT!$AZ$3,1,0),0)</f>
        <v/>
      </c>
    </row>
    <row r="1310">
      <c r="A1310" s="19" t="n"/>
      <c r="B1310" s="20">
        <f>IF(A1310="","",CHOOSE(WEEKDAY(A1310,2),"Mo","Di","Mi","Do","Fr","Sa","So"))</f>
        <v/>
      </c>
      <c r="C1310" s="20">
        <f>IF(A1310="","",INT((A1310-DATE(YEAR(A1310-WEEKDAY(A1310-1)+4),1,3)+WEEKDAY(DATE(YEAR(A1310-WEEKDAY(A1310-1)+4),1,3))+5)/7))</f>
        <v/>
      </c>
      <c r="D1310" s="21" t="n"/>
      <c r="E1310" s="22" t="n"/>
      <c r="F1310" s="23" t="n"/>
      <c r="G1310" s="23" t="n"/>
      <c r="H1310" s="23" t="n"/>
      <c r="I1310" s="20">
        <f>IF(COUNT(F1310:H1310)=0,"",SUM(F1310:H1310))</f>
        <v/>
      </c>
      <c r="J1310" s="23" t="n"/>
      <c r="K1310" s="23" t="n"/>
      <c r="L1310" s="23" t="n"/>
      <c r="M1310" s="23" t="n"/>
      <c r="N1310" s="23" t="n"/>
      <c r="O1310" s="20">
        <f>IF(OR(I1310="",COUNT(J1310:N1310)=0),"",IF(SUM(J1310:N1310)=I1310,"✓","⚠ "&amp;SUM(J1310:N1310)&amp;" statt "&amp;I1310))</f>
        <v/>
      </c>
      <c r="P1310" s="21" t="n"/>
      <c r="Q1310" s="21" t="n"/>
      <c r="R1310" s="21" t="n"/>
      <c r="S1310" s="24" t="n"/>
      <c r="T1310" s="24" t="n"/>
      <c r="V1310">
        <f>IF(A1310="","",MONTH(A1310))</f>
        <v/>
      </c>
      <c r="W1310">
        <f>N(W1309)+IF(AND(C1310&lt;&gt;"",T1310&lt;&gt;""),IF(C1310=WOCHE!$B$3,1,0),0)</f>
        <v/>
      </c>
      <c r="X1310">
        <f>N(X1309)+IF(AND(V1310&lt;&gt;"",T1310&lt;&gt;""),IF(V1310=MONAT!$AZ$3,1,0),0)</f>
        <v/>
      </c>
    </row>
    <row r="1311">
      <c r="A1311" s="19" t="n"/>
      <c r="B1311" s="20">
        <f>IF(A1311="","",CHOOSE(WEEKDAY(A1311,2),"Mo","Di","Mi","Do","Fr","Sa","So"))</f>
        <v/>
      </c>
      <c r="C1311" s="20">
        <f>IF(A1311="","",INT((A1311-DATE(YEAR(A1311-WEEKDAY(A1311-1)+4),1,3)+WEEKDAY(DATE(YEAR(A1311-WEEKDAY(A1311-1)+4),1,3))+5)/7))</f>
        <v/>
      </c>
      <c r="D1311" s="21" t="n"/>
      <c r="E1311" s="22" t="n"/>
      <c r="F1311" s="23" t="n"/>
      <c r="G1311" s="23" t="n"/>
      <c r="H1311" s="23" t="n"/>
      <c r="I1311" s="20">
        <f>IF(COUNT(F1311:H1311)=0,"",SUM(F1311:H1311))</f>
        <v/>
      </c>
      <c r="J1311" s="23" t="n"/>
      <c r="K1311" s="23" t="n"/>
      <c r="L1311" s="23" t="n"/>
      <c r="M1311" s="23" t="n"/>
      <c r="N1311" s="23" t="n"/>
      <c r="O1311" s="20">
        <f>IF(OR(I1311="",COUNT(J1311:N1311)=0),"",IF(SUM(J1311:N1311)=I1311,"✓","⚠ "&amp;SUM(J1311:N1311)&amp;" statt "&amp;I1311))</f>
        <v/>
      </c>
      <c r="P1311" s="21" t="n"/>
      <c r="Q1311" s="21" t="n"/>
      <c r="R1311" s="21" t="n"/>
      <c r="S1311" s="24" t="n"/>
      <c r="T1311" s="24" t="n"/>
      <c r="V1311">
        <f>IF(A1311="","",MONTH(A1311))</f>
        <v/>
      </c>
      <c r="W1311">
        <f>N(W1310)+IF(AND(C1311&lt;&gt;"",T1311&lt;&gt;""),IF(C1311=WOCHE!$B$3,1,0),0)</f>
        <v/>
      </c>
      <c r="X1311">
        <f>N(X1310)+IF(AND(V1311&lt;&gt;"",T1311&lt;&gt;""),IF(V1311=MONAT!$AZ$3,1,0),0)</f>
        <v/>
      </c>
    </row>
    <row r="1312">
      <c r="A1312" s="19" t="n"/>
      <c r="B1312" s="20">
        <f>IF(A1312="","",CHOOSE(WEEKDAY(A1312,2),"Mo","Di","Mi","Do","Fr","Sa","So"))</f>
        <v/>
      </c>
      <c r="C1312" s="20">
        <f>IF(A1312="","",INT((A1312-DATE(YEAR(A1312-WEEKDAY(A1312-1)+4),1,3)+WEEKDAY(DATE(YEAR(A1312-WEEKDAY(A1312-1)+4),1,3))+5)/7))</f>
        <v/>
      </c>
      <c r="D1312" s="21" t="n"/>
      <c r="E1312" s="22" t="n"/>
      <c r="F1312" s="23" t="n"/>
      <c r="G1312" s="23" t="n"/>
      <c r="H1312" s="23" t="n"/>
      <c r="I1312" s="20">
        <f>IF(COUNT(F1312:H1312)=0,"",SUM(F1312:H1312))</f>
        <v/>
      </c>
      <c r="J1312" s="23" t="n"/>
      <c r="K1312" s="23" t="n"/>
      <c r="L1312" s="23" t="n"/>
      <c r="M1312" s="23" t="n"/>
      <c r="N1312" s="23" t="n"/>
      <c r="O1312" s="20">
        <f>IF(OR(I1312="",COUNT(J1312:N1312)=0),"",IF(SUM(J1312:N1312)=I1312,"✓","⚠ "&amp;SUM(J1312:N1312)&amp;" statt "&amp;I1312))</f>
        <v/>
      </c>
      <c r="P1312" s="21" t="n"/>
      <c r="Q1312" s="21" t="n"/>
      <c r="R1312" s="21" t="n"/>
      <c r="S1312" s="24" t="n"/>
      <c r="T1312" s="24" t="n"/>
      <c r="V1312">
        <f>IF(A1312="","",MONTH(A1312))</f>
        <v/>
      </c>
      <c r="W1312">
        <f>N(W1311)+IF(AND(C1312&lt;&gt;"",T1312&lt;&gt;""),IF(C1312=WOCHE!$B$3,1,0),0)</f>
        <v/>
      </c>
      <c r="X1312">
        <f>N(X1311)+IF(AND(V1312&lt;&gt;"",T1312&lt;&gt;""),IF(V1312=MONAT!$AZ$3,1,0),0)</f>
        <v/>
      </c>
    </row>
    <row r="1313">
      <c r="A1313" s="19" t="n"/>
      <c r="B1313" s="20">
        <f>IF(A1313="","",CHOOSE(WEEKDAY(A1313,2),"Mo","Di","Mi","Do","Fr","Sa","So"))</f>
        <v/>
      </c>
      <c r="C1313" s="20">
        <f>IF(A1313="","",INT((A1313-DATE(YEAR(A1313-WEEKDAY(A1313-1)+4),1,3)+WEEKDAY(DATE(YEAR(A1313-WEEKDAY(A1313-1)+4),1,3))+5)/7))</f>
        <v/>
      </c>
      <c r="D1313" s="21" t="n"/>
      <c r="E1313" s="22" t="n"/>
      <c r="F1313" s="23" t="n"/>
      <c r="G1313" s="23" t="n"/>
      <c r="H1313" s="23" t="n"/>
      <c r="I1313" s="20">
        <f>IF(COUNT(F1313:H1313)=0,"",SUM(F1313:H1313))</f>
        <v/>
      </c>
      <c r="J1313" s="23" t="n"/>
      <c r="K1313" s="23" t="n"/>
      <c r="L1313" s="23" t="n"/>
      <c r="M1313" s="23" t="n"/>
      <c r="N1313" s="23" t="n"/>
      <c r="O1313" s="20">
        <f>IF(OR(I1313="",COUNT(J1313:N1313)=0),"",IF(SUM(J1313:N1313)=I1313,"✓","⚠ "&amp;SUM(J1313:N1313)&amp;" statt "&amp;I1313))</f>
        <v/>
      </c>
      <c r="P1313" s="21" t="n"/>
      <c r="Q1313" s="21" t="n"/>
      <c r="R1313" s="21" t="n"/>
      <c r="S1313" s="24" t="n"/>
      <c r="T1313" s="24" t="n"/>
      <c r="V1313">
        <f>IF(A1313="","",MONTH(A1313))</f>
        <v/>
      </c>
      <c r="W1313">
        <f>N(W1312)+IF(AND(C1313&lt;&gt;"",T1313&lt;&gt;""),IF(C1313=WOCHE!$B$3,1,0),0)</f>
        <v/>
      </c>
      <c r="X1313">
        <f>N(X1312)+IF(AND(V1313&lt;&gt;"",T1313&lt;&gt;""),IF(V1313=MONAT!$AZ$3,1,0),0)</f>
        <v/>
      </c>
    </row>
    <row r="1314">
      <c r="A1314" s="19" t="n"/>
      <c r="B1314" s="20">
        <f>IF(A1314="","",CHOOSE(WEEKDAY(A1314,2),"Mo","Di","Mi","Do","Fr","Sa","So"))</f>
        <v/>
      </c>
      <c r="C1314" s="20">
        <f>IF(A1314="","",INT((A1314-DATE(YEAR(A1314-WEEKDAY(A1314-1)+4),1,3)+WEEKDAY(DATE(YEAR(A1314-WEEKDAY(A1314-1)+4),1,3))+5)/7))</f>
        <v/>
      </c>
      <c r="D1314" s="21" t="n"/>
      <c r="E1314" s="22" t="n"/>
      <c r="F1314" s="23" t="n"/>
      <c r="G1314" s="23" t="n"/>
      <c r="H1314" s="23" t="n"/>
      <c r="I1314" s="20">
        <f>IF(COUNT(F1314:H1314)=0,"",SUM(F1314:H1314))</f>
        <v/>
      </c>
      <c r="J1314" s="23" t="n"/>
      <c r="K1314" s="23" t="n"/>
      <c r="L1314" s="23" t="n"/>
      <c r="M1314" s="23" t="n"/>
      <c r="N1314" s="23" t="n"/>
      <c r="O1314" s="20">
        <f>IF(OR(I1314="",COUNT(J1314:N1314)=0),"",IF(SUM(J1314:N1314)=I1314,"✓","⚠ "&amp;SUM(J1314:N1314)&amp;" statt "&amp;I1314))</f>
        <v/>
      </c>
      <c r="P1314" s="21" t="n"/>
      <c r="Q1314" s="21" t="n"/>
      <c r="R1314" s="21" t="n"/>
      <c r="S1314" s="24" t="n"/>
      <c r="T1314" s="24" t="n"/>
      <c r="V1314">
        <f>IF(A1314="","",MONTH(A1314))</f>
        <v/>
      </c>
      <c r="W1314">
        <f>N(W1313)+IF(AND(C1314&lt;&gt;"",T1314&lt;&gt;""),IF(C1314=WOCHE!$B$3,1,0),0)</f>
        <v/>
      </c>
      <c r="X1314">
        <f>N(X1313)+IF(AND(V1314&lt;&gt;"",T1314&lt;&gt;""),IF(V1314=MONAT!$AZ$3,1,0),0)</f>
        <v/>
      </c>
    </row>
    <row r="1315">
      <c r="A1315" s="19" t="n"/>
      <c r="B1315" s="20">
        <f>IF(A1315="","",CHOOSE(WEEKDAY(A1315,2),"Mo","Di","Mi","Do","Fr","Sa","So"))</f>
        <v/>
      </c>
      <c r="C1315" s="20">
        <f>IF(A1315="","",INT((A1315-DATE(YEAR(A1315-WEEKDAY(A1315-1)+4),1,3)+WEEKDAY(DATE(YEAR(A1315-WEEKDAY(A1315-1)+4),1,3))+5)/7))</f>
        <v/>
      </c>
      <c r="D1315" s="21" t="n"/>
      <c r="E1315" s="22" t="n"/>
      <c r="F1315" s="23" t="n"/>
      <c r="G1315" s="23" t="n"/>
      <c r="H1315" s="23" t="n"/>
      <c r="I1315" s="20">
        <f>IF(COUNT(F1315:H1315)=0,"",SUM(F1315:H1315))</f>
        <v/>
      </c>
      <c r="J1315" s="23" t="n"/>
      <c r="K1315" s="23" t="n"/>
      <c r="L1315" s="23" t="n"/>
      <c r="M1315" s="23" t="n"/>
      <c r="N1315" s="23" t="n"/>
      <c r="O1315" s="20">
        <f>IF(OR(I1315="",COUNT(J1315:N1315)=0),"",IF(SUM(J1315:N1315)=I1315,"✓","⚠ "&amp;SUM(J1315:N1315)&amp;" statt "&amp;I1315))</f>
        <v/>
      </c>
      <c r="P1315" s="21" t="n"/>
      <c r="Q1315" s="21" t="n"/>
      <c r="R1315" s="21" t="n"/>
      <c r="S1315" s="24" t="n"/>
      <c r="T1315" s="24" t="n"/>
      <c r="V1315">
        <f>IF(A1315="","",MONTH(A1315))</f>
        <v/>
      </c>
      <c r="W1315">
        <f>N(W1314)+IF(AND(C1315&lt;&gt;"",T1315&lt;&gt;""),IF(C1315=WOCHE!$B$3,1,0),0)</f>
        <v/>
      </c>
      <c r="X1315">
        <f>N(X1314)+IF(AND(V1315&lt;&gt;"",T1315&lt;&gt;""),IF(V1315=MONAT!$AZ$3,1,0),0)</f>
        <v/>
      </c>
    </row>
    <row r="1316">
      <c r="A1316" s="19" t="n"/>
      <c r="B1316" s="20">
        <f>IF(A1316="","",CHOOSE(WEEKDAY(A1316,2),"Mo","Di","Mi","Do","Fr","Sa","So"))</f>
        <v/>
      </c>
      <c r="C1316" s="20">
        <f>IF(A1316="","",INT((A1316-DATE(YEAR(A1316-WEEKDAY(A1316-1)+4),1,3)+WEEKDAY(DATE(YEAR(A1316-WEEKDAY(A1316-1)+4),1,3))+5)/7))</f>
        <v/>
      </c>
      <c r="D1316" s="21" t="n"/>
      <c r="E1316" s="22" t="n"/>
      <c r="F1316" s="23" t="n"/>
      <c r="G1316" s="23" t="n"/>
      <c r="H1316" s="23" t="n"/>
      <c r="I1316" s="20">
        <f>IF(COUNT(F1316:H1316)=0,"",SUM(F1316:H1316))</f>
        <v/>
      </c>
      <c r="J1316" s="23" t="n"/>
      <c r="K1316" s="23" t="n"/>
      <c r="L1316" s="23" t="n"/>
      <c r="M1316" s="23" t="n"/>
      <c r="N1316" s="23" t="n"/>
      <c r="O1316" s="20">
        <f>IF(OR(I1316="",COUNT(J1316:N1316)=0),"",IF(SUM(J1316:N1316)=I1316,"✓","⚠ "&amp;SUM(J1316:N1316)&amp;" statt "&amp;I1316))</f>
        <v/>
      </c>
      <c r="P1316" s="21" t="n"/>
      <c r="Q1316" s="21" t="n"/>
      <c r="R1316" s="21" t="n"/>
      <c r="S1316" s="24" t="n"/>
      <c r="T1316" s="24" t="n"/>
      <c r="V1316">
        <f>IF(A1316="","",MONTH(A1316))</f>
        <v/>
      </c>
      <c r="W1316">
        <f>N(W1315)+IF(AND(C1316&lt;&gt;"",T1316&lt;&gt;""),IF(C1316=WOCHE!$B$3,1,0),0)</f>
        <v/>
      </c>
      <c r="X1316">
        <f>N(X1315)+IF(AND(V1316&lt;&gt;"",T1316&lt;&gt;""),IF(V1316=MONAT!$AZ$3,1,0),0)</f>
        <v/>
      </c>
    </row>
    <row r="1317">
      <c r="A1317" s="19" t="n"/>
      <c r="B1317" s="20">
        <f>IF(A1317="","",CHOOSE(WEEKDAY(A1317,2),"Mo","Di","Mi","Do","Fr","Sa","So"))</f>
        <v/>
      </c>
      <c r="C1317" s="20">
        <f>IF(A1317="","",INT((A1317-DATE(YEAR(A1317-WEEKDAY(A1317-1)+4),1,3)+WEEKDAY(DATE(YEAR(A1317-WEEKDAY(A1317-1)+4),1,3))+5)/7))</f>
        <v/>
      </c>
      <c r="D1317" s="21" t="n"/>
      <c r="E1317" s="22" t="n"/>
      <c r="F1317" s="23" t="n"/>
      <c r="G1317" s="23" t="n"/>
      <c r="H1317" s="23" t="n"/>
      <c r="I1317" s="20">
        <f>IF(COUNT(F1317:H1317)=0,"",SUM(F1317:H1317))</f>
        <v/>
      </c>
      <c r="J1317" s="23" t="n"/>
      <c r="K1317" s="23" t="n"/>
      <c r="L1317" s="23" t="n"/>
      <c r="M1317" s="23" t="n"/>
      <c r="N1317" s="23" t="n"/>
      <c r="O1317" s="20">
        <f>IF(OR(I1317="",COUNT(J1317:N1317)=0),"",IF(SUM(J1317:N1317)=I1317,"✓","⚠ "&amp;SUM(J1317:N1317)&amp;" statt "&amp;I1317))</f>
        <v/>
      </c>
      <c r="P1317" s="21" t="n"/>
      <c r="Q1317" s="21" t="n"/>
      <c r="R1317" s="21" t="n"/>
      <c r="S1317" s="24" t="n"/>
      <c r="T1317" s="24" t="n"/>
      <c r="V1317">
        <f>IF(A1317="","",MONTH(A1317))</f>
        <v/>
      </c>
      <c r="W1317">
        <f>N(W1316)+IF(AND(C1317&lt;&gt;"",T1317&lt;&gt;""),IF(C1317=WOCHE!$B$3,1,0),0)</f>
        <v/>
      </c>
      <c r="X1317">
        <f>N(X1316)+IF(AND(V1317&lt;&gt;"",T1317&lt;&gt;""),IF(V1317=MONAT!$AZ$3,1,0),0)</f>
        <v/>
      </c>
    </row>
    <row r="1318">
      <c r="A1318" s="19" t="n"/>
      <c r="B1318" s="20">
        <f>IF(A1318="","",CHOOSE(WEEKDAY(A1318,2),"Mo","Di","Mi","Do","Fr","Sa","So"))</f>
        <v/>
      </c>
      <c r="C1318" s="20">
        <f>IF(A1318="","",INT((A1318-DATE(YEAR(A1318-WEEKDAY(A1318-1)+4),1,3)+WEEKDAY(DATE(YEAR(A1318-WEEKDAY(A1318-1)+4),1,3))+5)/7))</f>
        <v/>
      </c>
      <c r="D1318" s="21" t="n"/>
      <c r="E1318" s="22" t="n"/>
      <c r="F1318" s="23" t="n"/>
      <c r="G1318" s="23" t="n"/>
      <c r="H1318" s="23" t="n"/>
      <c r="I1318" s="20">
        <f>IF(COUNT(F1318:H1318)=0,"",SUM(F1318:H1318))</f>
        <v/>
      </c>
      <c r="J1318" s="23" t="n"/>
      <c r="K1318" s="23" t="n"/>
      <c r="L1318" s="23" t="n"/>
      <c r="M1318" s="23" t="n"/>
      <c r="N1318" s="23" t="n"/>
      <c r="O1318" s="20">
        <f>IF(OR(I1318="",COUNT(J1318:N1318)=0),"",IF(SUM(J1318:N1318)=I1318,"✓","⚠ "&amp;SUM(J1318:N1318)&amp;" statt "&amp;I1318))</f>
        <v/>
      </c>
      <c r="P1318" s="21" t="n"/>
      <c r="Q1318" s="21" t="n"/>
      <c r="R1318" s="21" t="n"/>
      <c r="S1318" s="24" t="n"/>
      <c r="T1318" s="24" t="n"/>
      <c r="V1318">
        <f>IF(A1318="","",MONTH(A1318))</f>
        <v/>
      </c>
      <c r="W1318">
        <f>N(W1317)+IF(AND(C1318&lt;&gt;"",T1318&lt;&gt;""),IF(C1318=WOCHE!$B$3,1,0),0)</f>
        <v/>
      </c>
      <c r="X1318">
        <f>N(X1317)+IF(AND(V1318&lt;&gt;"",T1318&lt;&gt;""),IF(V1318=MONAT!$AZ$3,1,0),0)</f>
        <v/>
      </c>
    </row>
    <row r="1319">
      <c r="A1319" s="19" t="n"/>
      <c r="B1319" s="20">
        <f>IF(A1319="","",CHOOSE(WEEKDAY(A1319,2),"Mo","Di","Mi","Do","Fr","Sa","So"))</f>
        <v/>
      </c>
      <c r="C1319" s="20">
        <f>IF(A1319="","",INT((A1319-DATE(YEAR(A1319-WEEKDAY(A1319-1)+4),1,3)+WEEKDAY(DATE(YEAR(A1319-WEEKDAY(A1319-1)+4),1,3))+5)/7))</f>
        <v/>
      </c>
      <c r="D1319" s="21" t="n"/>
      <c r="E1319" s="22" t="n"/>
      <c r="F1319" s="23" t="n"/>
      <c r="G1319" s="23" t="n"/>
      <c r="H1319" s="23" t="n"/>
      <c r="I1319" s="20">
        <f>IF(COUNT(F1319:H1319)=0,"",SUM(F1319:H1319))</f>
        <v/>
      </c>
      <c r="J1319" s="23" t="n"/>
      <c r="K1319" s="23" t="n"/>
      <c r="L1319" s="23" t="n"/>
      <c r="M1319" s="23" t="n"/>
      <c r="N1319" s="23" t="n"/>
      <c r="O1319" s="20">
        <f>IF(OR(I1319="",COUNT(J1319:N1319)=0),"",IF(SUM(J1319:N1319)=I1319,"✓","⚠ "&amp;SUM(J1319:N1319)&amp;" statt "&amp;I1319))</f>
        <v/>
      </c>
      <c r="P1319" s="21" t="n"/>
      <c r="Q1319" s="21" t="n"/>
      <c r="R1319" s="21" t="n"/>
      <c r="S1319" s="24" t="n"/>
      <c r="T1319" s="24" t="n"/>
      <c r="V1319">
        <f>IF(A1319="","",MONTH(A1319))</f>
        <v/>
      </c>
      <c r="W1319">
        <f>N(W1318)+IF(AND(C1319&lt;&gt;"",T1319&lt;&gt;""),IF(C1319=WOCHE!$B$3,1,0),0)</f>
        <v/>
      </c>
      <c r="X1319">
        <f>N(X1318)+IF(AND(V1319&lt;&gt;"",T1319&lt;&gt;""),IF(V1319=MONAT!$AZ$3,1,0),0)</f>
        <v/>
      </c>
    </row>
    <row r="1320">
      <c r="A1320" s="19" t="n"/>
      <c r="B1320" s="20">
        <f>IF(A1320="","",CHOOSE(WEEKDAY(A1320,2),"Mo","Di","Mi","Do","Fr","Sa","So"))</f>
        <v/>
      </c>
      <c r="C1320" s="20">
        <f>IF(A1320="","",INT((A1320-DATE(YEAR(A1320-WEEKDAY(A1320-1)+4),1,3)+WEEKDAY(DATE(YEAR(A1320-WEEKDAY(A1320-1)+4),1,3))+5)/7))</f>
        <v/>
      </c>
      <c r="D1320" s="21" t="n"/>
      <c r="E1320" s="22" t="n"/>
      <c r="F1320" s="23" t="n"/>
      <c r="G1320" s="23" t="n"/>
      <c r="H1320" s="23" t="n"/>
      <c r="I1320" s="20">
        <f>IF(COUNT(F1320:H1320)=0,"",SUM(F1320:H1320))</f>
        <v/>
      </c>
      <c r="J1320" s="23" t="n"/>
      <c r="K1320" s="23" t="n"/>
      <c r="L1320" s="23" t="n"/>
      <c r="M1320" s="23" t="n"/>
      <c r="N1320" s="23" t="n"/>
      <c r="O1320" s="20">
        <f>IF(OR(I1320="",COUNT(J1320:N1320)=0),"",IF(SUM(J1320:N1320)=I1320,"✓","⚠ "&amp;SUM(J1320:N1320)&amp;" statt "&amp;I1320))</f>
        <v/>
      </c>
      <c r="P1320" s="21" t="n"/>
      <c r="Q1320" s="21" t="n"/>
      <c r="R1320" s="21" t="n"/>
      <c r="S1320" s="24" t="n"/>
      <c r="T1320" s="24" t="n"/>
      <c r="V1320">
        <f>IF(A1320="","",MONTH(A1320))</f>
        <v/>
      </c>
      <c r="W1320">
        <f>N(W1319)+IF(AND(C1320&lt;&gt;"",T1320&lt;&gt;""),IF(C1320=WOCHE!$B$3,1,0),0)</f>
        <v/>
      </c>
      <c r="X1320">
        <f>N(X1319)+IF(AND(V1320&lt;&gt;"",T1320&lt;&gt;""),IF(V1320=MONAT!$AZ$3,1,0),0)</f>
        <v/>
      </c>
    </row>
    <row r="1321">
      <c r="A1321" s="19" t="n"/>
      <c r="B1321" s="20">
        <f>IF(A1321="","",CHOOSE(WEEKDAY(A1321,2),"Mo","Di","Mi","Do","Fr","Sa","So"))</f>
        <v/>
      </c>
      <c r="C1321" s="20">
        <f>IF(A1321="","",INT((A1321-DATE(YEAR(A1321-WEEKDAY(A1321-1)+4),1,3)+WEEKDAY(DATE(YEAR(A1321-WEEKDAY(A1321-1)+4),1,3))+5)/7))</f>
        <v/>
      </c>
      <c r="D1321" s="21" t="n"/>
      <c r="E1321" s="22" t="n"/>
      <c r="F1321" s="23" t="n"/>
      <c r="G1321" s="23" t="n"/>
      <c r="H1321" s="23" t="n"/>
      <c r="I1321" s="20">
        <f>IF(COUNT(F1321:H1321)=0,"",SUM(F1321:H1321))</f>
        <v/>
      </c>
      <c r="J1321" s="23" t="n"/>
      <c r="K1321" s="23" t="n"/>
      <c r="L1321" s="23" t="n"/>
      <c r="M1321" s="23" t="n"/>
      <c r="N1321" s="23" t="n"/>
      <c r="O1321" s="20">
        <f>IF(OR(I1321="",COUNT(J1321:N1321)=0),"",IF(SUM(J1321:N1321)=I1321,"✓","⚠ "&amp;SUM(J1321:N1321)&amp;" statt "&amp;I1321))</f>
        <v/>
      </c>
      <c r="P1321" s="21" t="n"/>
      <c r="Q1321" s="21" t="n"/>
      <c r="R1321" s="21" t="n"/>
      <c r="S1321" s="24" t="n"/>
      <c r="T1321" s="24" t="n"/>
      <c r="V1321">
        <f>IF(A1321="","",MONTH(A1321))</f>
        <v/>
      </c>
      <c r="W1321">
        <f>N(W1320)+IF(AND(C1321&lt;&gt;"",T1321&lt;&gt;""),IF(C1321=WOCHE!$B$3,1,0),0)</f>
        <v/>
      </c>
      <c r="X1321">
        <f>N(X1320)+IF(AND(V1321&lt;&gt;"",T1321&lt;&gt;""),IF(V1321=MONAT!$AZ$3,1,0),0)</f>
        <v/>
      </c>
    </row>
    <row r="1322">
      <c r="A1322" s="19" t="n"/>
      <c r="B1322" s="20">
        <f>IF(A1322="","",CHOOSE(WEEKDAY(A1322,2),"Mo","Di","Mi","Do","Fr","Sa","So"))</f>
        <v/>
      </c>
      <c r="C1322" s="20">
        <f>IF(A1322="","",INT((A1322-DATE(YEAR(A1322-WEEKDAY(A1322-1)+4),1,3)+WEEKDAY(DATE(YEAR(A1322-WEEKDAY(A1322-1)+4),1,3))+5)/7))</f>
        <v/>
      </c>
      <c r="D1322" s="21" t="n"/>
      <c r="E1322" s="22" t="n"/>
      <c r="F1322" s="23" t="n"/>
      <c r="G1322" s="23" t="n"/>
      <c r="H1322" s="23" t="n"/>
      <c r="I1322" s="20">
        <f>IF(COUNT(F1322:H1322)=0,"",SUM(F1322:H1322))</f>
        <v/>
      </c>
      <c r="J1322" s="23" t="n"/>
      <c r="K1322" s="23" t="n"/>
      <c r="L1322" s="23" t="n"/>
      <c r="M1322" s="23" t="n"/>
      <c r="N1322" s="23" t="n"/>
      <c r="O1322" s="20">
        <f>IF(OR(I1322="",COUNT(J1322:N1322)=0),"",IF(SUM(J1322:N1322)=I1322,"✓","⚠ "&amp;SUM(J1322:N1322)&amp;" statt "&amp;I1322))</f>
        <v/>
      </c>
      <c r="P1322" s="21" t="n"/>
      <c r="Q1322" s="21" t="n"/>
      <c r="R1322" s="21" t="n"/>
      <c r="S1322" s="24" t="n"/>
      <c r="T1322" s="24" t="n"/>
      <c r="V1322">
        <f>IF(A1322="","",MONTH(A1322))</f>
        <v/>
      </c>
      <c r="W1322">
        <f>N(W1321)+IF(AND(C1322&lt;&gt;"",T1322&lt;&gt;""),IF(C1322=WOCHE!$B$3,1,0),0)</f>
        <v/>
      </c>
      <c r="X1322">
        <f>N(X1321)+IF(AND(V1322&lt;&gt;"",T1322&lt;&gt;""),IF(V1322=MONAT!$AZ$3,1,0),0)</f>
        <v/>
      </c>
    </row>
    <row r="1323">
      <c r="A1323" s="19" t="n"/>
      <c r="B1323" s="20">
        <f>IF(A1323="","",CHOOSE(WEEKDAY(A1323,2),"Mo","Di","Mi","Do","Fr","Sa","So"))</f>
        <v/>
      </c>
      <c r="C1323" s="20">
        <f>IF(A1323="","",INT((A1323-DATE(YEAR(A1323-WEEKDAY(A1323-1)+4),1,3)+WEEKDAY(DATE(YEAR(A1323-WEEKDAY(A1323-1)+4),1,3))+5)/7))</f>
        <v/>
      </c>
      <c r="D1323" s="21" t="n"/>
      <c r="E1323" s="22" t="n"/>
      <c r="F1323" s="23" t="n"/>
      <c r="G1323" s="23" t="n"/>
      <c r="H1323" s="23" t="n"/>
      <c r="I1323" s="20">
        <f>IF(COUNT(F1323:H1323)=0,"",SUM(F1323:H1323))</f>
        <v/>
      </c>
      <c r="J1323" s="23" t="n"/>
      <c r="K1323" s="23" t="n"/>
      <c r="L1323" s="23" t="n"/>
      <c r="M1323" s="23" t="n"/>
      <c r="N1323" s="23" t="n"/>
      <c r="O1323" s="20">
        <f>IF(OR(I1323="",COUNT(J1323:N1323)=0),"",IF(SUM(J1323:N1323)=I1323,"✓","⚠ "&amp;SUM(J1323:N1323)&amp;" statt "&amp;I1323))</f>
        <v/>
      </c>
      <c r="P1323" s="21" t="n"/>
      <c r="Q1323" s="21" t="n"/>
      <c r="R1323" s="21" t="n"/>
      <c r="S1323" s="24" t="n"/>
      <c r="T1323" s="24" t="n"/>
      <c r="V1323">
        <f>IF(A1323="","",MONTH(A1323))</f>
        <v/>
      </c>
      <c r="W1323">
        <f>N(W1322)+IF(AND(C1323&lt;&gt;"",T1323&lt;&gt;""),IF(C1323=WOCHE!$B$3,1,0),0)</f>
        <v/>
      </c>
      <c r="X1323">
        <f>N(X1322)+IF(AND(V1323&lt;&gt;"",T1323&lt;&gt;""),IF(V1323=MONAT!$AZ$3,1,0),0)</f>
        <v/>
      </c>
    </row>
    <row r="1324">
      <c r="A1324" s="19" t="n"/>
      <c r="B1324" s="20">
        <f>IF(A1324="","",CHOOSE(WEEKDAY(A1324,2),"Mo","Di","Mi","Do","Fr","Sa","So"))</f>
        <v/>
      </c>
      <c r="C1324" s="20">
        <f>IF(A1324="","",INT((A1324-DATE(YEAR(A1324-WEEKDAY(A1324-1)+4),1,3)+WEEKDAY(DATE(YEAR(A1324-WEEKDAY(A1324-1)+4),1,3))+5)/7))</f>
        <v/>
      </c>
      <c r="D1324" s="21" t="n"/>
      <c r="E1324" s="22" t="n"/>
      <c r="F1324" s="23" t="n"/>
      <c r="G1324" s="23" t="n"/>
      <c r="H1324" s="23" t="n"/>
      <c r="I1324" s="20">
        <f>IF(COUNT(F1324:H1324)=0,"",SUM(F1324:H1324))</f>
        <v/>
      </c>
      <c r="J1324" s="23" t="n"/>
      <c r="K1324" s="23" t="n"/>
      <c r="L1324" s="23" t="n"/>
      <c r="M1324" s="23" t="n"/>
      <c r="N1324" s="23" t="n"/>
      <c r="O1324" s="20">
        <f>IF(OR(I1324="",COUNT(J1324:N1324)=0),"",IF(SUM(J1324:N1324)=I1324,"✓","⚠ "&amp;SUM(J1324:N1324)&amp;" statt "&amp;I1324))</f>
        <v/>
      </c>
      <c r="P1324" s="21" t="n"/>
      <c r="Q1324" s="21" t="n"/>
      <c r="R1324" s="21" t="n"/>
      <c r="S1324" s="24" t="n"/>
      <c r="T1324" s="24" t="n"/>
      <c r="V1324">
        <f>IF(A1324="","",MONTH(A1324))</f>
        <v/>
      </c>
      <c r="W1324">
        <f>N(W1323)+IF(AND(C1324&lt;&gt;"",T1324&lt;&gt;""),IF(C1324=WOCHE!$B$3,1,0),0)</f>
        <v/>
      </c>
      <c r="X1324">
        <f>N(X1323)+IF(AND(V1324&lt;&gt;"",T1324&lt;&gt;""),IF(V1324=MONAT!$AZ$3,1,0),0)</f>
        <v/>
      </c>
    </row>
    <row r="1325">
      <c r="A1325" s="19" t="n"/>
      <c r="B1325" s="20">
        <f>IF(A1325="","",CHOOSE(WEEKDAY(A1325,2),"Mo","Di","Mi","Do","Fr","Sa","So"))</f>
        <v/>
      </c>
      <c r="C1325" s="20">
        <f>IF(A1325="","",INT((A1325-DATE(YEAR(A1325-WEEKDAY(A1325-1)+4),1,3)+WEEKDAY(DATE(YEAR(A1325-WEEKDAY(A1325-1)+4),1,3))+5)/7))</f>
        <v/>
      </c>
      <c r="D1325" s="21" t="n"/>
      <c r="E1325" s="22" t="n"/>
      <c r="F1325" s="23" t="n"/>
      <c r="G1325" s="23" t="n"/>
      <c r="H1325" s="23" t="n"/>
      <c r="I1325" s="20">
        <f>IF(COUNT(F1325:H1325)=0,"",SUM(F1325:H1325))</f>
        <v/>
      </c>
      <c r="J1325" s="23" t="n"/>
      <c r="K1325" s="23" t="n"/>
      <c r="L1325" s="23" t="n"/>
      <c r="M1325" s="23" t="n"/>
      <c r="N1325" s="23" t="n"/>
      <c r="O1325" s="20">
        <f>IF(OR(I1325="",COUNT(J1325:N1325)=0),"",IF(SUM(J1325:N1325)=I1325,"✓","⚠ "&amp;SUM(J1325:N1325)&amp;" statt "&amp;I1325))</f>
        <v/>
      </c>
      <c r="P1325" s="21" t="n"/>
      <c r="Q1325" s="21" t="n"/>
      <c r="R1325" s="21" t="n"/>
      <c r="S1325" s="24" t="n"/>
      <c r="T1325" s="24" t="n"/>
      <c r="V1325">
        <f>IF(A1325="","",MONTH(A1325))</f>
        <v/>
      </c>
      <c r="W1325">
        <f>N(W1324)+IF(AND(C1325&lt;&gt;"",T1325&lt;&gt;""),IF(C1325=WOCHE!$B$3,1,0),0)</f>
        <v/>
      </c>
      <c r="X1325">
        <f>N(X1324)+IF(AND(V1325&lt;&gt;"",T1325&lt;&gt;""),IF(V1325=MONAT!$AZ$3,1,0),0)</f>
        <v/>
      </c>
    </row>
    <row r="1326">
      <c r="A1326" s="19" t="n"/>
      <c r="B1326" s="20">
        <f>IF(A1326="","",CHOOSE(WEEKDAY(A1326,2),"Mo","Di","Mi","Do","Fr","Sa","So"))</f>
        <v/>
      </c>
      <c r="C1326" s="20">
        <f>IF(A1326="","",INT((A1326-DATE(YEAR(A1326-WEEKDAY(A1326-1)+4),1,3)+WEEKDAY(DATE(YEAR(A1326-WEEKDAY(A1326-1)+4),1,3))+5)/7))</f>
        <v/>
      </c>
      <c r="D1326" s="21" t="n"/>
      <c r="E1326" s="22" t="n"/>
      <c r="F1326" s="23" t="n"/>
      <c r="G1326" s="23" t="n"/>
      <c r="H1326" s="23" t="n"/>
      <c r="I1326" s="20">
        <f>IF(COUNT(F1326:H1326)=0,"",SUM(F1326:H1326))</f>
        <v/>
      </c>
      <c r="J1326" s="23" t="n"/>
      <c r="K1326" s="23" t="n"/>
      <c r="L1326" s="23" t="n"/>
      <c r="M1326" s="23" t="n"/>
      <c r="N1326" s="23" t="n"/>
      <c r="O1326" s="20">
        <f>IF(OR(I1326="",COUNT(J1326:N1326)=0),"",IF(SUM(J1326:N1326)=I1326,"✓","⚠ "&amp;SUM(J1326:N1326)&amp;" statt "&amp;I1326))</f>
        <v/>
      </c>
      <c r="P1326" s="21" t="n"/>
      <c r="Q1326" s="21" t="n"/>
      <c r="R1326" s="21" t="n"/>
      <c r="S1326" s="24" t="n"/>
      <c r="T1326" s="24" t="n"/>
      <c r="V1326">
        <f>IF(A1326="","",MONTH(A1326))</f>
        <v/>
      </c>
      <c r="W1326">
        <f>N(W1325)+IF(AND(C1326&lt;&gt;"",T1326&lt;&gt;""),IF(C1326=WOCHE!$B$3,1,0),0)</f>
        <v/>
      </c>
      <c r="X1326">
        <f>N(X1325)+IF(AND(V1326&lt;&gt;"",T1326&lt;&gt;""),IF(V1326=MONAT!$AZ$3,1,0),0)</f>
        <v/>
      </c>
    </row>
    <row r="1327">
      <c r="A1327" s="19" t="n"/>
      <c r="B1327" s="20">
        <f>IF(A1327="","",CHOOSE(WEEKDAY(A1327,2),"Mo","Di","Mi","Do","Fr","Sa","So"))</f>
        <v/>
      </c>
      <c r="C1327" s="20">
        <f>IF(A1327="","",INT((A1327-DATE(YEAR(A1327-WEEKDAY(A1327-1)+4),1,3)+WEEKDAY(DATE(YEAR(A1327-WEEKDAY(A1327-1)+4),1,3))+5)/7))</f>
        <v/>
      </c>
      <c r="D1327" s="21" t="n"/>
      <c r="E1327" s="22" t="n"/>
      <c r="F1327" s="23" t="n"/>
      <c r="G1327" s="23" t="n"/>
      <c r="H1327" s="23" t="n"/>
      <c r="I1327" s="20">
        <f>IF(COUNT(F1327:H1327)=0,"",SUM(F1327:H1327))</f>
        <v/>
      </c>
      <c r="J1327" s="23" t="n"/>
      <c r="K1327" s="23" t="n"/>
      <c r="L1327" s="23" t="n"/>
      <c r="M1327" s="23" t="n"/>
      <c r="N1327" s="23" t="n"/>
      <c r="O1327" s="20">
        <f>IF(OR(I1327="",COUNT(J1327:N1327)=0),"",IF(SUM(J1327:N1327)=I1327,"✓","⚠ "&amp;SUM(J1327:N1327)&amp;" statt "&amp;I1327))</f>
        <v/>
      </c>
      <c r="P1327" s="21" t="n"/>
      <c r="Q1327" s="21" t="n"/>
      <c r="R1327" s="21" t="n"/>
      <c r="S1327" s="24" t="n"/>
      <c r="T1327" s="24" t="n"/>
      <c r="V1327">
        <f>IF(A1327="","",MONTH(A1327))</f>
        <v/>
      </c>
      <c r="W1327">
        <f>N(W1326)+IF(AND(C1327&lt;&gt;"",T1327&lt;&gt;""),IF(C1327=WOCHE!$B$3,1,0),0)</f>
        <v/>
      </c>
      <c r="X1327">
        <f>N(X1326)+IF(AND(V1327&lt;&gt;"",T1327&lt;&gt;""),IF(V1327=MONAT!$AZ$3,1,0),0)</f>
        <v/>
      </c>
    </row>
    <row r="1328">
      <c r="A1328" s="19" t="n"/>
      <c r="B1328" s="20">
        <f>IF(A1328="","",CHOOSE(WEEKDAY(A1328,2),"Mo","Di","Mi","Do","Fr","Sa","So"))</f>
        <v/>
      </c>
      <c r="C1328" s="20">
        <f>IF(A1328="","",INT((A1328-DATE(YEAR(A1328-WEEKDAY(A1328-1)+4),1,3)+WEEKDAY(DATE(YEAR(A1328-WEEKDAY(A1328-1)+4),1,3))+5)/7))</f>
        <v/>
      </c>
      <c r="D1328" s="21" t="n"/>
      <c r="E1328" s="22" t="n"/>
      <c r="F1328" s="23" t="n"/>
      <c r="G1328" s="23" t="n"/>
      <c r="H1328" s="23" t="n"/>
      <c r="I1328" s="20">
        <f>IF(COUNT(F1328:H1328)=0,"",SUM(F1328:H1328))</f>
        <v/>
      </c>
      <c r="J1328" s="23" t="n"/>
      <c r="K1328" s="23" t="n"/>
      <c r="L1328" s="23" t="n"/>
      <c r="M1328" s="23" t="n"/>
      <c r="N1328" s="23" t="n"/>
      <c r="O1328" s="20">
        <f>IF(OR(I1328="",COUNT(J1328:N1328)=0),"",IF(SUM(J1328:N1328)=I1328,"✓","⚠ "&amp;SUM(J1328:N1328)&amp;" statt "&amp;I1328))</f>
        <v/>
      </c>
      <c r="P1328" s="21" t="n"/>
      <c r="Q1328" s="21" t="n"/>
      <c r="R1328" s="21" t="n"/>
      <c r="S1328" s="24" t="n"/>
      <c r="T1328" s="24" t="n"/>
      <c r="V1328">
        <f>IF(A1328="","",MONTH(A1328))</f>
        <v/>
      </c>
      <c r="W1328">
        <f>N(W1327)+IF(AND(C1328&lt;&gt;"",T1328&lt;&gt;""),IF(C1328=WOCHE!$B$3,1,0),0)</f>
        <v/>
      </c>
      <c r="X1328">
        <f>N(X1327)+IF(AND(V1328&lt;&gt;"",T1328&lt;&gt;""),IF(V1328=MONAT!$AZ$3,1,0),0)</f>
        <v/>
      </c>
    </row>
    <row r="1329">
      <c r="A1329" s="19" t="n"/>
      <c r="B1329" s="20">
        <f>IF(A1329="","",CHOOSE(WEEKDAY(A1329,2),"Mo","Di","Mi","Do","Fr","Sa","So"))</f>
        <v/>
      </c>
      <c r="C1329" s="20">
        <f>IF(A1329="","",INT((A1329-DATE(YEAR(A1329-WEEKDAY(A1329-1)+4),1,3)+WEEKDAY(DATE(YEAR(A1329-WEEKDAY(A1329-1)+4),1,3))+5)/7))</f>
        <v/>
      </c>
      <c r="D1329" s="21" t="n"/>
      <c r="E1329" s="22" t="n"/>
      <c r="F1329" s="23" t="n"/>
      <c r="G1329" s="23" t="n"/>
      <c r="H1329" s="23" t="n"/>
      <c r="I1329" s="20">
        <f>IF(COUNT(F1329:H1329)=0,"",SUM(F1329:H1329))</f>
        <v/>
      </c>
      <c r="J1329" s="23" t="n"/>
      <c r="K1329" s="23" t="n"/>
      <c r="L1329" s="23" t="n"/>
      <c r="M1329" s="23" t="n"/>
      <c r="N1329" s="23" t="n"/>
      <c r="O1329" s="20">
        <f>IF(OR(I1329="",COUNT(J1329:N1329)=0),"",IF(SUM(J1329:N1329)=I1329,"✓","⚠ "&amp;SUM(J1329:N1329)&amp;" statt "&amp;I1329))</f>
        <v/>
      </c>
      <c r="P1329" s="21" t="n"/>
      <c r="Q1329" s="21" t="n"/>
      <c r="R1329" s="21" t="n"/>
      <c r="S1329" s="24" t="n"/>
      <c r="T1329" s="24" t="n"/>
      <c r="V1329">
        <f>IF(A1329="","",MONTH(A1329))</f>
        <v/>
      </c>
      <c r="W1329">
        <f>N(W1328)+IF(AND(C1329&lt;&gt;"",T1329&lt;&gt;""),IF(C1329=WOCHE!$B$3,1,0),0)</f>
        <v/>
      </c>
      <c r="X1329">
        <f>N(X1328)+IF(AND(V1329&lt;&gt;"",T1329&lt;&gt;""),IF(V1329=MONAT!$AZ$3,1,0),0)</f>
        <v/>
      </c>
    </row>
    <row r="1330">
      <c r="A1330" s="19" t="n"/>
      <c r="B1330" s="20">
        <f>IF(A1330="","",CHOOSE(WEEKDAY(A1330,2),"Mo","Di","Mi","Do","Fr","Sa","So"))</f>
        <v/>
      </c>
      <c r="C1330" s="20">
        <f>IF(A1330="","",INT((A1330-DATE(YEAR(A1330-WEEKDAY(A1330-1)+4),1,3)+WEEKDAY(DATE(YEAR(A1330-WEEKDAY(A1330-1)+4),1,3))+5)/7))</f>
        <v/>
      </c>
      <c r="D1330" s="21" t="n"/>
      <c r="E1330" s="22" t="n"/>
      <c r="F1330" s="23" t="n"/>
      <c r="G1330" s="23" t="n"/>
      <c r="H1330" s="23" t="n"/>
      <c r="I1330" s="20">
        <f>IF(COUNT(F1330:H1330)=0,"",SUM(F1330:H1330))</f>
        <v/>
      </c>
      <c r="J1330" s="23" t="n"/>
      <c r="K1330" s="23" t="n"/>
      <c r="L1330" s="23" t="n"/>
      <c r="M1330" s="23" t="n"/>
      <c r="N1330" s="23" t="n"/>
      <c r="O1330" s="20">
        <f>IF(OR(I1330="",COUNT(J1330:N1330)=0),"",IF(SUM(J1330:N1330)=I1330,"✓","⚠ "&amp;SUM(J1330:N1330)&amp;" statt "&amp;I1330))</f>
        <v/>
      </c>
      <c r="P1330" s="21" t="n"/>
      <c r="Q1330" s="21" t="n"/>
      <c r="R1330" s="21" t="n"/>
      <c r="S1330" s="24" t="n"/>
      <c r="T1330" s="24" t="n"/>
      <c r="V1330">
        <f>IF(A1330="","",MONTH(A1330))</f>
        <v/>
      </c>
      <c r="W1330">
        <f>N(W1329)+IF(AND(C1330&lt;&gt;"",T1330&lt;&gt;""),IF(C1330=WOCHE!$B$3,1,0),0)</f>
        <v/>
      </c>
      <c r="X1330">
        <f>N(X1329)+IF(AND(V1330&lt;&gt;"",T1330&lt;&gt;""),IF(V1330=MONAT!$AZ$3,1,0),0)</f>
        <v/>
      </c>
    </row>
    <row r="1331">
      <c r="A1331" s="19" t="n"/>
      <c r="B1331" s="20">
        <f>IF(A1331="","",CHOOSE(WEEKDAY(A1331,2),"Mo","Di","Mi","Do","Fr","Sa","So"))</f>
        <v/>
      </c>
      <c r="C1331" s="20">
        <f>IF(A1331="","",INT((A1331-DATE(YEAR(A1331-WEEKDAY(A1331-1)+4),1,3)+WEEKDAY(DATE(YEAR(A1331-WEEKDAY(A1331-1)+4),1,3))+5)/7))</f>
        <v/>
      </c>
      <c r="D1331" s="21" t="n"/>
      <c r="E1331" s="22" t="n"/>
      <c r="F1331" s="23" t="n"/>
      <c r="G1331" s="23" t="n"/>
      <c r="H1331" s="23" t="n"/>
      <c r="I1331" s="20">
        <f>IF(COUNT(F1331:H1331)=0,"",SUM(F1331:H1331))</f>
        <v/>
      </c>
      <c r="J1331" s="23" t="n"/>
      <c r="K1331" s="23" t="n"/>
      <c r="L1331" s="23" t="n"/>
      <c r="M1331" s="23" t="n"/>
      <c r="N1331" s="23" t="n"/>
      <c r="O1331" s="20">
        <f>IF(OR(I1331="",COUNT(J1331:N1331)=0),"",IF(SUM(J1331:N1331)=I1331,"✓","⚠ "&amp;SUM(J1331:N1331)&amp;" statt "&amp;I1331))</f>
        <v/>
      </c>
      <c r="P1331" s="21" t="n"/>
      <c r="Q1331" s="21" t="n"/>
      <c r="R1331" s="21" t="n"/>
      <c r="S1331" s="24" t="n"/>
      <c r="T1331" s="24" t="n"/>
      <c r="V1331">
        <f>IF(A1331="","",MONTH(A1331))</f>
        <v/>
      </c>
      <c r="W1331">
        <f>N(W1330)+IF(AND(C1331&lt;&gt;"",T1331&lt;&gt;""),IF(C1331=WOCHE!$B$3,1,0),0)</f>
        <v/>
      </c>
      <c r="X1331">
        <f>N(X1330)+IF(AND(V1331&lt;&gt;"",T1331&lt;&gt;""),IF(V1331=MONAT!$AZ$3,1,0),0)</f>
        <v/>
      </c>
    </row>
    <row r="1332">
      <c r="A1332" s="19" t="n"/>
      <c r="B1332" s="20">
        <f>IF(A1332="","",CHOOSE(WEEKDAY(A1332,2),"Mo","Di","Mi","Do","Fr","Sa","So"))</f>
        <v/>
      </c>
      <c r="C1332" s="20">
        <f>IF(A1332="","",INT((A1332-DATE(YEAR(A1332-WEEKDAY(A1332-1)+4),1,3)+WEEKDAY(DATE(YEAR(A1332-WEEKDAY(A1332-1)+4),1,3))+5)/7))</f>
        <v/>
      </c>
      <c r="D1332" s="21" t="n"/>
      <c r="E1332" s="22" t="n"/>
      <c r="F1332" s="23" t="n"/>
      <c r="G1332" s="23" t="n"/>
      <c r="H1332" s="23" t="n"/>
      <c r="I1332" s="20">
        <f>IF(COUNT(F1332:H1332)=0,"",SUM(F1332:H1332))</f>
        <v/>
      </c>
      <c r="J1332" s="23" t="n"/>
      <c r="K1332" s="23" t="n"/>
      <c r="L1332" s="23" t="n"/>
      <c r="M1332" s="23" t="n"/>
      <c r="N1332" s="23" t="n"/>
      <c r="O1332" s="20">
        <f>IF(OR(I1332="",COUNT(J1332:N1332)=0),"",IF(SUM(J1332:N1332)=I1332,"✓","⚠ "&amp;SUM(J1332:N1332)&amp;" statt "&amp;I1332))</f>
        <v/>
      </c>
      <c r="P1332" s="21" t="n"/>
      <c r="Q1332" s="21" t="n"/>
      <c r="R1332" s="21" t="n"/>
      <c r="S1332" s="24" t="n"/>
      <c r="T1332" s="24" t="n"/>
      <c r="V1332">
        <f>IF(A1332="","",MONTH(A1332))</f>
        <v/>
      </c>
      <c r="W1332">
        <f>N(W1331)+IF(AND(C1332&lt;&gt;"",T1332&lt;&gt;""),IF(C1332=WOCHE!$B$3,1,0),0)</f>
        <v/>
      </c>
      <c r="X1332">
        <f>N(X1331)+IF(AND(V1332&lt;&gt;"",T1332&lt;&gt;""),IF(V1332=MONAT!$AZ$3,1,0),0)</f>
        <v/>
      </c>
    </row>
    <row r="1333">
      <c r="A1333" s="19" t="n"/>
      <c r="B1333" s="20">
        <f>IF(A1333="","",CHOOSE(WEEKDAY(A1333,2),"Mo","Di","Mi","Do","Fr","Sa","So"))</f>
        <v/>
      </c>
      <c r="C1333" s="20">
        <f>IF(A1333="","",INT((A1333-DATE(YEAR(A1333-WEEKDAY(A1333-1)+4),1,3)+WEEKDAY(DATE(YEAR(A1333-WEEKDAY(A1333-1)+4),1,3))+5)/7))</f>
        <v/>
      </c>
      <c r="D1333" s="21" t="n"/>
      <c r="E1333" s="22" t="n"/>
      <c r="F1333" s="23" t="n"/>
      <c r="G1333" s="23" t="n"/>
      <c r="H1333" s="23" t="n"/>
      <c r="I1333" s="20">
        <f>IF(COUNT(F1333:H1333)=0,"",SUM(F1333:H1333))</f>
        <v/>
      </c>
      <c r="J1333" s="23" t="n"/>
      <c r="K1333" s="23" t="n"/>
      <c r="L1333" s="23" t="n"/>
      <c r="M1333" s="23" t="n"/>
      <c r="N1333" s="23" t="n"/>
      <c r="O1333" s="20">
        <f>IF(OR(I1333="",COUNT(J1333:N1333)=0),"",IF(SUM(J1333:N1333)=I1333,"✓","⚠ "&amp;SUM(J1333:N1333)&amp;" statt "&amp;I1333))</f>
        <v/>
      </c>
      <c r="P1333" s="21" t="n"/>
      <c r="Q1333" s="21" t="n"/>
      <c r="R1333" s="21" t="n"/>
      <c r="S1333" s="24" t="n"/>
      <c r="T1333" s="24" t="n"/>
      <c r="V1333">
        <f>IF(A1333="","",MONTH(A1333))</f>
        <v/>
      </c>
      <c r="W1333">
        <f>N(W1332)+IF(AND(C1333&lt;&gt;"",T1333&lt;&gt;""),IF(C1333=WOCHE!$B$3,1,0),0)</f>
        <v/>
      </c>
      <c r="X1333">
        <f>N(X1332)+IF(AND(V1333&lt;&gt;"",T1333&lt;&gt;""),IF(V1333=MONAT!$AZ$3,1,0),0)</f>
        <v/>
      </c>
    </row>
    <row r="1334">
      <c r="A1334" s="19" t="n"/>
      <c r="B1334" s="20">
        <f>IF(A1334="","",CHOOSE(WEEKDAY(A1334,2),"Mo","Di","Mi","Do","Fr","Sa","So"))</f>
        <v/>
      </c>
      <c r="C1334" s="20">
        <f>IF(A1334="","",INT((A1334-DATE(YEAR(A1334-WEEKDAY(A1334-1)+4),1,3)+WEEKDAY(DATE(YEAR(A1334-WEEKDAY(A1334-1)+4),1,3))+5)/7))</f>
        <v/>
      </c>
      <c r="D1334" s="21" t="n"/>
      <c r="E1334" s="22" t="n"/>
      <c r="F1334" s="23" t="n"/>
      <c r="G1334" s="23" t="n"/>
      <c r="H1334" s="23" t="n"/>
      <c r="I1334" s="20">
        <f>IF(COUNT(F1334:H1334)=0,"",SUM(F1334:H1334))</f>
        <v/>
      </c>
      <c r="J1334" s="23" t="n"/>
      <c r="K1334" s="23" t="n"/>
      <c r="L1334" s="23" t="n"/>
      <c r="M1334" s="23" t="n"/>
      <c r="N1334" s="23" t="n"/>
      <c r="O1334" s="20">
        <f>IF(OR(I1334="",COUNT(J1334:N1334)=0),"",IF(SUM(J1334:N1334)=I1334,"✓","⚠ "&amp;SUM(J1334:N1334)&amp;" statt "&amp;I1334))</f>
        <v/>
      </c>
      <c r="P1334" s="21" t="n"/>
      <c r="Q1334" s="21" t="n"/>
      <c r="R1334" s="21" t="n"/>
      <c r="S1334" s="24" t="n"/>
      <c r="T1334" s="24" t="n"/>
      <c r="V1334">
        <f>IF(A1334="","",MONTH(A1334))</f>
        <v/>
      </c>
      <c r="W1334">
        <f>N(W1333)+IF(AND(C1334&lt;&gt;"",T1334&lt;&gt;""),IF(C1334=WOCHE!$B$3,1,0),0)</f>
        <v/>
      </c>
      <c r="X1334">
        <f>N(X1333)+IF(AND(V1334&lt;&gt;"",T1334&lt;&gt;""),IF(V1334=MONAT!$AZ$3,1,0),0)</f>
        <v/>
      </c>
    </row>
    <row r="1335">
      <c r="A1335" s="19" t="n"/>
      <c r="B1335" s="20">
        <f>IF(A1335="","",CHOOSE(WEEKDAY(A1335,2),"Mo","Di","Mi","Do","Fr","Sa","So"))</f>
        <v/>
      </c>
      <c r="C1335" s="20">
        <f>IF(A1335="","",INT((A1335-DATE(YEAR(A1335-WEEKDAY(A1335-1)+4),1,3)+WEEKDAY(DATE(YEAR(A1335-WEEKDAY(A1335-1)+4),1,3))+5)/7))</f>
        <v/>
      </c>
      <c r="D1335" s="21" t="n"/>
      <c r="E1335" s="22" t="n"/>
      <c r="F1335" s="23" t="n"/>
      <c r="G1335" s="23" t="n"/>
      <c r="H1335" s="23" t="n"/>
      <c r="I1335" s="20">
        <f>IF(COUNT(F1335:H1335)=0,"",SUM(F1335:H1335))</f>
        <v/>
      </c>
      <c r="J1335" s="23" t="n"/>
      <c r="K1335" s="23" t="n"/>
      <c r="L1335" s="23" t="n"/>
      <c r="M1335" s="23" t="n"/>
      <c r="N1335" s="23" t="n"/>
      <c r="O1335" s="20">
        <f>IF(OR(I1335="",COUNT(J1335:N1335)=0),"",IF(SUM(J1335:N1335)=I1335,"✓","⚠ "&amp;SUM(J1335:N1335)&amp;" statt "&amp;I1335))</f>
        <v/>
      </c>
      <c r="P1335" s="21" t="n"/>
      <c r="Q1335" s="21" t="n"/>
      <c r="R1335" s="21" t="n"/>
      <c r="S1335" s="24" t="n"/>
      <c r="T1335" s="24" t="n"/>
      <c r="V1335">
        <f>IF(A1335="","",MONTH(A1335))</f>
        <v/>
      </c>
      <c r="W1335">
        <f>N(W1334)+IF(AND(C1335&lt;&gt;"",T1335&lt;&gt;""),IF(C1335=WOCHE!$B$3,1,0),0)</f>
        <v/>
      </c>
      <c r="X1335">
        <f>N(X1334)+IF(AND(V1335&lt;&gt;"",T1335&lt;&gt;""),IF(V1335=MONAT!$AZ$3,1,0),0)</f>
        <v/>
      </c>
    </row>
    <row r="1336">
      <c r="A1336" s="19" t="n"/>
      <c r="B1336" s="20">
        <f>IF(A1336="","",CHOOSE(WEEKDAY(A1336,2),"Mo","Di","Mi","Do","Fr","Sa","So"))</f>
        <v/>
      </c>
      <c r="C1336" s="20">
        <f>IF(A1336="","",INT((A1336-DATE(YEAR(A1336-WEEKDAY(A1336-1)+4),1,3)+WEEKDAY(DATE(YEAR(A1336-WEEKDAY(A1336-1)+4),1,3))+5)/7))</f>
        <v/>
      </c>
      <c r="D1336" s="21" t="n"/>
      <c r="E1336" s="22" t="n"/>
      <c r="F1336" s="23" t="n"/>
      <c r="G1336" s="23" t="n"/>
      <c r="H1336" s="23" t="n"/>
      <c r="I1336" s="20">
        <f>IF(COUNT(F1336:H1336)=0,"",SUM(F1336:H1336))</f>
        <v/>
      </c>
      <c r="J1336" s="23" t="n"/>
      <c r="K1336" s="23" t="n"/>
      <c r="L1336" s="23" t="n"/>
      <c r="M1336" s="23" t="n"/>
      <c r="N1336" s="23" t="n"/>
      <c r="O1336" s="20">
        <f>IF(OR(I1336="",COUNT(J1336:N1336)=0),"",IF(SUM(J1336:N1336)=I1336,"✓","⚠ "&amp;SUM(J1336:N1336)&amp;" statt "&amp;I1336))</f>
        <v/>
      </c>
      <c r="P1336" s="21" t="n"/>
      <c r="Q1336" s="21" t="n"/>
      <c r="R1336" s="21" t="n"/>
      <c r="S1336" s="24" t="n"/>
      <c r="T1336" s="24" t="n"/>
      <c r="V1336">
        <f>IF(A1336="","",MONTH(A1336))</f>
        <v/>
      </c>
      <c r="W1336">
        <f>N(W1335)+IF(AND(C1336&lt;&gt;"",T1336&lt;&gt;""),IF(C1336=WOCHE!$B$3,1,0),0)</f>
        <v/>
      </c>
      <c r="X1336">
        <f>N(X1335)+IF(AND(V1336&lt;&gt;"",T1336&lt;&gt;""),IF(V1336=MONAT!$AZ$3,1,0),0)</f>
        <v/>
      </c>
    </row>
    <row r="1337">
      <c r="A1337" s="19" t="n"/>
      <c r="B1337" s="20">
        <f>IF(A1337="","",CHOOSE(WEEKDAY(A1337,2),"Mo","Di","Mi","Do","Fr","Sa","So"))</f>
        <v/>
      </c>
      <c r="C1337" s="20">
        <f>IF(A1337="","",INT((A1337-DATE(YEAR(A1337-WEEKDAY(A1337-1)+4),1,3)+WEEKDAY(DATE(YEAR(A1337-WEEKDAY(A1337-1)+4),1,3))+5)/7))</f>
        <v/>
      </c>
      <c r="D1337" s="21" t="n"/>
      <c r="E1337" s="22" t="n"/>
      <c r="F1337" s="23" t="n"/>
      <c r="G1337" s="23" t="n"/>
      <c r="H1337" s="23" t="n"/>
      <c r="I1337" s="20">
        <f>IF(COUNT(F1337:H1337)=0,"",SUM(F1337:H1337))</f>
        <v/>
      </c>
      <c r="J1337" s="23" t="n"/>
      <c r="K1337" s="23" t="n"/>
      <c r="L1337" s="23" t="n"/>
      <c r="M1337" s="23" t="n"/>
      <c r="N1337" s="23" t="n"/>
      <c r="O1337" s="20">
        <f>IF(OR(I1337="",COUNT(J1337:N1337)=0),"",IF(SUM(J1337:N1337)=I1337,"✓","⚠ "&amp;SUM(J1337:N1337)&amp;" statt "&amp;I1337))</f>
        <v/>
      </c>
      <c r="P1337" s="21" t="n"/>
      <c r="Q1337" s="21" t="n"/>
      <c r="R1337" s="21" t="n"/>
      <c r="S1337" s="24" t="n"/>
      <c r="T1337" s="24" t="n"/>
      <c r="V1337">
        <f>IF(A1337="","",MONTH(A1337))</f>
        <v/>
      </c>
      <c r="W1337">
        <f>N(W1336)+IF(AND(C1337&lt;&gt;"",T1337&lt;&gt;""),IF(C1337=WOCHE!$B$3,1,0),0)</f>
        <v/>
      </c>
      <c r="X1337">
        <f>N(X1336)+IF(AND(V1337&lt;&gt;"",T1337&lt;&gt;""),IF(V1337=MONAT!$AZ$3,1,0),0)</f>
        <v/>
      </c>
    </row>
    <row r="1338">
      <c r="A1338" s="19" t="n"/>
      <c r="B1338" s="20">
        <f>IF(A1338="","",CHOOSE(WEEKDAY(A1338,2),"Mo","Di","Mi","Do","Fr","Sa","So"))</f>
        <v/>
      </c>
      <c r="C1338" s="20">
        <f>IF(A1338="","",INT((A1338-DATE(YEAR(A1338-WEEKDAY(A1338-1)+4),1,3)+WEEKDAY(DATE(YEAR(A1338-WEEKDAY(A1338-1)+4),1,3))+5)/7))</f>
        <v/>
      </c>
      <c r="D1338" s="21" t="n"/>
      <c r="E1338" s="22" t="n"/>
      <c r="F1338" s="23" t="n"/>
      <c r="G1338" s="23" t="n"/>
      <c r="H1338" s="23" t="n"/>
      <c r="I1338" s="20">
        <f>IF(COUNT(F1338:H1338)=0,"",SUM(F1338:H1338))</f>
        <v/>
      </c>
      <c r="J1338" s="23" t="n"/>
      <c r="K1338" s="23" t="n"/>
      <c r="L1338" s="23" t="n"/>
      <c r="M1338" s="23" t="n"/>
      <c r="N1338" s="23" t="n"/>
      <c r="O1338" s="20">
        <f>IF(OR(I1338="",COUNT(J1338:N1338)=0),"",IF(SUM(J1338:N1338)=I1338,"✓","⚠ "&amp;SUM(J1338:N1338)&amp;" statt "&amp;I1338))</f>
        <v/>
      </c>
      <c r="P1338" s="21" t="n"/>
      <c r="Q1338" s="21" t="n"/>
      <c r="R1338" s="21" t="n"/>
      <c r="S1338" s="24" t="n"/>
      <c r="T1338" s="24" t="n"/>
      <c r="V1338">
        <f>IF(A1338="","",MONTH(A1338))</f>
        <v/>
      </c>
      <c r="W1338">
        <f>N(W1337)+IF(AND(C1338&lt;&gt;"",T1338&lt;&gt;""),IF(C1338=WOCHE!$B$3,1,0),0)</f>
        <v/>
      </c>
      <c r="X1338">
        <f>N(X1337)+IF(AND(V1338&lt;&gt;"",T1338&lt;&gt;""),IF(V1338=MONAT!$AZ$3,1,0),0)</f>
        <v/>
      </c>
    </row>
    <row r="1339">
      <c r="A1339" s="19" t="n"/>
      <c r="B1339" s="20">
        <f>IF(A1339="","",CHOOSE(WEEKDAY(A1339,2),"Mo","Di","Mi","Do","Fr","Sa","So"))</f>
        <v/>
      </c>
      <c r="C1339" s="20">
        <f>IF(A1339="","",INT((A1339-DATE(YEAR(A1339-WEEKDAY(A1339-1)+4),1,3)+WEEKDAY(DATE(YEAR(A1339-WEEKDAY(A1339-1)+4),1,3))+5)/7))</f>
        <v/>
      </c>
      <c r="D1339" s="21" t="n"/>
      <c r="E1339" s="22" t="n"/>
      <c r="F1339" s="23" t="n"/>
      <c r="G1339" s="23" t="n"/>
      <c r="H1339" s="23" t="n"/>
      <c r="I1339" s="20">
        <f>IF(COUNT(F1339:H1339)=0,"",SUM(F1339:H1339))</f>
        <v/>
      </c>
      <c r="J1339" s="23" t="n"/>
      <c r="K1339" s="23" t="n"/>
      <c r="L1339" s="23" t="n"/>
      <c r="M1339" s="23" t="n"/>
      <c r="N1339" s="23" t="n"/>
      <c r="O1339" s="20">
        <f>IF(OR(I1339="",COUNT(J1339:N1339)=0),"",IF(SUM(J1339:N1339)=I1339,"✓","⚠ "&amp;SUM(J1339:N1339)&amp;" statt "&amp;I1339))</f>
        <v/>
      </c>
      <c r="P1339" s="21" t="n"/>
      <c r="Q1339" s="21" t="n"/>
      <c r="R1339" s="21" t="n"/>
      <c r="S1339" s="24" t="n"/>
      <c r="T1339" s="24" t="n"/>
      <c r="V1339">
        <f>IF(A1339="","",MONTH(A1339))</f>
        <v/>
      </c>
      <c r="W1339">
        <f>N(W1338)+IF(AND(C1339&lt;&gt;"",T1339&lt;&gt;""),IF(C1339=WOCHE!$B$3,1,0),0)</f>
        <v/>
      </c>
      <c r="X1339">
        <f>N(X1338)+IF(AND(V1339&lt;&gt;"",T1339&lt;&gt;""),IF(V1339=MONAT!$AZ$3,1,0),0)</f>
        <v/>
      </c>
    </row>
    <row r="1340">
      <c r="A1340" s="19" t="n"/>
      <c r="B1340" s="20">
        <f>IF(A1340="","",CHOOSE(WEEKDAY(A1340,2),"Mo","Di","Mi","Do","Fr","Sa","So"))</f>
        <v/>
      </c>
      <c r="C1340" s="20">
        <f>IF(A1340="","",INT((A1340-DATE(YEAR(A1340-WEEKDAY(A1340-1)+4),1,3)+WEEKDAY(DATE(YEAR(A1340-WEEKDAY(A1340-1)+4),1,3))+5)/7))</f>
        <v/>
      </c>
      <c r="D1340" s="21" t="n"/>
      <c r="E1340" s="22" t="n"/>
      <c r="F1340" s="23" t="n"/>
      <c r="G1340" s="23" t="n"/>
      <c r="H1340" s="23" t="n"/>
      <c r="I1340" s="20">
        <f>IF(COUNT(F1340:H1340)=0,"",SUM(F1340:H1340))</f>
        <v/>
      </c>
      <c r="J1340" s="23" t="n"/>
      <c r="K1340" s="23" t="n"/>
      <c r="L1340" s="23" t="n"/>
      <c r="M1340" s="23" t="n"/>
      <c r="N1340" s="23" t="n"/>
      <c r="O1340" s="20">
        <f>IF(OR(I1340="",COUNT(J1340:N1340)=0),"",IF(SUM(J1340:N1340)=I1340,"✓","⚠ "&amp;SUM(J1340:N1340)&amp;" statt "&amp;I1340))</f>
        <v/>
      </c>
      <c r="P1340" s="21" t="n"/>
      <c r="Q1340" s="21" t="n"/>
      <c r="R1340" s="21" t="n"/>
      <c r="S1340" s="24" t="n"/>
      <c r="T1340" s="24" t="n"/>
      <c r="V1340">
        <f>IF(A1340="","",MONTH(A1340))</f>
        <v/>
      </c>
      <c r="W1340">
        <f>N(W1339)+IF(AND(C1340&lt;&gt;"",T1340&lt;&gt;""),IF(C1340=WOCHE!$B$3,1,0),0)</f>
        <v/>
      </c>
      <c r="X1340">
        <f>N(X1339)+IF(AND(V1340&lt;&gt;"",T1340&lt;&gt;""),IF(V1340=MONAT!$AZ$3,1,0),0)</f>
        <v/>
      </c>
    </row>
    <row r="1341">
      <c r="A1341" s="19" t="n"/>
      <c r="B1341" s="20">
        <f>IF(A1341="","",CHOOSE(WEEKDAY(A1341,2),"Mo","Di","Mi","Do","Fr","Sa","So"))</f>
        <v/>
      </c>
      <c r="C1341" s="20">
        <f>IF(A1341="","",INT((A1341-DATE(YEAR(A1341-WEEKDAY(A1341-1)+4),1,3)+WEEKDAY(DATE(YEAR(A1341-WEEKDAY(A1341-1)+4),1,3))+5)/7))</f>
        <v/>
      </c>
      <c r="D1341" s="21" t="n"/>
      <c r="E1341" s="22" t="n"/>
      <c r="F1341" s="23" t="n"/>
      <c r="G1341" s="23" t="n"/>
      <c r="H1341" s="23" t="n"/>
      <c r="I1341" s="20">
        <f>IF(COUNT(F1341:H1341)=0,"",SUM(F1341:H1341))</f>
        <v/>
      </c>
      <c r="J1341" s="23" t="n"/>
      <c r="K1341" s="23" t="n"/>
      <c r="L1341" s="23" t="n"/>
      <c r="M1341" s="23" t="n"/>
      <c r="N1341" s="23" t="n"/>
      <c r="O1341" s="20">
        <f>IF(OR(I1341="",COUNT(J1341:N1341)=0),"",IF(SUM(J1341:N1341)=I1341,"✓","⚠ "&amp;SUM(J1341:N1341)&amp;" statt "&amp;I1341))</f>
        <v/>
      </c>
      <c r="P1341" s="21" t="n"/>
      <c r="Q1341" s="21" t="n"/>
      <c r="R1341" s="21" t="n"/>
      <c r="S1341" s="24" t="n"/>
      <c r="T1341" s="24" t="n"/>
      <c r="V1341">
        <f>IF(A1341="","",MONTH(A1341))</f>
        <v/>
      </c>
      <c r="W1341">
        <f>N(W1340)+IF(AND(C1341&lt;&gt;"",T1341&lt;&gt;""),IF(C1341=WOCHE!$B$3,1,0),0)</f>
        <v/>
      </c>
      <c r="X1341">
        <f>N(X1340)+IF(AND(V1341&lt;&gt;"",T1341&lt;&gt;""),IF(V1341=MONAT!$AZ$3,1,0),0)</f>
        <v/>
      </c>
    </row>
    <row r="1342">
      <c r="A1342" s="19" t="n"/>
      <c r="B1342" s="20">
        <f>IF(A1342="","",CHOOSE(WEEKDAY(A1342,2),"Mo","Di","Mi","Do","Fr","Sa","So"))</f>
        <v/>
      </c>
      <c r="C1342" s="20">
        <f>IF(A1342="","",INT((A1342-DATE(YEAR(A1342-WEEKDAY(A1342-1)+4),1,3)+WEEKDAY(DATE(YEAR(A1342-WEEKDAY(A1342-1)+4),1,3))+5)/7))</f>
        <v/>
      </c>
      <c r="D1342" s="21" t="n"/>
      <c r="E1342" s="22" t="n"/>
      <c r="F1342" s="23" t="n"/>
      <c r="G1342" s="23" t="n"/>
      <c r="H1342" s="23" t="n"/>
      <c r="I1342" s="20">
        <f>IF(COUNT(F1342:H1342)=0,"",SUM(F1342:H1342))</f>
        <v/>
      </c>
      <c r="J1342" s="23" t="n"/>
      <c r="K1342" s="23" t="n"/>
      <c r="L1342" s="23" t="n"/>
      <c r="M1342" s="23" t="n"/>
      <c r="N1342" s="23" t="n"/>
      <c r="O1342" s="20">
        <f>IF(OR(I1342="",COUNT(J1342:N1342)=0),"",IF(SUM(J1342:N1342)=I1342,"✓","⚠ "&amp;SUM(J1342:N1342)&amp;" statt "&amp;I1342))</f>
        <v/>
      </c>
      <c r="P1342" s="21" t="n"/>
      <c r="Q1342" s="21" t="n"/>
      <c r="R1342" s="21" t="n"/>
      <c r="S1342" s="24" t="n"/>
      <c r="T1342" s="24" t="n"/>
      <c r="V1342">
        <f>IF(A1342="","",MONTH(A1342))</f>
        <v/>
      </c>
      <c r="W1342">
        <f>N(W1341)+IF(AND(C1342&lt;&gt;"",T1342&lt;&gt;""),IF(C1342=WOCHE!$B$3,1,0),0)</f>
        <v/>
      </c>
      <c r="X1342">
        <f>N(X1341)+IF(AND(V1342&lt;&gt;"",T1342&lt;&gt;""),IF(V1342=MONAT!$AZ$3,1,0),0)</f>
        <v/>
      </c>
    </row>
    <row r="1343">
      <c r="A1343" s="19" t="n"/>
      <c r="B1343" s="20">
        <f>IF(A1343="","",CHOOSE(WEEKDAY(A1343,2),"Mo","Di","Mi","Do","Fr","Sa","So"))</f>
        <v/>
      </c>
      <c r="C1343" s="20">
        <f>IF(A1343="","",INT((A1343-DATE(YEAR(A1343-WEEKDAY(A1343-1)+4),1,3)+WEEKDAY(DATE(YEAR(A1343-WEEKDAY(A1343-1)+4),1,3))+5)/7))</f>
        <v/>
      </c>
      <c r="D1343" s="21" t="n"/>
      <c r="E1343" s="22" t="n"/>
      <c r="F1343" s="23" t="n"/>
      <c r="G1343" s="23" t="n"/>
      <c r="H1343" s="23" t="n"/>
      <c r="I1343" s="20">
        <f>IF(COUNT(F1343:H1343)=0,"",SUM(F1343:H1343))</f>
        <v/>
      </c>
      <c r="J1343" s="23" t="n"/>
      <c r="K1343" s="23" t="n"/>
      <c r="L1343" s="23" t="n"/>
      <c r="M1343" s="23" t="n"/>
      <c r="N1343" s="23" t="n"/>
      <c r="O1343" s="20">
        <f>IF(OR(I1343="",COUNT(J1343:N1343)=0),"",IF(SUM(J1343:N1343)=I1343,"✓","⚠ "&amp;SUM(J1343:N1343)&amp;" statt "&amp;I1343))</f>
        <v/>
      </c>
      <c r="P1343" s="21" t="n"/>
      <c r="Q1343" s="21" t="n"/>
      <c r="R1343" s="21" t="n"/>
      <c r="S1343" s="24" t="n"/>
      <c r="T1343" s="24" t="n"/>
      <c r="V1343">
        <f>IF(A1343="","",MONTH(A1343))</f>
        <v/>
      </c>
      <c r="W1343">
        <f>N(W1342)+IF(AND(C1343&lt;&gt;"",T1343&lt;&gt;""),IF(C1343=WOCHE!$B$3,1,0),0)</f>
        <v/>
      </c>
      <c r="X1343">
        <f>N(X1342)+IF(AND(V1343&lt;&gt;"",T1343&lt;&gt;""),IF(V1343=MONAT!$AZ$3,1,0),0)</f>
        <v/>
      </c>
    </row>
    <row r="1344">
      <c r="A1344" s="19" t="n"/>
      <c r="B1344" s="20">
        <f>IF(A1344="","",CHOOSE(WEEKDAY(A1344,2),"Mo","Di","Mi","Do","Fr","Sa","So"))</f>
        <v/>
      </c>
      <c r="C1344" s="20">
        <f>IF(A1344="","",INT((A1344-DATE(YEAR(A1344-WEEKDAY(A1344-1)+4),1,3)+WEEKDAY(DATE(YEAR(A1344-WEEKDAY(A1344-1)+4),1,3))+5)/7))</f>
        <v/>
      </c>
      <c r="D1344" s="21" t="n"/>
      <c r="E1344" s="22" t="n"/>
      <c r="F1344" s="23" t="n"/>
      <c r="G1344" s="23" t="n"/>
      <c r="H1344" s="23" t="n"/>
      <c r="I1344" s="20">
        <f>IF(COUNT(F1344:H1344)=0,"",SUM(F1344:H1344))</f>
        <v/>
      </c>
      <c r="J1344" s="23" t="n"/>
      <c r="K1344" s="23" t="n"/>
      <c r="L1344" s="23" t="n"/>
      <c r="M1344" s="23" t="n"/>
      <c r="N1344" s="23" t="n"/>
      <c r="O1344" s="20">
        <f>IF(OR(I1344="",COUNT(J1344:N1344)=0),"",IF(SUM(J1344:N1344)=I1344,"✓","⚠ "&amp;SUM(J1344:N1344)&amp;" statt "&amp;I1344))</f>
        <v/>
      </c>
      <c r="P1344" s="21" t="n"/>
      <c r="Q1344" s="21" t="n"/>
      <c r="R1344" s="21" t="n"/>
      <c r="S1344" s="24" t="n"/>
      <c r="T1344" s="24" t="n"/>
      <c r="V1344">
        <f>IF(A1344="","",MONTH(A1344))</f>
        <v/>
      </c>
      <c r="W1344">
        <f>N(W1343)+IF(AND(C1344&lt;&gt;"",T1344&lt;&gt;""),IF(C1344=WOCHE!$B$3,1,0),0)</f>
        <v/>
      </c>
      <c r="X1344">
        <f>N(X1343)+IF(AND(V1344&lt;&gt;"",T1344&lt;&gt;""),IF(V1344=MONAT!$AZ$3,1,0),0)</f>
        <v/>
      </c>
    </row>
    <row r="1345">
      <c r="A1345" s="19" t="n"/>
      <c r="B1345" s="20">
        <f>IF(A1345="","",CHOOSE(WEEKDAY(A1345,2),"Mo","Di","Mi","Do","Fr","Sa","So"))</f>
        <v/>
      </c>
      <c r="C1345" s="20">
        <f>IF(A1345="","",INT((A1345-DATE(YEAR(A1345-WEEKDAY(A1345-1)+4),1,3)+WEEKDAY(DATE(YEAR(A1345-WEEKDAY(A1345-1)+4),1,3))+5)/7))</f>
        <v/>
      </c>
      <c r="D1345" s="21" t="n"/>
      <c r="E1345" s="22" t="n"/>
      <c r="F1345" s="23" t="n"/>
      <c r="G1345" s="23" t="n"/>
      <c r="H1345" s="23" t="n"/>
      <c r="I1345" s="20">
        <f>IF(COUNT(F1345:H1345)=0,"",SUM(F1345:H1345))</f>
        <v/>
      </c>
      <c r="J1345" s="23" t="n"/>
      <c r="K1345" s="23" t="n"/>
      <c r="L1345" s="23" t="n"/>
      <c r="M1345" s="23" t="n"/>
      <c r="N1345" s="23" t="n"/>
      <c r="O1345" s="20">
        <f>IF(OR(I1345="",COUNT(J1345:N1345)=0),"",IF(SUM(J1345:N1345)=I1345,"✓","⚠ "&amp;SUM(J1345:N1345)&amp;" statt "&amp;I1345))</f>
        <v/>
      </c>
      <c r="P1345" s="21" t="n"/>
      <c r="Q1345" s="21" t="n"/>
      <c r="R1345" s="21" t="n"/>
      <c r="S1345" s="24" t="n"/>
      <c r="T1345" s="24" t="n"/>
      <c r="V1345">
        <f>IF(A1345="","",MONTH(A1345))</f>
        <v/>
      </c>
      <c r="W1345">
        <f>N(W1344)+IF(AND(C1345&lt;&gt;"",T1345&lt;&gt;""),IF(C1345=WOCHE!$B$3,1,0),0)</f>
        <v/>
      </c>
      <c r="X1345">
        <f>N(X1344)+IF(AND(V1345&lt;&gt;"",T1345&lt;&gt;""),IF(V1345=MONAT!$AZ$3,1,0),0)</f>
        <v/>
      </c>
    </row>
    <row r="1346">
      <c r="A1346" s="19" t="n"/>
      <c r="B1346" s="20">
        <f>IF(A1346="","",CHOOSE(WEEKDAY(A1346,2),"Mo","Di","Mi","Do","Fr","Sa","So"))</f>
        <v/>
      </c>
      <c r="C1346" s="20">
        <f>IF(A1346="","",INT((A1346-DATE(YEAR(A1346-WEEKDAY(A1346-1)+4),1,3)+WEEKDAY(DATE(YEAR(A1346-WEEKDAY(A1346-1)+4),1,3))+5)/7))</f>
        <v/>
      </c>
      <c r="D1346" s="21" t="n"/>
      <c r="E1346" s="22" t="n"/>
      <c r="F1346" s="23" t="n"/>
      <c r="G1346" s="23" t="n"/>
      <c r="H1346" s="23" t="n"/>
      <c r="I1346" s="20">
        <f>IF(COUNT(F1346:H1346)=0,"",SUM(F1346:H1346))</f>
        <v/>
      </c>
      <c r="J1346" s="23" t="n"/>
      <c r="K1346" s="23" t="n"/>
      <c r="L1346" s="23" t="n"/>
      <c r="M1346" s="23" t="n"/>
      <c r="N1346" s="23" t="n"/>
      <c r="O1346" s="20">
        <f>IF(OR(I1346="",COUNT(J1346:N1346)=0),"",IF(SUM(J1346:N1346)=I1346,"✓","⚠ "&amp;SUM(J1346:N1346)&amp;" statt "&amp;I1346))</f>
        <v/>
      </c>
      <c r="P1346" s="21" t="n"/>
      <c r="Q1346" s="21" t="n"/>
      <c r="R1346" s="21" t="n"/>
      <c r="S1346" s="24" t="n"/>
      <c r="T1346" s="24" t="n"/>
      <c r="V1346">
        <f>IF(A1346="","",MONTH(A1346))</f>
        <v/>
      </c>
      <c r="W1346">
        <f>N(W1345)+IF(AND(C1346&lt;&gt;"",T1346&lt;&gt;""),IF(C1346=WOCHE!$B$3,1,0),0)</f>
        <v/>
      </c>
      <c r="X1346">
        <f>N(X1345)+IF(AND(V1346&lt;&gt;"",T1346&lt;&gt;""),IF(V1346=MONAT!$AZ$3,1,0),0)</f>
        <v/>
      </c>
    </row>
    <row r="1347">
      <c r="A1347" s="19" t="n"/>
      <c r="B1347" s="20">
        <f>IF(A1347="","",CHOOSE(WEEKDAY(A1347,2),"Mo","Di","Mi","Do","Fr","Sa","So"))</f>
        <v/>
      </c>
      <c r="C1347" s="20">
        <f>IF(A1347="","",INT((A1347-DATE(YEAR(A1347-WEEKDAY(A1347-1)+4),1,3)+WEEKDAY(DATE(YEAR(A1347-WEEKDAY(A1347-1)+4),1,3))+5)/7))</f>
        <v/>
      </c>
      <c r="D1347" s="21" t="n"/>
      <c r="E1347" s="22" t="n"/>
      <c r="F1347" s="23" t="n"/>
      <c r="G1347" s="23" t="n"/>
      <c r="H1347" s="23" t="n"/>
      <c r="I1347" s="20">
        <f>IF(COUNT(F1347:H1347)=0,"",SUM(F1347:H1347))</f>
        <v/>
      </c>
      <c r="J1347" s="23" t="n"/>
      <c r="K1347" s="23" t="n"/>
      <c r="L1347" s="23" t="n"/>
      <c r="M1347" s="23" t="n"/>
      <c r="N1347" s="23" t="n"/>
      <c r="O1347" s="20">
        <f>IF(OR(I1347="",COUNT(J1347:N1347)=0),"",IF(SUM(J1347:N1347)=I1347,"✓","⚠ "&amp;SUM(J1347:N1347)&amp;" statt "&amp;I1347))</f>
        <v/>
      </c>
      <c r="P1347" s="21" t="n"/>
      <c r="Q1347" s="21" t="n"/>
      <c r="R1347" s="21" t="n"/>
      <c r="S1347" s="24" t="n"/>
      <c r="T1347" s="24" t="n"/>
      <c r="V1347">
        <f>IF(A1347="","",MONTH(A1347))</f>
        <v/>
      </c>
      <c r="W1347">
        <f>N(W1346)+IF(AND(C1347&lt;&gt;"",T1347&lt;&gt;""),IF(C1347=WOCHE!$B$3,1,0),0)</f>
        <v/>
      </c>
      <c r="X1347">
        <f>N(X1346)+IF(AND(V1347&lt;&gt;"",T1347&lt;&gt;""),IF(V1347=MONAT!$AZ$3,1,0),0)</f>
        <v/>
      </c>
    </row>
    <row r="1348">
      <c r="A1348" s="19" t="n"/>
      <c r="B1348" s="20">
        <f>IF(A1348="","",CHOOSE(WEEKDAY(A1348,2),"Mo","Di","Mi","Do","Fr","Sa","So"))</f>
        <v/>
      </c>
      <c r="C1348" s="20">
        <f>IF(A1348="","",INT((A1348-DATE(YEAR(A1348-WEEKDAY(A1348-1)+4),1,3)+WEEKDAY(DATE(YEAR(A1348-WEEKDAY(A1348-1)+4),1,3))+5)/7))</f>
        <v/>
      </c>
      <c r="D1348" s="21" t="n"/>
      <c r="E1348" s="22" t="n"/>
      <c r="F1348" s="23" t="n"/>
      <c r="G1348" s="23" t="n"/>
      <c r="H1348" s="23" t="n"/>
      <c r="I1348" s="20">
        <f>IF(COUNT(F1348:H1348)=0,"",SUM(F1348:H1348))</f>
        <v/>
      </c>
      <c r="J1348" s="23" t="n"/>
      <c r="K1348" s="23" t="n"/>
      <c r="L1348" s="23" t="n"/>
      <c r="M1348" s="23" t="n"/>
      <c r="N1348" s="23" t="n"/>
      <c r="O1348" s="20">
        <f>IF(OR(I1348="",COUNT(J1348:N1348)=0),"",IF(SUM(J1348:N1348)=I1348,"✓","⚠ "&amp;SUM(J1348:N1348)&amp;" statt "&amp;I1348))</f>
        <v/>
      </c>
      <c r="P1348" s="21" t="n"/>
      <c r="Q1348" s="21" t="n"/>
      <c r="R1348" s="21" t="n"/>
      <c r="S1348" s="24" t="n"/>
      <c r="T1348" s="24" t="n"/>
      <c r="V1348">
        <f>IF(A1348="","",MONTH(A1348))</f>
        <v/>
      </c>
      <c r="W1348">
        <f>N(W1347)+IF(AND(C1348&lt;&gt;"",T1348&lt;&gt;""),IF(C1348=WOCHE!$B$3,1,0),0)</f>
        <v/>
      </c>
      <c r="X1348">
        <f>N(X1347)+IF(AND(V1348&lt;&gt;"",T1348&lt;&gt;""),IF(V1348=MONAT!$AZ$3,1,0),0)</f>
        <v/>
      </c>
    </row>
    <row r="1349">
      <c r="A1349" s="19" t="n"/>
      <c r="B1349" s="20">
        <f>IF(A1349="","",CHOOSE(WEEKDAY(A1349,2),"Mo","Di","Mi","Do","Fr","Sa","So"))</f>
        <v/>
      </c>
      <c r="C1349" s="20">
        <f>IF(A1349="","",INT((A1349-DATE(YEAR(A1349-WEEKDAY(A1349-1)+4),1,3)+WEEKDAY(DATE(YEAR(A1349-WEEKDAY(A1349-1)+4),1,3))+5)/7))</f>
        <v/>
      </c>
      <c r="D1349" s="21" t="n"/>
      <c r="E1349" s="22" t="n"/>
      <c r="F1349" s="23" t="n"/>
      <c r="G1349" s="23" t="n"/>
      <c r="H1349" s="23" t="n"/>
      <c r="I1349" s="20">
        <f>IF(COUNT(F1349:H1349)=0,"",SUM(F1349:H1349))</f>
        <v/>
      </c>
      <c r="J1349" s="23" t="n"/>
      <c r="K1349" s="23" t="n"/>
      <c r="L1349" s="23" t="n"/>
      <c r="M1349" s="23" t="n"/>
      <c r="N1349" s="23" t="n"/>
      <c r="O1349" s="20">
        <f>IF(OR(I1349="",COUNT(J1349:N1349)=0),"",IF(SUM(J1349:N1349)=I1349,"✓","⚠ "&amp;SUM(J1349:N1349)&amp;" statt "&amp;I1349))</f>
        <v/>
      </c>
      <c r="P1349" s="21" t="n"/>
      <c r="Q1349" s="21" t="n"/>
      <c r="R1349" s="21" t="n"/>
      <c r="S1349" s="24" t="n"/>
      <c r="T1349" s="24" t="n"/>
      <c r="V1349">
        <f>IF(A1349="","",MONTH(A1349))</f>
        <v/>
      </c>
      <c r="W1349">
        <f>N(W1348)+IF(AND(C1349&lt;&gt;"",T1349&lt;&gt;""),IF(C1349=WOCHE!$B$3,1,0),0)</f>
        <v/>
      </c>
      <c r="X1349">
        <f>N(X1348)+IF(AND(V1349&lt;&gt;"",T1349&lt;&gt;""),IF(V1349=MONAT!$AZ$3,1,0),0)</f>
        <v/>
      </c>
    </row>
    <row r="1350">
      <c r="A1350" s="19" t="n"/>
      <c r="B1350" s="20">
        <f>IF(A1350="","",CHOOSE(WEEKDAY(A1350,2),"Mo","Di","Mi","Do","Fr","Sa","So"))</f>
        <v/>
      </c>
      <c r="C1350" s="20">
        <f>IF(A1350="","",INT((A1350-DATE(YEAR(A1350-WEEKDAY(A1350-1)+4),1,3)+WEEKDAY(DATE(YEAR(A1350-WEEKDAY(A1350-1)+4),1,3))+5)/7))</f>
        <v/>
      </c>
      <c r="D1350" s="21" t="n"/>
      <c r="E1350" s="22" t="n"/>
      <c r="F1350" s="23" t="n"/>
      <c r="G1350" s="23" t="n"/>
      <c r="H1350" s="23" t="n"/>
      <c r="I1350" s="20">
        <f>IF(COUNT(F1350:H1350)=0,"",SUM(F1350:H1350))</f>
        <v/>
      </c>
      <c r="J1350" s="23" t="n"/>
      <c r="K1350" s="23" t="n"/>
      <c r="L1350" s="23" t="n"/>
      <c r="M1350" s="23" t="n"/>
      <c r="N1350" s="23" t="n"/>
      <c r="O1350" s="20">
        <f>IF(OR(I1350="",COUNT(J1350:N1350)=0),"",IF(SUM(J1350:N1350)=I1350,"✓","⚠ "&amp;SUM(J1350:N1350)&amp;" statt "&amp;I1350))</f>
        <v/>
      </c>
      <c r="P1350" s="21" t="n"/>
      <c r="Q1350" s="21" t="n"/>
      <c r="R1350" s="21" t="n"/>
      <c r="S1350" s="24" t="n"/>
      <c r="T1350" s="24" t="n"/>
      <c r="V1350">
        <f>IF(A1350="","",MONTH(A1350))</f>
        <v/>
      </c>
      <c r="W1350">
        <f>N(W1349)+IF(AND(C1350&lt;&gt;"",T1350&lt;&gt;""),IF(C1350=WOCHE!$B$3,1,0),0)</f>
        <v/>
      </c>
      <c r="X1350">
        <f>N(X1349)+IF(AND(V1350&lt;&gt;"",T1350&lt;&gt;""),IF(V1350=MONAT!$AZ$3,1,0),0)</f>
        <v/>
      </c>
    </row>
    <row r="1351">
      <c r="A1351" s="19" t="n"/>
      <c r="B1351" s="20">
        <f>IF(A1351="","",CHOOSE(WEEKDAY(A1351,2),"Mo","Di","Mi","Do","Fr","Sa","So"))</f>
        <v/>
      </c>
      <c r="C1351" s="20">
        <f>IF(A1351="","",INT((A1351-DATE(YEAR(A1351-WEEKDAY(A1351-1)+4),1,3)+WEEKDAY(DATE(YEAR(A1351-WEEKDAY(A1351-1)+4),1,3))+5)/7))</f>
        <v/>
      </c>
      <c r="D1351" s="21" t="n"/>
      <c r="E1351" s="22" t="n"/>
      <c r="F1351" s="23" t="n"/>
      <c r="G1351" s="23" t="n"/>
      <c r="H1351" s="23" t="n"/>
      <c r="I1351" s="20">
        <f>IF(COUNT(F1351:H1351)=0,"",SUM(F1351:H1351))</f>
        <v/>
      </c>
      <c r="J1351" s="23" t="n"/>
      <c r="K1351" s="23" t="n"/>
      <c r="L1351" s="23" t="n"/>
      <c r="M1351" s="23" t="n"/>
      <c r="N1351" s="23" t="n"/>
      <c r="O1351" s="20">
        <f>IF(OR(I1351="",COUNT(J1351:N1351)=0),"",IF(SUM(J1351:N1351)=I1351,"✓","⚠ "&amp;SUM(J1351:N1351)&amp;" statt "&amp;I1351))</f>
        <v/>
      </c>
      <c r="P1351" s="21" t="n"/>
      <c r="Q1351" s="21" t="n"/>
      <c r="R1351" s="21" t="n"/>
      <c r="S1351" s="24" t="n"/>
      <c r="T1351" s="24" t="n"/>
      <c r="V1351">
        <f>IF(A1351="","",MONTH(A1351))</f>
        <v/>
      </c>
      <c r="W1351">
        <f>N(W1350)+IF(AND(C1351&lt;&gt;"",T1351&lt;&gt;""),IF(C1351=WOCHE!$B$3,1,0),0)</f>
        <v/>
      </c>
      <c r="X1351">
        <f>N(X1350)+IF(AND(V1351&lt;&gt;"",T1351&lt;&gt;""),IF(V1351=MONAT!$AZ$3,1,0),0)</f>
        <v/>
      </c>
    </row>
    <row r="1352">
      <c r="A1352" s="19" t="n"/>
      <c r="B1352" s="20">
        <f>IF(A1352="","",CHOOSE(WEEKDAY(A1352,2),"Mo","Di","Mi","Do","Fr","Sa","So"))</f>
        <v/>
      </c>
      <c r="C1352" s="20">
        <f>IF(A1352="","",INT((A1352-DATE(YEAR(A1352-WEEKDAY(A1352-1)+4),1,3)+WEEKDAY(DATE(YEAR(A1352-WEEKDAY(A1352-1)+4),1,3))+5)/7))</f>
        <v/>
      </c>
      <c r="D1352" s="21" t="n"/>
      <c r="E1352" s="22" t="n"/>
      <c r="F1352" s="23" t="n"/>
      <c r="G1352" s="23" t="n"/>
      <c r="H1352" s="23" t="n"/>
      <c r="I1352" s="20">
        <f>IF(COUNT(F1352:H1352)=0,"",SUM(F1352:H1352))</f>
        <v/>
      </c>
      <c r="J1352" s="23" t="n"/>
      <c r="K1352" s="23" t="n"/>
      <c r="L1352" s="23" t="n"/>
      <c r="M1352" s="23" t="n"/>
      <c r="N1352" s="23" t="n"/>
      <c r="O1352" s="20">
        <f>IF(OR(I1352="",COUNT(J1352:N1352)=0),"",IF(SUM(J1352:N1352)=I1352,"✓","⚠ "&amp;SUM(J1352:N1352)&amp;" statt "&amp;I1352))</f>
        <v/>
      </c>
      <c r="P1352" s="21" t="n"/>
      <c r="Q1352" s="21" t="n"/>
      <c r="R1352" s="21" t="n"/>
      <c r="S1352" s="24" t="n"/>
      <c r="T1352" s="24" t="n"/>
      <c r="V1352">
        <f>IF(A1352="","",MONTH(A1352))</f>
        <v/>
      </c>
      <c r="W1352">
        <f>N(W1351)+IF(AND(C1352&lt;&gt;"",T1352&lt;&gt;""),IF(C1352=WOCHE!$B$3,1,0),0)</f>
        <v/>
      </c>
      <c r="X1352">
        <f>N(X1351)+IF(AND(V1352&lt;&gt;"",T1352&lt;&gt;""),IF(V1352=MONAT!$AZ$3,1,0),0)</f>
        <v/>
      </c>
    </row>
    <row r="1353">
      <c r="A1353" s="19" t="n"/>
      <c r="B1353" s="20">
        <f>IF(A1353="","",CHOOSE(WEEKDAY(A1353,2),"Mo","Di","Mi","Do","Fr","Sa","So"))</f>
        <v/>
      </c>
      <c r="C1353" s="20">
        <f>IF(A1353="","",INT((A1353-DATE(YEAR(A1353-WEEKDAY(A1353-1)+4),1,3)+WEEKDAY(DATE(YEAR(A1353-WEEKDAY(A1353-1)+4),1,3))+5)/7))</f>
        <v/>
      </c>
      <c r="D1353" s="21" t="n"/>
      <c r="E1353" s="22" t="n"/>
      <c r="F1353" s="23" t="n"/>
      <c r="G1353" s="23" t="n"/>
      <c r="H1353" s="23" t="n"/>
      <c r="I1353" s="20">
        <f>IF(COUNT(F1353:H1353)=0,"",SUM(F1353:H1353))</f>
        <v/>
      </c>
      <c r="J1353" s="23" t="n"/>
      <c r="K1353" s="23" t="n"/>
      <c r="L1353" s="23" t="n"/>
      <c r="M1353" s="23" t="n"/>
      <c r="N1353" s="23" t="n"/>
      <c r="O1353" s="20">
        <f>IF(OR(I1353="",COUNT(J1353:N1353)=0),"",IF(SUM(J1353:N1353)=I1353,"✓","⚠ "&amp;SUM(J1353:N1353)&amp;" statt "&amp;I1353))</f>
        <v/>
      </c>
      <c r="P1353" s="21" t="n"/>
      <c r="Q1353" s="21" t="n"/>
      <c r="R1353" s="21" t="n"/>
      <c r="S1353" s="24" t="n"/>
      <c r="T1353" s="24" t="n"/>
      <c r="V1353">
        <f>IF(A1353="","",MONTH(A1353))</f>
        <v/>
      </c>
      <c r="W1353">
        <f>N(W1352)+IF(AND(C1353&lt;&gt;"",T1353&lt;&gt;""),IF(C1353=WOCHE!$B$3,1,0),0)</f>
        <v/>
      </c>
      <c r="X1353">
        <f>N(X1352)+IF(AND(V1353&lt;&gt;"",T1353&lt;&gt;""),IF(V1353=MONAT!$AZ$3,1,0),0)</f>
        <v/>
      </c>
    </row>
    <row r="1354">
      <c r="A1354" s="19" t="n"/>
      <c r="B1354" s="20">
        <f>IF(A1354="","",CHOOSE(WEEKDAY(A1354,2),"Mo","Di","Mi","Do","Fr","Sa","So"))</f>
        <v/>
      </c>
      <c r="C1354" s="20">
        <f>IF(A1354="","",INT((A1354-DATE(YEAR(A1354-WEEKDAY(A1354-1)+4),1,3)+WEEKDAY(DATE(YEAR(A1354-WEEKDAY(A1354-1)+4),1,3))+5)/7))</f>
        <v/>
      </c>
      <c r="D1354" s="21" t="n"/>
      <c r="E1354" s="22" t="n"/>
      <c r="F1354" s="23" t="n"/>
      <c r="G1354" s="23" t="n"/>
      <c r="H1354" s="23" t="n"/>
      <c r="I1354" s="20">
        <f>IF(COUNT(F1354:H1354)=0,"",SUM(F1354:H1354))</f>
        <v/>
      </c>
      <c r="J1354" s="23" t="n"/>
      <c r="K1354" s="23" t="n"/>
      <c r="L1354" s="23" t="n"/>
      <c r="M1354" s="23" t="n"/>
      <c r="N1354" s="23" t="n"/>
      <c r="O1354" s="20">
        <f>IF(OR(I1354="",COUNT(J1354:N1354)=0),"",IF(SUM(J1354:N1354)=I1354,"✓","⚠ "&amp;SUM(J1354:N1354)&amp;" statt "&amp;I1354))</f>
        <v/>
      </c>
      <c r="P1354" s="21" t="n"/>
      <c r="Q1354" s="21" t="n"/>
      <c r="R1354" s="21" t="n"/>
      <c r="S1354" s="24" t="n"/>
      <c r="T1354" s="24" t="n"/>
      <c r="V1354">
        <f>IF(A1354="","",MONTH(A1354))</f>
        <v/>
      </c>
      <c r="W1354">
        <f>N(W1353)+IF(AND(C1354&lt;&gt;"",T1354&lt;&gt;""),IF(C1354=WOCHE!$B$3,1,0),0)</f>
        <v/>
      </c>
      <c r="X1354">
        <f>N(X1353)+IF(AND(V1354&lt;&gt;"",T1354&lt;&gt;""),IF(V1354=MONAT!$AZ$3,1,0),0)</f>
        <v/>
      </c>
    </row>
    <row r="1355">
      <c r="A1355" s="19" t="n"/>
      <c r="B1355" s="20">
        <f>IF(A1355="","",CHOOSE(WEEKDAY(A1355,2),"Mo","Di","Mi","Do","Fr","Sa","So"))</f>
        <v/>
      </c>
      <c r="C1355" s="20">
        <f>IF(A1355="","",INT((A1355-DATE(YEAR(A1355-WEEKDAY(A1355-1)+4),1,3)+WEEKDAY(DATE(YEAR(A1355-WEEKDAY(A1355-1)+4),1,3))+5)/7))</f>
        <v/>
      </c>
      <c r="D1355" s="21" t="n"/>
      <c r="E1355" s="22" t="n"/>
      <c r="F1355" s="23" t="n"/>
      <c r="G1355" s="23" t="n"/>
      <c r="H1355" s="23" t="n"/>
      <c r="I1355" s="20">
        <f>IF(COUNT(F1355:H1355)=0,"",SUM(F1355:H1355))</f>
        <v/>
      </c>
      <c r="J1355" s="23" t="n"/>
      <c r="K1355" s="23" t="n"/>
      <c r="L1355" s="23" t="n"/>
      <c r="M1355" s="23" t="n"/>
      <c r="N1355" s="23" t="n"/>
      <c r="O1355" s="20">
        <f>IF(OR(I1355="",COUNT(J1355:N1355)=0),"",IF(SUM(J1355:N1355)=I1355,"✓","⚠ "&amp;SUM(J1355:N1355)&amp;" statt "&amp;I1355))</f>
        <v/>
      </c>
      <c r="P1355" s="21" t="n"/>
      <c r="Q1355" s="21" t="n"/>
      <c r="R1355" s="21" t="n"/>
      <c r="S1355" s="24" t="n"/>
      <c r="T1355" s="24" t="n"/>
      <c r="V1355">
        <f>IF(A1355="","",MONTH(A1355))</f>
        <v/>
      </c>
      <c r="W1355">
        <f>N(W1354)+IF(AND(C1355&lt;&gt;"",T1355&lt;&gt;""),IF(C1355=WOCHE!$B$3,1,0),0)</f>
        <v/>
      </c>
      <c r="X1355">
        <f>N(X1354)+IF(AND(V1355&lt;&gt;"",T1355&lt;&gt;""),IF(V1355=MONAT!$AZ$3,1,0),0)</f>
        <v/>
      </c>
    </row>
    <row r="1356">
      <c r="A1356" s="19" t="n"/>
      <c r="B1356" s="20">
        <f>IF(A1356="","",CHOOSE(WEEKDAY(A1356,2),"Mo","Di","Mi","Do","Fr","Sa","So"))</f>
        <v/>
      </c>
      <c r="C1356" s="20">
        <f>IF(A1356="","",INT((A1356-DATE(YEAR(A1356-WEEKDAY(A1356-1)+4),1,3)+WEEKDAY(DATE(YEAR(A1356-WEEKDAY(A1356-1)+4),1,3))+5)/7))</f>
        <v/>
      </c>
      <c r="D1356" s="21" t="n"/>
      <c r="E1356" s="22" t="n"/>
      <c r="F1356" s="23" t="n"/>
      <c r="G1356" s="23" t="n"/>
      <c r="H1356" s="23" t="n"/>
      <c r="I1356" s="20">
        <f>IF(COUNT(F1356:H1356)=0,"",SUM(F1356:H1356))</f>
        <v/>
      </c>
      <c r="J1356" s="23" t="n"/>
      <c r="K1356" s="23" t="n"/>
      <c r="L1356" s="23" t="n"/>
      <c r="M1356" s="23" t="n"/>
      <c r="N1356" s="23" t="n"/>
      <c r="O1356" s="20">
        <f>IF(OR(I1356="",COUNT(J1356:N1356)=0),"",IF(SUM(J1356:N1356)=I1356,"✓","⚠ "&amp;SUM(J1356:N1356)&amp;" statt "&amp;I1356))</f>
        <v/>
      </c>
      <c r="P1356" s="21" t="n"/>
      <c r="Q1356" s="21" t="n"/>
      <c r="R1356" s="21" t="n"/>
      <c r="S1356" s="24" t="n"/>
      <c r="T1356" s="24" t="n"/>
      <c r="V1356">
        <f>IF(A1356="","",MONTH(A1356))</f>
        <v/>
      </c>
      <c r="W1356">
        <f>N(W1355)+IF(AND(C1356&lt;&gt;"",T1356&lt;&gt;""),IF(C1356=WOCHE!$B$3,1,0),0)</f>
        <v/>
      </c>
      <c r="X1356">
        <f>N(X1355)+IF(AND(V1356&lt;&gt;"",T1356&lt;&gt;""),IF(V1356=MONAT!$AZ$3,1,0),0)</f>
        <v/>
      </c>
    </row>
    <row r="1357">
      <c r="A1357" s="19" t="n"/>
      <c r="B1357" s="20">
        <f>IF(A1357="","",CHOOSE(WEEKDAY(A1357,2),"Mo","Di","Mi","Do","Fr","Sa","So"))</f>
        <v/>
      </c>
      <c r="C1357" s="20">
        <f>IF(A1357="","",INT((A1357-DATE(YEAR(A1357-WEEKDAY(A1357-1)+4),1,3)+WEEKDAY(DATE(YEAR(A1357-WEEKDAY(A1357-1)+4),1,3))+5)/7))</f>
        <v/>
      </c>
      <c r="D1357" s="21" t="n"/>
      <c r="E1357" s="22" t="n"/>
      <c r="F1357" s="23" t="n"/>
      <c r="G1357" s="23" t="n"/>
      <c r="H1357" s="23" t="n"/>
      <c r="I1357" s="20">
        <f>IF(COUNT(F1357:H1357)=0,"",SUM(F1357:H1357))</f>
        <v/>
      </c>
      <c r="J1357" s="23" t="n"/>
      <c r="K1357" s="23" t="n"/>
      <c r="L1357" s="23" t="n"/>
      <c r="M1357" s="23" t="n"/>
      <c r="N1357" s="23" t="n"/>
      <c r="O1357" s="20">
        <f>IF(OR(I1357="",COUNT(J1357:N1357)=0),"",IF(SUM(J1357:N1357)=I1357,"✓","⚠ "&amp;SUM(J1357:N1357)&amp;" statt "&amp;I1357))</f>
        <v/>
      </c>
      <c r="P1357" s="21" t="n"/>
      <c r="Q1357" s="21" t="n"/>
      <c r="R1357" s="21" t="n"/>
      <c r="S1357" s="24" t="n"/>
      <c r="T1357" s="24" t="n"/>
      <c r="V1357">
        <f>IF(A1357="","",MONTH(A1357))</f>
        <v/>
      </c>
      <c r="W1357">
        <f>N(W1356)+IF(AND(C1357&lt;&gt;"",T1357&lt;&gt;""),IF(C1357=WOCHE!$B$3,1,0),0)</f>
        <v/>
      </c>
      <c r="X1357">
        <f>N(X1356)+IF(AND(V1357&lt;&gt;"",T1357&lt;&gt;""),IF(V1357=MONAT!$AZ$3,1,0),0)</f>
        <v/>
      </c>
    </row>
    <row r="1358">
      <c r="A1358" s="19" t="n"/>
      <c r="B1358" s="20">
        <f>IF(A1358="","",CHOOSE(WEEKDAY(A1358,2),"Mo","Di","Mi","Do","Fr","Sa","So"))</f>
        <v/>
      </c>
      <c r="C1358" s="20">
        <f>IF(A1358="","",INT((A1358-DATE(YEAR(A1358-WEEKDAY(A1358-1)+4),1,3)+WEEKDAY(DATE(YEAR(A1358-WEEKDAY(A1358-1)+4),1,3))+5)/7))</f>
        <v/>
      </c>
      <c r="D1358" s="21" t="n"/>
      <c r="E1358" s="22" t="n"/>
      <c r="F1358" s="23" t="n"/>
      <c r="G1358" s="23" t="n"/>
      <c r="H1358" s="23" t="n"/>
      <c r="I1358" s="20">
        <f>IF(COUNT(F1358:H1358)=0,"",SUM(F1358:H1358))</f>
        <v/>
      </c>
      <c r="J1358" s="23" t="n"/>
      <c r="K1358" s="23" t="n"/>
      <c r="L1358" s="23" t="n"/>
      <c r="M1358" s="23" t="n"/>
      <c r="N1358" s="23" t="n"/>
      <c r="O1358" s="20">
        <f>IF(OR(I1358="",COUNT(J1358:N1358)=0),"",IF(SUM(J1358:N1358)=I1358,"✓","⚠ "&amp;SUM(J1358:N1358)&amp;" statt "&amp;I1358))</f>
        <v/>
      </c>
      <c r="P1358" s="21" t="n"/>
      <c r="Q1358" s="21" t="n"/>
      <c r="R1358" s="21" t="n"/>
      <c r="S1358" s="24" t="n"/>
      <c r="T1358" s="24" t="n"/>
      <c r="V1358">
        <f>IF(A1358="","",MONTH(A1358))</f>
        <v/>
      </c>
      <c r="W1358">
        <f>N(W1357)+IF(AND(C1358&lt;&gt;"",T1358&lt;&gt;""),IF(C1358=WOCHE!$B$3,1,0),0)</f>
        <v/>
      </c>
      <c r="X1358">
        <f>N(X1357)+IF(AND(V1358&lt;&gt;"",T1358&lt;&gt;""),IF(V1358=MONAT!$AZ$3,1,0),0)</f>
        <v/>
      </c>
    </row>
    <row r="1359">
      <c r="A1359" s="19" t="n"/>
      <c r="B1359" s="20">
        <f>IF(A1359="","",CHOOSE(WEEKDAY(A1359,2),"Mo","Di","Mi","Do","Fr","Sa","So"))</f>
        <v/>
      </c>
      <c r="C1359" s="20">
        <f>IF(A1359="","",INT((A1359-DATE(YEAR(A1359-WEEKDAY(A1359-1)+4),1,3)+WEEKDAY(DATE(YEAR(A1359-WEEKDAY(A1359-1)+4),1,3))+5)/7))</f>
        <v/>
      </c>
      <c r="D1359" s="21" t="n"/>
      <c r="E1359" s="22" t="n"/>
      <c r="F1359" s="23" t="n"/>
      <c r="G1359" s="23" t="n"/>
      <c r="H1359" s="23" t="n"/>
      <c r="I1359" s="20">
        <f>IF(COUNT(F1359:H1359)=0,"",SUM(F1359:H1359))</f>
        <v/>
      </c>
      <c r="J1359" s="23" t="n"/>
      <c r="K1359" s="23" t="n"/>
      <c r="L1359" s="23" t="n"/>
      <c r="M1359" s="23" t="n"/>
      <c r="N1359" s="23" t="n"/>
      <c r="O1359" s="20">
        <f>IF(OR(I1359="",COUNT(J1359:N1359)=0),"",IF(SUM(J1359:N1359)=I1359,"✓","⚠ "&amp;SUM(J1359:N1359)&amp;" statt "&amp;I1359))</f>
        <v/>
      </c>
      <c r="P1359" s="21" t="n"/>
      <c r="Q1359" s="21" t="n"/>
      <c r="R1359" s="21" t="n"/>
      <c r="S1359" s="24" t="n"/>
      <c r="T1359" s="24" t="n"/>
      <c r="V1359">
        <f>IF(A1359="","",MONTH(A1359))</f>
        <v/>
      </c>
      <c r="W1359">
        <f>N(W1358)+IF(AND(C1359&lt;&gt;"",T1359&lt;&gt;""),IF(C1359=WOCHE!$B$3,1,0),0)</f>
        <v/>
      </c>
      <c r="X1359">
        <f>N(X1358)+IF(AND(V1359&lt;&gt;"",T1359&lt;&gt;""),IF(V1359=MONAT!$AZ$3,1,0),0)</f>
        <v/>
      </c>
    </row>
    <row r="1360">
      <c r="A1360" s="19" t="n"/>
      <c r="B1360" s="20">
        <f>IF(A1360="","",CHOOSE(WEEKDAY(A1360,2),"Mo","Di","Mi","Do","Fr","Sa","So"))</f>
        <v/>
      </c>
      <c r="C1360" s="20">
        <f>IF(A1360="","",INT((A1360-DATE(YEAR(A1360-WEEKDAY(A1360-1)+4),1,3)+WEEKDAY(DATE(YEAR(A1360-WEEKDAY(A1360-1)+4),1,3))+5)/7))</f>
        <v/>
      </c>
      <c r="D1360" s="21" t="n"/>
      <c r="E1360" s="22" t="n"/>
      <c r="F1360" s="23" t="n"/>
      <c r="G1360" s="23" t="n"/>
      <c r="H1360" s="23" t="n"/>
      <c r="I1360" s="20">
        <f>IF(COUNT(F1360:H1360)=0,"",SUM(F1360:H1360))</f>
        <v/>
      </c>
      <c r="J1360" s="23" t="n"/>
      <c r="K1360" s="23" t="n"/>
      <c r="L1360" s="23" t="n"/>
      <c r="M1360" s="23" t="n"/>
      <c r="N1360" s="23" t="n"/>
      <c r="O1360" s="20">
        <f>IF(OR(I1360="",COUNT(J1360:N1360)=0),"",IF(SUM(J1360:N1360)=I1360,"✓","⚠ "&amp;SUM(J1360:N1360)&amp;" statt "&amp;I1360))</f>
        <v/>
      </c>
      <c r="P1360" s="21" t="n"/>
      <c r="Q1360" s="21" t="n"/>
      <c r="R1360" s="21" t="n"/>
      <c r="S1360" s="24" t="n"/>
      <c r="T1360" s="24" t="n"/>
      <c r="V1360">
        <f>IF(A1360="","",MONTH(A1360))</f>
        <v/>
      </c>
      <c r="W1360">
        <f>N(W1359)+IF(AND(C1360&lt;&gt;"",T1360&lt;&gt;""),IF(C1360=WOCHE!$B$3,1,0),0)</f>
        <v/>
      </c>
      <c r="X1360">
        <f>N(X1359)+IF(AND(V1360&lt;&gt;"",T1360&lt;&gt;""),IF(V1360=MONAT!$AZ$3,1,0),0)</f>
        <v/>
      </c>
    </row>
    <row r="1361">
      <c r="A1361" s="19" t="n"/>
      <c r="B1361" s="20">
        <f>IF(A1361="","",CHOOSE(WEEKDAY(A1361,2),"Mo","Di","Mi","Do","Fr","Sa","So"))</f>
        <v/>
      </c>
      <c r="C1361" s="20">
        <f>IF(A1361="","",INT((A1361-DATE(YEAR(A1361-WEEKDAY(A1361-1)+4),1,3)+WEEKDAY(DATE(YEAR(A1361-WEEKDAY(A1361-1)+4),1,3))+5)/7))</f>
        <v/>
      </c>
      <c r="D1361" s="21" t="n"/>
      <c r="E1361" s="22" t="n"/>
      <c r="F1361" s="23" t="n"/>
      <c r="G1361" s="23" t="n"/>
      <c r="H1361" s="23" t="n"/>
      <c r="I1361" s="20">
        <f>IF(COUNT(F1361:H1361)=0,"",SUM(F1361:H1361))</f>
        <v/>
      </c>
      <c r="J1361" s="23" t="n"/>
      <c r="K1361" s="23" t="n"/>
      <c r="L1361" s="23" t="n"/>
      <c r="M1361" s="23" t="n"/>
      <c r="N1361" s="23" t="n"/>
      <c r="O1361" s="20">
        <f>IF(OR(I1361="",COUNT(J1361:N1361)=0),"",IF(SUM(J1361:N1361)=I1361,"✓","⚠ "&amp;SUM(J1361:N1361)&amp;" statt "&amp;I1361))</f>
        <v/>
      </c>
      <c r="P1361" s="21" t="n"/>
      <c r="Q1361" s="21" t="n"/>
      <c r="R1361" s="21" t="n"/>
      <c r="S1361" s="24" t="n"/>
      <c r="T1361" s="24" t="n"/>
      <c r="V1361">
        <f>IF(A1361="","",MONTH(A1361))</f>
        <v/>
      </c>
      <c r="W1361">
        <f>N(W1360)+IF(AND(C1361&lt;&gt;"",T1361&lt;&gt;""),IF(C1361=WOCHE!$B$3,1,0),0)</f>
        <v/>
      </c>
      <c r="X1361">
        <f>N(X1360)+IF(AND(V1361&lt;&gt;"",T1361&lt;&gt;""),IF(V1361=MONAT!$AZ$3,1,0),0)</f>
        <v/>
      </c>
    </row>
    <row r="1362">
      <c r="A1362" s="19" t="n"/>
      <c r="B1362" s="20">
        <f>IF(A1362="","",CHOOSE(WEEKDAY(A1362,2),"Mo","Di","Mi","Do","Fr","Sa","So"))</f>
        <v/>
      </c>
      <c r="C1362" s="20">
        <f>IF(A1362="","",INT((A1362-DATE(YEAR(A1362-WEEKDAY(A1362-1)+4),1,3)+WEEKDAY(DATE(YEAR(A1362-WEEKDAY(A1362-1)+4),1,3))+5)/7))</f>
        <v/>
      </c>
      <c r="D1362" s="21" t="n"/>
      <c r="E1362" s="22" t="n"/>
      <c r="F1362" s="23" t="n"/>
      <c r="G1362" s="23" t="n"/>
      <c r="H1362" s="23" t="n"/>
      <c r="I1362" s="20">
        <f>IF(COUNT(F1362:H1362)=0,"",SUM(F1362:H1362))</f>
        <v/>
      </c>
      <c r="J1362" s="23" t="n"/>
      <c r="K1362" s="23" t="n"/>
      <c r="L1362" s="23" t="n"/>
      <c r="M1362" s="23" t="n"/>
      <c r="N1362" s="23" t="n"/>
      <c r="O1362" s="20">
        <f>IF(OR(I1362="",COUNT(J1362:N1362)=0),"",IF(SUM(J1362:N1362)=I1362,"✓","⚠ "&amp;SUM(J1362:N1362)&amp;" statt "&amp;I1362))</f>
        <v/>
      </c>
      <c r="P1362" s="21" t="n"/>
      <c r="Q1362" s="21" t="n"/>
      <c r="R1362" s="21" t="n"/>
      <c r="S1362" s="24" t="n"/>
      <c r="T1362" s="24" t="n"/>
      <c r="V1362">
        <f>IF(A1362="","",MONTH(A1362))</f>
        <v/>
      </c>
      <c r="W1362">
        <f>N(W1361)+IF(AND(C1362&lt;&gt;"",T1362&lt;&gt;""),IF(C1362=WOCHE!$B$3,1,0),0)</f>
        <v/>
      </c>
      <c r="X1362">
        <f>N(X1361)+IF(AND(V1362&lt;&gt;"",T1362&lt;&gt;""),IF(V1362=MONAT!$AZ$3,1,0),0)</f>
        <v/>
      </c>
    </row>
    <row r="1363">
      <c r="A1363" s="19" t="n"/>
      <c r="B1363" s="20">
        <f>IF(A1363="","",CHOOSE(WEEKDAY(A1363,2),"Mo","Di","Mi","Do","Fr","Sa","So"))</f>
        <v/>
      </c>
      <c r="C1363" s="20">
        <f>IF(A1363="","",INT((A1363-DATE(YEAR(A1363-WEEKDAY(A1363-1)+4),1,3)+WEEKDAY(DATE(YEAR(A1363-WEEKDAY(A1363-1)+4),1,3))+5)/7))</f>
        <v/>
      </c>
      <c r="D1363" s="21" t="n"/>
      <c r="E1363" s="22" t="n"/>
      <c r="F1363" s="23" t="n"/>
      <c r="G1363" s="23" t="n"/>
      <c r="H1363" s="23" t="n"/>
      <c r="I1363" s="20">
        <f>IF(COUNT(F1363:H1363)=0,"",SUM(F1363:H1363))</f>
        <v/>
      </c>
      <c r="J1363" s="23" t="n"/>
      <c r="K1363" s="23" t="n"/>
      <c r="L1363" s="23" t="n"/>
      <c r="M1363" s="23" t="n"/>
      <c r="N1363" s="23" t="n"/>
      <c r="O1363" s="20">
        <f>IF(OR(I1363="",COUNT(J1363:N1363)=0),"",IF(SUM(J1363:N1363)=I1363,"✓","⚠ "&amp;SUM(J1363:N1363)&amp;" statt "&amp;I1363))</f>
        <v/>
      </c>
      <c r="P1363" s="21" t="n"/>
      <c r="Q1363" s="21" t="n"/>
      <c r="R1363" s="21" t="n"/>
      <c r="S1363" s="24" t="n"/>
      <c r="T1363" s="24" t="n"/>
      <c r="V1363">
        <f>IF(A1363="","",MONTH(A1363))</f>
        <v/>
      </c>
      <c r="W1363">
        <f>N(W1362)+IF(AND(C1363&lt;&gt;"",T1363&lt;&gt;""),IF(C1363=WOCHE!$B$3,1,0),0)</f>
        <v/>
      </c>
      <c r="X1363">
        <f>N(X1362)+IF(AND(V1363&lt;&gt;"",T1363&lt;&gt;""),IF(V1363=MONAT!$AZ$3,1,0),0)</f>
        <v/>
      </c>
    </row>
    <row r="1364">
      <c r="A1364" s="19" t="n"/>
      <c r="B1364" s="20">
        <f>IF(A1364="","",CHOOSE(WEEKDAY(A1364,2),"Mo","Di","Mi","Do","Fr","Sa","So"))</f>
        <v/>
      </c>
      <c r="C1364" s="20">
        <f>IF(A1364="","",INT((A1364-DATE(YEAR(A1364-WEEKDAY(A1364-1)+4),1,3)+WEEKDAY(DATE(YEAR(A1364-WEEKDAY(A1364-1)+4),1,3))+5)/7))</f>
        <v/>
      </c>
      <c r="D1364" s="21" t="n"/>
      <c r="E1364" s="22" t="n"/>
      <c r="F1364" s="23" t="n"/>
      <c r="G1364" s="23" t="n"/>
      <c r="H1364" s="23" t="n"/>
      <c r="I1364" s="20">
        <f>IF(COUNT(F1364:H1364)=0,"",SUM(F1364:H1364))</f>
        <v/>
      </c>
      <c r="J1364" s="23" t="n"/>
      <c r="K1364" s="23" t="n"/>
      <c r="L1364" s="23" t="n"/>
      <c r="M1364" s="23" t="n"/>
      <c r="N1364" s="23" t="n"/>
      <c r="O1364" s="20">
        <f>IF(OR(I1364="",COUNT(J1364:N1364)=0),"",IF(SUM(J1364:N1364)=I1364,"✓","⚠ "&amp;SUM(J1364:N1364)&amp;" statt "&amp;I1364))</f>
        <v/>
      </c>
      <c r="P1364" s="21" t="n"/>
      <c r="Q1364" s="21" t="n"/>
      <c r="R1364" s="21" t="n"/>
      <c r="S1364" s="24" t="n"/>
      <c r="T1364" s="24" t="n"/>
      <c r="V1364">
        <f>IF(A1364="","",MONTH(A1364))</f>
        <v/>
      </c>
      <c r="W1364">
        <f>N(W1363)+IF(AND(C1364&lt;&gt;"",T1364&lt;&gt;""),IF(C1364=WOCHE!$B$3,1,0),0)</f>
        <v/>
      </c>
      <c r="X1364">
        <f>N(X1363)+IF(AND(V1364&lt;&gt;"",T1364&lt;&gt;""),IF(V1364=MONAT!$AZ$3,1,0),0)</f>
        <v/>
      </c>
    </row>
    <row r="1365">
      <c r="A1365" s="19" t="n"/>
      <c r="B1365" s="20">
        <f>IF(A1365="","",CHOOSE(WEEKDAY(A1365,2),"Mo","Di","Mi","Do","Fr","Sa","So"))</f>
        <v/>
      </c>
      <c r="C1365" s="20">
        <f>IF(A1365="","",INT((A1365-DATE(YEAR(A1365-WEEKDAY(A1365-1)+4),1,3)+WEEKDAY(DATE(YEAR(A1365-WEEKDAY(A1365-1)+4),1,3))+5)/7))</f>
        <v/>
      </c>
      <c r="D1365" s="21" t="n"/>
      <c r="E1365" s="22" t="n"/>
      <c r="F1365" s="23" t="n"/>
      <c r="G1365" s="23" t="n"/>
      <c r="H1365" s="23" t="n"/>
      <c r="I1365" s="20">
        <f>IF(COUNT(F1365:H1365)=0,"",SUM(F1365:H1365))</f>
        <v/>
      </c>
      <c r="J1365" s="23" t="n"/>
      <c r="K1365" s="23" t="n"/>
      <c r="L1365" s="23" t="n"/>
      <c r="M1365" s="23" t="n"/>
      <c r="N1365" s="23" t="n"/>
      <c r="O1365" s="20">
        <f>IF(OR(I1365="",COUNT(J1365:N1365)=0),"",IF(SUM(J1365:N1365)=I1365,"✓","⚠ "&amp;SUM(J1365:N1365)&amp;" statt "&amp;I1365))</f>
        <v/>
      </c>
      <c r="P1365" s="21" t="n"/>
      <c r="Q1365" s="21" t="n"/>
      <c r="R1365" s="21" t="n"/>
      <c r="S1365" s="24" t="n"/>
      <c r="T1365" s="24" t="n"/>
      <c r="V1365">
        <f>IF(A1365="","",MONTH(A1365))</f>
        <v/>
      </c>
      <c r="W1365">
        <f>N(W1364)+IF(AND(C1365&lt;&gt;"",T1365&lt;&gt;""),IF(C1365=WOCHE!$B$3,1,0),0)</f>
        <v/>
      </c>
      <c r="X1365">
        <f>N(X1364)+IF(AND(V1365&lt;&gt;"",T1365&lt;&gt;""),IF(V1365=MONAT!$AZ$3,1,0),0)</f>
        <v/>
      </c>
    </row>
    <row r="1366">
      <c r="A1366" s="19" t="n"/>
      <c r="B1366" s="20">
        <f>IF(A1366="","",CHOOSE(WEEKDAY(A1366,2),"Mo","Di","Mi","Do","Fr","Sa","So"))</f>
        <v/>
      </c>
      <c r="C1366" s="20">
        <f>IF(A1366="","",INT((A1366-DATE(YEAR(A1366-WEEKDAY(A1366-1)+4),1,3)+WEEKDAY(DATE(YEAR(A1366-WEEKDAY(A1366-1)+4),1,3))+5)/7))</f>
        <v/>
      </c>
      <c r="D1366" s="21" t="n"/>
      <c r="E1366" s="22" t="n"/>
      <c r="F1366" s="23" t="n"/>
      <c r="G1366" s="23" t="n"/>
      <c r="H1366" s="23" t="n"/>
      <c r="I1366" s="20">
        <f>IF(COUNT(F1366:H1366)=0,"",SUM(F1366:H1366))</f>
        <v/>
      </c>
      <c r="J1366" s="23" t="n"/>
      <c r="K1366" s="23" t="n"/>
      <c r="L1366" s="23" t="n"/>
      <c r="M1366" s="23" t="n"/>
      <c r="N1366" s="23" t="n"/>
      <c r="O1366" s="20">
        <f>IF(OR(I1366="",COUNT(J1366:N1366)=0),"",IF(SUM(J1366:N1366)=I1366,"✓","⚠ "&amp;SUM(J1366:N1366)&amp;" statt "&amp;I1366))</f>
        <v/>
      </c>
      <c r="P1366" s="21" t="n"/>
      <c r="Q1366" s="21" t="n"/>
      <c r="R1366" s="21" t="n"/>
      <c r="S1366" s="24" t="n"/>
      <c r="T1366" s="24" t="n"/>
      <c r="V1366">
        <f>IF(A1366="","",MONTH(A1366))</f>
        <v/>
      </c>
      <c r="W1366">
        <f>N(W1365)+IF(AND(C1366&lt;&gt;"",T1366&lt;&gt;""),IF(C1366=WOCHE!$B$3,1,0),0)</f>
        <v/>
      </c>
      <c r="X1366">
        <f>N(X1365)+IF(AND(V1366&lt;&gt;"",T1366&lt;&gt;""),IF(V1366=MONAT!$AZ$3,1,0),0)</f>
        <v/>
      </c>
    </row>
    <row r="1367">
      <c r="A1367" s="19" t="n"/>
      <c r="B1367" s="20">
        <f>IF(A1367="","",CHOOSE(WEEKDAY(A1367,2),"Mo","Di","Mi","Do","Fr","Sa","So"))</f>
        <v/>
      </c>
      <c r="C1367" s="20">
        <f>IF(A1367="","",INT((A1367-DATE(YEAR(A1367-WEEKDAY(A1367-1)+4),1,3)+WEEKDAY(DATE(YEAR(A1367-WEEKDAY(A1367-1)+4),1,3))+5)/7))</f>
        <v/>
      </c>
      <c r="D1367" s="21" t="n"/>
      <c r="E1367" s="22" t="n"/>
      <c r="F1367" s="23" t="n"/>
      <c r="G1367" s="23" t="n"/>
      <c r="H1367" s="23" t="n"/>
      <c r="I1367" s="20">
        <f>IF(COUNT(F1367:H1367)=0,"",SUM(F1367:H1367))</f>
        <v/>
      </c>
      <c r="J1367" s="23" t="n"/>
      <c r="K1367" s="23" t="n"/>
      <c r="L1367" s="23" t="n"/>
      <c r="M1367" s="23" t="n"/>
      <c r="N1367" s="23" t="n"/>
      <c r="O1367" s="20">
        <f>IF(OR(I1367="",COUNT(J1367:N1367)=0),"",IF(SUM(J1367:N1367)=I1367,"✓","⚠ "&amp;SUM(J1367:N1367)&amp;" statt "&amp;I1367))</f>
        <v/>
      </c>
      <c r="P1367" s="21" t="n"/>
      <c r="Q1367" s="21" t="n"/>
      <c r="R1367" s="21" t="n"/>
      <c r="S1367" s="24" t="n"/>
      <c r="T1367" s="24" t="n"/>
      <c r="V1367">
        <f>IF(A1367="","",MONTH(A1367))</f>
        <v/>
      </c>
      <c r="W1367">
        <f>N(W1366)+IF(AND(C1367&lt;&gt;"",T1367&lt;&gt;""),IF(C1367=WOCHE!$B$3,1,0),0)</f>
        <v/>
      </c>
      <c r="X1367">
        <f>N(X1366)+IF(AND(V1367&lt;&gt;"",T1367&lt;&gt;""),IF(V1367=MONAT!$AZ$3,1,0),0)</f>
        <v/>
      </c>
    </row>
    <row r="1368">
      <c r="A1368" s="19" t="n"/>
      <c r="B1368" s="20">
        <f>IF(A1368="","",CHOOSE(WEEKDAY(A1368,2),"Mo","Di","Mi","Do","Fr","Sa","So"))</f>
        <v/>
      </c>
      <c r="C1368" s="20">
        <f>IF(A1368="","",INT((A1368-DATE(YEAR(A1368-WEEKDAY(A1368-1)+4),1,3)+WEEKDAY(DATE(YEAR(A1368-WEEKDAY(A1368-1)+4),1,3))+5)/7))</f>
        <v/>
      </c>
      <c r="D1368" s="21" t="n"/>
      <c r="E1368" s="22" t="n"/>
      <c r="F1368" s="23" t="n"/>
      <c r="G1368" s="23" t="n"/>
      <c r="H1368" s="23" t="n"/>
      <c r="I1368" s="20">
        <f>IF(COUNT(F1368:H1368)=0,"",SUM(F1368:H1368))</f>
        <v/>
      </c>
      <c r="J1368" s="23" t="n"/>
      <c r="K1368" s="23" t="n"/>
      <c r="L1368" s="23" t="n"/>
      <c r="M1368" s="23" t="n"/>
      <c r="N1368" s="23" t="n"/>
      <c r="O1368" s="20">
        <f>IF(OR(I1368="",COUNT(J1368:N1368)=0),"",IF(SUM(J1368:N1368)=I1368,"✓","⚠ "&amp;SUM(J1368:N1368)&amp;" statt "&amp;I1368))</f>
        <v/>
      </c>
      <c r="P1368" s="21" t="n"/>
      <c r="Q1368" s="21" t="n"/>
      <c r="R1368" s="21" t="n"/>
      <c r="S1368" s="24" t="n"/>
      <c r="T1368" s="24" t="n"/>
      <c r="V1368">
        <f>IF(A1368="","",MONTH(A1368))</f>
        <v/>
      </c>
      <c r="W1368">
        <f>N(W1367)+IF(AND(C1368&lt;&gt;"",T1368&lt;&gt;""),IF(C1368=WOCHE!$B$3,1,0),0)</f>
        <v/>
      </c>
      <c r="X1368">
        <f>N(X1367)+IF(AND(V1368&lt;&gt;"",T1368&lt;&gt;""),IF(V1368=MONAT!$AZ$3,1,0),0)</f>
        <v/>
      </c>
    </row>
    <row r="1369">
      <c r="A1369" s="19" t="n"/>
      <c r="B1369" s="20">
        <f>IF(A1369="","",CHOOSE(WEEKDAY(A1369,2),"Mo","Di","Mi","Do","Fr","Sa","So"))</f>
        <v/>
      </c>
      <c r="C1369" s="20">
        <f>IF(A1369="","",INT((A1369-DATE(YEAR(A1369-WEEKDAY(A1369-1)+4),1,3)+WEEKDAY(DATE(YEAR(A1369-WEEKDAY(A1369-1)+4),1,3))+5)/7))</f>
        <v/>
      </c>
      <c r="D1369" s="21" t="n"/>
      <c r="E1369" s="22" t="n"/>
      <c r="F1369" s="23" t="n"/>
      <c r="G1369" s="23" t="n"/>
      <c r="H1369" s="23" t="n"/>
      <c r="I1369" s="20">
        <f>IF(COUNT(F1369:H1369)=0,"",SUM(F1369:H1369))</f>
        <v/>
      </c>
      <c r="J1369" s="23" t="n"/>
      <c r="K1369" s="23" t="n"/>
      <c r="L1369" s="23" t="n"/>
      <c r="M1369" s="23" t="n"/>
      <c r="N1369" s="23" t="n"/>
      <c r="O1369" s="20">
        <f>IF(OR(I1369="",COUNT(J1369:N1369)=0),"",IF(SUM(J1369:N1369)=I1369,"✓","⚠ "&amp;SUM(J1369:N1369)&amp;" statt "&amp;I1369))</f>
        <v/>
      </c>
      <c r="P1369" s="21" t="n"/>
      <c r="Q1369" s="21" t="n"/>
      <c r="R1369" s="21" t="n"/>
      <c r="S1369" s="24" t="n"/>
      <c r="T1369" s="24" t="n"/>
      <c r="V1369">
        <f>IF(A1369="","",MONTH(A1369))</f>
        <v/>
      </c>
      <c r="W1369">
        <f>N(W1368)+IF(AND(C1369&lt;&gt;"",T1369&lt;&gt;""),IF(C1369=WOCHE!$B$3,1,0),0)</f>
        <v/>
      </c>
      <c r="X1369">
        <f>N(X1368)+IF(AND(V1369&lt;&gt;"",T1369&lt;&gt;""),IF(V1369=MONAT!$AZ$3,1,0),0)</f>
        <v/>
      </c>
    </row>
    <row r="1370">
      <c r="A1370" s="19" t="n"/>
      <c r="B1370" s="20">
        <f>IF(A1370="","",CHOOSE(WEEKDAY(A1370,2),"Mo","Di","Mi","Do","Fr","Sa","So"))</f>
        <v/>
      </c>
      <c r="C1370" s="20">
        <f>IF(A1370="","",INT((A1370-DATE(YEAR(A1370-WEEKDAY(A1370-1)+4),1,3)+WEEKDAY(DATE(YEAR(A1370-WEEKDAY(A1370-1)+4),1,3))+5)/7))</f>
        <v/>
      </c>
      <c r="D1370" s="21" t="n"/>
      <c r="E1370" s="22" t="n"/>
      <c r="F1370" s="23" t="n"/>
      <c r="G1370" s="23" t="n"/>
      <c r="H1370" s="23" t="n"/>
      <c r="I1370" s="20">
        <f>IF(COUNT(F1370:H1370)=0,"",SUM(F1370:H1370))</f>
        <v/>
      </c>
      <c r="J1370" s="23" t="n"/>
      <c r="K1370" s="23" t="n"/>
      <c r="L1370" s="23" t="n"/>
      <c r="M1370" s="23" t="n"/>
      <c r="N1370" s="23" t="n"/>
      <c r="O1370" s="20">
        <f>IF(OR(I1370="",COUNT(J1370:N1370)=0),"",IF(SUM(J1370:N1370)=I1370,"✓","⚠ "&amp;SUM(J1370:N1370)&amp;" statt "&amp;I1370))</f>
        <v/>
      </c>
      <c r="P1370" s="21" t="n"/>
      <c r="Q1370" s="21" t="n"/>
      <c r="R1370" s="21" t="n"/>
      <c r="S1370" s="24" t="n"/>
      <c r="T1370" s="24" t="n"/>
      <c r="V1370">
        <f>IF(A1370="","",MONTH(A1370))</f>
        <v/>
      </c>
      <c r="W1370">
        <f>N(W1369)+IF(AND(C1370&lt;&gt;"",T1370&lt;&gt;""),IF(C1370=WOCHE!$B$3,1,0),0)</f>
        <v/>
      </c>
      <c r="X1370">
        <f>N(X1369)+IF(AND(V1370&lt;&gt;"",T1370&lt;&gt;""),IF(V1370=MONAT!$AZ$3,1,0),0)</f>
        <v/>
      </c>
    </row>
    <row r="1371">
      <c r="A1371" s="19" t="n"/>
      <c r="B1371" s="20">
        <f>IF(A1371="","",CHOOSE(WEEKDAY(A1371,2),"Mo","Di","Mi","Do","Fr","Sa","So"))</f>
        <v/>
      </c>
      <c r="C1371" s="20">
        <f>IF(A1371="","",INT((A1371-DATE(YEAR(A1371-WEEKDAY(A1371-1)+4),1,3)+WEEKDAY(DATE(YEAR(A1371-WEEKDAY(A1371-1)+4),1,3))+5)/7))</f>
        <v/>
      </c>
      <c r="D1371" s="21" t="n"/>
      <c r="E1371" s="22" t="n"/>
      <c r="F1371" s="23" t="n"/>
      <c r="G1371" s="23" t="n"/>
      <c r="H1371" s="23" t="n"/>
      <c r="I1371" s="20">
        <f>IF(COUNT(F1371:H1371)=0,"",SUM(F1371:H1371))</f>
        <v/>
      </c>
      <c r="J1371" s="23" t="n"/>
      <c r="K1371" s="23" t="n"/>
      <c r="L1371" s="23" t="n"/>
      <c r="M1371" s="23" t="n"/>
      <c r="N1371" s="23" t="n"/>
      <c r="O1371" s="20">
        <f>IF(OR(I1371="",COUNT(J1371:N1371)=0),"",IF(SUM(J1371:N1371)=I1371,"✓","⚠ "&amp;SUM(J1371:N1371)&amp;" statt "&amp;I1371))</f>
        <v/>
      </c>
      <c r="P1371" s="21" t="n"/>
      <c r="Q1371" s="21" t="n"/>
      <c r="R1371" s="21" t="n"/>
      <c r="S1371" s="24" t="n"/>
      <c r="T1371" s="24" t="n"/>
      <c r="V1371">
        <f>IF(A1371="","",MONTH(A1371))</f>
        <v/>
      </c>
      <c r="W1371">
        <f>N(W1370)+IF(AND(C1371&lt;&gt;"",T1371&lt;&gt;""),IF(C1371=WOCHE!$B$3,1,0),0)</f>
        <v/>
      </c>
      <c r="X1371">
        <f>N(X1370)+IF(AND(V1371&lt;&gt;"",T1371&lt;&gt;""),IF(V1371=MONAT!$AZ$3,1,0),0)</f>
        <v/>
      </c>
    </row>
    <row r="1372">
      <c r="A1372" s="19" t="n"/>
      <c r="B1372" s="20">
        <f>IF(A1372="","",CHOOSE(WEEKDAY(A1372,2),"Mo","Di","Mi","Do","Fr","Sa","So"))</f>
        <v/>
      </c>
      <c r="C1372" s="20">
        <f>IF(A1372="","",INT((A1372-DATE(YEAR(A1372-WEEKDAY(A1372-1)+4),1,3)+WEEKDAY(DATE(YEAR(A1372-WEEKDAY(A1372-1)+4),1,3))+5)/7))</f>
        <v/>
      </c>
      <c r="D1372" s="21" t="n"/>
      <c r="E1372" s="22" t="n"/>
      <c r="F1372" s="23" t="n"/>
      <c r="G1372" s="23" t="n"/>
      <c r="H1372" s="23" t="n"/>
      <c r="I1372" s="20">
        <f>IF(COUNT(F1372:H1372)=0,"",SUM(F1372:H1372))</f>
        <v/>
      </c>
      <c r="J1372" s="23" t="n"/>
      <c r="K1372" s="23" t="n"/>
      <c r="L1372" s="23" t="n"/>
      <c r="M1372" s="23" t="n"/>
      <c r="N1372" s="23" t="n"/>
      <c r="O1372" s="20">
        <f>IF(OR(I1372="",COUNT(J1372:N1372)=0),"",IF(SUM(J1372:N1372)=I1372,"✓","⚠ "&amp;SUM(J1372:N1372)&amp;" statt "&amp;I1372))</f>
        <v/>
      </c>
      <c r="P1372" s="21" t="n"/>
      <c r="Q1372" s="21" t="n"/>
      <c r="R1372" s="21" t="n"/>
      <c r="S1372" s="24" t="n"/>
      <c r="T1372" s="24" t="n"/>
      <c r="V1372">
        <f>IF(A1372="","",MONTH(A1372))</f>
        <v/>
      </c>
      <c r="W1372">
        <f>N(W1371)+IF(AND(C1372&lt;&gt;"",T1372&lt;&gt;""),IF(C1372=WOCHE!$B$3,1,0),0)</f>
        <v/>
      </c>
      <c r="X1372">
        <f>N(X1371)+IF(AND(V1372&lt;&gt;"",T1372&lt;&gt;""),IF(V1372=MONAT!$AZ$3,1,0),0)</f>
        <v/>
      </c>
    </row>
    <row r="1373">
      <c r="A1373" s="19" t="n"/>
      <c r="B1373" s="20">
        <f>IF(A1373="","",CHOOSE(WEEKDAY(A1373,2),"Mo","Di","Mi","Do","Fr","Sa","So"))</f>
        <v/>
      </c>
      <c r="C1373" s="20">
        <f>IF(A1373="","",INT((A1373-DATE(YEAR(A1373-WEEKDAY(A1373-1)+4),1,3)+WEEKDAY(DATE(YEAR(A1373-WEEKDAY(A1373-1)+4),1,3))+5)/7))</f>
        <v/>
      </c>
      <c r="D1373" s="21" t="n"/>
      <c r="E1373" s="22" t="n"/>
      <c r="F1373" s="23" t="n"/>
      <c r="G1373" s="23" t="n"/>
      <c r="H1373" s="23" t="n"/>
      <c r="I1373" s="20">
        <f>IF(COUNT(F1373:H1373)=0,"",SUM(F1373:H1373))</f>
        <v/>
      </c>
      <c r="J1373" s="23" t="n"/>
      <c r="K1373" s="23" t="n"/>
      <c r="L1373" s="23" t="n"/>
      <c r="M1373" s="23" t="n"/>
      <c r="N1373" s="23" t="n"/>
      <c r="O1373" s="20">
        <f>IF(OR(I1373="",COUNT(J1373:N1373)=0),"",IF(SUM(J1373:N1373)=I1373,"✓","⚠ "&amp;SUM(J1373:N1373)&amp;" statt "&amp;I1373))</f>
        <v/>
      </c>
      <c r="P1373" s="21" t="n"/>
      <c r="Q1373" s="21" t="n"/>
      <c r="R1373" s="21" t="n"/>
      <c r="S1373" s="24" t="n"/>
      <c r="T1373" s="24" t="n"/>
      <c r="V1373">
        <f>IF(A1373="","",MONTH(A1373))</f>
        <v/>
      </c>
      <c r="W1373">
        <f>N(W1372)+IF(AND(C1373&lt;&gt;"",T1373&lt;&gt;""),IF(C1373=WOCHE!$B$3,1,0),0)</f>
        <v/>
      </c>
      <c r="X1373">
        <f>N(X1372)+IF(AND(V1373&lt;&gt;"",T1373&lt;&gt;""),IF(V1373=MONAT!$AZ$3,1,0),0)</f>
        <v/>
      </c>
    </row>
    <row r="1374">
      <c r="A1374" s="19" t="n"/>
      <c r="B1374" s="20">
        <f>IF(A1374="","",CHOOSE(WEEKDAY(A1374,2),"Mo","Di","Mi","Do","Fr","Sa","So"))</f>
        <v/>
      </c>
      <c r="C1374" s="20">
        <f>IF(A1374="","",INT((A1374-DATE(YEAR(A1374-WEEKDAY(A1374-1)+4),1,3)+WEEKDAY(DATE(YEAR(A1374-WEEKDAY(A1374-1)+4),1,3))+5)/7))</f>
        <v/>
      </c>
      <c r="D1374" s="21" t="n"/>
      <c r="E1374" s="22" t="n"/>
      <c r="F1374" s="23" t="n"/>
      <c r="G1374" s="23" t="n"/>
      <c r="H1374" s="23" t="n"/>
      <c r="I1374" s="20">
        <f>IF(COUNT(F1374:H1374)=0,"",SUM(F1374:H1374))</f>
        <v/>
      </c>
      <c r="J1374" s="23" t="n"/>
      <c r="K1374" s="23" t="n"/>
      <c r="L1374" s="23" t="n"/>
      <c r="M1374" s="23" t="n"/>
      <c r="N1374" s="23" t="n"/>
      <c r="O1374" s="20">
        <f>IF(OR(I1374="",COUNT(J1374:N1374)=0),"",IF(SUM(J1374:N1374)=I1374,"✓","⚠ "&amp;SUM(J1374:N1374)&amp;" statt "&amp;I1374))</f>
        <v/>
      </c>
      <c r="P1374" s="21" t="n"/>
      <c r="Q1374" s="21" t="n"/>
      <c r="R1374" s="21" t="n"/>
      <c r="S1374" s="24" t="n"/>
      <c r="T1374" s="24" t="n"/>
      <c r="V1374">
        <f>IF(A1374="","",MONTH(A1374))</f>
        <v/>
      </c>
      <c r="W1374">
        <f>N(W1373)+IF(AND(C1374&lt;&gt;"",T1374&lt;&gt;""),IF(C1374=WOCHE!$B$3,1,0),0)</f>
        <v/>
      </c>
      <c r="X1374">
        <f>N(X1373)+IF(AND(V1374&lt;&gt;"",T1374&lt;&gt;""),IF(V1374=MONAT!$AZ$3,1,0),0)</f>
        <v/>
      </c>
    </row>
    <row r="1375">
      <c r="A1375" s="19" t="n"/>
      <c r="B1375" s="20">
        <f>IF(A1375="","",CHOOSE(WEEKDAY(A1375,2),"Mo","Di","Mi","Do","Fr","Sa","So"))</f>
        <v/>
      </c>
      <c r="C1375" s="20">
        <f>IF(A1375="","",INT((A1375-DATE(YEAR(A1375-WEEKDAY(A1375-1)+4),1,3)+WEEKDAY(DATE(YEAR(A1375-WEEKDAY(A1375-1)+4),1,3))+5)/7))</f>
        <v/>
      </c>
      <c r="D1375" s="21" t="n"/>
      <c r="E1375" s="22" t="n"/>
      <c r="F1375" s="23" t="n"/>
      <c r="G1375" s="23" t="n"/>
      <c r="H1375" s="23" t="n"/>
      <c r="I1375" s="20">
        <f>IF(COUNT(F1375:H1375)=0,"",SUM(F1375:H1375))</f>
        <v/>
      </c>
      <c r="J1375" s="23" t="n"/>
      <c r="K1375" s="23" t="n"/>
      <c r="L1375" s="23" t="n"/>
      <c r="M1375" s="23" t="n"/>
      <c r="N1375" s="23" t="n"/>
      <c r="O1375" s="20">
        <f>IF(OR(I1375="",COUNT(J1375:N1375)=0),"",IF(SUM(J1375:N1375)=I1375,"✓","⚠ "&amp;SUM(J1375:N1375)&amp;" statt "&amp;I1375))</f>
        <v/>
      </c>
      <c r="P1375" s="21" t="n"/>
      <c r="Q1375" s="21" t="n"/>
      <c r="R1375" s="21" t="n"/>
      <c r="S1375" s="24" t="n"/>
      <c r="T1375" s="24" t="n"/>
      <c r="V1375">
        <f>IF(A1375="","",MONTH(A1375))</f>
        <v/>
      </c>
      <c r="W1375">
        <f>N(W1374)+IF(AND(C1375&lt;&gt;"",T1375&lt;&gt;""),IF(C1375=WOCHE!$B$3,1,0),0)</f>
        <v/>
      </c>
      <c r="X1375">
        <f>N(X1374)+IF(AND(V1375&lt;&gt;"",T1375&lt;&gt;""),IF(V1375=MONAT!$AZ$3,1,0),0)</f>
        <v/>
      </c>
    </row>
    <row r="1376">
      <c r="A1376" s="19" t="n"/>
      <c r="B1376" s="20">
        <f>IF(A1376="","",CHOOSE(WEEKDAY(A1376,2),"Mo","Di","Mi","Do","Fr","Sa","So"))</f>
        <v/>
      </c>
      <c r="C1376" s="20">
        <f>IF(A1376="","",INT((A1376-DATE(YEAR(A1376-WEEKDAY(A1376-1)+4),1,3)+WEEKDAY(DATE(YEAR(A1376-WEEKDAY(A1376-1)+4),1,3))+5)/7))</f>
        <v/>
      </c>
      <c r="D1376" s="21" t="n"/>
      <c r="E1376" s="22" t="n"/>
      <c r="F1376" s="23" t="n"/>
      <c r="G1376" s="23" t="n"/>
      <c r="H1376" s="23" t="n"/>
      <c r="I1376" s="20">
        <f>IF(COUNT(F1376:H1376)=0,"",SUM(F1376:H1376))</f>
        <v/>
      </c>
      <c r="J1376" s="23" t="n"/>
      <c r="K1376" s="23" t="n"/>
      <c r="L1376" s="23" t="n"/>
      <c r="M1376" s="23" t="n"/>
      <c r="N1376" s="23" t="n"/>
      <c r="O1376" s="20">
        <f>IF(OR(I1376="",COUNT(J1376:N1376)=0),"",IF(SUM(J1376:N1376)=I1376,"✓","⚠ "&amp;SUM(J1376:N1376)&amp;" statt "&amp;I1376))</f>
        <v/>
      </c>
      <c r="P1376" s="21" t="n"/>
      <c r="Q1376" s="21" t="n"/>
      <c r="R1376" s="21" t="n"/>
      <c r="S1376" s="24" t="n"/>
      <c r="T1376" s="24" t="n"/>
      <c r="V1376">
        <f>IF(A1376="","",MONTH(A1376))</f>
        <v/>
      </c>
      <c r="W1376">
        <f>N(W1375)+IF(AND(C1376&lt;&gt;"",T1376&lt;&gt;""),IF(C1376=WOCHE!$B$3,1,0),0)</f>
        <v/>
      </c>
      <c r="X1376">
        <f>N(X1375)+IF(AND(V1376&lt;&gt;"",T1376&lt;&gt;""),IF(V1376=MONAT!$AZ$3,1,0),0)</f>
        <v/>
      </c>
    </row>
    <row r="1377">
      <c r="A1377" s="19" t="n"/>
      <c r="B1377" s="20">
        <f>IF(A1377="","",CHOOSE(WEEKDAY(A1377,2),"Mo","Di","Mi","Do","Fr","Sa","So"))</f>
        <v/>
      </c>
      <c r="C1377" s="20">
        <f>IF(A1377="","",INT((A1377-DATE(YEAR(A1377-WEEKDAY(A1377-1)+4),1,3)+WEEKDAY(DATE(YEAR(A1377-WEEKDAY(A1377-1)+4),1,3))+5)/7))</f>
        <v/>
      </c>
      <c r="D1377" s="21" t="n"/>
      <c r="E1377" s="22" t="n"/>
      <c r="F1377" s="23" t="n"/>
      <c r="G1377" s="23" t="n"/>
      <c r="H1377" s="23" t="n"/>
      <c r="I1377" s="20">
        <f>IF(COUNT(F1377:H1377)=0,"",SUM(F1377:H1377))</f>
        <v/>
      </c>
      <c r="J1377" s="23" t="n"/>
      <c r="K1377" s="23" t="n"/>
      <c r="L1377" s="23" t="n"/>
      <c r="M1377" s="23" t="n"/>
      <c r="N1377" s="23" t="n"/>
      <c r="O1377" s="20">
        <f>IF(OR(I1377="",COUNT(J1377:N1377)=0),"",IF(SUM(J1377:N1377)=I1377,"✓","⚠ "&amp;SUM(J1377:N1377)&amp;" statt "&amp;I1377))</f>
        <v/>
      </c>
      <c r="P1377" s="21" t="n"/>
      <c r="Q1377" s="21" t="n"/>
      <c r="R1377" s="21" t="n"/>
      <c r="S1377" s="24" t="n"/>
      <c r="T1377" s="24" t="n"/>
      <c r="V1377">
        <f>IF(A1377="","",MONTH(A1377))</f>
        <v/>
      </c>
      <c r="W1377">
        <f>N(W1376)+IF(AND(C1377&lt;&gt;"",T1377&lt;&gt;""),IF(C1377=WOCHE!$B$3,1,0),0)</f>
        <v/>
      </c>
      <c r="X1377">
        <f>N(X1376)+IF(AND(V1377&lt;&gt;"",T1377&lt;&gt;""),IF(V1377=MONAT!$AZ$3,1,0),0)</f>
        <v/>
      </c>
    </row>
    <row r="1378">
      <c r="A1378" s="19" t="n"/>
      <c r="B1378" s="20">
        <f>IF(A1378="","",CHOOSE(WEEKDAY(A1378,2),"Mo","Di","Mi","Do","Fr","Sa","So"))</f>
        <v/>
      </c>
      <c r="C1378" s="20">
        <f>IF(A1378="","",INT((A1378-DATE(YEAR(A1378-WEEKDAY(A1378-1)+4),1,3)+WEEKDAY(DATE(YEAR(A1378-WEEKDAY(A1378-1)+4),1,3))+5)/7))</f>
        <v/>
      </c>
      <c r="D1378" s="21" t="n"/>
      <c r="E1378" s="22" t="n"/>
      <c r="F1378" s="23" t="n"/>
      <c r="G1378" s="23" t="n"/>
      <c r="H1378" s="23" t="n"/>
      <c r="I1378" s="20">
        <f>IF(COUNT(F1378:H1378)=0,"",SUM(F1378:H1378))</f>
        <v/>
      </c>
      <c r="J1378" s="23" t="n"/>
      <c r="K1378" s="23" t="n"/>
      <c r="L1378" s="23" t="n"/>
      <c r="M1378" s="23" t="n"/>
      <c r="N1378" s="23" t="n"/>
      <c r="O1378" s="20">
        <f>IF(OR(I1378="",COUNT(J1378:N1378)=0),"",IF(SUM(J1378:N1378)=I1378,"✓","⚠ "&amp;SUM(J1378:N1378)&amp;" statt "&amp;I1378))</f>
        <v/>
      </c>
      <c r="P1378" s="21" t="n"/>
      <c r="Q1378" s="21" t="n"/>
      <c r="R1378" s="21" t="n"/>
      <c r="S1378" s="24" t="n"/>
      <c r="T1378" s="24" t="n"/>
      <c r="V1378">
        <f>IF(A1378="","",MONTH(A1378))</f>
        <v/>
      </c>
      <c r="W1378">
        <f>N(W1377)+IF(AND(C1378&lt;&gt;"",T1378&lt;&gt;""),IF(C1378=WOCHE!$B$3,1,0),0)</f>
        <v/>
      </c>
      <c r="X1378">
        <f>N(X1377)+IF(AND(V1378&lt;&gt;"",T1378&lt;&gt;""),IF(V1378=MONAT!$AZ$3,1,0),0)</f>
        <v/>
      </c>
    </row>
    <row r="1379">
      <c r="A1379" s="19" t="n"/>
      <c r="B1379" s="20">
        <f>IF(A1379="","",CHOOSE(WEEKDAY(A1379,2),"Mo","Di","Mi","Do","Fr","Sa","So"))</f>
        <v/>
      </c>
      <c r="C1379" s="20">
        <f>IF(A1379="","",INT((A1379-DATE(YEAR(A1379-WEEKDAY(A1379-1)+4),1,3)+WEEKDAY(DATE(YEAR(A1379-WEEKDAY(A1379-1)+4),1,3))+5)/7))</f>
        <v/>
      </c>
      <c r="D1379" s="21" t="n"/>
      <c r="E1379" s="22" t="n"/>
      <c r="F1379" s="23" t="n"/>
      <c r="G1379" s="23" t="n"/>
      <c r="H1379" s="23" t="n"/>
      <c r="I1379" s="20">
        <f>IF(COUNT(F1379:H1379)=0,"",SUM(F1379:H1379))</f>
        <v/>
      </c>
      <c r="J1379" s="23" t="n"/>
      <c r="K1379" s="23" t="n"/>
      <c r="L1379" s="23" t="n"/>
      <c r="M1379" s="23" t="n"/>
      <c r="N1379" s="23" t="n"/>
      <c r="O1379" s="20">
        <f>IF(OR(I1379="",COUNT(J1379:N1379)=0),"",IF(SUM(J1379:N1379)=I1379,"✓","⚠ "&amp;SUM(J1379:N1379)&amp;" statt "&amp;I1379))</f>
        <v/>
      </c>
      <c r="P1379" s="21" t="n"/>
      <c r="Q1379" s="21" t="n"/>
      <c r="R1379" s="21" t="n"/>
      <c r="S1379" s="24" t="n"/>
      <c r="T1379" s="24" t="n"/>
      <c r="V1379">
        <f>IF(A1379="","",MONTH(A1379))</f>
        <v/>
      </c>
      <c r="W1379">
        <f>N(W1378)+IF(AND(C1379&lt;&gt;"",T1379&lt;&gt;""),IF(C1379=WOCHE!$B$3,1,0),0)</f>
        <v/>
      </c>
      <c r="X1379">
        <f>N(X1378)+IF(AND(V1379&lt;&gt;"",T1379&lt;&gt;""),IF(V1379=MONAT!$AZ$3,1,0),0)</f>
        <v/>
      </c>
    </row>
    <row r="1380">
      <c r="A1380" s="19" t="n"/>
      <c r="B1380" s="20">
        <f>IF(A1380="","",CHOOSE(WEEKDAY(A1380,2),"Mo","Di","Mi","Do","Fr","Sa","So"))</f>
        <v/>
      </c>
      <c r="C1380" s="20">
        <f>IF(A1380="","",INT((A1380-DATE(YEAR(A1380-WEEKDAY(A1380-1)+4),1,3)+WEEKDAY(DATE(YEAR(A1380-WEEKDAY(A1380-1)+4),1,3))+5)/7))</f>
        <v/>
      </c>
      <c r="D1380" s="21" t="n"/>
      <c r="E1380" s="22" t="n"/>
      <c r="F1380" s="23" t="n"/>
      <c r="G1380" s="23" t="n"/>
      <c r="H1380" s="23" t="n"/>
      <c r="I1380" s="20">
        <f>IF(COUNT(F1380:H1380)=0,"",SUM(F1380:H1380))</f>
        <v/>
      </c>
      <c r="J1380" s="23" t="n"/>
      <c r="K1380" s="23" t="n"/>
      <c r="L1380" s="23" t="n"/>
      <c r="M1380" s="23" t="n"/>
      <c r="N1380" s="23" t="n"/>
      <c r="O1380" s="20">
        <f>IF(OR(I1380="",COUNT(J1380:N1380)=0),"",IF(SUM(J1380:N1380)=I1380,"✓","⚠ "&amp;SUM(J1380:N1380)&amp;" statt "&amp;I1380))</f>
        <v/>
      </c>
      <c r="P1380" s="21" t="n"/>
      <c r="Q1380" s="21" t="n"/>
      <c r="R1380" s="21" t="n"/>
      <c r="S1380" s="24" t="n"/>
      <c r="T1380" s="24" t="n"/>
      <c r="V1380">
        <f>IF(A1380="","",MONTH(A1380))</f>
        <v/>
      </c>
      <c r="W1380">
        <f>N(W1379)+IF(AND(C1380&lt;&gt;"",T1380&lt;&gt;""),IF(C1380=WOCHE!$B$3,1,0),0)</f>
        <v/>
      </c>
      <c r="X1380">
        <f>N(X1379)+IF(AND(V1380&lt;&gt;"",T1380&lt;&gt;""),IF(V1380=MONAT!$AZ$3,1,0),0)</f>
        <v/>
      </c>
    </row>
    <row r="1381">
      <c r="A1381" s="19" t="n"/>
      <c r="B1381" s="20">
        <f>IF(A1381="","",CHOOSE(WEEKDAY(A1381,2),"Mo","Di","Mi","Do","Fr","Sa","So"))</f>
        <v/>
      </c>
      <c r="C1381" s="20">
        <f>IF(A1381="","",INT((A1381-DATE(YEAR(A1381-WEEKDAY(A1381-1)+4),1,3)+WEEKDAY(DATE(YEAR(A1381-WEEKDAY(A1381-1)+4),1,3))+5)/7))</f>
        <v/>
      </c>
      <c r="D1381" s="21" t="n"/>
      <c r="E1381" s="22" t="n"/>
      <c r="F1381" s="23" t="n"/>
      <c r="G1381" s="23" t="n"/>
      <c r="H1381" s="23" t="n"/>
      <c r="I1381" s="20">
        <f>IF(COUNT(F1381:H1381)=0,"",SUM(F1381:H1381))</f>
        <v/>
      </c>
      <c r="J1381" s="23" t="n"/>
      <c r="K1381" s="23" t="n"/>
      <c r="L1381" s="23" t="n"/>
      <c r="M1381" s="23" t="n"/>
      <c r="N1381" s="23" t="n"/>
      <c r="O1381" s="20">
        <f>IF(OR(I1381="",COUNT(J1381:N1381)=0),"",IF(SUM(J1381:N1381)=I1381,"✓","⚠ "&amp;SUM(J1381:N1381)&amp;" statt "&amp;I1381))</f>
        <v/>
      </c>
      <c r="P1381" s="21" t="n"/>
      <c r="Q1381" s="21" t="n"/>
      <c r="R1381" s="21" t="n"/>
      <c r="S1381" s="24" t="n"/>
      <c r="T1381" s="24" t="n"/>
      <c r="V1381">
        <f>IF(A1381="","",MONTH(A1381))</f>
        <v/>
      </c>
      <c r="W1381">
        <f>N(W1380)+IF(AND(C1381&lt;&gt;"",T1381&lt;&gt;""),IF(C1381=WOCHE!$B$3,1,0),0)</f>
        <v/>
      </c>
      <c r="X1381">
        <f>N(X1380)+IF(AND(V1381&lt;&gt;"",T1381&lt;&gt;""),IF(V1381=MONAT!$AZ$3,1,0),0)</f>
        <v/>
      </c>
    </row>
    <row r="1382">
      <c r="A1382" s="19" t="n"/>
      <c r="B1382" s="20">
        <f>IF(A1382="","",CHOOSE(WEEKDAY(A1382,2),"Mo","Di","Mi","Do","Fr","Sa","So"))</f>
        <v/>
      </c>
      <c r="C1382" s="20">
        <f>IF(A1382="","",INT((A1382-DATE(YEAR(A1382-WEEKDAY(A1382-1)+4),1,3)+WEEKDAY(DATE(YEAR(A1382-WEEKDAY(A1382-1)+4),1,3))+5)/7))</f>
        <v/>
      </c>
      <c r="D1382" s="21" t="n"/>
      <c r="E1382" s="22" t="n"/>
      <c r="F1382" s="23" t="n"/>
      <c r="G1382" s="23" t="n"/>
      <c r="H1382" s="23" t="n"/>
      <c r="I1382" s="20">
        <f>IF(COUNT(F1382:H1382)=0,"",SUM(F1382:H1382))</f>
        <v/>
      </c>
      <c r="J1382" s="23" t="n"/>
      <c r="K1382" s="23" t="n"/>
      <c r="L1382" s="23" t="n"/>
      <c r="M1382" s="23" t="n"/>
      <c r="N1382" s="23" t="n"/>
      <c r="O1382" s="20">
        <f>IF(OR(I1382="",COUNT(J1382:N1382)=0),"",IF(SUM(J1382:N1382)=I1382,"✓","⚠ "&amp;SUM(J1382:N1382)&amp;" statt "&amp;I1382))</f>
        <v/>
      </c>
      <c r="P1382" s="21" t="n"/>
      <c r="Q1382" s="21" t="n"/>
      <c r="R1382" s="21" t="n"/>
      <c r="S1382" s="24" t="n"/>
      <c r="T1382" s="24" t="n"/>
      <c r="V1382">
        <f>IF(A1382="","",MONTH(A1382))</f>
        <v/>
      </c>
      <c r="W1382">
        <f>N(W1381)+IF(AND(C1382&lt;&gt;"",T1382&lt;&gt;""),IF(C1382=WOCHE!$B$3,1,0),0)</f>
        <v/>
      </c>
      <c r="X1382">
        <f>N(X1381)+IF(AND(V1382&lt;&gt;"",T1382&lt;&gt;""),IF(V1382=MONAT!$AZ$3,1,0),0)</f>
        <v/>
      </c>
    </row>
    <row r="1383">
      <c r="A1383" s="19" t="n"/>
      <c r="B1383" s="20">
        <f>IF(A1383="","",CHOOSE(WEEKDAY(A1383,2),"Mo","Di","Mi","Do","Fr","Sa","So"))</f>
        <v/>
      </c>
      <c r="C1383" s="20">
        <f>IF(A1383="","",INT((A1383-DATE(YEAR(A1383-WEEKDAY(A1383-1)+4),1,3)+WEEKDAY(DATE(YEAR(A1383-WEEKDAY(A1383-1)+4),1,3))+5)/7))</f>
        <v/>
      </c>
      <c r="D1383" s="21" t="n"/>
      <c r="E1383" s="22" t="n"/>
      <c r="F1383" s="23" t="n"/>
      <c r="G1383" s="23" t="n"/>
      <c r="H1383" s="23" t="n"/>
      <c r="I1383" s="20">
        <f>IF(COUNT(F1383:H1383)=0,"",SUM(F1383:H1383))</f>
        <v/>
      </c>
      <c r="J1383" s="23" t="n"/>
      <c r="K1383" s="23" t="n"/>
      <c r="L1383" s="23" t="n"/>
      <c r="M1383" s="23" t="n"/>
      <c r="N1383" s="23" t="n"/>
      <c r="O1383" s="20">
        <f>IF(OR(I1383="",COUNT(J1383:N1383)=0),"",IF(SUM(J1383:N1383)=I1383,"✓","⚠ "&amp;SUM(J1383:N1383)&amp;" statt "&amp;I1383))</f>
        <v/>
      </c>
      <c r="P1383" s="21" t="n"/>
      <c r="Q1383" s="21" t="n"/>
      <c r="R1383" s="21" t="n"/>
      <c r="S1383" s="24" t="n"/>
      <c r="T1383" s="24" t="n"/>
      <c r="V1383">
        <f>IF(A1383="","",MONTH(A1383))</f>
        <v/>
      </c>
      <c r="W1383">
        <f>N(W1382)+IF(AND(C1383&lt;&gt;"",T1383&lt;&gt;""),IF(C1383=WOCHE!$B$3,1,0),0)</f>
        <v/>
      </c>
      <c r="X1383">
        <f>N(X1382)+IF(AND(V1383&lt;&gt;"",T1383&lt;&gt;""),IF(V1383=MONAT!$AZ$3,1,0),0)</f>
        <v/>
      </c>
    </row>
    <row r="1384">
      <c r="A1384" s="19" t="n"/>
      <c r="B1384" s="20">
        <f>IF(A1384="","",CHOOSE(WEEKDAY(A1384,2),"Mo","Di","Mi","Do","Fr","Sa","So"))</f>
        <v/>
      </c>
      <c r="C1384" s="20">
        <f>IF(A1384="","",INT((A1384-DATE(YEAR(A1384-WEEKDAY(A1384-1)+4),1,3)+WEEKDAY(DATE(YEAR(A1384-WEEKDAY(A1384-1)+4),1,3))+5)/7))</f>
        <v/>
      </c>
      <c r="D1384" s="21" t="n"/>
      <c r="E1384" s="22" t="n"/>
      <c r="F1384" s="23" t="n"/>
      <c r="G1384" s="23" t="n"/>
      <c r="H1384" s="23" t="n"/>
      <c r="I1384" s="20">
        <f>IF(COUNT(F1384:H1384)=0,"",SUM(F1384:H1384))</f>
        <v/>
      </c>
      <c r="J1384" s="23" t="n"/>
      <c r="K1384" s="23" t="n"/>
      <c r="L1384" s="23" t="n"/>
      <c r="M1384" s="23" t="n"/>
      <c r="N1384" s="23" t="n"/>
      <c r="O1384" s="20">
        <f>IF(OR(I1384="",COUNT(J1384:N1384)=0),"",IF(SUM(J1384:N1384)=I1384,"✓","⚠ "&amp;SUM(J1384:N1384)&amp;" statt "&amp;I1384))</f>
        <v/>
      </c>
      <c r="P1384" s="21" t="n"/>
      <c r="Q1384" s="21" t="n"/>
      <c r="R1384" s="21" t="n"/>
      <c r="S1384" s="24" t="n"/>
      <c r="T1384" s="24" t="n"/>
      <c r="V1384">
        <f>IF(A1384="","",MONTH(A1384))</f>
        <v/>
      </c>
      <c r="W1384">
        <f>N(W1383)+IF(AND(C1384&lt;&gt;"",T1384&lt;&gt;""),IF(C1384=WOCHE!$B$3,1,0),0)</f>
        <v/>
      </c>
      <c r="X1384">
        <f>N(X1383)+IF(AND(V1384&lt;&gt;"",T1384&lt;&gt;""),IF(V1384=MONAT!$AZ$3,1,0),0)</f>
        <v/>
      </c>
    </row>
    <row r="1385">
      <c r="A1385" s="19" t="n"/>
      <c r="B1385" s="20">
        <f>IF(A1385="","",CHOOSE(WEEKDAY(A1385,2),"Mo","Di","Mi","Do","Fr","Sa","So"))</f>
        <v/>
      </c>
      <c r="C1385" s="20">
        <f>IF(A1385="","",INT((A1385-DATE(YEAR(A1385-WEEKDAY(A1385-1)+4),1,3)+WEEKDAY(DATE(YEAR(A1385-WEEKDAY(A1385-1)+4),1,3))+5)/7))</f>
        <v/>
      </c>
      <c r="D1385" s="21" t="n"/>
      <c r="E1385" s="22" t="n"/>
      <c r="F1385" s="23" t="n"/>
      <c r="G1385" s="23" t="n"/>
      <c r="H1385" s="23" t="n"/>
      <c r="I1385" s="20">
        <f>IF(COUNT(F1385:H1385)=0,"",SUM(F1385:H1385))</f>
        <v/>
      </c>
      <c r="J1385" s="23" t="n"/>
      <c r="K1385" s="23" t="n"/>
      <c r="L1385" s="23" t="n"/>
      <c r="M1385" s="23" t="n"/>
      <c r="N1385" s="23" t="n"/>
      <c r="O1385" s="20">
        <f>IF(OR(I1385="",COUNT(J1385:N1385)=0),"",IF(SUM(J1385:N1385)=I1385,"✓","⚠ "&amp;SUM(J1385:N1385)&amp;" statt "&amp;I1385))</f>
        <v/>
      </c>
      <c r="P1385" s="21" t="n"/>
      <c r="Q1385" s="21" t="n"/>
      <c r="R1385" s="21" t="n"/>
      <c r="S1385" s="24" t="n"/>
      <c r="T1385" s="24" t="n"/>
      <c r="V1385">
        <f>IF(A1385="","",MONTH(A1385))</f>
        <v/>
      </c>
      <c r="W1385">
        <f>N(W1384)+IF(AND(C1385&lt;&gt;"",T1385&lt;&gt;""),IF(C1385=WOCHE!$B$3,1,0),0)</f>
        <v/>
      </c>
      <c r="X1385">
        <f>N(X1384)+IF(AND(V1385&lt;&gt;"",T1385&lt;&gt;""),IF(V1385=MONAT!$AZ$3,1,0),0)</f>
        <v/>
      </c>
    </row>
    <row r="1386">
      <c r="A1386" s="19" t="n"/>
      <c r="B1386" s="20">
        <f>IF(A1386="","",CHOOSE(WEEKDAY(A1386,2),"Mo","Di","Mi","Do","Fr","Sa","So"))</f>
        <v/>
      </c>
      <c r="C1386" s="20">
        <f>IF(A1386="","",INT((A1386-DATE(YEAR(A1386-WEEKDAY(A1386-1)+4),1,3)+WEEKDAY(DATE(YEAR(A1386-WEEKDAY(A1386-1)+4),1,3))+5)/7))</f>
        <v/>
      </c>
      <c r="D1386" s="21" t="n"/>
      <c r="E1386" s="22" t="n"/>
      <c r="F1386" s="23" t="n"/>
      <c r="G1386" s="23" t="n"/>
      <c r="H1386" s="23" t="n"/>
      <c r="I1386" s="20">
        <f>IF(COUNT(F1386:H1386)=0,"",SUM(F1386:H1386))</f>
        <v/>
      </c>
      <c r="J1386" s="23" t="n"/>
      <c r="K1386" s="23" t="n"/>
      <c r="L1386" s="23" t="n"/>
      <c r="M1386" s="23" t="n"/>
      <c r="N1386" s="23" t="n"/>
      <c r="O1386" s="20">
        <f>IF(OR(I1386="",COUNT(J1386:N1386)=0),"",IF(SUM(J1386:N1386)=I1386,"✓","⚠ "&amp;SUM(J1386:N1386)&amp;" statt "&amp;I1386))</f>
        <v/>
      </c>
      <c r="P1386" s="21" t="n"/>
      <c r="Q1386" s="21" t="n"/>
      <c r="R1386" s="21" t="n"/>
      <c r="S1386" s="24" t="n"/>
      <c r="T1386" s="24" t="n"/>
      <c r="V1386">
        <f>IF(A1386="","",MONTH(A1386))</f>
        <v/>
      </c>
      <c r="W1386">
        <f>N(W1385)+IF(AND(C1386&lt;&gt;"",T1386&lt;&gt;""),IF(C1386=WOCHE!$B$3,1,0),0)</f>
        <v/>
      </c>
      <c r="X1386">
        <f>N(X1385)+IF(AND(V1386&lt;&gt;"",T1386&lt;&gt;""),IF(V1386=MONAT!$AZ$3,1,0),0)</f>
        <v/>
      </c>
    </row>
    <row r="1387">
      <c r="A1387" s="19" t="n"/>
      <c r="B1387" s="20">
        <f>IF(A1387="","",CHOOSE(WEEKDAY(A1387,2),"Mo","Di","Mi","Do","Fr","Sa","So"))</f>
        <v/>
      </c>
      <c r="C1387" s="20">
        <f>IF(A1387="","",INT((A1387-DATE(YEAR(A1387-WEEKDAY(A1387-1)+4),1,3)+WEEKDAY(DATE(YEAR(A1387-WEEKDAY(A1387-1)+4),1,3))+5)/7))</f>
        <v/>
      </c>
      <c r="D1387" s="21" t="n"/>
      <c r="E1387" s="22" t="n"/>
      <c r="F1387" s="23" t="n"/>
      <c r="G1387" s="23" t="n"/>
      <c r="H1387" s="23" t="n"/>
      <c r="I1387" s="20">
        <f>IF(COUNT(F1387:H1387)=0,"",SUM(F1387:H1387))</f>
        <v/>
      </c>
      <c r="J1387" s="23" t="n"/>
      <c r="K1387" s="23" t="n"/>
      <c r="L1387" s="23" t="n"/>
      <c r="M1387" s="23" t="n"/>
      <c r="N1387" s="23" t="n"/>
      <c r="O1387" s="20">
        <f>IF(OR(I1387="",COUNT(J1387:N1387)=0),"",IF(SUM(J1387:N1387)=I1387,"✓","⚠ "&amp;SUM(J1387:N1387)&amp;" statt "&amp;I1387))</f>
        <v/>
      </c>
      <c r="P1387" s="21" t="n"/>
      <c r="Q1387" s="21" t="n"/>
      <c r="R1387" s="21" t="n"/>
      <c r="S1387" s="24" t="n"/>
      <c r="T1387" s="24" t="n"/>
      <c r="V1387">
        <f>IF(A1387="","",MONTH(A1387))</f>
        <v/>
      </c>
      <c r="W1387">
        <f>N(W1386)+IF(AND(C1387&lt;&gt;"",T1387&lt;&gt;""),IF(C1387=WOCHE!$B$3,1,0),0)</f>
        <v/>
      </c>
      <c r="X1387">
        <f>N(X1386)+IF(AND(V1387&lt;&gt;"",T1387&lt;&gt;""),IF(V1387=MONAT!$AZ$3,1,0),0)</f>
        <v/>
      </c>
    </row>
    <row r="1388">
      <c r="A1388" s="19" t="n"/>
      <c r="B1388" s="20">
        <f>IF(A1388="","",CHOOSE(WEEKDAY(A1388,2),"Mo","Di","Mi","Do","Fr","Sa","So"))</f>
        <v/>
      </c>
      <c r="C1388" s="20">
        <f>IF(A1388="","",INT((A1388-DATE(YEAR(A1388-WEEKDAY(A1388-1)+4),1,3)+WEEKDAY(DATE(YEAR(A1388-WEEKDAY(A1388-1)+4),1,3))+5)/7))</f>
        <v/>
      </c>
      <c r="D1388" s="21" t="n"/>
      <c r="E1388" s="22" t="n"/>
      <c r="F1388" s="23" t="n"/>
      <c r="G1388" s="23" t="n"/>
      <c r="H1388" s="23" t="n"/>
      <c r="I1388" s="20">
        <f>IF(COUNT(F1388:H1388)=0,"",SUM(F1388:H1388))</f>
        <v/>
      </c>
      <c r="J1388" s="23" t="n"/>
      <c r="K1388" s="23" t="n"/>
      <c r="L1388" s="23" t="n"/>
      <c r="M1388" s="23" t="n"/>
      <c r="N1388" s="23" t="n"/>
      <c r="O1388" s="20">
        <f>IF(OR(I1388="",COUNT(J1388:N1388)=0),"",IF(SUM(J1388:N1388)=I1388,"✓","⚠ "&amp;SUM(J1388:N1388)&amp;" statt "&amp;I1388))</f>
        <v/>
      </c>
      <c r="P1388" s="21" t="n"/>
      <c r="Q1388" s="21" t="n"/>
      <c r="R1388" s="21" t="n"/>
      <c r="S1388" s="24" t="n"/>
      <c r="T1388" s="24" t="n"/>
      <c r="V1388">
        <f>IF(A1388="","",MONTH(A1388))</f>
        <v/>
      </c>
      <c r="W1388">
        <f>N(W1387)+IF(AND(C1388&lt;&gt;"",T1388&lt;&gt;""),IF(C1388=WOCHE!$B$3,1,0),0)</f>
        <v/>
      </c>
      <c r="X1388">
        <f>N(X1387)+IF(AND(V1388&lt;&gt;"",T1388&lt;&gt;""),IF(V1388=MONAT!$AZ$3,1,0),0)</f>
        <v/>
      </c>
    </row>
    <row r="1389">
      <c r="A1389" s="19" t="n"/>
      <c r="B1389" s="20">
        <f>IF(A1389="","",CHOOSE(WEEKDAY(A1389,2),"Mo","Di","Mi","Do","Fr","Sa","So"))</f>
        <v/>
      </c>
      <c r="C1389" s="20">
        <f>IF(A1389="","",INT((A1389-DATE(YEAR(A1389-WEEKDAY(A1389-1)+4),1,3)+WEEKDAY(DATE(YEAR(A1389-WEEKDAY(A1389-1)+4),1,3))+5)/7))</f>
        <v/>
      </c>
      <c r="D1389" s="21" t="n"/>
      <c r="E1389" s="22" t="n"/>
      <c r="F1389" s="23" t="n"/>
      <c r="G1389" s="23" t="n"/>
      <c r="H1389" s="23" t="n"/>
      <c r="I1389" s="20">
        <f>IF(COUNT(F1389:H1389)=0,"",SUM(F1389:H1389))</f>
        <v/>
      </c>
      <c r="J1389" s="23" t="n"/>
      <c r="K1389" s="23" t="n"/>
      <c r="L1389" s="23" t="n"/>
      <c r="M1389" s="23" t="n"/>
      <c r="N1389" s="23" t="n"/>
      <c r="O1389" s="20">
        <f>IF(OR(I1389="",COUNT(J1389:N1389)=0),"",IF(SUM(J1389:N1389)=I1389,"✓","⚠ "&amp;SUM(J1389:N1389)&amp;" statt "&amp;I1389))</f>
        <v/>
      </c>
      <c r="P1389" s="21" t="n"/>
      <c r="Q1389" s="21" t="n"/>
      <c r="R1389" s="21" t="n"/>
      <c r="S1389" s="24" t="n"/>
      <c r="T1389" s="24" t="n"/>
      <c r="V1389">
        <f>IF(A1389="","",MONTH(A1389))</f>
        <v/>
      </c>
      <c r="W1389">
        <f>N(W1388)+IF(AND(C1389&lt;&gt;"",T1389&lt;&gt;""),IF(C1389=WOCHE!$B$3,1,0),0)</f>
        <v/>
      </c>
      <c r="X1389">
        <f>N(X1388)+IF(AND(V1389&lt;&gt;"",T1389&lt;&gt;""),IF(V1389=MONAT!$AZ$3,1,0),0)</f>
        <v/>
      </c>
    </row>
    <row r="1390">
      <c r="A1390" s="19" t="n"/>
      <c r="B1390" s="20">
        <f>IF(A1390="","",CHOOSE(WEEKDAY(A1390,2),"Mo","Di","Mi","Do","Fr","Sa","So"))</f>
        <v/>
      </c>
      <c r="C1390" s="20">
        <f>IF(A1390="","",INT((A1390-DATE(YEAR(A1390-WEEKDAY(A1390-1)+4),1,3)+WEEKDAY(DATE(YEAR(A1390-WEEKDAY(A1390-1)+4),1,3))+5)/7))</f>
        <v/>
      </c>
      <c r="D1390" s="21" t="n"/>
      <c r="E1390" s="22" t="n"/>
      <c r="F1390" s="23" t="n"/>
      <c r="G1390" s="23" t="n"/>
      <c r="H1390" s="23" t="n"/>
      <c r="I1390" s="20">
        <f>IF(COUNT(F1390:H1390)=0,"",SUM(F1390:H1390))</f>
        <v/>
      </c>
      <c r="J1390" s="23" t="n"/>
      <c r="K1390" s="23" t="n"/>
      <c r="L1390" s="23" t="n"/>
      <c r="M1390" s="23" t="n"/>
      <c r="N1390" s="23" t="n"/>
      <c r="O1390" s="20">
        <f>IF(OR(I1390="",COUNT(J1390:N1390)=0),"",IF(SUM(J1390:N1390)=I1390,"✓","⚠ "&amp;SUM(J1390:N1390)&amp;" statt "&amp;I1390))</f>
        <v/>
      </c>
      <c r="P1390" s="21" t="n"/>
      <c r="Q1390" s="21" t="n"/>
      <c r="R1390" s="21" t="n"/>
      <c r="S1390" s="24" t="n"/>
      <c r="T1390" s="24" t="n"/>
      <c r="V1390">
        <f>IF(A1390="","",MONTH(A1390))</f>
        <v/>
      </c>
      <c r="W1390">
        <f>N(W1389)+IF(AND(C1390&lt;&gt;"",T1390&lt;&gt;""),IF(C1390=WOCHE!$B$3,1,0),0)</f>
        <v/>
      </c>
      <c r="X1390">
        <f>N(X1389)+IF(AND(V1390&lt;&gt;"",T1390&lt;&gt;""),IF(V1390=MONAT!$AZ$3,1,0),0)</f>
        <v/>
      </c>
    </row>
    <row r="1391">
      <c r="A1391" s="19" t="n"/>
      <c r="B1391" s="20">
        <f>IF(A1391="","",CHOOSE(WEEKDAY(A1391,2),"Mo","Di","Mi","Do","Fr","Sa","So"))</f>
        <v/>
      </c>
      <c r="C1391" s="20">
        <f>IF(A1391="","",INT((A1391-DATE(YEAR(A1391-WEEKDAY(A1391-1)+4),1,3)+WEEKDAY(DATE(YEAR(A1391-WEEKDAY(A1391-1)+4),1,3))+5)/7))</f>
        <v/>
      </c>
      <c r="D1391" s="21" t="n"/>
      <c r="E1391" s="22" t="n"/>
      <c r="F1391" s="23" t="n"/>
      <c r="G1391" s="23" t="n"/>
      <c r="H1391" s="23" t="n"/>
      <c r="I1391" s="20">
        <f>IF(COUNT(F1391:H1391)=0,"",SUM(F1391:H1391))</f>
        <v/>
      </c>
      <c r="J1391" s="23" t="n"/>
      <c r="K1391" s="23" t="n"/>
      <c r="L1391" s="23" t="n"/>
      <c r="M1391" s="23" t="n"/>
      <c r="N1391" s="23" t="n"/>
      <c r="O1391" s="20">
        <f>IF(OR(I1391="",COUNT(J1391:N1391)=0),"",IF(SUM(J1391:N1391)=I1391,"✓","⚠ "&amp;SUM(J1391:N1391)&amp;" statt "&amp;I1391))</f>
        <v/>
      </c>
      <c r="P1391" s="21" t="n"/>
      <c r="Q1391" s="21" t="n"/>
      <c r="R1391" s="21" t="n"/>
      <c r="S1391" s="24" t="n"/>
      <c r="T1391" s="24" t="n"/>
      <c r="V1391">
        <f>IF(A1391="","",MONTH(A1391))</f>
        <v/>
      </c>
      <c r="W1391">
        <f>N(W1390)+IF(AND(C1391&lt;&gt;"",T1391&lt;&gt;""),IF(C1391=WOCHE!$B$3,1,0),0)</f>
        <v/>
      </c>
      <c r="X1391">
        <f>N(X1390)+IF(AND(V1391&lt;&gt;"",T1391&lt;&gt;""),IF(V1391=MONAT!$AZ$3,1,0),0)</f>
        <v/>
      </c>
    </row>
    <row r="1392">
      <c r="A1392" s="19" t="n"/>
      <c r="B1392" s="20">
        <f>IF(A1392="","",CHOOSE(WEEKDAY(A1392,2),"Mo","Di","Mi","Do","Fr","Sa","So"))</f>
        <v/>
      </c>
      <c r="C1392" s="20">
        <f>IF(A1392="","",INT((A1392-DATE(YEAR(A1392-WEEKDAY(A1392-1)+4),1,3)+WEEKDAY(DATE(YEAR(A1392-WEEKDAY(A1392-1)+4),1,3))+5)/7))</f>
        <v/>
      </c>
      <c r="D1392" s="21" t="n"/>
      <c r="E1392" s="22" t="n"/>
      <c r="F1392" s="23" t="n"/>
      <c r="G1392" s="23" t="n"/>
      <c r="H1392" s="23" t="n"/>
      <c r="I1392" s="20">
        <f>IF(COUNT(F1392:H1392)=0,"",SUM(F1392:H1392))</f>
        <v/>
      </c>
      <c r="J1392" s="23" t="n"/>
      <c r="K1392" s="23" t="n"/>
      <c r="L1392" s="23" t="n"/>
      <c r="M1392" s="23" t="n"/>
      <c r="N1392" s="23" t="n"/>
      <c r="O1392" s="20">
        <f>IF(OR(I1392="",COUNT(J1392:N1392)=0),"",IF(SUM(J1392:N1392)=I1392,"✓","⚠ "&amp;SUM(J1392:N1392)&amp;" statt "&amp;I1392))</f>
        <v/>
      </c>
      <c r="P1392" s="21" t="n"/>
      <c r="Q1392" s="21" t="n"/>
      <c r="R1392" s="21" t="n"/>
      <c r="S1392" s="24" t="n"/>
      <c r="T1392" s="24" t="n"/>
      <c r="V1392">
        <f>IF(A1392="","",MONTH(A1392))</f>
        <v/>
      </c>
      <c r="W1392">
        <f>N(W1391)+IF(AND(C1392&lt;&gt;"",T1392&lt;&gt;""),IF(C1392=WOCHE!$B$3,1,0),0)</f>
        <v/>
      </c>
      <c r="X1392">
        <f>N(X1391)+IF(AND(V1392&lt;&gt;"",T1392&lt;&gt;""),IF(V1392=MONAT!$AZ$3,1,0),0)</f>
        <v/>
      </c>
    </row>
    <row r="1393">
      <c r="A1393" s="19" t="n"/>
      <c r="B1393" s="20">
        <f>IF(A1393="","",CHOOSE(WEEKDAY(A1393,2),"Mo","Di","Mi","Do","Fr","Sa","So"))</f>
        <v/>
      </c>
      <c r="C1393" s="20">
        <f>IF(A1393="","",INT((A1393-DATE(YEAR(A1393-WEEKDAY(A1393-1)+4),1,3)+WEEKDAY(DATE(YEAR(A1393-WEEKDAY(A1393-1)+4),1,3))+5)/7))</f>
        <v/>
      </c>
      <c r="D1393" s="21" t="n"/>
      <c r="E1393" s="22" t="n"/>
      <c r="F1393" s="23" t="n"/>
      <c r="G1393" s="23" t="n"/>
      <c r="H1393" s="23" t="n"/>
      <c r="I1393" s="20">
        <f>IF(COUNT(F1393:H1393)=0,"",SUM(F1393:H1393))</f>
        <v/>
      </c>
      <c r="J1393" s="23" t="n"/>
      <c r="K1393" s="23" t="n"/>
      <c r="L1393" s="23" t="n"/>
      <c r="M1393" s="23" t="n"/>
      <c r="N1393" s="23" t="n"/>
      <c r="O1393" s="20">
        <f>IF(OR(I1393="",COUNT(J1393:N1393)=0),"",IF(SUM(J1393:N1393)=I1393,"✓","⚠ "&amp;SUM(J1393:N1393)&amp;" statt "&amp;I1393))</f>
        <v/>
      </c>
      <c r="P1393" s="21" t="n"/>
      <c r="Q1393" s="21" t="n"/>
      <c r="R1393" s="21" t="n"/>
      <c r="S1393" s="24" t="n"/>
      <c r="T1393" s="24" t="n"/>
      <c r="V1393">
        <f>IF(A1393="","",MONTH(A1393))</f>
        <v/>
      </c>
      <c r="W1393">
        <f>N(W1392)+IF(AND(C1393&lt;&gt;"",T1393&lt;&gt;""),IF(C1393=WOCHE!$B$3,1,0),0)</f>
        <v/>
      </c>
      <c r="X1393">
        <f>N(X1392)+IF(AND(V1393&lt;&gt;"",T1393&lt;&gt;""),IF(V1393=MONAT!$AZ$3,1,0),0)</f>
        <v/>
      </c>
    </row>
    <row r="1394">
      <c r="A1394" s="19" t="n"/>
      <c r="B1394" s="20">
        <f>IF(A1394="","",CHOOSE(WEEKDAY(A1394,2),"Mo","Di","Mi","Do","Fr","Sa","So"))</f>
        <v/>
      </c>
      <c r="C1394" s="20">
        <f>IF(A1394="","",INT((A1394-DATE(YEAR(A1394-WEEKDAY(A1394-1)+4),1,3)+WEEKDAY(DATE(YEAR(A1394-WEEKDAY(A1394-1)+4),1,3))+5)/7))</f>
        <v/>
      </c>
      <c r="D1394" s="21" t="n"/>
      <c r="E1394" s="22" t="n"/>
      <c r="F1394" s="23" t="n"/>
      <c r="G1394" s="23" t="n"/>
      <c r="H1394" s="23" t="n"/>
      <c r="I1394" s="20">
        <f>IF(COUNT(F1394:H1394)=0,"",SUM(F1394:H1394))</f>
        <v/>
      </c>
      <c r="J1394" s="23" t="n"/>
      <c r="K1394" s="23" t="n"/>
      <c r="L1394" s="23" t="n"/>
      <c r="M1394" s="23" t="n"/>
      <c r="N1394" s="23" t="n"/>
      <c r="O1394" s="20">
        <f>IF(OR(I1394="",COUNT(J1394:N1394)=0),"",IF(SUM(J1394:N1394)=I1394,"✓","⚠ "&amp;SUM(J1394:N1394)&amp;" statt "&amp;I1394))</f>
        <v/>
      </c>
      <c r="P1394" s="21" t="n"/>
      <c r="Q1394" s="21" t="n"/>
      <c r="R1394" s="21" t="n"/>
      <c r="S1394" s="24" t="n"/>
      <c r="T1394" s="24" t="n"/>
      <c r="V1394">
        <f>IF(A1394="","",MONTH(A1394))</f>
        <v/>
      </c>
      <c r="W1394">
        <f>N(W1393)+IF(AND(C1394&lt;&gt;"",T1394&lt;&gt;""),IF(C1394=WOCHE!$B$3,1,0),0)</f>
        <v/>
      </c>
      <c r="X1394">
        <f>N(X1393)+IF(AND(V1394&lt;&gt;"",T1394&lt;&gt;""),IF(V1394=MONAT!$AZ$3,1,0),0)</f>
        <v/>
      </c>
    </row>
    <row r="1395">
      <c r="A1395" s="19" t="n"/>
      <c r="B1395" s="20">
        <f>IF(A1395="","",CHOOSE(WEEKDAY(A1395,2),"Mo","Di","Mi","Do","Fr","Sa","So"))</f>
        <v/>
      </c>
      <c r="C1395" s="20">
        <f>IF(A1395="","",INT((A1395-DATE(YEAR(A1395-WEEKDAY(A1395-1)+4),1,3)+WEEKDAY(DATE(YEAR(A1395-WEEKDAY(A1395-1)+4),1,3))+5)/7))</f>
        <v/>
      </c>
      <c r="D1395" s="21" t="n"/>
      <c r="E1395" s="22" t="n"/>
      <c r="F1395" s="23" t="n"/>
      <c r="G1395" s="23" t="n"/>
      <c r="H1395" s="23" t="n"/>
      <c r="I1395" s="20">
        <f>IF(COUNT(F1395:H1395)=0,"",SUM(F1395:H1395))</f>
        <v/>
      </c>
      <c r="J1395" s="23" t="n"/>
      <c r="K1395" s="23" t="n"/>
      <c r="L1395" s="23" t="n"/>
      <c r="M1395" s="23" t="n"/>
      <c r="N1395" s="23" t="n"/>
      <c r="O1395" s="20">
        <f>IF(OR(I1395="",COUNT(J1395:N1395)=0),"",IF(SUM(J1395:N1395)=I1395,"✓","⚠ "&amp;SUM(J1395:N1395)&amp;" statt "&amp;I1395))</f>
        <v/>
      </c>
      <c r="P1395" s="21" t="n"/>
      <c r="Q1395" s="21" t="n"/>
      <c r="R1395" s="21" t="n"/>
      <c r="S1395" s="24" t="n"/>
      <c r="T1395" s="24" t="n"/>
      <c r="V1395">
        <f>IF(A1395="","",MONTH(A1395))</f>
        <v/>
      </c>
      <c r="W1395">
        <f>N(W1394)+IF(AND(C1395&lt;&gt;"",T1395&lt;&gt;""),IF(C1395=WOCHE!$B$3,1,0),0)</f>
        <v/>
      </c>
      <c r="X1395">
        <f>N(X1394)+IF(AND(V1395&lt;&gt;"",T1395&lt;&gt;""),IF(V1395=MONAT!$AZ$3,1,0),0)</f>
        <v/>
      </c>
    </row>
    <row r="1396">
      <c r="A1396" s="19" t="n"/>
      <c r="B1396" s="20">
        <f>IF(A1396="","",CHOOSE(WEEKDAY(A1396,2),"Mo","Di","Mi","Do","Fr","Sa","So"))</f>
        <v/>
      </c>
      <c r="C1396" s="20">
        <f>IF(A1396="","",INT((A1396-DATE(YEAR(A1396-WEEKDAY(A1396-1)+4),1,3)+WEEKDAY(DATE(YEAR(A1396-WEEKDAY(A1396-1)+4),1,3))+5)/7))</f>
        <v/>
      </c>
      <c r="D1396" s="21" t="n"/>
      <c r="E1396" s="22" t="n"/>
      <c r="F1396" s="23" t="n"/>
      <c r="G1396" s="23" t="n"/>
      <c r="H1396" s="23" t="n"/>
      <c r="I1396" s="20">
        <f>IF(COUNT(F1396:H1396)=0,"",SUM(F1396:H1396))</f>
        <v/>
      </c>
      <c r="J1396" s="23" t="n"/>
      <c r="K1396" s="23" t="n"/>
      <c r="L1396" s="23" t="n"/>
      <c r="M1396" s="23" t="n"/>
      <c r="N1396" s="23" t="n"/>
      <c r="O1396" s="20">
        <f>IF(OR(I1396="",COUNT(J1396:N1396)=0),"",IF(SUM(J1396:N1396)=I1396,"✓","⚠ "&amp;SUM(J1396:N1396)&amp;" statt "&amp;I1396))</f>
        <v/>
      </c>
      <c r="P1396" s="21" t="n"/>
      <c r="Q1396" s="21" t="n"/>
      <c r="R1396" s="21" t="n"/>
      <c r="S1396" s="24" t="n"/>
      <c r="T1396" s="24" t="n"/>
      <c r="V1396">
        <f>IF(A1396="","",MONTH(A1396))</f>
        <v/>
      </c>
      <c r="W1396">
        <f>N(W1395)+IF(AND(C1396&lt;&gt;"",T1396&lt;&gt;""),IF(C1396=WOCHE!$B$3,1,0),0)</f>
        <v/>
      </c>
      <c r="X1396">
        <f>N(X1395)+IF(AND(V1396&lt;&gt;"",T1396&lt;&gt;""),IF(V1396=MONAT!$AZ$3,1,0),0)</f>
        <v/>
      </c>
    </row>
    <row r="1397">
      <c r="A1397" s="19" t="n"/>
      <c r="B1397" s="20">
        <f>IF(A1397="","",CHOOSE(WEEKDAY(A1397,2),"Mo","Di","Mi","Do","Fr","Sa","So"))</f>
        <v/>
      </c>
      <c r="C1397" s="20">
        <f>IF(A1397="","",INT((A1397-DATE(YEAR(A1397-WEEKDAY(A1397-1)+4),1,3)+WEEKDAY(DATE(YEAR(A1397-WEEKDAY(A1397-1)+4),1,3))+5)/7))</f>
        <v/>
      </c>
      <c r="D1397" s="21" t="n"/>
      <c r="E1397" s="22" t="n"/>
      <c r="F1397" s="23" t="n"/>
      <c r="G1397" s="23" t="n"/>
      <c r="H1397" s="23" t="n"/>
      <c r="I1397" s="20">
        <f>IF(COUNT(F1397:H1397)=0,"",SUM(F1397:H1397))</f>
        <v/>
      </c>
      <c r="J1397" s="23" t="n"/>
      <c r="K1397" s="23" t="n"/>
      <c r="L1397" s="23" t="n"/>
      <c r="M1397" s="23" t="n"/>
      <c r="N1397" s="23" t="n"/>
      <c r="O1397" s="20">
        <f>IF(OR(I1397="",COUNT(J1397:N1397)=0),"",IF(SUM(J1397:N1397)=I1397,"✓","⚠ "&amp;SUM(J1397:N1397)&amp;" statt "&amp;I1397))</f>
        <v/>
      </c>
      <c r="P1397" s="21" t="n"/>
      <c r="Q1397" s="21" t="n"/>
      <c r="R1397" s="21" t="n"/>
      <c r="S1397" s="24" t="n"/>
      <c r="T1397" s="24" t="n"/>
      <c r="V1397">
        <f>IF(A1397="","",MONTH(A1397))</f>
        <v/>
      </c>
      <c r="W1397">
        <f>N(W1396)+IF(AND(C1397&lt;&gt;"",T1397&lt;&gt;""),IF(C1397=WOCHE!$B$3,1,0),0)</f>
        <v/>
      </c>
      <c r="X1397">
        <f>N(X1396)+IF(AND(V1397&lt;&gt;"",T1397&lt;&gt;""),IF(V1397=MONAT!$AZ$3,1,0),0)</f>
        <v/>
      </c>
    </row>
    <row r="1398">
      <c r="A1398" s="19" t="n"/>
      <c r="B1398" s="20">
        <f>IF(A1398="","",CHOOSE(WEEKDAY(A1398,2),"Mo","Di","Mi","Do","Fr","Sa","So"))</f>
        <v/>
      </c>
      <c r="C1398" s="20">
        <f>IF(A1398="","",INT((A1398-DATE(YEAR(A1398-WEEKDAY(A1398-1)+4),1,3)+WEEKDAY(DATE(YEAR(A1398-WEEKDAY(A1398-1)+4),1,3))+5)/7))</f>
        <v/>
      </c>
      <c r="D1398" s="21" t="n"/>
      <c r="E1398" s="22" t="n"/>
      <c r="F1398" s="23" t="n"/>
      <c r="G1398" s="23" t="n"/>
      <c r="H1398" s="23" t="n"/>
      <c r="I1398" s="20">
        <f>IF(COUNT(F1398:H1398)=0,"",SUM(F1398:H1398))</f>
        <v/>
      </c>
      <c r="J1398" s="23" t="n"/>
      <c r="K1398" s="23" t="n"/>
      <c r="L1398" s="23" t="n"/>
      <c r="M1398" s="23" t="n"/>
      <c r="N1398" s="23" t="n"/>
      <c r="O1398" s="20">
        <f>IF(OR(I1398="",COUNT(J1398:N1398)=0),"",IF(SUM(J1398:N1398)=I1398,"✓","⚠ "&amp;SUM(J1398:N1398)&amp;" statt "&amp;I1398))</f>
        <v/>
      </c>
      <c r="P1398" s="21" t="n"/>
      <c r="Q1398" s="21" t="n"/>
      <c r="R1398" s="21" t="n"/>
      <c r="S1398" s="24" t="n"/>
      <c r="T1398" s="24" t="n"/>
      <c r="V1398">
        <f>IF(A1398="","",MONTH(A1398))</f>
        <v/>
      </c>
      <c r="W1398">
        <f>N(W1397)+IF(AND(C1398&lt;&gt;"",T1398&lt;&gt;""),IF(C1398=WOCHE!$B$3,1,0),0)</f>
        <v/>
      </c>
      <c r="X1398">
        <f>N(X1397)+IF(AND(V1398&lt;&gt;"",T1398&lt;&gt;""),IF(V1398=MONAT!$AZ$3,1,0),0)</f>
        <v/>
      </c>
    </row>
    <row r="1399">
      <c r="A1399" s="19" t="n"/>
      <c r="B1399" s="20">
        <f>IF(A1399="","",CHOOSE(WEEKDAY(A1399,2),"Mo","Di","Mi","Do","Fr","Sa","So"))</f>
        <v/>
      </c>
      <c r="C1399" s="20">
        <f>IF(A1399="","",INT((A1399-DATE(YEAR(A1399-WEEKDAY(A1399-1)+4),1,3)+WEEKDAY(DATE(YEAR(A1399-WEEKDAY(A1399-1)+4),1,3))+5)/7))</f>
        <v/>
      </c>
      <c r="D1399" s="21" t="n"/>
      <c r="E1399" s="22" t="n"/>
      <c r="F1399" s="23" t="n"/>
      <c r="G1399" s="23" t="n"/>
      <c r="H1399" s="23" t="n"/>
      <c r="I1399" s="20">
        <f>IF(COUNT(F1399:H1399)=0,"",SUM(F1399:H1399))</f>
        <v/>
      </c>
      <c r="J1399" s="23" t="n"/>
      <c r="K1399" s="23" t="n"/>
      <c r="L1399" s="23" t="n"/>
      <c r="M1399" s="23" t="n"/>
      <c r="N1399" s="23" t="n"/>
      <c r="O1399" s="20">
        <f>IF(OR(I1399="",COUNT(J1399:N1399)=0),"",IF(SUM(J1399:N1399)=I1399,"✓","⚠ "&amp;SUM(J1399:N1399)&amp;" statt "&amp;I1399))</f>
        <v/>
      </c>
      <c r="P1399" s="21" t="n"/>
      <c r="Q1399" s="21" t="n"/>
      <c r="R1399" s="21" t="n"/>
      <c r="S1399" s="24" t="n"/>
      <c r="T1399" s="24" t="n"/>
      <c r="V1399">
        <f>IF(A1399="","",MONTH(A1399))</f>
        <v/>
      </c>
      <c r="W1399">
        <f>N(W1398)+IF(AND(C1399&lt;&gt;"",T1399&lt;&gt;""),IF(C1399=WOCHE!$B$3,1,0),0)</f>
        <v/>
      </c>
      <c r="X1399">
        <f>N(X1398)+IF(AND(V1399&lt;&gt;"",T1399&lt;&gt;""),IF(V1399=MONAT!$AZ$3,1,0),0)</f>
        <v/>
      </c>
    </row>
    <row r="1400">
      <c r="A1400" s="19" t="n"/>
      <c r="B1400" s="20">
        <f>IF(A1400="","",CHOOSE(WEEKDAY(A1400,2),"Mo","Di","Mi","Do","Fr","Sa","So"))</f>
        <v/>
      </c>
      <c r="C1400" s="20">
        <f>IF(A1400="","",INT((A1400-DATE(YEAR(A1400-WEEKDAY(A1400-1)+4),1,3)+WEEKDAY(DATE(YEAR(A1400-WEEKDAY(A1400-1)+4),1,3))+5)/7))</f>
        <v/>
      </c>
      <c r="D1400" s="21" t="n"/>
      <c r="E1400" s="22" t="n"/>
      <c r="F1400" s="23" t="n"/>
      <c r="G1400" s="23" t="n"/>
      <c r="H1400" s="23" t="n"/>
      <c r="I1400" s="20">
        <f>IF(COUNT(F1400:H1400)=0,"",SUM(F1400:H1400))</f>
        <v/>
      </c>
      <c r="J1400" s="23" t="n"/>
      <c r="K1400" s="23" t="n"/>
      <c r="L1400" s="23" t="n"/>
      <c r="M1400" s="23" t="n"/>
      <c r="N1400" s="23" t="n"/>
      <c r="O1400" s="20">
        <f>IF(OR(I1400="",COUNT(J1400:N1400)=0),"",IF(SUM(J1400:N1400)=I1400,"✓","⚠ "&amp;SUM(J1400:N1400)&amp;" statt "&amp;I1400))</f>
        <v/>
      </c>
      <c r="P1400" s="21" t="n"/>
      <c r="Q1400" s="21" t="n"/>
      <c r="R1400" s="21" t="n"/>
      <c r="S1400" s="24" t="n"/>
      <c r="T1400" s="24" t="n"/>
      <c r="V1400">
        <f>IF(A1400="","",MONTH(A1400))</f>
        <v/>
      </c>
      <c r="W1400">
        <f>N(W1399)+IF(AND(C1400&lt;&gt;"",T1400&lt;&gt;""),IF(C1400=WOCHE!$B$3,1,0),0)</f>
        <v/>
      </c>
      <c r="X1400">
        <f>N(X1399)+IF(AND(V1400&lt;&gt;"",T1400&lt;&gt;""),IF(V1400=MONAT!$AZ$3,1,0),0)</f>
        <v/>
      </c>
    </row>
    <row r="1401">
      <c r="A1401" s="19" t="n"/>
      <c r="B1401" s="20">
        <f>IF(A1401="","",CHOOSE(WEEKDAY(A1401,2),"Mo","Di","Mi","Do","Fr","Sa","So"))</f>
        <v/>
      </c>
      <c r="C1401" s="20">
        <f>IF(A1401="","",INT((A1401-DATE(YEAR(A1401-WEEKDAY(A1401-1)+4),1,3)+WEEKDAY(DATE(YEAR(A1401-WEEKDAY(A1401-1)+4),1,3))+5)/7))</f>
        <v/>
      </c>
      <c r="D1401" s="21" t="n"/>
      <c r="E1401" s="22" t="n"/>
      <c r="F1401" s="23" t="n"/>
      <c r="G1401" s="23" t="n"/>
      <c r="H1401" s="23" t="n"/>
      <c r="I1401" s="20">
        <f>IF(COUNT(F1401:H1401)=0,"",SUM(F1401:H1401))</f>
        <v/>
      </c>
      <c r="J1401" s="23" t="n"/>
      <c r="K1401" s="23" t="n"/>
      <c r="L1401" s="23" t="n"/>
      <c r="M1401" s="23" t="n"/>
      <c r="N1401" s="23" t="n"/>
      <c r="O1401" s="20">
        <f>IF(OR(I1401="",COUNT(J1401:N1401)=0),"",IF(SUM(J1401:N1401)=I1401,"✓","⚠ "&amp;SUM(J1401:N1401)&amp;" statt "&amp;I1401))</f>
        <v/>
      </c>
      <c r="P1401" s="21" t="n"/>
      <c r="Q1401" s="21" t="n"/>
      <c r="R1401" s="21" t="n"/>
      <c r="S1401" s="24" t="n"/>
      <c r="T1401" s="24" t="n"/>
      <c r="V1401">
        <f>IF(A1401="","",MONTH(A1401))</f>
        <v/>
      </c>
      <c r="W1401">
        <f>N(W1400)+IF(AND(C1401&lt;&gt;"",T1401&lt;&gt;""),IF(C1401=WOCHE!$B$3,1,0),0)</f>
        <v/>
      </c>
      <c r="X1401">
        <f>N(X1400)+IF(AND(V1401&lt;&gt;"",T1401&lt;&gt;""),IF(V1401=MONAT!$AZ$3,1,0),0)</f>
        <v/>
      </c>
    </row>
    <row r="1402">
      <c r="A1402" s="19" t="n"/>
      <c r="B1402" s="20">
        <f>IF(A1402="","",CHOOSE(WEEKDAY(A1402,2),"Mo","Di","Mi","Do","Fr","Sa","So"))</f>
        <v/>
      </c>
      <c r="C1402" s="20">
        <f>IF(A1402="","",INT((A1402-DATE(YEAR(A1402-WEEKDAY(A1402-1)+4),1,3)+WEEKDAY(DATE(YEAR(A1402-WEEKDAY(A1402-1)+4),1,3))+5)/7))</f>
        <v/>
      </c>
      <c r="D1402" s="21" t="n"/>
      <c r="E1402" s="22" t="n"/>
      <c r="F1402" s="23" t="n"/>
      <c r="G1402" s="23" t="n"/>
      <c r="H1402" s="23" t="n"/>
      <c r="I1402" s="20">
        <f>IF(COUNT(F1402:H1402)=0,"",SUM(F1402:H1402))</f>
        <v/>
      </c>
      <c r="J1402" s="23" t="n"/>
      <c r="K1402" s="23" t="n"/>
      <c r="L1402" s="23" t="n"/>
      <c r="M1402" s="23" t="n"/>
      <c r="N1402" s="23" t="n"/>
      <c r="O1402" s="20">
        <f>IF(OR(I1402="",COUNT(J1402:N1402)=0),"",IF(SUM(J1402:N1402)=I1402,"✓","⚠ "&amp;SUM(J1402:N1402)&amp;" statt "&amp;I1402))</f>
        <v/>
      </c>
      <c r="P1402" s="21" t="n"/>
      <c r="Q1402" s="21" t="n"/>
      <c r="R1402" s="21" t="n"/>
      <c r="S1402" s="24" t="n"/>
      <c r="T1402" s="24" t="n"/>
      <c r="V1402">
        <f>IF(A1402="","",MONTH(A1402))</f>
        <v/>
      </c>
      <c r="W1402">
        <f>N(W1401)+IF(AND(C1402&lt;&gt;"",T1402&lt;&gt;""),IF(C1402=WOCHE!$B$3,1,0),0)</f>
        <v/>
      </c>
      <c r="X1402">
        <f>N(X1401)+IF(AND(V1402&lt;&gt;"",T1402&lt;&gt;""),IF(V1402=MONAT!$AZ$3,1,0),0)</f>
        <v/>
      </c>
    </row>
    <row r="1403">
      <c r="A1403" s="19" t="n"/>
      <c r="B1403" s="20">
        <f>IF(A1403="","",CHOOSE(WEEKDAY(A1403,2),"Mo","Di","Mi","Do","Fr","Sa","So"))</f>
        <v/>
      </c>
      <c r="C1403" s="20">
        <f>IF(A1403="","",INT((A1403-DATE(YEAR(A1403-WEEKDAY(A1403-1)+4),1,3)+WEEKDAY(DATE(YEAR(A1403-WEEKDAY(A1403-1)+4),1,3))+5)/7))</f>
        <v/>
      </c>
      <c r="D1403" s="21" t="n"/>
      <c r="E1403" s="22" t="n"/>
      <c r="F1403" s="23" t="n"/>
      <c r="G1403" s="23" t="n"/>
      <c r="H1403" s="23" t="n"/>
      <c r="I1403" s="20">
        <f>IF(COUNT(F1403:H1403)=0,"",SUM(F1403:H1403))</f>
        <v/>
      </c>
      <c r="J1403" s="23" t="n"/>
      <c r="K1403" s="23" t="n"/>
      <c r="L1403" s="23" t="n"/>
      <c r="M1403" s="23" t="n"/>
      <c r="N1403" s="23" t="n"/>
      <c r="O1403" s="20">
        <f>IF(OR(I1403="",COUNT(J1403:N1403)=0),"",IF(SUM(J1403:N1403)=I1403,"✓","⚠ "&amp;SUM(J1403:N1403)&amp;" statt "&amp;I1403))</f>
        <v/>
      </c>
      <c r="P1403" s="21" t="n"/>
      <c r="Q1403" s="21" t="n"/>
      <c r="R1403" s="21" t="n"/>
      <c r="S1403" s="24" t="n"/>
      <c r="T1403" s="24" t="n"/>
      <c r="V1403">
        <f>IF(A1403="","",MONTH(A1403))</f>
        <v/>
      </c>
      <c r="W1403">
        <f>N(W1402)+IF(AND(C1403&lt;&gt;"",T1403&lt;&gt;""),IF(C1403=WOCHE!$B$3,1,0),0)</f>
        <v/>
      </c>
      <c r="X1403">
        <f>N(X1402)+IF(AND(V1403&lt;&gt;"",T1403&lt;&gt;""),IF(V1403=MONAT!$AZ$3,1,0),0)</f>
        <v/>
      </c>
    </row>
    <row r="1404">
      <c r="A1404" s="19" t="n"/>
      <c r="B1404" s="20">
        <f>IF(A1404="","",CHOOSE(WEEKDAY(A1404,2),"Mo","Di","Mi","Do","Fr","Sa","So"))</f>
        <v/>
      </c>
      <c r="C1404" s="20">
        <f>IF(A1404="","",INT((A1404-DATE(YEAR(A1404-WEEKDAY(A1404-1)+4),1,3)+WEEKDAY(DATE(YEAR(A1404-WEEKDAY(A1404-1)+4),1,3))+5)/7))</f>
        <v/>
      </c>
      <c r="D1404" s="21" t="n"/>
      <c r="E1404" s="22" t="n"/>
      <c r="F1404" s="23" t="n"/>
      <c r="G1404" s="23" t="n"/>
      <c r="H1404" s="23" t="n"/>
      <c r="I1404" s="20">
        <f>IF(COUNT(F1404:H1404)=0,"",SUM(F1404:H1404))</f>
        <v/>
      </c>
      <c r="J1404" s="23" t="n"/>
      <c r="K1404" s="23" t="n"/>
      <c r="L1404" s="23" t="n"/>
      <c r="M1404" s="23" t="n"/>
      <c r="N1404" s="23" t="n"/>
      <c r="O1404" s="20">
        <f>IF(OR(I1404="",COUNT(J1404:N1404)=0),"",IF(SUM(J1404:N1404)=I1404,"✓","⚠ "&amp;SUM(J1404:N1404)&amp;" statt "&amp;I1404))</f>
        <v/>
      </c>
      <c r="P1404" s="21" t="n"/>
      <c r="Q1404" s="21" t="n"/>
      <c r="R1404" s="21" t="n"/>
      <c r="S1404" s="24" t="n"/>
      <c r="T1404" s="24" t="n"/>
      <c r="V1404">
        <f>IF(A1404="","",MONTH(A1404))</f>
        <v/>
      </c>
      <c r="W1404">
        <f>N(W1403)+IF(AND(C1404&lt;&gt;"",T1404&lt;&gt;""),IF(C1404=WOCHE!$B$3,1,0),0)</f>
        <v/>
      </c>
      <c r="X1404">
        <f>N(X1403)+IF(AND(V1404&lt;&gt;"",T1404&lt;&gt;""),IF(V1404=MONAT!$AZ$3,1,0),0)</f>
        <v/>
      </c>
    </row>
    <row r="1405">
      <c r="A1405" s="19" t="n"/>
      <c r="B1405" s="20">
        <f>IF(A1405="","",CHOOSE(WEEKDAY(A1405,2),"Mo","Di","Mi","Do","Fr","Sa","So"))</f>
        <v/>
      </c>
      <c r="C1405" s="20">
        <f>IF(A1405="","",INT((A1405-DATE(YEAR(A1405-WEEKDAY(A1405-1)+4),1,3)+WEEKDAY(DATE(YEAR(A1405-WEEKDAY(A1405-1)+4),1,3))+5)/7))</f>
        <v/>
      </c>
      <c r="D1405" s="21" t="n"/>
      <c r="E1405" s="22" t="n"/>
      <c r="F1405" s="23" t="n"/>
      <c r="G1405" s="23" t="n"/>
      <c r="H1405" s="23" t="n"/>
      <c r="I1405" s="20">
        <f>IF(COUNT(F1405:H1405)=0,"",SUM(F1405:H1405))</f>
        <v/>
      </c>
      <c r="J1405" s="23" t="n"/>
      <c r="K1405" s="23" t="n"/>
      <c r="L1405" s="23" t="n"/>
      <c r="M1405" s="23" t="n"/>
      <c r="N1405" s="23" t="n"/>
      <c r="O1405" s="20">
        <f>IF(OR(I1405="",COUNT(J1405:N1405)=0),"",IF(SUM(J1405:N1405)=I1405,"✓","⚠ "&amp;SUM(J1405:N1405)&amp;" statt "&amp;I1405))</f>
        <v/>
      </c>
      <c r="P1405" s="21" t="n"/>
      <c r="Q1405" s="21" t="n"/>
      <c r="R1405" s="21" t="n"/>
      <c r="S1405" s="24" t="n"/>
      <c r="T1405" s="24" t="n"/>
      <c r="V1405">
        <f>IF(A1405="","",MONTH(A1405))</f>
        <v/>
      </c>
      <c r="W1405">
        <f>N(W1404)+IF(AND(C1405&lt;&gt;"",T1405&lt;&gt;""),IF(C1405=WOCHE!$B$3,1,0),0)</f>
        <v/>
      </c>
      <c r="X1405">
        <f>N(X1404)+IF(AND(V1405&lt;&gt;"",T1405&lt;&gt;""),IF(V1405=MONAT!$AZ$3,1,0),0)</f>
        <v/>
      </c>
    </row>
    <row r="1406">
      <c r="A1406" s="19" t="n"/>
      <c r="B1406" s="20">
        <f>IF(A1406="","",CHOOSE(WEEKDAY(A1406,2),"Mo","Di","Mi","Do","Fr","Sa","So"))</f>
        <v/>
      </c>
      <c r="C1406" s="20">
        <f>IF(A1406="","",INT((A1406-DATE(YEAR(A1406-WEEKDAY(A1406-1)+4),1,3)+WEEKDAY(DATE(YEAR(A1406-WEEKDAY(A1406-1)+4),1,3))+5)/7))</f>
        <v/>
      </c>
      <c r="D1406" s="21" t="n"/>
      <c r="E1406" s="22" t="n"/>
      <c r="F1406" s="23" t="n"/>
      <c r="G1406" s="23" t="n"/>
      <c r="H1406" s="23" t="n"/>
      <c r="I1406" s="20">
        <f>IF(COUNT(F1406:H1406)=0,"",SUM(F1406:H1406))</f>
        <v/>
      </c>
      <c r="J1406" s="23" t="n"/>
      <c r="K1406" s="23" t="n"/>
      <c r="L1406" s="23" t="n"/>
      <c r="M1406" s="23" t="n"/>
      <c r="N1406" s="23" t="n"/>
      <c r="O1406" s="20">
        <f>IF(OR(I1406="",COUNT(J1406:N1406)=0),"",IF(SUM(J1406:N1406)=I1406,"✓","⚠ "&amp;SUM(J1406:N1406)&amp;" statt "&amp;I1406))</f>
        <v/>
      </c>
      <c r="P1406" s="21" t="n"/>
      <c r="Q1406" s="21" t="n"/>
      <c r="R1406" s="21" t="n"/>
      <c r="S1406" s="24" t="n"/>
      <c r="T1406" s="24" t="n"/>
      <c r="V1406">
        <f>IF(A1406="","",MONTH(A1406))</f>
        <v/>
      </c>
      <c r="W1406">
        <f>N(W1405)+IF(AND(C1406&lt;&gt;"",T1406&lt;&gt;""),IF(C1406=WOCHE!$B$3,1,0),0)</f>
        <v/>
      </c>
      <c r="X1406">
        <f>N(X1405)+IF(AND(V1406&lt;&gt;"",T1406&lt;&gt;""),IF(V1406=MONAT!$AZ$3,1,0),0)</f>
        <v/>
      </c>
    </row>
    <row r="1407">
      <c r="A1407" s="19" t="n"/>
      <c r="B1407" s="20">
        <f>IF(A1407="","",CHOOSE(WEEKDAY(A1407,2),"Mo","Di","Mi","Do","Fr","Sa","So"))</f>
        <v/>
      </c>
      <c r="C1407" s="20">
        <f>IF(A1407="","",INT((A1407-DATE(YEAR(A1407-WEEKDAY(A1407-1)+4),1,3)+WEEKDAY(DATE(YEAR(A1407-WEEKDAY(A1407-1)+4),1,3))+5)/7))</f>
        <v/>
      </c>
      <c r="D1407" s="21" t="n"/>
      <c r="E1407" s="22" t="n"/>
      <c r="F1407" s="23" t="n"/>
      <c r="G1407" s="23" t="n"/>
      <c r="H1407" s="23" t="n"/>
      <c r="I1407" s="20">
        <f>IF(COUNT(F1407:H1407)=0,"",SUM(F1407:H1407))</f>
        <v/>
      </c>
      <c r="J1407" s="23" t="n"/>
      <c r="K1407" s="23" t="n"/>
      <c r="L1407" s="23" t="n"/>
      <c r="M1407" s="23" t="n"/>
      <c r="N1407" s="23" t="n"/>
      <c r="O1407" s="20">
        <f>IF(OR(I1407="",COUNT(J1407:N1407)=0),"",IF(SUM(J1407:N1407)=I1407,"✓","⚠ "&amp;SUM(J1407:N1407)&amp;" statt "&amp;I1407))</f>
        <v/>
      </c>
      <c r="P1407" s="21" t="n"/>
      <c r="Q1407" s="21" t="n"/>
      <c r="R1407" s="21" t="n"/>
      <c r="S1407" s="24" t="n"/>
      <c r="T1407" s="24" t="n"/>
      <c r="V1407">
        <f>IF(A1407="","",MONTH(A1407))</f>
        <v/>
      </c>
      <c r="W1407">
        <f>N(W1406)+IF(AND(C1407&lt;&gt;"",T1407&lt;&gt;""),IF(C1407=WOCHE!$B$3,1,0),0)</f>
        <v/>
      </c>
      <c r="X1407">
        <f>N(X1406)+IF(AND(V1407&lt;&gt;"",T1407&lt;&gt;""),IF(V1407=MONAT!$AZ$3,1,0),0)</f>
        <v/>
      </c>
    </row>
    <row r="1408">
      <c r="A1408" s="19" t="n"/>
      <c r="B1408" s="20">
        <f>IF(A1408="","",CHOOSE(WEEKDAY(A1408,2),"Mo","Di","Mi","Do","Fr","Sa","So"))</f>
        <v/>
      </c>
      <c r="C1408" s="20">
        <f>IF(A1408="","",INT((A1408-DATE(YEAR(A1408-WEEKDAY(A1408-1)+4),1,3)+WEEKDAY(DATE(YEAR(A1408-WEEKDAY(A1408-1)+4),1,3))+5)/7))</f>
        <v/>
      </c>
      <c r="D1408" s="21" t="n"/>
      <c r="E1408" s="22" t="n"/>
      <c r="F1408" s="23" t="n"/>
      <c r="G1408" s="23" t="n"/>
      <c r="H1408" s="23" t="n"/>
      <c r="I1408" s="20">
        <f>IF(COUNT(F1408:H1408)=0,"",SUM(F1408:H1408))</f>
        <v/>
      </c>
      <c r="J1408" s="23" t="n"/>
      <c r="K1408" s="23" t="n"/>
      <c r="L1408" s="23" t="n"/>
      <c r="M1408" s="23" t="n"/>
      <c r="N1408" s="23" t="n"/>
      <c r="O1408" s="20">
        <f>IF(OR(I1408="",COUNT(J1408:N1408)=0),"",IF(SUM(J1408:N1408)=I1408,"✓","⚠ "&amp;SUM(J1408:N1408)&amp;" statt "&amp;I1408))</f>
        <v/>
      </c>
      <c r="P1408" s="21" t="n"/>
      <c r="Q1408" s="21" t="n"/>
      <c r="R1408" s="21" t="n"/>
      <c r="S1408" s="24" t="n"/>
      <c r="T1408" s="24" t="n"/>
      <c r="V1408">
        <f>IF(A1408="","",MONTH(A1408))</f>
        <v/>
      </c>
      <c r="W1408">
        <f>N(W1407)+IF(AND(C1408&lt;&gt;"",T1408&lt;&gt;""),IF(C1408=WOCHE!$B$3,1,0),0)</f>
        <v/>
      </c>
      <c r="X1408">
        <f>N(X1407)+IF(AND(V1408&lt;&gt;"",T1408&lt;&gt;""),IF(V1408=MONAT!$AZ$3,1,0),0)</f>
        <v/>
      </c>
    </row>
    <row r="1409">
      <c r="A1409" s="19" t="n"/>
      <c r="B1409" s="20">
        <f>IF(A1409="","",CHOOSE(WEEKDAY(A1409,2),"Mo","Di","Mi","Do","Fr","Sa","So"))</f>
        <v/>
      </c>
      <c r="C1409" s="20">
        <f>IF(A1409="","",INT((A1409-DATE(YEAR(A1409-WEEKDAY(A1409-1)+4),1,3)+WEEKDAY(DATE(YEAR(A1409-WEEKDAY(A1409-1)+4),1,3))+5)/7))</f>
        <v/>
      </c>
      <c r="D1409" s="21" t="n"/>
      <c r="E1409" s="22" t="n"/>
      <c r="F1409" s="23" t="n"/>
      <c r="G1409" s="23" t="n"/>
      <c r="H1409" s="23" t="n"/>
      <c r="I1409" s="20">
        <f>IF(COUNT(F1409:H1409)=0,"",SUM(F1409:H1409))</f>
        <v/>
      </c>
      <c r="J1409" s="23" t="n"/>
      <c r="K1409" s="23" t="n"/>
      <c r="L1409" s="23" t="n"/>
      <c r="M1409" s="23" t="n"/>
      <c r="N1409" s="23" t="n"/>
      <c r="O1409" s="20">
        <f>IF(OR(I1409="",COUNT(J1409:N1409)=0),"",IF(SUM(J1409:N1409)=I1409,"✓","⚠ "&amp;SUM(J1409:N1409)&amp;" statt "&amp;I1409))</f>
        <v/>
      </c>
      <c r="P1409" s="21" t="n"/>
      <c r="Q1409" s="21" t="n"/>
      <c r="R1409" s="21" t="n"/>
      <c r="S1409" s="24" t="n"/>
      <c r="T1409" s="24" t="n"/>
      <c r="V1409">
        <f>IF(A1409="","",MONTH(A1409))</f>
        <v/>
      </c>
      <c r="W1409">
        <f>N(W1408)+IF(AND(C1409&lt;&gt;"",T1409&lt;&gt;""),IF(C1409=WOCHE!$B$3,1,0),0)</f>
        <v/>
      </c>
      <c r="X1409">
        <f>N(X1408)+IF(AND(V1409&lt;&gt;"",T1409&lt;&gt;""),IF(V1409=MONAT!$AZ$3,1,0),0)</f>
        <v/>
      </c>
    </row>
    <row r="1410">
      <c r="A1410" s="19" t="n"/>
      <c r="B1410" s="20">
        <f>IF(A1410="","",CHOOSE(WEEKDAY(A1410,2),"Mo","Di","Mi","Do","Fr","Sa","So"))</f>
        <v/>
      </c>
      <c r="C1410" s="20">
        <f>IF(A1410="","",INT((A1410-DATE(YEAR(A1410-WEEKDAY(A1410-1)+4),1,3)+WEEKDAY(DATE(YEAR(A1410-WEEKDAY(A1410-1)+4),1,3))+5)/7))</f>
        <v/>
      </c>
      <c r="D1410" s="21" t="n"/>
      <c r="E1410" s="22" t="n"/>
      <c r="F1410" s="23" t="n"/>
      <c r="G1410" s="23" t="n"/>
      <c r="H1410" s="23" t="n"/>
      <c r="I1410" s="20">
        <f>IF(COUNT(F1410:H1410)=0,"",SUM(F1410:H1410))</f>
        <v/>
      </c>
      <c r="J1410" s="23" t="n"/>
      <c r="K1410" s="23" t="n"/>
      <c r="L1410" s="23" t="n"/>
      <c r="M1410" s="23" t="n"/>
      <c r="N1410" s="23" t="n"/>
      <c r="O1410" s="20">
        <f>IF(OR(I1410="",COUNT(J1410:N1410)=0),"",IF(SUM(J1410:N1410)=I1410,"✓","⚠ "&amp;SUM(J1410:N1410)&amp;" statt "&amp;I1410))</f>
        <v/>
      </c>
      <c r="P1410" s="21" t="n"/>
      <c r="Q1410" s="21" t="n"/>
      <c r="R1410" s="21" t="n"/>
      <c r="S1410" s="24" t="n"/>
      <c r="T1410" s="24" t="n"/>
      <c r="V1410">
        <f>IF(A1410="","",MONTH(A1410))</f>
        <v/>
      </c>
      <c r="W1410">
        <f>N(W1409)+IF(AND(C1410&lt;&gt;"",T1410&lt;&gt;""),IF(C1410=WOCHE!$B$3,1,0),0)</f>
        <v/>
      </c>
      <c r="X1410">
        <f>N(X1409)+IF(AND(V1410&lt;&gt;"",T1410&lt;&gt;""),IF(V1410=MONAT!$AZ$3,1,0),0)</f>
        <v/>
      </c>
    </row>
    <row r="1411">
      <c r="A1411" s="19" t="n"/>
      <c r="B1411" s="20">
        <f>IF(A1411="","",CHOOSE(WEEKDAY(A1411,2),"Mo","Di","Mi","Do","Fr","Sa","So"))</f>
        <v/>
      </c>
      <c r="C1411" s="20">
        <f>IF(A1411="","",INT((A1411-DATE(YEAR(A1411-WEEKDAY(A1411-1)+4),1,3)+WEEKDAY(DATE(YEAR(A1411-WEEKDAY(A1411-1)+4),1,3))+5)/7))</f>
        <v/>
      </c>
      <c r="D1411" s="21" t="n"/>
      <c r="E1411" s="22" t="n"/>
      <c r="F1411" s="23" t="n"/>
      <c r="G1411" s="23" t="n"/>
      <c r="H1411" s="23" t="n"/>
      <c r="I1411" s="20">
        <f>IF(COUNT(F1411:H1411)=0,"",SUM(F1411:H1411))</f>
        <v/>
      </c>
      <c r="J1411" s="23" t="n"/>
      <c r="K1411" s="23" t="n"/>
      <c r="L1411" s="23" t="n"/>
      <c r="M1411" s="23" t="n"/>
      <c r="N1411" s="23" t="n"/>
      <c r="O1411" s="20">
        <f>IF(OR(I1411="",COUNT(J1411:N1411)=0),"",IF(SUM(J1411:N1411)=I1411,"✓","⚠ "&amp;SUM(J1411:N1411)&amp;" statt "&amp;I1411))</f>
        <v/>
      </c>
      <c r="P1411" s="21" t="n"/>
      <c r="Q1411" s="21" t="n"/>
      <c r="R1411" s="21" t="n"/>
      <c r="S1411" s="24" t="n"/>
      <c r="T1411" s="24" t="n"/>
      <c r="V1411">
        <f>IF(A1411="","",MONTH(A1411))</f>
        <v/>
      </c>
      <c r="W1411">
        <f>N(W1410)+IF(AND(C1411&lt;&gt;"",T1411&lt;&gt;""),IF(C1411=WOCHE!$B$3,1,0),0)</f>
        <v/>
      </c>
      <c r="X1411">
        <f>N(X1410)+IF(AND(V1411&lt;&gt;"",T1411&lt;&gt;""),IF(V1411=MONAT!$AZ$3,1,0),0)</f>
        <v/>
      </c>
    </row>
    <row r="1412">
      <c r="A1412" s="19" t="n"/>
      <c r="B1412" s="20">
        <f>IF(A1412="","",CHOOSE(WEEKDAY(A1412,2),"Mo","Di","Mi","Do","Fr","Sa","So"))</f>
        <v/>
      </c>
      <c r="C1412" s="20">
        <f>IF(A1412="","",INT((A1412-DATE(YEAR(A1412-WEEKDAY(A1412-1)+4),1,3)+WEEKDAY(DATE(YEAR(A1412-WEEKDAY(A1412-1)+4),1,3))+5)/7))</f>
        <v/>
      </c>
      <c r="D1412" s="21" t="n"/>
      <c r="E1412" s="22" t="n"/>
      <c r="F1412" s="23" t="n"/>
      <c r="G1412" s="23" t="n"/>
      <c r="H1412" s="23" t="n"/>
      <c r="I1412" s="20">
        <f>IF(COUNT(F1412:H1412)=0,"",SUM(F1412:H1412))</f>
        <v/>
      </c>
      <c r="J1412" s="23" t="n"/>
      <c r="K1412" s="23" t="n"/>
      <c r="L1412" s="23" t="n"/>
      <c r="M1412" s="23" t="n"/>
      <c r="N1412" s="23" t="n"/>
      <c r="O1412" s="20">
        <f>IF(OR(I1412="",COUNT(J1412:N1412)=0),"",IF(SUM(J1412:N1412)=I1412,"✓","⚠ "&amp;SUM(J1412:N1412)&amp;" statt "&amp;I1412))</f>
        <v/>
      </c>
      <c r="P1412" s="21" t="n"/>
      <c r="Q1412" s="21" t="n"/>
      <c r="R1412" s="21" t="n"/>
      <c r="S1412" s="24" t="n"/>
      <c r="T1412" s="24" t="n"/>
      <c r="V1412">
        <f>IF(A1412="","",MONTH(A1412))</f>
        <v/>
      </c>
      <c r="W1412">
        <f>N(W1411)+IF(AND(C1412&lt;&gt;"",T1412&lt;&gt;""),IF(C1412=WOCHE!$B$3,1,0),0)</f>
        <v/>
      </c>
      <c r="X1412">
        <f>N(X1411)+IF(AND(V1412&lt;&gt;"",T1412&lt;&gt;""),IF(V1412=MONAT!$AZ$3,1,0),0)</f>
        <v/>
      </c>
    </row>
    <row r="1413">
      <c r="A1413" s="19" t="n"/>
      <c r="B1413" s="20">
        <f>IF(A1413="","",CHOOSE(WEEKDAY(A1413,2),"Mo","Di","Mi","Do","Fr","Sa","So"))</f>
        <v/>
      </c>
      <c r="C1413" s="20">
        <f>IF(A1413="","",INT((A1413-DATE(YEAR(A1413-WEEKDAY(A1413-1)+4),1,3)+WEEKDAY(DATE(YEAR(A1413-WEEKDAY(A1413-1)+4),1,3))+5)/7))</f>
        <v/>
      </c>
      <c r="D1413" s="21" t="n"/>
      <c r="E1413" s="22" t="n"/>
      <c r="F1413" s="23" t="n"/>
      <c r="G1413" s="23" t="n"/>
      <c r="H1413" s="23" t="n"/>
      <c r="I1413" s="20">
        <f>IF(COUNT(F1413:H1413)=0,"",SUM(F1413:H1413))</f>
        <v/>
      </c>
      <c r="J1413" s="23" t="n"/>
      <c r="K1413" s="23" t="n"/>
      <c r="L1413" s="23" t="n"/>
      <c r="M1413" s="23" t="n"/>
      <c r="N1413" s="23" t="n"/>
      <c r="O1413" s="20">
        <f>IF(OR(I1413="",COUNT(J1413:N1413)=0),"",IF(SUM(J1413:N1413)=I1413,"✓","⚠ "&amp;SUM(J1413:N1413)&amp;" statt "&amp;I1413))</f>
        <v/>
      </c>
      <c r="P1413" s="21" t="n"/>
      <c r="Q1413" s="21" t="n"/>
      <c r="R1413" s="21" t="n"/>
      <c r="S1413" s="24" t="n"/>
      <c r="T1413" s="24" t="n"/>
      <c r="V1413">
        <f>IF(A1413="","",MONTH(A1413))</f>
        <v/>
      </c>
      <c r="W1413">
        <f>N(W1412)+IF(AND(C1413&lt;&gt;"",T1413&lt;&gt;""),IF(C1413=WOCHE!$B$3,1,0),0)</f>
        <v/>
      </c>
      <c r="X1413">
        <f>N(X1412)+IF(AND(V1413&lt;&gt;"",T1413&lt;&gt;""),IF(V1413=MONAT!$AZ$3,1,0),0)</f>
        <v/>
      </c>
    </row>
    <row r="1414">
      <c r="A1414" s="19" t="n"/>
      <c r="B1414" s="20">
        <f>IF(A1414="","",CHOOSE(WEEKDAY(A1414,2),"Mo","Di","Mi","Do","Fr","Sa","So"))</f>
        <v/>
      </c>
      <c r="C1414" s="20">
        <f>IF(A1414="","",INT((A1414-DATE(YEAR(A1414-WEEKDAY(A1414-1)+4),1,3)+WEEKDAY(DATE(YEAR(A1414-WEEKDAY(A1414-1)+4),1,3))+5)/7))</f>
        <v/>
      </c>
      <c r="D1414" s="21" t="n"/>
      <c r="E1414" s="22" t="n"/>
      <c r="F1414" s="23" t="n"/>
      <c r="G1414" s="23" t="n"/>
      <c r="H1414" s="23" t="n"/>
      <c r="I1414" s="20">
        <f>IF(COUNT(F1414:H1414)=0,"",SUM(F1414:H1414))</f>
        <v/>
      </c>
      <c r="J1414" s="23" t="n"/>
      <c r="K1414" s="23" t="n"/>
      <c r="L1414" s="23" t="n"/>
      <c r="M1414" s="23" t="n"/>
      <c r="N1414" s="23" t="n"/>
      <c r="O1414" s="20">
        <f>IF(OR(I1414="",COUNT(J1414:N1414)=0),"",IF(SUM(J1414:N1414)=I1414,"✓","⚠ "&amp;SUM(J1414:N1414)&amp;" statt "&amp;I1414))</f>
        <v/>
      </c>
      <c r="P1414" s="21" t="n"/>
      <c r="Q1414" s="21" t="n"/>
      <c r="R1414" s="21" t="n"/>
      <c r="S1414" s="24" t="n"/>
      <c r="T1414" s="24" t="n"/>
      <c r="V1414">
        <f>IF(A1414="","",MONTH(A1414))</f>
        <v/>
      </c>
      <c r="W1414">
        <f>N(W1413)+IF(AND(C1414&lt;&gt;"",T1414&lt;&gt;""),IF(C1414=WOCHE!$B$3,1,0),0)</f>
        <v/>
      </c>
      <c r="X1414">
        <f>N(X1413)+IF(AND(V1414&lt;&gt;"",T1414&lt;&gt;""),IF(V1414=MONAT!$AZ$3,1,0),0)</f>
        <v/>
      </c>
    </row>
    <row r="1415">
      <c r="A1415" s="19" t="n"/>
      <c r="B1415" s="20">
        <f>IF(A1415="","",CHOOSE(WEEKDAY(A1415,2),"Mo","Di","Mi","Do","Fr","Sa","So"))</f>
        <v/>
      </c>
      <c r="C1415" s="20">
        <f>IF(A1415="","",INT((A1415-DATE(YEAR(A1415-WEEKDAY(A1415-1)+4),1,3)+WEEKDAY(DATE(YEAR(A1415-WEEKDAY(A1415-1)+4),1,3))+5)/7))</f>
        <v/>
      </c>
      <c r="D1415" s="21" t="n"/>
      <c r="E1415" s="22" t="n"/>
      <c r="F1415" s="23" t="n"/>
      <c r="G1415" s="23" t="n"/>
      <c r="H1415" s="23" t="n"/>
      <c r="I1415" s="20">
        <f>IF(COUNT(F1415:H1415)=0,"",SUM(F1415:H1415))</f>
        <v/>
      </c>
      <c r="J1415" s="23" t="n"/>
      <c r="K1415" s="23" t="n"/>
      <c r="L1415" s="23" t="n"/>
      <c r="M1415" s="23" t="n"/>
      <c r="N1415" s="23" t="n"/>
      <c r="O1415" s="20">
        <f>IF(OR(I1415="",COUNT(J1415:N1415)=0),"",IF(SUM(J1415:N1415)=I1415,"✓","⚠ "&amp;SUM(J1415:N1415)&amp;" statt "&amp;I1415))</f>
        <v/>
      </c>
      <c r="P1415" s="21" t="n"/>
      <c r="Q1415" s="21" t="n"/>
      <c r="R1415" s="21" t="n"/>
      <c r="S1415" s="24" t="n"/>
      <c r="T1415" s="24" t="n"/>
      <c r="V1415">
        <f>IF(A1415="","",MONTH(A1415))</f>
        <v/>
      </c>
      <c r="W1415">
        <f>N(W1414)+IF(AND(C1415&lt;&gt;"",T1415&lt;&gt;""),IF(C1415=WOCHE!$B$3,1,0),0)</f>
        <v/>
      </c>
      <c r="X1415">
        <f>N(X1414)+IF(AND(V1415&lt;&gt;"",T1415&lt;&gt;""),IF(V1415=MONAT!$AZ$3,1,0),0)</f>
        <v/>
      </c>
    </row>
    <row r="1416">
      <c r="A1416" s="19" t="n"/>
      <c r="B1416" s="20">
        <f>IF(A1416="","",CHOOSE(WEEKDAY(A1416,2),"Mo","Di","Mi","Do","Fr","Sa","So"))</f>
        <v/>
      </c>
      <c r="C1416" s="20">
        <f>IF(A1416="","",INT((A1416-DATE(YEAR(A1416-WEEKDAY(A1416-1)+4),1,3)+WEEKDAY(DATE(YEAR(A1416-WEEKDAY(A1416-1)+4),1,3))+5)/7))</f>
        <v/>
      </c>
      <c r="D1416" s="21" t="n"/>
      <c r="E1416" s="22" t="n"/>
      <c r="F1416" s="23" t="n"/>
      <c r="G1416" s="23" t="n"/>
      <c r="H1416" s="23" t="n"/>
      <c r="I1416" s="20">
        <f>IF(COUNT(F1416:H1416)=0,"",SUM(F1416:H1416))</f>
        <v/>
      </c>
      <c r="J1416" s="23" t="n"/>
      <c r="K1416" s="23" t="n"/>
      <c r="L1416" s="23" t="n"/>
      <c r="M1416" s="23" t="n"/>
      <c r="N1416" s="23" t="n"/>
      <c r="O1416" s="20">
        <f>IF(OR(I1416="",COUNT(J1416:N1416)=0),"",IF(SUM(J1416:N1416)=I1416,"✓","⚠ "&amp;SUM(J1416:N1416)&amp;" statt "&amp;I1416))</f>
        <v/>
      </c>
      <c r="P1416" s="21" t="n"/>
      <c r="Q1416" s="21" t="n"/>
      <c r="R1416" s="21" t="n"/>
      <c r="S1416" s="24" t="n"/>
      <c r="T1416" s="24" t="n"/>
      <c r="V1416">
        <f>IF(A1416="","",MONTH(A1416))</f>
        <v/>
      </c>
      <c r="W1416">
        <f>N(W1415)+IF(AND(C1416&lt;&gt;"",T1416&lt;&gt;""),IF(C1416=WOCHE!$B$3,1,0),0)</f>
        <v/>
      </c>
      <c r="X1416">
        <f>N(X1415)+IF(AND(V1416&lt;&gt;"",T1416&lt;&gt;""),IF(V1416=MONAT!$AZ$3,1,0),0)</f>
        <v/>
      </c>
    </row>
    <row r="1417">
      <c r="A1417" s="19" t="n"/>
      <c r="B1417" s="20">
        <f>IF(A1417="","",CHOOSE(WEEKDAY(A1417,2),"Mo","Di","Mi","Do","Fr","Sa","So"))</f>
        <v/>
      </c>
      <c r="C1417" s="20">
        <f>IF(A1417="","",INT((A1417-DATE(YEAR(A1417-WEEKDAY(A1417-1)+4),1,3)+WEEKDAY(DATE(YEAR(A1417-WEEKDAY(A1417-1)+4),1,3))+5)/7))</f>
        <v/>
      </c>
      <c r="D1417" s="21" t="n"/>
      <c r="E1417" s="22" t="n"/>
      <c r="F1417" s="23" t="n"/>
      <c r="G1417" s="23" t="n"/>
      <c r="H1417" s="23" t="n"/>
      <c r="I1417" s="20">
        <f>IF(COUNT(F1417:H1417)=0,"",SUM(F1417:H1417))</f>
        <v/>
      </c>
      <c r="J1417" s="23" t="n"/>
      <c r="K1417" s="23" t="n"/>
      <c r="L1417" s="23" t="n"/>
      <c r="M1417" s="23" t="n"/>
      <c r="N1417" s="23" t="n"/>
      <c r="O1417" s="20">
        <f>IF(OR(I1417="",COUNT(J1417:N1417)=0),"",IF(SUM(J1417:N1417)=I1417,"✓","⚠ "&amp;SUM(J1417:N1417)&amp;" statt "&amp;I1417))</f>
        <v/>
      </c>
      <c r="P1417" s="21" t="n"/>
      <c r="Q1417" s="21" t="n"/>
      <c r="R1417" s="21" t="n"/>
      <c r="S1417" s="24" t="n"/>
      <c r="T1417" s="24" t="n"/>
      <c r="V1417">
        <f>IF(A1417="","",MONTH(A1417))</f>
        <v/>
      </c>
      <c r="W1417">
        <f>N(W1416)+IF(AND(C1417&lt;&gt;"",T1417&lt;&gt;""),IF(C1417=WOCHE!$B$3,1,0),0)</f>
        <v/>
      </c>
      <c r="X1417">
        <f>N(X1416)+IF(AND(V1417&lt;&gt;"",T1417&lt;&gt;""),IF(V1417=MONAT!$AZ$3,1,0),0)</f>
        <v/>
      </c>
    </row>
    <row r="1418">
      <c r="A1418" s="19" t="n"/>
      <c r="B1418" s="20">
        <f>IF(A1418="","",CHOOSE(WEEKDAY(A1418,2),"Mo","Di","Mi","Do","Fr","Sa","So"))</f>
        <v/>
      </c>
      <c r="C1418" s="20">
        <f>IF(A1418="","",INT((A1418-DATE(YEAR(A1418-WEEKDAY(A1418-1)+4),1,3)+WEEKDAY(DATE(YEAR(A1418-WEEKDAY(A1418-1)+4),1,3))+5)/7))</f>
        <v/>
      </c>
      <c r="D1418" s="21" t="n"/>
      <c r="E1418" s="22" t="n"/>
      <c r="F1418" s="23" t="n"/>
      <c r="G1418" s="23" t="n"/>
      <c r="H1418" s="23" t="n"/>
      <c r="I1418" s="20">
        <f>IF(COUNT(F1418:H1418)=0,"",SUM(F1418:H1418))</f>
        <v/>
      </c>
      <c r="J1418" s="23" t="n"/>
      <c r="K1418" s="23" t="n"/>
      <c r="L1418" s="23" t="n"/>
      <c r="M1418" s="23" t="n"/>
      <c r="N1418" s="23" t="n"/>
      <c r="O1418" s="20">
        <f>IF(OR(I1418="",COUNT(J1418:N1418)=0),"",IF(SUM(J1418:N1418)=I1418,"✓","⚠ "&amp;SUM(J1418:N1418)&amp;" statt "&amp;I1418))</f>
        <v/>
      </c>
      <c r="P1418" s="21" t="n"/>
      <c r="Q1418" s="21" t="n"/>
      <c r="R1418" s="21" t="n"/>
      <c r="S1418" s="24" t="n"/>
      <c r="T1418" s="24" t="n"/>
      <c r="V1418">
        <f>IF(A1418="","",MONTH(A1418))</f>
        <v/>
      </c>
      <c r="W1418">
        <f>N(W1417)+IF(AND(C1418&lt;&gt;"",T1418&lt;&gt;""),IF(C1418=WOCHE!$B$3,1,0),0)</f>
        <v/>
      </c>
      <c r="X1418">
        <f>N(X1417)+IF(AND(V1418&lt;&gt;"",T1418&lt;&gt;""),IF(V1418=MONAT!$AZ$3,1,0),0)</f>
        <v/>
      </c>
    </row>
    <row r="1419">
      <c r="A1419" s="19" t="n"/>
      <c r="B1419" s="20">
        <f>IF(A1419="","",CHOOSE(WEEKDAY(A1419,2),"Mo","Di","Mi","Do","Fr","Sa","So"))</f>
        <v/>
      </c>
      <c r="C1419" s="20">
        <f>IF(A1419="","",INT((A1419-DATE(YEAR(A1419-WEEKDAY(A1419-1)+4),1,3)+WEEKDAY(DATE(YEAR(A1419-WEEKDAY(A1419-1)+4),1,3))+5)/7))</f>
        <v/>
      </c>
      <c r="D1419" s="21" t="n"/>
      <c r="E1419" s="22" t="n"/>
      <c r="F1419" s="23" t="n"/>
      <c r="G1419" s="23" t="n"/>
      <c r="H1419" s="23" t="n"/>
      <c r="I1419" s="20">
        <f>IF(COUNT(F1419:H1419)=0,"",SUM(F1419:H1419))</f>
        <v/>
      </c>
      <c r="J1419" s="23" t="n"/>
      <c r="K1419" s="23" t="n"/>
      <c r="L1419" s="23" t="n"/>
      <c r="M1419" s="23" t="n"/>
      <c r="N1419" s="23" t="n"/>
      <c r="O1419" s="20">
        <f>IF(OR(I1419="",COUNT(J1419:N1419)=0),"",IF(SUM(J1419:N1419)=I1419,"✓","⚠ "&amp;SUM(J1419:N1419)&amp;" statt "&amp;I1419))</f>
        <v/>
      </c>
      <c r="P1419" s="21" t="n"/>
      <c r="Q1419" s="21" t="n"/>
      <c r="R1419" s="21" t="n"/>
      <c r="S1419" s="24" t="n"/>
      <c r="T1419" s="24" t="n"/>
      <c r="V1419">
        <f>IF(A1419="","",MONTH(A1419))</f>
        <v/>
      </c>
      <c r="W1419">
        <f>N(W1418)+IF(AND(C1419&lt;&gt;"",T1419&lt;&gt;""),IF(C1419=WOCHE!$B$3,1,0),0)</f>
        <v/>
      </c>
      <c r="X1419">
        <f>N(X1418)+IF(AND(V1419&lt;&gt;"",T1419&lt;&gt;""),IF(V1419=MONAT!$AZ$3,1,0),0)</f>
        <v/>
      </c>
    </row>
    <row r="1420">
      <c r="A1420" s="19" t="n"/>
      <c r="B1420" s="20">
        <f>IF(A1420="","",CHOOSE(WEEKDAY(A1420,2),"Mo","Di","Mi","Do","Fr","Sa","So"))</f>
        <v/>
      </c>
      <c r="C1420" s="20">
        <f>IF(A1420="","",INT((A1420-DATE(YEAR(A1420-WEEKDAY(A1420-1)+4),1,3)+WEEKDAY(DATE(YEAR(A1420-WEEKDAY(A1420-1)+4),1,3))+5)/7))</f>
        <v/>
      </c>
      <c r="D1420" s="21" t="n"/>
      <c r="E1420" s="22" t="n"/>
      <c r="F1420" s="23" t="n"/>
      <c r="G1420" s="23" t="n"/>
      <c r="H1420" s="23" t="n"/>
      <c r="I1420" s="20">
        <f>IF(COUNT(F1420:H1420)=0,"",SUM(F1420:H1420))</f>
        <v/>
      </c>
      <c r="J1420" s="23" t="n"/>
      <c r="K1420" s="23" t="n"/>
      <c r="L1420" s="23" t="n"/>
      <c r="M1420" s="23" t="n"/>
      <c r="N1420" s="23" t="n"/>
      <c r="O1420" s="20">
        <f>IF(OR(I1420="",COUNT(J1420:N1420)=0),"",IF(SUM(J1420:N1420)=I1420,"✓","⚠ "&amp;SUM(J1420:N1420)&amp;" statt "&amp;I1420))</f>
        <v/>
      </c>
      <c r="P1420" s="21" t="n"/>
      <c r="Q1420" s="21" t="n"/>
      <c r="R1420" s="21" t="n"/>
      <c r="S1420" s="24" t="n"/>
      <c r="T1420" s="24" t="n"/>
      <c r="V1420">
        <f>IF(A1420="","",MONTH(A1420))</f>
        <v/>
      </c>
      <c r="W1420">
        <f>N(W1419)+IF(AND(C1420&lt;&gt;"",T1420&lt;&gt;""),IF(C1420=WOCHE!$B$3,1,0),0)</f>
        <v/>
      </c>
      <c r="X1420">
        <f>N(X1419)+IF(AND(V1420&lt;&gt;"",T1420&lt;&gt;""),IF(V1420=MONAT!$AZ$3,1,0),0)</f>
        <v/>
      </c>
    </row>
    <row r="1421">
      <c r="A1421" s="19" t="n"/>
      <c r="B1421" s="20">
        <f>IF(A1421="","",CHOOSE(WEEKDAY(A1421,2),"Mo","Di","Mi","Do","Fr","Sa","So"))</f>
        <v/>
      </c>
      <c r="C1421" s="20">
        <f>IF(A1421="","",INT((A1421-DATE(YEAR(A1421-WEEKDAY(A1421-1)+4),1,3)+WEEKDAY(DATE(YEAR(A1421-WEEKDAY(A1421-1)+4),1,3))+5)/7))</f>
        <v/>
      </c>
      <c r="D1421" s="21" t="n"/>
      <c r="E1421" s="22" t="n"/>
      <c r="F1421" s="23" t="n"/>
      <c r="G1421" s="23" t="n"/>
      <c r="H1421" s="23" t="n"/>
      <c r="I1421" s="20">
        <f>IF(COUNT(F1421:H1421)=0,"",SUM(F1421:H1421))</f>
        <v/>
      </c>
      <c r="J1421" s="23" t="n"/>
      <c r="K1421" s="23" t="n"/>
      <c r="L1421" s="23" t="n"/>
      <c r="M1421" s="23" t="n"/>
      <c r="N1421" s="23" t="n"/>
      <c r="O1421" s="20">
        <f>IF(OR(I1421="",COUNT(J1421:N1421)=0),"",IF(SUM(J1421:N1421)=I1421,"✓","⚠ "&amp;SUM(J1421:N1421)&amp;" statt "&amp;I1421))</f>
        <v/>
      </c>
      <c r="P1421" s="21" t="n"/>
      <c r="Q1421" s="21" t="n"/>
      <c r="R1421" s="21" t="n"/>
      <c r="S1421" s="24" t="n"/>
      <c r="T1421" s="24" t="n"/>
      <c r="V1421">
        <f>IF(A1421="","",MONTH(A1421))</f>
        <v/>
      </c>
      <c r="W1421">
        <f>N(W1420)+IF(AND(C1421&lt;&gt;"",T1421&lt;&gt;""),IF(C1421=WOCHE!$B$3,1,0),0)</f>
        <v/>
      </c>
      <c r="X1421">
        <f>N(X1420)+IF(AND(V1421&lt;&gt;"",T1421&lt;&gt;""),IF(V1421=MONAT!$AZ$3,1,0),0)</f>
        <v/>
      </c>
    </row>
    <row r="1422">
      <c r="A1422" s="19" t="n"/>
      <c r="B1422" s="20">
        <f>IF(A1422="","",CHOOSE(WEEKDAY(A1422,2),"Mo","Di","Mi","Do","Fr","Sa","So"))</f>
        <v/>
      </c>
      <c r="C1422" s="20">
        <f>IF(A1422="","",INT((A1422-DATE(YEAR(A1422-WEEKDAY(A1422-1)+4),1,3)+WEEKDAY(DATE(YEAR(A1422-WEEKDAY(A1422-1)+4),1,3))+5)/7))</f>
        <v/>
      </c>
      <c r="D1422" s="21" t="n"/>
      <c r="E1422" s="22" t="n"/>
      <c r="F1422" s="23" t="n"/>
      <c r="G1422" s="23" t="n"/>
      <c r="H1422" s="23" t="n"/>
      <c r="I1422" s="20">
        <f>IF(COUNT(F1422:H1422)=0,"",SUM(F1422:H1422))</f>
        <v/>
      </c>
      <c r="J1422" s="23" t="n"/>
      <c r="K1422" s="23" t="n"/>
      <c r="L1422" s="23" t="n"/>
      <c r="M1422" s="23" t="n"/>
      <c r="N1422" s="23" t="n"/>
      <c r="O1422" s="20">
        <f>IF(OR(I1422="",COUNT(J1422:N1422)=0),"",IF(SUM(J1422:N1422)=I1422,"✓","⚠ "&amp;SUM(J1422:N1422)&amp;" statt "&amp;I1422))</f>
        <v/>
      </c>
      <c r="P1422" s="21" t="n"/>
      <c r="Q1422" s="21" t="n"/>
      <c r="R1422" s="21" t="n"/>
      <c r="S1422" s="24" t="n"/>
      <c r="T1422" s="24" t="n"/>
      <c r="V1422">
        <f>IF(A1422="","",MONTH(A1422))</f>
        <v/>
      </c>
      <c r="W1422">
        <f>N(W1421)+IF(AND(C1422&lt;&gt;"",T1422&lt;&gt;""),IF(C1422=WOCHE!$B$3,1,0),0)</f>
        <v/>
      </c>
      <c r="X1422">
        <f>N(X1421)+IF(AND(V1422&lt;&gt;"",T1422&lt;&gt;""),IF(V1422=MONAT!$AZ$3,1,0),0)</f>
        <v/>
      </c>
    </row>
    <row r="1423">
      <c r="A1423" s="19" t="n"/>
      <c r="B1423" s="20">
        <f>IF(A1423="","",CHOOSE(WEEKDAY(A1423,2),"Mo","Di","Mi","Do","Fr","Sa","So"))</f>
        <v/>
      </c>
      <c r="C1423" s="20">
        <f>IF(A1423="","",INT((A1423-DATE(YEAR(A1423-WEEKDAY(A1423-1)+4),1,3)+WEEKDAY(DATE(YEAR(A1423-WEEKDAY(A1423-1)+4),1,3))+5)/7))</f>
        <v/>
      </c>
      <c r="D1423" s="21" t="n"/>
      <c r="E1423" s="22" t="n"/>
      <c r="F1423" s="23" t="n"/>
      <c r="G1423" s="23" t="n"/>
      <c r="H1423" s="23" t="n"/>
      <c r="I1423" s="20">
        <f>IF(COUNT(F1423:H1423)=0,"",SUM(F1423:H1423))</f>
        <v/>
      </c>
      <c r="J1423" s="23" t="n"/>
      <c r="K1423" s="23" t="n"/>
      <c r="L1423" s="23" t="n"/>
      <c r="M1423" s="23" t="n"/>
      <c r="N1423" s="23" t="n"/>
      <c r="O1423" s="20">
        <f>IF(OR(I1423="",COUNT(J1423:N1423)=0),"",IF(SUM(J1423:N1423)=I1423,"✓","⚠ "&amp;SUM(J1423:N1423)&amp;" statt "&amp;I1423))</f>
        <v/>
      </c>
      <c r="P1423" s="21" t="n"/>
      <c r="Q1423" s="21" t="n"/>
      <c r="R1423" s="21" t="n"/>
      <c r="S1423" s="24" t="n"/>
      <c r="T1423" s="24" t="n"/>
      <c r="V1423">
        <f>IF(A1423="","",MONTH(A1423))</f>
        <v/>
      </c>
      <c r="W1423">
        <f>N(W1422)+IF(AND(C1423&lt;&gt;"",T1423&lt;&gt;""),IF(C1423=WOCHE!$B$3,1,0),0)</f>
        <v/>
      </c>
      <c r="X1423">
        <f>N(X1422)+IF(AND(V1423&lt;&gt;"",T1423&lt;&gt;""),IF(V1423=MONAT!$AZ$3,1,0),0)</f>
        <v/>
      </c>
    </row>
    <row r="1424">
      <c r="A1424" s="19" t="n"/>
      <c r="B1424" s="20">
        <f>IF(A1424="","",CHOOSE(WEEKDAY(A1424,2),"Mo","Di","Mi","Do","Fr","Sa","So"))</f>
        <v/>
      </c>
      <c r="C1424" s="20">
        <f>IF(A1424="","",INT((A1424-DATE(YEAR(A1424-WEEKDAY(A1424-1)+4),1,3)+WEEKDAY(DATE(YEAR(A1424-WEEKDAY(A1424-1)+4),1,3))+5)/7))</f>
        <v/>
      </c>
      <c r="D1424" s="21" t="n"/>
      <c r="E1424" s="22" t="n"/>
      <c r="F1424" s="23" t="n"/>
      <c r="G1424" s="23" t="n"/>
      <c r="H1424" s="23" t="n"/>
      <c r="I1424" s="20">
        <f>IF(COUNT(F1424:H1424)=0,"",SUM(F1424:H1424))</f>
        <v/>
      </c>
      <c r="J1424" s="23" t="n"/>
      <c r="K1424" s="23" t="n"/>
      <c r="L1424" s="23" t="n"/>
      <c r="M1424" s="23" t="n"/>
      <c r="N1424" s="23" t="n"/>
      <c r="O1424" s="20">
        <f>IF(OR(I1424="",COUNT(J1424:N1424)=0),"",IF(SUM(J1424:N1424)=I1424,"✓","⚠ "&amp;SUM(J1424:N1424)&amp;" statt "&amp;I1424))</f>
        <v/>
      </c>
      <c r="P1424" s="21" t="n"/>
      <c r="Q1424" s="21" t="n"/>
      <c r="R1424" s="21" t="n"/>
      <c r="S1424" s="24" t="n"/>
      <c r="T1424" s="24" t="n"/>
      <c r="V1424">
        <f>IF(A1424="","",MONTH(A1424))</f>
        <v/>
      </c>
      <c r="W1424">
        <f>N(W1423)+IF(AND(C1424&lt;&gt;"",T1424&lt;&gt;""),IF(C1424=WOCHE!$B$3,1,0),0)</f>
        <v/>
      </c>
      <c r="X1424">
        <f>N(X1423)+IF(AND(V1424&lt;&gt;"",T1424&lt;&gt;""),IF(V1424=MONAT!$AZ$3,1,0),0)</f>
        <v/>
      </c>
    </row>
    <row r="1425">
      <c r="A1425" s="19" t="n"/>
      <c r="B1425" s="20">
        <f>IF(A1425="","",CHOOSE(WEEKDAY(A1425,2),"Mo","Di","Mi","Do","Fr","Sa","So"))</f>
        <v/>
      </c>
      <c r="C1425" s="20">
        <f>IF(A1425="","",INT((A1425-DATE(YEAR(A1425-WEEKDAY(A1425-1)+4),1,3)+WEEKDAY(DATE(YEAR(A1425-WEEKDAY(A1425-1)+4),1,3))+5)/7))</f>
        <v/>
      </c>
      <c r="D1425" s="21" t="n"/>
      <c r="E1425" s="22" t="n"/>
      <c r="F1425" s="23" t="n"/>
      <c r="G1425" s="23" t="n"/>
      <c r="H1425" s="23" t="n"/>
      <c r="I1425" s="20">
        <f>IF(COUNT(F1425:H1425)=0,"",SUM(F1425:H1425))</f>
        <v/>
      </c>
      <c r="J1425" s="23" t="n"/>
      <c r="K1425" s="23" t="n"/>
      <c r="L1425" s="23" t="n"/>
      <c r="M1425" s="23" t="n"/>
      <c r="N1425" s="23" t="n"/>
      <c r="O1425" s="20">
        <f>IF(OR(I1425="",COUNT(J1425:N1425)=0),"",IF(SUM(J1425:N1425)=I1425,"✓","⚠ "&amp;SUM(J1425:N1425)&amp;" statt "&amp;I1425))</f>
        <v/>
      </c>
      <c r="P1425" s="21" t="n"/>
      <c r="Q1425" s="21" t="n"/>
      <c r="R1425" s="21" t="n"/>
      <c r="S1425" s="24" t="n"/>
      <c r="T1425" s="24" t="n"/>
      <c r="V1425">
        <f>IF(A1425="","",MONTH(A1425))</f>
        <v/>
      </c>
      <c r="W1425">
        <f>N(W1424)+IF(AND(C1425&lt;&gt;"",T1425&lt;&gt;""),IF(C1425=WOCHE!$B$3,1,0),0)</f>
        <v/>
      </c>
      <c r="X1425">
        <f>N(X1424)+IF(AND(V1425&lt;&gt;"",T1425&lt;&gt;""),IF(V1425=MONAT!$AZ$3,1,0),0)</f>
        <v/>
      </c>
    </row>
    <row r="1426">
      <c r="A1426" s="19" t="n"/>
      <c r="B1426" s="20">
        <f>IF(A1426="","",CHOOSE(WEEKDAY(A1426,2),"Mo","Di","Mi","Do","Fr","Sa","So"))</f>
        <v/>
      </c>
      <c r="C1426" s="20">
        <f>IF(A1426="","",INT((A1426-DATE(YEAR(A1426-WEEKDAY(A1426-1)+4),1,3)+WEEKDAY(DATE(YEAR(A1426-WEEKDAY(A1426-1)+4),1,3))+5)/7))</f>
        <v/>
      </c>
      <c r="D1426" s="21" t="n"/>
      <c r="E1426" s="22" t="n"/>
      <c r="F1426" s="23" t="n"/>
      <c r="G1426" s="23" t="n"/>
      <c r="H1426" s="23" t="n"/>
      <c r="I1426" s="20">
        <f>IF(COUNT(F1426:H1426)=0,"",SUM(F1426:H1426))</f>
        <v/>
      </c>
      <c r="J1426" s="23" t="n"/>
      <c r="K1426" s="23" t="n"/>
      <c r="L1426" s="23" t="n"/>
      <c r="M1426" s="23" t="n"/>
      <c r="N1426" s="23" t="n"/>
      <c r="O1426" s="20">
        <f>IF(OR(I1426="",COUNT(J1426:N1426)=0),"",IF(SUM(J1426:N1426)=I1426,"✓","⚠ "&amp;SUM(J1426:N1426)&amp;" statt "&amp;I1426))</f>
        <v/>
      </c>
      <c r="P1426" s="21" t="n"/>
      <c r="Q1426" s="21" t="n"/>
      <c r="R1426" s="21" t="n"/>
      <c r="S1426" s="24" t="n"/>
      <c r="T1426" s="24" t="n"/>
      <c r="V1426">
        <f>IF(A1426="","",MONTH(A1426))</f>
        <v/>
      </c>
      <c r="W1426">
        <f>N(W1425)+IF(AND(C1426&lt;&gt;"",T1426&lt;&gt;""),IF(C1426=WOCHE!$B$3,1,0),0)</f>
        <v/>
      </c>
      <c r="X1426">
        <f>N(X1425)+IF(AND(V1426&lt;&gt;"",T1426&lt;&gt;""),IF(V1426=MONAT!$AZ$3,1,0),0)</f>
        <v/>
      </c>
    </row>
    <row r="1427">
      <c r="A1427" s="19" t="n"/>
      <c r="B1427" s="20">
        <f>IF(A1427="","",CHOOSE(WEEKDAY(A1427,2),"Mo","Di","Mi","Do","Fr","Sa","So"))</f>
        <v/>
      </c>
      <c r="C1427" s="20">
        <f>IF(A1427="","",INT((A1427-DATE(YEAR(A1427-WEEKDAY(A1427-1)+4),1,3)+WEEKDAY(DATE(YEAR(A1427-WEEKDAY(A1427-1)+4),1,3))+5)/7))</f>
        <v/>
      </c>
      <c r="D1427" s="21" t="n"/>
      <c r="E1427" s="22" t="n"/>
      <c r="F1427" s="23" t="n"/>
      <c r="G1427" s="23" t="n"/>
      <c r="H1427" s="23" t="n"/>
      <c r="I1427" s="20">
        <f>IF(COUNT(F1427:H1427)=0,"",SUM(F1427:H1427))</f>
        <v/>
      </c>
      <c r="J1427" s="23" t="n"/>
      <c r="K1427" s="23" t="n"/>
      <c r="L1427" s="23" t="n"/>
      <c r="M1427" s="23" t="n"/>
      <c r="N1427" s="23" t="n"/>
      <c r="O1427" s="20">
        <f>IF(OR(I1427="",COUNT(J1427:N1427)=0),"",IF(SUM(J1427:N1427)=I1427,"✓","⚠ "&amp;SUM(J1427:N1427)&amp;" statt "&amp;I1427))</f>
        <v/>
      </c>
      <c r="P1427" s="21" t="n"/>
      <c r="Q1427" s="21" t="n"/>
      <c r="R1427" s="21" t="n"/>
      <c r="S1427" s="24" t="n"/>
      <c r="T1427" s="24" t="n"/>
      <c r="V1427">
        <f>IF(A1427="","",MONTH(A1427))</f>
        <v/>
      </c>
      <c r="W1427">
        <f>N(W1426)+IF(AND(C1427&lt;&gt;"",T1427&lt;&gt;""),IF(C1427=WOCHE!$B$3,1,0),0)</f>
        <v/>
      </c>
      <c r="X1427">
        <f>N(X1426)+IF(AND(V1427&lt;&gt;"",T1427&lt;&gt;""),IF(V1427=MONAT!$AZ$3,1,0),0)</f>
        <v/>
      </c>
    </row>
    <row r="1428">
      <c r="A1428" s="19" t="n"/>
      <c r="B1428" s="20">
        <f>IF(A1428="","",CHOOSE(WEEKDAY(A1428,2),"Mo","Di","Mi","Do","Fr","Sa","So"))</f>
        <v/>
      </c>
      <c r="C1428" s="20">
        <f>IF(A1428="","",INT((A1428-DATE(YEAR(A1428-WEEKDAY(A1428-1)+4),1,3)+WEEKDAY(DATE(YEAR(A1428-WEEKDAY(A1428-1)+4),1,3))+5)/7))</f>
        <v/>
      </c>
      <c r="D1428" s="21" t="n"/>
      <c r="E1428" s="22" t="n"/>
      <c r="F1428" s="23" t="n"/>
      <c r="G1428" s="23" t="n"/>
      <c r="H1428" s="23" t="n"/>
      <c r="I1428" s="20">
        <f>IF(COUNT(F1428:H1428)=0,"",SUM(F1428:H1428))</f>
        <v/>
      </c>
      <c r="J1428" s="23" t="n"/>
      <c r="K1428" s="23" t="n"/>
      <c r="L1428" s="23" t="n"/>
      <c r="M1428" s="23" t="n"/>
      <c r="N1428" s="23" t="n"/>
      <c r="O1428" s="20">
        <f>IF(OR(I1428="",COUNT(J1428:N1428)=0),"",IF(SUM(J1428:N1428)=I1428,"✓","⚠ "&amp;SUM(J1428:N1428)&amp;" statt "&amp;I1428))</f>
        <v/>
      </c>
      <c r="P1428" s="21" t="n"/>
      <c r="Q1428" s="21" t="n"/>
      <c r="R1428" s="21" t="n"/>
      <c r="S1428" s="24" t="n"/>
      <c r="T1428" s="24" t="n"/>
      <c r="V1428">
        <f>IF(A1428="","",MONTH(A1428))</f>
        <v/>
      </c>
      <c r="W1428">
        <f>N(W1427)+IF(AND(C1428&lt;&gt;"",T1428&lt;&gt;""),IF(C1428=WOCHE!$B$3,1,0),0)</f>
        <v/>
      </c>
      <c r="X1428">
        <f>N(X1427)+IF(AND(V1428&lt;&gt;"",T1428&lt;&gt;""),IF(V1428=MONAT!$AZ$3,1,0),0)</f>
        <v/>
      </c>
    </row>
    <row r="1429">
      <c r="A1429" s="19" t="n"/>
      <c r="B1429" s="20">
        <f>IF(A1429="","",CHOOSE(WEEKDAY(A1429,2),"Mo","Di","Mi","Do","Fr","Sa","So"))</f>
        <v/>
      </c>
      <c r="C1429" s="20">
        <f>IF(A1429="","",INT((A1429-DATE(YEAR(A1429-WEEKDAY(A1429-1)+4),1,3)+WEEKDAY(DATE(YEAR(A1429-WEEKDAY(A1429-1)+4),1,3))+5)/7))</f>
        <v/>
      </c>
      <c r="D1429" s="21" t="n"/>
      <c r="E1429" s="22" t="n"/>
      <c r="F1429" s="23" t="n"/>
      <c r="G1429" s="23" t="n"/>
      <c r="H1429" s="23" t="n"/>
      <c r="I1429" s="20">
        <f>IF(COUNT(F1429:H1429)=0,"",SUM(F1429:H1429))</f>
        <v/>
      </c>
      <c r="J1429" s="23" t="n"/>
      <c r="K1429" s="23" t="n"/>
      <c r="L1429" s="23" t="n"/>
      <c r="M1429" s="23" t="n"/>
      <c r="N1429" s="23" t="n"/>
      <c r="O1429" s="20">
        <f>IF(OR(I1429="",COUNT(J1429:N1429)=0),"",IF(SUM(J1429:N1429)=I1429,"✓","⚠ "&amp;SUM(J1429:N1429)&amp;" statt "&amp;I1429))</f>
        <v/>
      </c>
      <c r="P1429" s="21" t="n"/>
      <c r="Q1429" s="21" t="n"/>
      <c r="R1429" s="21" t="n"/>
      <c r="S1429" s="24" t="n"/>
      <c r="T1429" s="24" t="n"/>
      <c r="V1429">
        <f>IF(A1429="","",MONTH(A1429))</f>
        <v/>
      </c>
      <c r="W1429">
        <f>N(W1428)+IF(AND(C1429&lt;&gt;"",T1429&lt;&gt;""),IF(C1429=WOCHE!$B$3,1,0),0)</f>
        <v/>
      </c>
      <c r="X1429">
        <f>N(X1428)+IF(AND(V1429&lt;&gt;"",T1429&lt;&gt;""),IF(V1429=MONAT!$AZ$3,1,0),0)</f>
        <v/>
      </c>
    </row>
    <row r="1430">
      <c r="A1430" s="19" t="n"/>
      <c r="B1430" s="20">
        <f>IF(A1430="","",CHOOSE(WEEKDAY(A1430,2),"Mo","Di","Mi","Do","Fr","Sa","So"))</f>
        <v/>
      </c>
      <c r="C1430" s="20">
        <f>IF(A1430="","",INT((A1430-DATE(YEAR(A1430-WEEKDAY(A1430-1)+4),1,3)+WEEKDAY(DATE(YEAR(A1430-WEEKDAY(A1430-1)+4),1,3))+5)/7))</f>
        <v/>
      </c>
      <c r="D1430" s="21" t="n"/>
      <c r="E1430" s="22" t="n"/>
      <c r="F1430" s="23" t="n"/>
      <c r="G1430" s="23" t="n"/>
      <c r="H1430" s="23" t="n"/>
      <c r="I1430" s="20">
        <f>IF(COUNT(F1430:H1430)=0,"",SUM(F1430:H1430))</f>
        <v/>
      </c>
      <c r="J1430" s="23" t="n"/>
      <c r="K1430" s="23" t="n"/>
      <c r="L1430" s="23" t="n"/>
      <c r="M1430" s="23" t="n"/>
      <c r="N1430" s="23" t="n"/>
      <c r="O1430" s="20">
        <f>IF(OR(I1430="",COUNT(J1430:N1430)=0),"",IF(SUM(J1430:N1430)=I1430,"✓","⚠ "&amp;SUM(J1430:N1430)&amp;" statt "&amp;I1430))</f>
        <v/>
      </c>
      <c r="P1430" s="21" t="n"/>
      <c r="Q1430" s="21" t="n"/>
      <c r="R1430" s="21" t="n"/>
      <c r="S1430" s="24" t="n"/>
      <c r="T1430" s="24" t="n"/>
      <c r="V1430">
        <f>IF(A1430="","",MONTH(A1430))</f>
        <v/>
      </c>
      <c r="W1430">
        <f>N(W1429)+IF(AND(C1430&lt;&gt;"",T1430&lt;&gt;""),IF(C1430=WOCHE!$B$3,1,0),0)</f>
        <v/>
      </c>
      <c r="X1430">
        <f>N(X1429)+IF(AND(V1430&lt;&gt;"",T1430&lt;&gt;""),IF(V1430=MONAT!$AZ$3,1,0),0)</f>
        <v/>
      </c>
    </row>
    <row r="1431">
      <c r="A1431" s="19" t="n"/>
      <c r="B1431" s="20">
        <f>IF(A1431="","",CHOOSE(WEEKDAY(A1431,2),"Mo","Di","Mi","Do","Fr","Sa","So"))</f>
        <v/>
      </c>
      <c r="C1431" s="20">
        <f>IF(A1431="","",INT((A1431-DATE(YEAR(A1431-WEEKDAY(A1431-1)+4),1,3)+WEEKDAY(DATE(YEAR(A1431-WEEKDAY(A1431-1)+4),1,3))+5)/7))</f>
        <v/>
      </c>
      <c r="D1431" s="21" t="n"/>
      <c r="E1431" s="22" t="n"/>
      <c r="F1431" s="23" t="n"/>
      <c r="G1431" s="23" t="n"/>
      <c r="H1431" s="23" t="n"/>
      <c r="I1431" s="20">
        <f>IF(COUNT(F1431:H1431)=0,"",SUM(F1431:H1431))</f>
        <v/>
      </c>
      <c r="J1431" s="23" t="n"/>
      <c r="K1431" s="23" t="n"/>
      <c r="L1431" s="23" t="n"/>
      <c r="M1431" s="23" t="n"/>
      <c r="N1431" s="23" t="n"/>
      <c r="O1431" s="20">
        <f>IF(OR(I1431="",COUNT(J1431:N1431)=0),"",IF(SUM(J1431:N1431)=I1431,"✓","⚠ "&amp;SUM(J1431:N1431)&amp;" statt "&amp;I1431))</f>
        <v/>
      </c>
      <c r="P1431" s="21" t="n"/>
      <c r="Q1431" s="21" t="n"/>
      <c r="R1431" s="21" t="n"/>
      <c r="S1431" s="24" t="n"/>
      <c r="T1431" s="24" t="n"/>
      <c r="V1431">
        <f>IF(A1431="","",MONTH(A1431))</f>
        <v/>
      </c>
      <c r="W1431">
        <f>N(W1430)+IF(AND(C1431&lt;&gt;"",T1431&lt;&gt;""),IF(C1431=WOCHE!$B$3,1,0),0)</f>
        <v/>
      </c>
      <c r="X1431">
        <f>N(X1430)+IF(AND(V1431&lt;&gt;"",T1431&lt;&gt;""),IF(V1431=MONAT!$AZ$3,1,0),0)</f>
        <v/>
      </c>
    </row>
    <row r="1432">
      <c r="A1432" s="19" t="n"/>
      <c r="B1432" s="20">
        <f>IF(A1432="","",CHOOSE(WEEKDAY(A1432,2),"Mo","Di","Mi","Do","Fr","Sa","So"))</f>
        <v/>
      </c>
      <c r="C1432" s="20">
        <f>IF(A1432="","",INT((A1432-DATE(YEAR(A1432-WEEKDAY(A1432-1)+4),1,3)+WEEKDAY(DATE(YEAR(A1432-WEEKDAY(A1432-1)+4),1,3))+5)/7))</f>
        <v/>
      </c>
      <c r="D1432" s="21" t="n"/>
      <c r="E1432" s="22" t="n"/>
      <c r="F1432" s="23" t="n"/>
      <c r="G1432" s="23" t="n"/>
      <c r="H1432" s="23" t="n"/>
      <c r="I1432" s="20">
        <f>IF(COUNT(F1432:H1432)=0,"",SUM(F1432:H1432))</f>
        <v/>
      </c>
      <c r="J1432" s="23" t="n"/>
      <c r="K1432" s="23" t="n"/>
      <c r="L1432" s="23" t="n"/>
      <c r="M1432" s="23" t="n"/>
      <c r="N1432" s="23" t="n"/>
      <c r="O1432" s="20">
        <f>IF(OR(I1432="",COUNT(J1432:N1432)=0),"",IF(SUM(J1432:N1432)=I1432,"✓","⚠ "&amp;SUM(J1432:N1432)&amp;" statt "&amp;I1432))</f>
        <v/>
      </c>
      <c r="P1432" s="21" t="n"/>
      <c r="Q1432" s="21" t="n"/>
      <c r="R1432" s="21" t="n"/>
      <c r="S1432" s="24" t="n"/>
      <c r="T1432" s="24" t="n"/>
      <c r="V1432">
        <f>IF(A1432="","",MONTH(A1432))</f>
        <v/>
      </c>
      <c r="W1432">
        <f>N(W1431)+IF(AND(C1432&lt;&gt;"",T1432&lt;&gt;""),IF(C1432=WOCHE!$B$3,1,0),0)</f>
        <v/>
      </c>
      <c r="X1432">
        <f>N(X1431)+IF(AND(V1432&lt;&gt;"",T1432&lt;&gt;""),IF(V1432=MONAT!$AZ$3,1,0),0)</f>
        <v/>
      </c>
    </row>
    <row r="1433">
      <c r="A1433" s="19" t="n"/>
      <c r="B1433" s="20">
        <f>IF(A1433="","",CHOOSE(WEEKDAY(A1433,2),"Mo","Di","Mi","Do","Fr","Sa","So"))</f>
        <v/>
      </c>
      <c r="C1433" s="20">
        <f>IF(A1433="","",INT((A1433-DATE(YEAR(A1433-WEEKDAY(A1433-1)+4),1,3)+WEEKDAY(DATE(YEAR(A1433-WEEKDAY(A1433-1)+4),1,3))+5)/7))</f>
        <v/>
      </c>
      <c r="D1433" s="21" t="n"/>
      <c r="E1433" s="22" t="n"/>
      <c r="F1433" s="23" t="n"/>
      <c r="G1433" s="23" t="n"/>
      <c r="H1433" s="23" t="n"/>
      <c r="I1433" s="20">
        <f>IF(COUNT(F1433:H1433)=0,"",SUM(F1433:H1433))</f>
        <v/>
      </c>
      <c r="J1433" s="23" t="n"/>
      <c r="K1433" s="23" t="n"/>
      <c r="L1433" s="23" t="n"/>
      <c r="M1433" s="23" t="n"/>
      <c r="N1433" s="23" t="n"/>
      <c r="O1433" s="20">
        <f>IF(OR(I1433="",COUNT(J1433:N1433)=0),"",IF(SUM(J1433:N1433)=I1433,"✓","⚠ "&amp;SUM(J1433:N1433)&amp;" statt "&amp;I1433))</f>
        <v/>
      </c>
      <c r="P1433" s="21" t="n"/>
      <c r="Q1433" s="21" t="n"/>
      <c r="R1433" s="21" t="n"/>
      <c r="S1433" s="24" t="n"/>
      <c r="T1433" s="24" t="n"/>
      <c r="V1433">
        <f>IF(A1433="","",MONTH(A1433))</f>
        <v/>
      </c>
      <c r="W1433">
        <f>N(W1432)+IF(AND(C1433&lt;&gt;"",T1433&lt;&gt;""),IF(C1433=WOCHE!$B$3,1,0),0)</f>
        <v/>
      </c>
      <c r="X1433">
        <f>N(X1432)+IF(AND(V1433&lt;&gt;"",T1433&lt;&gt;""),IF(V1433=MONAT!$AZ$3,1,0),0)</f>
        <v/>
      </c>
    </row>
    <row r="1434">
      <c r="A1434" s="19" t="n"/>
      <c r="B1434" s="20">
        <f>IF(A1434="","",CHOOSE(WEEKDAY(A1434,2),"Mo","Di","Mi","Do","Fr","Sa","So"))</f>
        <v/>
      </c>
      <c r="C1434" s="20">
        <f>IF(A1434="","",INT((A1434-DATE(YEAR(A1434-WEEKDAY(A1434-1)+4),1,3)+WEEKDAY(DATE(YEAR(A1434-WEEKDAY(A1434-1)+4),1,3))+5)/7))</f>
        <v/>
      </c>
      <c r="D1434" s="21" t="n"/>
      <c r="E1434" s="22" t="n"/>
      <c r="F1434" s="23" t="n"/>
      <c r="G1434" s="23" t="n"/>
      <c r="H1434" s="23" t="n"/>
      <c r="I1434" s="20">
        <f>IF(COUNT(F1434:H1434)=0,"",SUM(F1434:H1434))</f>
        <v/>
      </c>
      <c r="J1434" s="23" t="n"/>
      <c r="K1434" s="23" t="n"/>
      <c r="L1434" s="23" t="n"/>
      <c r="M1434" s="23" t="n"/>
      <c r="N1434" s="23" t="n"/>
      <c r="O1434" s="20">
        <f>IF(OR(I1434="",COUNT(J1434:N1434)=0),"",IF(SUM(J1434:N1434)=I1434,"✓","⚠ "&amp;SUM(J1434:N1434)&amp;" statt "&amp;I1434))</f>
        <v/>
      </c>
      <c r="P1434" s="21" t="n"/>
      <c r="Q1434" s="21" t="n"/>
      <c r="R1434" s="21" t="n"/>
      <c r="S1434" s="24" t="n"/>
      <c r="T1434" s="24" t="n"/>
      <c r="V1434">
        <f>IF(A1434="","",MONTH(A1434))</f>
        <v/>
      </c>
      <c r="W1434">
        <f>N(W1433)+IF(AND(C1434&lt;&gt;"",T1434&lt;&gt;""),IF(C1434=WOCHE!$B$3,1,0),0)</f>
        <v/>
      </c>
      <c r="X1434">
        <f>N(X1433)+IF(AND(V1434&lt;&gt;"",T1434&lt;&gt;""),IF(V1434=MONAT!$AZ$3,1,0),0)</f>
        <v/>
      </c>
    </row>
    <row r="1435">
      <c r="A1435" s="19" t="n"/>
      <c r="B1435" s="20">
        <f>IF(A1435="","",CHOOSE(WEEKDAY(A1435,2),"Mo","Di","Mi","Do","Fr","Sa","So"))</f>
        <v/>
      </c>
      <c r="C1435" s="20">
        <f>IF(A1435="","",INT((A1435-DATE(YEAR(A1435-WEEKDAY(A1435-1)+4),1,3)+WEEKDAY(DATE(YEAR(A1435-WEEKDAY(A1435-1)+4),1,3))+5)/7))</f>
        <v/>
      </c>
      <c r="D1435" s="21" t="n"/>
      <c r="E1435" s="22" t="n"/>
      <c r="F1435" s="23" t="n"/>
      <c r="G1435" s="23" t="n"/>
      <c r="H1435" s="23" t="n"/>
      <c r="I1435" s="20">
        <f>IF(COUNT(F1435:H1435)=0,"",SUM(F1435:H1435))</f>
        <v/>
      </c>
      <c r="J1435" s="23" t="n"/>
      <c r="K1435" s="23" t="n"/>
      <c r="L1435" s="23" t="n"/>
      <c r="M1435" s="23" t="n"/>
      <c r="N1435" s="23" t="n"/>
      <c r="O1435" s="20">
        <f>IF(OR(I1435="",COUNT(J1435:N1435)=0),"",IF(SUM(J1435:N1435)=I1435,"✓","⚠ "&amp;SUM(J1435:N1435)&amp;" statt "&amp;I1435))</f>
        <v/>
      </c>
      <c r="P1435" s="21" t="n"/>
      <c r="Q1435" s="21" t="n"/>
      <c r="R1435" s="21" t="n"/>
      <c r="S1435" s="24" t="n"/>
      <c r="T1435" s="24" t="n"/>
      <c r="V1435">
        <f>IF(A1435="","",MONTH(A1435))</f>
        <v/>
      </c>
      <c r="W1435">
        <f>N(W1434)+IF(AND(C1435&lt;&gt;"",T1435&lt;&gt;""),IF(C1435=WOCHE!$B$3,1,0),0)</f>
        <v/>
      </c>
      <c r="X1435">
        <f>N(X1434)+IF(AND(V1435&lt;&gt;"",T1435&lt;&gt;""),IF(V1435=MONAT!$AZ$3,1,0),0)</f>
        <v/>
      </c>
    </row>
    <row r="1436">
      <c r="A1436" s="19" t="n"/>
      <c r="B1436" s="20">
        <f>IF(A1436="","",CHOOSE(WEEKDAY(A1436,2),"Mo","Di","Mi","Do","Fr","Sa","So"))</f>
        <v/>
      </c>
      <c r="C1436" s="20">
        <f>IF(A1436="","",INT((A1436-DATE(YEAR(A1436-WEEKDAY(A1436-1)+4),1,3)+WEEKDAY(DATE(YEAR(A1436-WEEKDAY(A1436-1)+4),1,3))+5)/7))</f>
        <v/>
      </c>
      <c r="D1436" s="21" t="n"/>
      <c r="E1436" s="22" t="n"/>
      <c r="F1436" s="23" t="n"/>
      <c r="G1436" s="23" t="n"/>
      <c r="H1436" s="23" t="n"/>
      <c r="I1436" s="20">
        <f>IF(COUNT(F1436:H1436)=0,"",SUM(F1436:H1436))</f>
        <v/>
      </c>
      <c r="J1436" s="23" t="n"/>
      <c r="K1436" s="23" t="n"/>
      <c r="L1436" s="23" t="n"/>
      <c r="M1436" s="23" t="n"/>
      <c r="N1436" s="23" t="n"/>
      <c r="O1436" s="20">
        <f>IF(OR(I1436="",COUNT(J1436:N1436)=0),"",IF(SUM(J1436:N1436)=I1436,"✓","⚠ "&amp;SUM(J1436:N1436)&amp;" statt "&amp;I1436))</f>
        <v/>
      </c>
      <c r="P1436" s="21" t="n"/>
      <c r="Q1436" s="21" t="n"/>
      <c r="R1436" s="21" t="n"/>
      <c r="S1436" s="24" t="n"/>
      <c r="T1436" s="24" t="n"/>
      <c r="V1436">
        <f>IF(A1436="","",MONTH(A1436))</f>
        <v/>
      </c>
      <c r="W1436">
        <f>N(W1435)+IF(AND(C1436&lt;&gt;"",T1436&lt;&gt;""),IF(C1436=WOCHE!$B$3,1,0),0)</f>
        <v/>
      </c>
      <c r="X1436">
        <f>N(X1435)+IF(AND(V1436&lt;&gt;"",T1436&lt;&gt;""),IF(V1436=MONAT!$AZ$3,1,0),0)</f>
        <v/>
      </c>
    </row>
    <row r="1437">
      <c r="A1437" s="19" t="n"/>
      <c r="B1437" s="20">
        <f>IF(A1437="","",CHOOSE(WEEKDAY(A1437,2),"Mo","Di","Mi","Do","Fr","Sa","So"))</f>
        <v/>
      </c>
      <c r="C1437" s="20">
        <f>IF(A1437="","",INT((A1437-DATE(YEAR(A1437-WEEKDAY(A1437-1)+4),1,3)+WEEKDAY(DATE(YEAR(A1437-WEEKDAY(A1437-1)+4),1,3))+5)/7))</f>
        <v/>
      </c>
      <c r="D1437" s="21" t="n"/>
      <c r="E1437" s="22" t="n"/>
      <c r="F1437" s="23" t="n"/>
      <c r="G1437" s="23" t="n"/>
      <c r="H1437" s="23" t="n"/>
      <c r="I1437" s="20">
        <f>IF(COUNT(F1437:H1437)=0,"",SUM(F1437:H1437))</f>
        <v/>
      </c>
      <c r="J1437" s="23" t="n"/>
      <c r="K1437" s="23" t="n"/>
      <c r="L1437" s="23" t="n"/>
      <c r="M1437" s="23" t="n"/>
      <c r="N1437" s="23" t="n"/>
      <c r="O1437" s="20">
        <f>IF(OR(I1437="",COUNT(J1437:N1437)=0),"",IF(SUM(J1437:N1437)=I1437,"✓","⚠ "&amp;SUM(J1437:N1437)&amp;" statt "&amp;I1437))</f>
        <v/>
      </c>
      <c r="P1437" s="21" t="n"/>
      <c r="Q1437" s="21" t="n"/>
      <c r="R1437" s="21" t="n"/>
      <c r="S1437" s="24" t="n"/>
      <c r="T1437" s="24" t="n"/>
      <c r="V1437">
        <f>IF(A1437="","",MONTH(A1437))</f>
        <v/>
      </c>
      <c r="W1437">
        <f>N(W1436)+IF(AND(C1437&lt;&gt;"",T1437&lt;&gt;""),IF(C1437=WOCHE!$B$3,1,0),0)</f>
        <v/>
      </c>
      <c r="X1437">
        <f>N(X1436)+IF(AND(V1437&lt;&gt;"",T1437&lt;&gt;""),IF(V1437=MONAT!$AZ$3,1,0),0)</f>
        <v/>
      </c>
    </row>
    <row r="1438">
      <c r="A1438" s="19" t="n"/>
      <c r="B1438" s="20">
        <f>IF(A1438="","",CHOOSE(WEEKDAY(A1438,2),"Mo","Di","Mi","Do","Fr","Sa","So"))</f>
        <v/>
      </c>
      <c r="C1438" s="20">
        <f>IF(A1438="","",INT((A1438-DATE(YEAR(A1438-WEEKDAY(A1438-1)+4),1,3)+WEEKDAY(DATE(YEAR(A1438-WEEKDAY(A1438-1)+4),1,3))+5)/7))</f>
        <v/>
      </c>
      <c r="D1438" s="21" t="n"/>
      <c r="E1438" s="22" t="n"/>
      <c r="F1438" s="23" t="n"/>
      <c r="G1438" s="23" t="n"/>
      <c r="H1438" s="23" t="n"/>
      <c r="I1438" s="20">
        <f>IF(COUNT(F1438:H1438)=0,"",SUM(F1438:H1438))</f>
        <v/>
      </c>
      <c r="J1438" s="23" t="n"/>
      <c r="K1438" s="23" t="n"/>
      <c r="L1438" s="23" t="n"/>
      <c r="M1438" s="23" t="n"/>
      <c r="N1438" s="23" t="n"/>
      <c r="O1438" s="20">
        <f>IF(OR(I1438="",COUNT(J1438:N1438)=0),"",IF(SUM(J1438:N1438)=I1438,"✓","⚠ "&amp;SUM(J1438:N1438)&amp;" statt "&amp;I1438))</f>
        <v/>
      </c>
      <c r="P1438" s="21" t="n"/>
      <c r="Q1438" s="21" t="n"/>
      <c r="R1438" s="21" t="n"/>
      <c r="S1438" s="24" t="n"/>
      <c r="T1438" s="24" t="n"/>
      <c r="V1438">
        <f>IF(A1438="","",MONTH(A1438))</f>
        <v/>
      </c>
      <c r="W1438">
        <f>N(W1437)+IF(AND(C1438&lt;&gt;"",T1438&lt;&gt;""),IF(C1438=WOCHE!$B$3,1,0),0)</f>
        <v/>
      </c>
      <c r="X1438">
        <f>N(X1437)+IF(AND(V1438&lt;&gt;"",T1438&lt;&gt;""),IF(V1438=MONAT!$AZ$3,1,0),0)</f>
        <v/>
      </c>
    </row>
    <row r="1439">
      <c r="A1439" s="19" t="n"/>
      <c r="B1439" s="20">
        <f>IF(A1439="","",CHOOSE(WEEKDAY(A1439,2),"Mo","Di","Mi","Do","Fr","Sa","So"))</f>
        <v/>
      </c>
      <c r="C1439" s="20">
        <f>IF(A1439="","",INT((A1439-DATE(YEAR(A1439-WEEKDAY(A1439-1)+4),1,3)+WEEKDAY(DATE(YEAR(A1439-WEEKDAY(A1439-1)+4),1,3))+5)/7))</f>
        <v/>
      </c>
      <c r="D1439" s="21" t="n"/>
      <c r="E1439" s="22" t="n"/>
      <c r="F1439" s="23" t="n"/>
      <c r="G1439" s="23" t="n"/>
      <c r="H1439" s="23" t="n"/>
      <c r="I1439" s="20">
        <f>IF(COUNT(F1439:H1439)=0,"",SUM(F1439:H1439))</f>
        <v/>
      </c>
      <c r="J1439" s="23" t="n"/>
      <c r="K1439" s="23" t="n"/>
      <c r="L1439" s="23" t="n"/>
      <c r="M1439" s="23" t="n"/>
      <c r="N1439" s="23" t="n"/>
      <c r="O1439" s="20">
        <f>IF(OR(I1439="",COUNT(J1439:N1439)=0),"",IF(SUM(J1439:N1439)=I1439,"✓","⚠ "&amp;SUM(J1439:N1439)&amp;" statt "&amp;I1439))</f>
        <v/>
      </c>
      <c r="P1439" s="21" t="n"/>
      <c r="Q1439" s="21" t="n"/>
      <c r="R1439" s="21" t="n"/>
      <c r="S1439" s="24" t="n"/>
      <c r="T1439" s="24" t="n"/>
      <c r="V1439">
        <f>IF(A1439="","",MONTH(A1439))</f>
        <v/>
      </c>
      <c r="W1439">
        <f>N(W1438)+IF(AND(C1439&lt;&gt;"",T1439&lt;&gt;""),IF(C1439=WOCHE!$B$3,1,0),0)</f>
        <v/>
      </c>
      <c r="X1439">
        <f>N(X1438)+IF(AND(V1439&lt;&gt;"",T1439&lt;&gt;""),IF(V1439=MONAT!$AZ$3,1,0),0)</f>
        <v/>
      </c>
    </row>
    <row r="1440">
      <c r="A1440" s="19" t="n"/>
      <c r="B1440" s="20">
        <f>IF(A1440="","",CHOOSE(WEEKDAY(A1440,2),"Mo","Di","Mi","Do","Fr","Sa","So"))</f>
        <v/>
      </c>
      <c r="C1440" s="20">
        <f>IF(A1440="","",INT((A1440-DATE(YEAR(A1440-WEEKDAY(A1440-1)+4),1,3)+WEEKDAY(DATE(YEAR(A1440-WEEKDAY(A1440-1)+4),1,3))+5)/7))</f>
        <v/>
      </c>
      <c r="D1440" s="21" t="n"/>
      <c r="E1440" s="22" t="n"/>
      <c r="F1440" s="23" t="n"/>
      <c r="G1440" s="23" t="n"/>
      <c r="H1440" s="23" t="n"/>
      <c r="I1440" s="20">
        <f>IF(COUNT(F1440:H1440)=0,"",SUM(F1440:H1440))</f>
        <v/>
      </c>
      <c r="J1440" s="23" t="n"/>
      <c r="K1440" s="23" t="n"/>
      <c r="L1440" s="23" t="n"/>
      <c r="M1440" s="23" t="n"/>
      <c r="N1440" s="23" t="n"/>
      <c r="O1440" s="20">
        <f>IF(OR(I1440="",COUNT(J1440:N1440)=0),"",IF(SUM(J1440:N1440)=I1440,"✓","⚠ "&amp;SUM(J1440:N1440)&amp;" statt "&amp;I1440))</f>
        <v/>
      </c>
      <c r="P1440" s="21" t="n"/>
      <c r="Q1440" s="21" t="n"/>
      <c r="R1440" s="21" t="n"/>
      <c r="S1440" s="24" t="n"/>
      <c r="T1440" s="24" t="n"/>
      <c r="V1440">
        <f>IF(A1440="","",MONTH(A1440))</f>
        <v/>
      </c>
      <c r="W1440">
        <f>N(W1439)+IF(AND(C1440&lt;&gt;"",T1440&lt;&gt;""),IF(C1440=WOCHE!$B$3,1,0),0)</f>
        <v/>
      </c>
      <c r="X1440">
        <f>N(X1439)+IF(AND(V1440&lt;&gt;"",T1440&lt;&gt;""),IF(V1440=MONAT!$AZ$3,1,0),0)</f>
        <v/>
      </c>
    </row>
    <row r="1441">
      <c r="A1441" s="19" t="n"/>
      <c r="B1441" s="20">
        <f>IF(A1441="","",CHOOSE(WEEKDAY(A1441,2),"Mo","Di","Mi","Do","Fr","Sa","So"))</f>
        <v/>
      </c>
      <c r="C1441" s="20">
        <f>IF(A1441="","",INT((A1441-DATE(YEAR(A1441-WEEKDAY(A1441-1)+4),1,3)+WEEKDAY(DATE(YEAR(A1441-WEEKDAY(A1441-1)+4),1,3))+5)/7))</f>
        <v/>
      </c>
      <c r="D1441" s="21" t="n"/>
      <c r="E1441" s="22" t="n"/>
      <c r="F1441" s="23" t="n"/>
      <c r="G1441" s="23" t="n"/>
      <c r="H1441" s="23" t="n"/>
      <c r="I1441" s="20">
        <f>IF(COUNT(F1441:H1441)=0,"",SUM(F1441:H1441))</f>
        <v/>
      </c>
      <c r="J1441" s="23" t="n"/>
      <c r="K1441" s="23" t="n"/>
      <c r="L1441" s="23" t="n"/>
      <c r="M1441" s="23" t="n"/>
      <c r="N1441" s="23" t="n"/>
      <c r="O1441" s="20">
        <f>IF(OR(I1441="",COUNT(J1441:N1441)=0),"",IF(SUM(J1441:N1441)=I1441,"✓","⚠ "&amp;SUM(J1441:N1441)&amp;" statt "&amp;I1441))</f>
        <v/>
      </c>
      <c r="P1441" s="21" t="n"/>
      <c r="Q1441" s="21" t="n"/>
      <c r="R1441" s="21" t="n"/>
      <c r="S1441" s="24" t="n"/>
      <c r="T1441" s="24" t="n"/>
      <c r="V1441">
        <f>IF(A1441="","",MONTH(A1441))</f>
        <v/>
      </c>
      <c r="W1441">
        <f>N(W1440)+IF(AND(C1441&lt;&gt;"",T1441&lt;&gt;""),IF(C1441=WOCHE!$B$3,1,0),0)</f>
        <v/>
      </c>
      <c r="X1441">
        <f>N(X1440)+IF(AND(V1441&lt;&gt;"",T1441&lt;&gt;""),IF(V1441=MONAT!$AZ$3,1,0),0)</f>
        <v/>
      </c>
    </row>
    <row r="1442">
      <c r="A1442" s="19" t="n"/>
      <c r="B1442" s="20">
        <f>IF(A1442="","",CHOOSE(WEEKDAY(A1442,2),"Mo","Di","Mi","Do","Fr","Sa","So"))</f>
        <v/>
      </c>
      <c r="C1442" s="20">
        <f>IF(A1442="","",INT((A1442-DATE(YEAR(A1442-WEEKDAY(A1442-1)+4),1,3)+WEEKDAY(DATE(YEAR(A1442-WEEKDAY(A1442-1)+4),1,3))+5)/7))</f>
        <v/>
      </c>
      <c r="D1442" s="21" t="n"/>
      <c r="E1442" s="22" t="n"/>
      <c r="F1442" s="23" t="n"/>
      <c r="G1442" s="23" t="n"/>
      <c r="H1442" s="23" t="n"/>
      <c r="I1442" s="20">
        <f>IF(COUNT(F1442:H1442)=0,"",SUM(F1442:H1442))</f>
        <v/>
      </c>
      <c r="J1442" s="23" t="n"/>
      <c r="K1442" s="23" t="n"/>
      <c r="L1442" s="23" t="n"/>
      <c r="M1442" s="23" t="n"/>
      <c r="N1442" s="23" t="n"/>
      <c r="O1442" s="20">
        <f>IF(OR(I1442="",COUNT(J1442:N1442)=0),"",IF(SUM(J1442:N1442)=I1442,"✓","⚠ "&amp;SUM(J1442:N1442)&amp;" statt "&amp;I1442))</f>
        <v/>
      </c>
      <c r="P1442" s="21" t="n"/>
      <c r="Q1442" s="21" t="n"/>
      <c r="R1442" s="21" t="n"/>
      <c r="S1442" s="24" t="n"/>
      <c r="T1442" s="24" t="n"/>
      <c r="V1442">
        <f>IF(A1442="","",MONTH(A1442))</f>
        <v/>
      </c>
      <c r="W1442">
        <f>N(W1441)+IF(AND(C1442&lt;&gt;"",T1442&lt;&gt;""),IF(C1442=WOCHE!$B$3,1,0),0)</f>
        <v/>
      </c>
      <c r="X1442">
        <f>N(X1441)+IF(AND(V1442&lt;&gt;"",T1442&lt;&gt;""),IF(V1442=MONAT!$AZ$3,1,0),0)</f>
        <v/>
      </c>
    </row>
    <row r="1443">
      <c r="A1443" s="19" t="n"/>
      <c r="B1443" s="20">
        <f>IF(A1443="","",CHOOSE(WEEKDAY(A1443,2),"Mo","Di","Mi","Do","Fr","Sa","So"))</f>
        <v/>
      </c>
      <c r="C1443" s="20">
        <f>IF(A1443="","",INT((A1443-DATE(YEAR(A1443-WEEKDAY(A1443-1)+4),1,3)+WEEKDAY(DATE(YEAR(A1443-WEEKDAY(A1443-1)+4),1,3))+5)/7))</f>
        <v/>
      </c>
      <c r="D1443" s="21" t="n"/>
      <c r="E1443" s="22" t="n"/>
      <c r="F1443" s="23" t="n"/>
      <c r="G1443" s="23" t="n"/>
      <c r="H1443" s="23" t="n"/>
      <c r="I1443" s="20">
        <f>IF(COUNT(F1443:H1443)=0,"",SUM(F1443:H1443))</f>
        <v/>
      </c>
      <c r="J1443" s="23" t="n"/>
      <c r="K1443" s="23" t="n"/>
      <c r="L1443" s="23" t="n"/>
      <c r="M1443" s="23" t="n"/>
      <c r="N1443" s="23" t="n"/>
      <c r="O1443" s="20">
        <f>IF(OR(I1443="",COUNT(J1443:N1443)=0),"",IF(SUM(J1443:N1443)=I1443,"✓","⚠ "&amp;SUM(J1443:N1443)&amp;" statt "&amp;I1443))</f>
        <v/>
      </c>
      <c r="P1443" s="21" t="n"/>
      <c r="Q1443" s="21" t="n"/>
      <c r="R1443" s="21" t="n"/>
      <c r="S1443" s="24" t="n"/>
      <c r="T1443" s="24" t="n"/>
      <c r="V1443">
        <f>IF(A1443="","",MONTH(A1443))</f>
        <v/>
      </c>
      <c r="W1443">
        <f>N(W1442)+IF(AND(C1443&lt;&gt;"",T1443&lt;&gt;""),IF(C1443=WOCHE!$B$3,1,0),0)</f>
        <v/>
      </c>
      <c r="X1443">
        <f>N(X1442)+IF(AND(V1443&lt;&gt;"",T1443&lt;&gt;""),IF(V1443=MONAT!$AZ$3,1,0),0)</f>
        <v/>
      </c>
    </row>
    <row r="1444">
      <c r="A1444" s="19" t="n"/>
      <c r="B1444" s="20">
        <f>IF(A1444="","",CHOOSE(WEEKDAY(A1444,2),"Mo","Di","Mi","Do","Fr","Sa","So"))</f>
        <v/>
      </c>
      <c r="C1444" s="20">
        <f>IF(A1444="","",INT((A1444-DATE(YEAR(A1444-WEEKDAY(A1444-1)+4),1,3)+WEEKDAY(DATE(YEAR(A1444-WEEKDAY(A1444-1)+4),1,3))+5)/7))</f>
        <v/>
      </c>
      <c r="D1444" s="21" t="n"/>
      <c r="E1444" s="22" t="n"/>
      <c r="F1444" s="23" t="n"/>
      <c r="G1444" s="23" t="n"/>
      <c r="H1444" s="23" t="n"/>
      <c r="I1444" s="20">
        <f>IF(COUNT(F1444:H1444)=0,"",SUM(F1444:H1444))</f>
        <v/>
      </c>
      <c r="J1444" s="23" t="n"/>
      <c r="K1444" s="23" t="n"/>
      <c r="L1444" s="23" t="n"/>
      <c r="M1444" s="23" t="n"/>
      <c r="N1444" s="23" t="n"/>
      <c r="O1444" s="20">
        <f>IF(OR(I1444="",COUNT(J1444:N1444)=0),"",IF(SUM(J1444:N1444)=I1444,"✓","⚠ "&amp;SUM(J1444:N1444)&amp;" statt "&amp;I1444))</f>
        <v/>
      </c>
      <c r="P1444" s="21" t="n"/>
      <c r="Q1444" s="21" t="n"/>
      <c r="R1444" s="21" t="n"/>
      <c r="S1444" s="24" t="n"/>
      <c r="T1444" s="24" t="n"/>
      <c r="V1444">
        <f>IF(A1444="","",MONTH(A1444))</f>
        <v/>
      </c>
      <c r="W1444">
        <f>N(W1443)+IF(AND(C1444&lt;&gt;"",T1444&lt;&gt;""),IF(C1444=WOCHE!$B$3,1,0),0)</f>
        <v/>
      </c>
      <c r="X1444">
        <f>N(X1443)+IF(AND(V1444&lt;&gt;"",T1444&lt;&gt;""),IF(V1444=MONAT!$AZ$3,1,0),0)</f>
        <v/>
      </c>
    </row>
    <row r="1445">
      <c r="A1445" s="19" t="n"/>
      <c r="B1445" s="20">
        <f>IF(A1445="","",CHOOSE(WEEKDAY(A1445,2),"Mo","Di","Mi","Do","Fr","Sa","So"))</f>
        <v/>
      </c>
      <c r="C1445" s="20">
        <f>IF(A1445="","",INT((A1445-DATE(YEAR(A1445-WEEKDAY(A1445-1)+4),1,3)+WEEKDAY(DATE(YEAR(A1445-WEEKDAY(A1445-1)+4),1,3))+5)/7))</f>
        <v/>
      </c>
      <c r="D1445" s="21" t="n"/>
      <c r="E1445" s="22" t="n"/>
      <c r="F1445" s="23" t="n"/>
      <c r="G1445" s="23" t="n"/>
      <c r="H1445" s="23" t="n"/>
      <c r="I1445" s="20">
        <f>IF(COUNT(F1445:H1445)=0,"",SUM(F1445:H1445))</f>
        <v/>
      </c>
      <c r="J1445" s="23" t="n"/>
      <c r="K1445" s="23" t="n"/>
      <c r="L1445" s="23" t="n"/>
      <c r="M1445" s="23" t="n"/>
      <c r="N1445" s="23" t="n"/>
      <c r="O1445" s="20">
        <f>IF(OR(I1445="",COUNT(J1445:N1445)=0),"",IF(SUM(J1445:N1445)=I1445,"✓","⚠ "&amp;SUM(J1445:N1445)&amp;" statt "&amp;I1445))</f>
        <v/>
      </c>
      <c r="P1445" s="21" t="n"/>
      <c r="Q1445" s="21" t="n"/>
      <c r="R1445" s="21" t="n"/>
      <c r="S1445" s="24" t="n"/>
      <c r="T1445" s="24" t="n"/>
      <c r="V1445">
        <f>IF(A1445="","",MONTH(A1445))</f>
        <v/>
      </c>
      <c r="W1445">
        <f>N(W1444)+IF(AND(C1445&lt;&gt;"",T1445&lt;&gt;""),IF(C1445=WOCHE!$B$3,1,0),0)</f>
        <v/>
      </c>
      <c r="X1445">
        <f>N(X1444)+IF(AND(V1445&lt;&gt;"",T1445&lt;&gt;""),IF(V1445=MONAT!$AZ$3,1,0),0)</f>
        <v/>
      </c>
    </row>
    <row r="1446">
      <c r="A1446" s="19" t="n"/>
      <c r="B1446" s="20">
        <f>IF(A1446="","",CHOOSE(WEEKDAY(A1446,2),"Mo","Di","Mi","Do","Fr","Sa","So"))</f>
        <v/>
      </c>
      <c r="C1446" s="20">
        <f>IF(A1446="","",INT((A1446-DATE(YEAR(A1446-WEEKDAY(A1446-1)+4),1,3)+WEEKDAY(DATE(YEAR(A1446-WEEKDAY(A1446-1)+4),1,3))+5)/7))</f>
        <v/>
      </c>
      <c r="D1446" s="21" t="n"/>
      <c r="E1446" s="22" t="n"/>
      <c r="F1446" s="23" t="n"/>
      <c r="G1446" s="23" t="n"/>
      <c r="H1446" s="23" t="n"/>
      <c r="I1446" s="20">
        <f>IF(COUNT(F1446:H1446)=0,"",SUM(F1446:H1446))</f>
        <v/>
      </c>
      <c r="J1446" s="23" t="n"/>
      <c r="K1446" s="23" t="n"/>
      <c r="L1446" s="23" t="n"/>
      <c r="M1446" s="23" t="n"/>
      <c r="N1446" s="23" t="n"/>
      <c r="O1446" s="20">
        <f>IF(OR(I1446="",COUNT(J1446:N1446)=0),"",IF(SUM(J1446:N1446)=I1446,"✓","⚠ "&amp;SUM(J1446:N1446)&amp;" statt "&amp;I1446))</f>
        <v/>
      </c>
      <c r="P1446" s="21" t="n"/>
      <c r="Q1446" s="21" t="n"/>
      <c r="R1446" s="21" t="n"/>
      <c r="S1446" s="24" t="n"/>
      <c r="T1446" s="24" t="n"/>
      <c r="V1446">
        <f>IF(A1446="","",MONTH(A1446))</f>
        <v/>
      </c>
      <c r="W1446">
        <f>N(W1445)+IF(AND(C1446&lt;&gt;"",T1446&lt;&gt;""),IF(C1446=WOCHE!$B$3,1,0),0)</f>
        <v/>
      </c>
      <c r="X1446">
        <f>N(X1445)+IF(AND(V1446&lt;&gt;"",T1446&lt;&gt;""),IF(V1446=MONAT!$AZ$3,1,0),0)</f>
        <v/>
      </c>
    </row>
    <row r="1447">
      <c r="A1447" s="19" t="n"/>
      <c r="B1447" s="20">
        <f>IF(A1447="","",CHOOSE(WEEKDAY(A1447,2),"Mo","Di","Mi","Do","Fr","Sa","So"))</f>
        <v/>
      </c>
      <c r="C1447" s="20">
        <f>IF(A1447="","",INT((A1447-DATE(YEAR(A1447-WEEKDAY(A1447-1)+4),1,3)+WEEKDAY(DATE(YEAR(A1447-WEEKDAY(A1447-1)+4),1,3))+5)/7))</f>
        <v/>
      </c>
      <c r="D1447" s="21" t="n"/>
      <c r="E1447" s="22" t="n"/>
      <c r="F1447" s="23" t="n"/>
      <c r="G1447" s="23" t="n"/>
      <c r="H1447" s="23" t="n"/>
      <c r="I1447" s="20">
        <f>IF(COUNT(F1447:H1447)=0,"",SUM(F1447:H1447))</f>
        <v/>
      </c>
      <c r="J1447" s="23" t="n"/>
      <c r="K1447" s="23" t="n"/>
      <c r="L1447" s="23" t="n"/>
      <c r="M1447" s="23" t="n"/>
      <c r="N1447" s="23" t="n"/>
      <c r="O1447" s="20">
        <f>IF(OR(I1447="",COUNT(J1447:N1447)=0),"",IF(SUM(J1447:N1447)=I1447,"✓","⚠ "&amp;SUM(J1447:N1447)&amp;" statt "&amp;I1447))</f>
        <v/>
      </c>
      <c r="P1447" s="21" t="n"/>
      <c r="Q1447" s="21" t="n"/>
      <c r="R1447" s="21" t="n"/>
      <c r="S1447" s="24" t="n"/>
      <c r="T1447" s="24" t="n"/>
      <c r="V1447">
        <f>IF(A1447="","",MONTH(A1447))</f>
        <v/>
      </c>
      <c r="W1447">
        <f>N(W1446)+IF(AND(C1447&lt;&gt;"",T1447&lt;&gt;""),IF(C1447=WOCHE!$B$3,1,0),0)</f>
        <v/>
      </c>
      <c r="X1447">
        <f>N(X1446)+IF(AND(V1447&lt;&gt;"",T1447&lt;&gt;""),IF(V1447=MONAT!$AZ$3,1,0),0)</f>
        <v/>
      </c>
    </row>
    <row r="1448">
      <c r="A1448" s="19" t="n"/>
      <c r="B1448" s="20">
        <f>IF(A1448="","",CHOOSE(WEEKDAY(A1448,2),"Mo","Di","Mi","Do","Fr","Sa","So"))</f>
        <v/>
      </c>
      <c r="C1448" s="20">
        <f>IF(A1448="","",INT((A1448-DATE(YEAR(A1448-WEEKDAY(A1448-1)+4),1,3)+WEEKDAY(DATE(YEAR(A1448-WEEKDAY(A1448-1)+4),1,3))+5)/7))</f>
        <v/>
      </c>
      <c r="D1448" s="21" t="n"/>
      <c r="E1448" s="22" t="n"/>
      <c r="F1448" s="23" t="n"/>
      <c r="G1448" s="23" t="n"/>
      <c r="H1448" s="23" t="n"/>
      <c r="I1448" s="20">
        <f>IF(COUNT(F1448:H1448)=0,"",SUM(F1448:H1448))</f>
        <v/>
      </c>
      <c r="J1448" s="23" t="n"/>
      <c r="K1448" s="23" t="n"/>
      <c r="L1448" s="23" t="n"/>
      <c r="M1448" s="23" t="n"/>
      <c r="N1448" s="23" t="n"/>
      <c r="O1448" s="20">
        <f>IF(OR(I1448="",COUNT(J1448:N1448)=0),"",IF(SUM(J1448:N1448)=I1448,"✓","⚠ "&amp;SUM(J1448:N1448)&amp;" statt "&amp;I1448))</f>
        <v/>
      </c>
      <c r="P1448" s="21" t="n"/>
      <c r="Q1448" s="21" t="n"/>
      <c r="R1448" s="21" t="n"/>
      <c r="S1448" s="24" t="n"/>
      <c r="T1448" s="24" t="n"/>
      <c r="V1448">
        <f>IF(A1448="","",MONTH(A1448))</f>
        <v/>
      </c>
      <c r="W1448">
        <f>N(W1447)+IF(AND(C1448&lt;&gt;"",T1448&lt;&gt;""),IF(C1448=WOCHE!$B$3,1,0),0)</f>
        <v/>
      </c>
      <c r="X1448">
        <f>N(X1447)+IF(AND(V1448&lt;&gt;"",T1448&lt;&gt;""),IF(V1448=MONAT!$AZ$3,1,0),0)</f>
        <v/>
      </c>
    </row>
    <row r="1449">
      <c r="A1449" s="19" t="n"/>
      <c r="B1449" s="20">
        <f>IF(A1449="","",CHOOSE(WEEKDAY(A1449,2),"Mo","Di","Mi","Do","Fr","Sa","So"))</f>
        <v/>
      </c>
      <c r="C1449" s="20">
        <f>IF(A1449="","",INT((A1449-DATE(YEAR(A1449-WEEKDAY(A1449-1)+4),1,3)+WEEKDAY(DATE(YEAR(A1449-WEEKDAY(A1449-1)+4),1,3))+5)/7))</f>
        <v/>
      </c>
      <c r="D1449" s="21" t="n"/>
      <c r="E1449" s="22" t="n"/>
      <c r="F1449" s="23" t="n"/>
      <c r="G1449" s="23" t="n"/>
      <c r="H1449" s="23" t="n"/>
      <c r="I1449" s="20">
        <f>IF(COUNT(F1449:H1449)=0,"",SUM(F1449:H1449))</f>
        <v/>
      </c>
      <c r="J1449" s="23" t="n"/>
      <c r="K1449" s="23" t="n"/>
      <c r="L1449" s="23" t="n"/>
      <c r="M1449" s="23" t="n"/>
      <c r="N1449" s="23" t="n"/>
      <c r="O1449" s="20">
        <f>IF(OR(I1449="",COUNT(J1449:N1449)=0),"",IF(SUM(J1449:N1449)=I1449,"✓","⚠ "&amp;SUM(J1449:N1449)&amp;" statt "&amp;I1449))</f>
        <v/>
      </c>
      <c r="P1449" s="21" t="n"/>
      <c r="Q1449" s="21" t="n"/>
      <c r="R1449" s="21" t="n"/>
      <c r="S1449" s="24" t="n"/>
      <c r="T1449" s="24" t="n"/>
      <c r="V1449">
        <f>IF(A1449="","",MONTH(A1449))</f>
        <v/>
      </c>
      <c r="W1449">
        <f>N(W1448)+IF(AND(C1449&lt;&gt;"",T1449&lt;&gt;""),IF(C1449=WOCHE!$B$3,1,0),0)</f>
        <v/>
      </c>
      <c r="X1449">
        <f>N(X1448)+IF(AND(V1449&lt;&gt;"",T1449&lt;&gt;""),IF(V1449=MONAT!$AZ$3,1,0),0)</f>
        <v/>
      </c>
    </row>
    <row r="1450">
      <c r="A1450" s="19" t="n"/>
      <c r="B1450" s="20">
        <f>IF(A1450="","",CHOOSE(WEEKDAY(A1450,2),"Mo","Di","Mi","Do","Fr","Sa","So"))</f>
        <v/>
      </c>
      <c r="C1450" s="20">
        <f>IF(A1450="","",INT((A1450-DATE(YEAR(A1450-WEEKDAY(A1450-1)+4),1,3)+WEEKDAY(DATE(YEAR(A1450-WEEKDAY(A1450-1)+4),1,3))+5)/7))</f>
        <v/>
      </c>
      <c r="D1450" s="21" t="n"/>
      <c r="E1450" s="22" t="n"/>
      <c r="F1450" s="23" t="n"/>
      <c r="G1450" s="23" t="n"/>
      <c r="H1450" s="23" t="n"/>
      <c r="I1450" s="20">
        <f>IF(COUNT(F1450:H1450)=0,"",SUM(F1450:H1450))</f>
        <v/>
      </c>
      <c r="J1450" s="23" t="n"/>
      <c r="K1450" s="23" t="n"/>
      <c r="L1450" s="23" t="n"/>
      <c r="M1450" s="23" t="n"/>
      <c r="N1450" s="23" t="n"/>
      <c r="O1450" s="20">
        <f>IF(OR(I1450="",COUNT(J1450:N1450)=0),"",IF(SUM(J1450:N1450)=I1450,"✓","⚠ "&amp;SUM(J1450:N1450)&amp;" statt "&amp;I1450))</f>
        <v/>
      </c>
      <c r="P1450" s="21" t="n"/>
      <c r="Q1450" s="21" t="n"/>
      <c r="R1450" s="21" t="n"/>
      <c r="S1450" s="24" t="n"/>
      <c r="T1450" s="24" t="n"/>
      <c r="V1450">
        <f>IF(A1450="","",MONTH(A1450))</f>
        <v/>
      </c>
      <c r="W1450">
        <f>N(W1449)+IF(AND(C1450&lt;&gt;"",T1450&lt;&gt;""),IF(C1450=WOCHE!$B$3,1,0),0)</f>
        <v/>
      </c>
      <c r="X1450">
        <f>N(X1449)+IF(AND(V1450&lt;&gt;"",T1450&lt;&gt;""),IF(V1450=MONAT!$AZ$3,1,0),0)</f>
        <v/>
      </c>
    </row>
    <row r="1451">
      <c r="A1451" s="19" t="n"/>
      <c r="B1451" s="20">
        <f>IF(A1451="","",CHOOSE(WEEKDAY(A1451,2),"Mo","Di","Mi","Do","Fr","Sa","So"))</f>
        <v/>
      </c>
      <c r="C1451" s="20">
        <f>IF(A1451="","",INT((A1451-DATE(YEAR(A1451-WEEKDAY(A1451-1)+4),1,3)+WEEKDAY(DATE(YEAR(A1451-WEEKDAY(A1451-1)+4),1,3))+5)/7))</f>
        <v/>
      </c>
      <c r="D1451" s="21" t="n"/>
      <c r="E1451" s="22" t="n"/>
      <c r="F1451" s="23" t="n"/>
      <c r="G1451" s="23" t="n"/>
      <c r="H1451" s="23" t="n"/>
      <c r="I1451" s="20">
        <f>IF(COUNT(F1451:H1451)=0,"",SUM(F1451:H1451))</f>
        <v/>
      </c>
      <c r="J1451" s="23" t="n"/>
      <c r="K1451" s="23" t="n"/>
      <c r="L1451" s="23" t="n"/>
      <c r="M1451" s="23" t="n"/>
      <c r="N1451" s="23" t="n"/>
      <c r="O1451" s="20">
        <f>IF(OR(I1451="",COUNT(J1451:N1451)=0),"",IF(SUM(J1451:N1451)=I1451,"✓","⚠ "&amp;SUM(J1451:N1451)&amp;" statt "&amp;I1451))</f>
        <v/>
      </c>
      <c r="P1451" s="21" t="n"/>
      <c r="Q1451" s="21" t="n"/>
      <c r="R1451" s="21" t="n"/>
      <c r="S1451" s="24" t="n"/>
      <c r="T1451" s="24" t="n"/>
      <c r="V1451">
        <f>IF(A1451="","",MONTH(A1451))</f>
        <v/>
      </c>
      <c r="W1451">
        <f>N(W1450)+IF(AND(C1451&lt;&gt;"",T1451&lt;&gt;""),IF(C1451=WOCHE!$B$3,1,0),0)</f>
        <v/>
      </c>
      <c r="X1451">
        <f>N(X1450)+IF(AND(V1451&lt;&gt;"",T1451&lt;&gt;""),IF(V1451=MONAT!$AZ$3,1,0),0)</f>
        <v/>
      </c>
    </row>
    <row r="1452">
      <c r="A1452" s="19" t="n"/>
      <c r="B1452" s="20">
        <f>IF(A1452="","",CHOOSE(WEEKDAY(A1452,2),"Mo","Di","Mi","Do","Fr","Sa","So"))</f>
        <v/>
      </c>
      <c r="C1452" s="20">
        <f>IF(A1452="","",INT((A1452-DATE(YEAR(A1452-WEEKDAY(A1452-1)+4),1,3)+WEEKDAY(DATE(YEAR(A1452-WEEKDAY(A1452-1)+4),1,3))+5)/7))</f>
        <v/>
      </c>
      <c r="D1452" s="21" t="n"/>
      <c r="E1452" s="22" t="n"/>
      <c r="F1452" s="23" t="n"/>
      <c r="G1452" s="23" t="n"/>
      <c r="H1452" s="23" t="n"/>
      <c r="I1452" s="20">
        <f>IF(COUNT(F1452:H1452)=0,"",SUM(F1452:H1452))</f>
        <v/>
      </c>
      <c r="J1452" s="23" t="n"/>
      <c r="K1452" s="23" t="n"/>
      <c r="L1452" s="23" t="n"/>
      <c r="M1452" s="23" t="n"/>
      <c r="N1452" s="23" t="n"/>
      <c r="O1452" s="20">
        <f>IF(OR(I1452="",COUNT(J1452:N1452)=0),"",IF(SUM(J1452:N1452)=I1452,"✓","⚠ "&amp;SUM(J1452:N1452)&amp;" statt "&amp;I1452))</f>
        <v/>
      </c>
      <c r="P1452" s="21" t="n"/>
      <c r="Q1452" s="21" t="n"/>
      <c r="R1452" s="21" t="n"/>
      <c r="S1452" s="24" t="n"/>
      <c r="T1452" s="24" t="n"/>
      <c r="V1452">
        <f>IF(A1452="","",MONTH(A1452))</f>
        <v/>
      </c>
      <c r="W1452">
        <f>N(W1451)+IF(AND(C1452&lt;&gt;"",T1452&lt;&gt;""),IF(C1452=WOCHE!$B$3,1,0),0)</f>
        <v/>
      </c>
      <c r="X1452">
        <f>N(X1451)+IF(AND(V1452&lt;&gt;"",T1452&lt;&gt;""),IF(V1452=MONAT!$AZ$3,1,0),0)</f>
        <v/>
      </c>
    </row>
    <row r="1453">
      <c r="A1453" s="19" t="n"/>
      <c r="B1453" s="20">
        <f>IF(A1453="","",CHOOSE(WEEKDAY(A1453,2),"Mo","Di","Mi","Do","Fr","Sa","So"))</f>
        <v/>
      </c>
      <c r="C1453" s="20">
        <f>IF(A1453="","",INT((A1453-DATE(YEAR(A1453-WEEKDAY(A1453-1)+4),1,3)+WEEKDAY(DATE(YEAR(A1453-WEEKDAY(A1453-1)+4),1,3))+5)/7))</f>
        <v/>
      </c>
      <c r="D1453" s="21" t="n"/>
      <c r="E1453" s="22" t="n"/>
      <c r="F1453" s="23" t="n"/>
      <c r="G1453" s="23" t="n"/>
      <c r="H1453" s="23" t="n"/>
      <c r="I1453" s="20">
        <f>IF(COUNT(F1453:H1453)=0,"",SUM(F1453:H1453))</f>
        <v/>
      </c>
      <c r="J1453" s="23" t="n"/>
      <c r="K1453" s="23" t="n"/>
      <c r="L1453" s="23" t="n"/>
      <c r="M1453" s="23" t="n"/>
      <c r="N1453" s="23" t="n"/>
      <c r="O1453" s="20">
        <f>IF(OR(I1453="",COUNT(J1453:N1453)=0),"",IF(SUM(J1453:N1453)=I1453,"✓","⚠ "&amp;SUM(J1453:N1453)&amp;" statt "&amp;I1453))</f>
        <v/>
      </c>
      <c r="P1453" s="21" t="n"/>
      <c r="Q1453" s="21" t="n"/>
      <c r="R1453" s="21" t="n"/>
      <c r="S1453" s="24" t="n"/>
      <c r="T1453" s="24" t="n"/>
      <c r="V1453">
        <f>IF(A1453="","",MONTH(A1453))</f>
        <v/>
      </c>
      <c r="W1453">
        <f>N(W1452)+IF(AND(C1453&lt;&gt;"",T1453&lt;&gt;""),IF(C1453=WOCHE!$B$3,1,0),0)</f>
        <v/>
      </c>
      <c r="X1453">
        <f>N(X1452)+IF(AND(V1453&lt;&gt;"",T1453&lt;&gt;""),IF(V1453=MONAT!$AZ$3,1,0),0)</f>
        <v/>
      </c>
    </row>
    <row r="1454">
      <c r="A1454" s="19" t="n"/>
      <c r="B1454" s="20">
        <f>IF(A1454="","",CHOOSE(WEEKDAY(A1454,2),"Mo","Di","Mi","Do","Fr","Sa","So"))</f>
        <v/>
      </c>
      <c r="C1454" s="20">
        <f>IF(A1454="","",INT((A1454-DATE(YEAR(A1454-WEEKDAY(A1454-1)+4),1,3)+WEEKDAY(DATE(YEAR(A1454-WEEKDAY(A1454-1)+4),1,3))+5)/7))</f>
        <v/>
      </c>
      <c r="D1454" s="21" t="n"/>
      <c r="E1454" s="22" t="n"/>
      <c r="F1454" s="23" t="n"/>
      <c r="G1454" s="23" t="n"/>
      <c r="H1454" s="23" t="n"/>
      <c r="I1454" s="20">
        <f>IF(COUNT(F1454:H1454)=0,"",SUM(F1454:H1454))</f>
        <v/>
      </c>
      <c r="J1454" s="23" t="n"/>
      <c r="K1454" s="23" t="n"/>
      <c r="L1454" s="23" t="n"/>
      <c r="M1454" s="23" t="n"/>
      <c r="N1454" s="23" t="n"/>
      <c r="O1454" s="20">
        <f>IF(OR(I1454="",COUNT(J1454:N1454)=0),"",IF(SUM(J1454:N1454)=I1454,"✓","⚠ "&amp;SUM(J1454:N1454)&amp;" statt "&amp;I1454))</f>
        <v/>
      </c>
      <c r="P1454" s="21" t="n"/>
      <c r="Q1454" s="21" t="n"/>
      <c r="R1454" s="21" t="n"/>
      <c r="S1454" s="24" t="n"/>
      <c r="T1454" s="24" t="n"/>
      <c r="V1454">
        <f>IF(A1454="","",MONTH(A1454))</f>
        <v/>
      </c>
      <c r="W1454">
        <f>N(W1453)+IF(AND(C1454&lt;&gt;"",T1454&lt;&gt;""),IF(C1454=WOCHE!$B$3,1,0),0)</f>
        <v/>
      </c>
      <c r="X1454">
        <f>N(X1453)+IF(AND(V1454&lt;&gt;"",T1454&lt;&gt;""),IF(V1454=MONAT!$AZ$3,1,0),0)</f>
        <v/>
      </c>
    </row>
    <row r="1455">
      <c r="A1455" s="19" t="n"/>
      <c r="B1455" s="20">
        <f>IF(A1455="","",CHOOSE(WEEKDAY(A1455,2),"Mo","Di","Mi","Do","Fr","Sa","So"))</f>
        <v/>
      </c>
      <c r="C1455" s="20">
        <f>IF(A1455="","",INT((A1455-DATE(YEAR(A1455-WEEKDAY(A1455-1)+4),1,3)+WEEKDAY(DATE(YEAR(A1455-WEEKDAY(A1455-1)+4),1,3))+5)/7))</f>
        <v/>
      </c>
      <c r="D1455" s="21" t="n"/>
      <c r="E1455" s="22" t="n"/>
      <c r="F1455" s="23" t="n"/>
      <c r="G1455" s="23" t="n"/>
      <c r="H1455" s="23" t="n"/>
      <c r="I1455" s="20">
        <f>IF(COUNT(F1455:H1455)=0,"",SUM(F1455:H1455))</f>
        <v/>
      </c>
      <c r="J1455" s="23" t="n"/>
      <c r="K1455" s="23" t="n"/>
      <c r="L1455" s="23" t="n"/>
      <c r="M1455" s="23" t="n"/>
      <c r="N1455" s="23" t="n"/>
      <c r="O1455" s="20">
        <f>IF(OR(I1455="",COUNT(J1455:N1455)=0),"",IF(SUM(J1455:N1455)=I1455,"✓","⚠ "&amp;SUM(J1455:N1455)&amp;" statt "&amp;I1455))</f>
        <v/>
      </c>
      <c r="P1455" s="21" t="n"/>
      <c r="Q1455" s="21" t="n"/>
      <c r="R1455" s="21" t="n"/>
      <c r="S1455" s="24" t="n"/>
      <c r="T1455" s="24" t="n"/>
      <c r="V1455">
        <f>IF(A1455="","",MONTH(A1455))</f>
        <v/>
      </c>
      <c r="W1455">
        <f>N(W1454)+IF(AND(C1455&lt;&gt;"",T1455&lt;&gt;""),IF(C1455=WOCHE!$B$3,1,0),0)</f>
        <v/>
      </c>
      <c r="X1455">
        <f>N(X1454)+IF(AND(V1455&lt;&gt;"",T1455&lt;&gt;""),IF(V1455=MONAT!$AZ$3,1,0),0)</f>
        <v/>
      </c>
    </row>
    <row r="1456">
      <c r="A1456" s="19" t="n"/>
      <c r="B1456" s="20">
        <f>IF(A1456="","",CHOOSE(WEEKDAY(A1456,2),"Mo","Di","Mi","Do","Fr","Sa","So"))</f>
        <v/>
      </c>
      <c r="C1456" s="20">
        <f>IF(A1456="","",INT((A1456-DATE(YEAR(A1456-WEEKDAY(A1456-1)+4),1,3)+WEEKDAY(DATE(YEAR(A1456-WEEKDAY(A1456-1)+4),1,3))+5)/7))</f>
        <v/>
      </c>
      <c r="D1456" s="21" t="n"/>
      <c r="E1456" s="22" t="n"/>
      <c r="F1456" s="23" t="n"/>
      <c r="G1456" s="23" t="n"/>
      <c r="H1456" s="23" t="n"/>
      <c r="I1456" s="20">
        <f>IF(COUNT(F1456:H1456)=0,"",SUM(F1456:H1456))</f>
        <v/>
      </c>
      <c r="J1456" s="23" t="n"/>
      <c r="K1456" s="23" t="n"/>
      <c r="L1456" s="23" t="n"/>
      <c r="M1456" s="23" t="n"/>
      <c r="N1456" s="23" t="n"/>
      <c r="O1456" s="20">
        <f>IF(OR(I1456="",COUNT(J1456:N1456)=0),"",IF(SUM(J1456:N1456)=I1456,"✓","⚠ "&amp;SUM(J1456:N1456)&amp;" statt "&amp;I1456))</f>
        <v/>
      </c>
      <c r="P1456" s="21" t="n"/>
      <c r="Q1456" s="21" t="n"/>
      <c r="R1456" s="21" t="n"/>
      <c r="S1456" s="24" t="n"/>
      <c r="T1456" s="24" t="n"/>
      <c r="V1456">
        <f>IF(A1456="","",MONTH(A1456))</f>
        <v/>
      </c>
      <c r="W1456">
        <f>N(W1455)+IF(AND(C1456&lt;&gt;"",T1456&lt;&gt;""),IF(C1456=WOCHE!$B$3,1,0),0)</f>
        <v/>
      </c>
      <c r="X1456">
        <f>N(X1455)+IF(AND(V1456&lt;&gt;"",T1456&lt;&gt;""),IF(V1456=MONAT!$AZ$3,1,0),0)</f>
        <v/>
      </c>
    </row>
    <row r="1457">
      <c r="A1457" s="19" t="n"/>
      <c r="B1457" s="20">
        <f>IF(A1457="","",CHOOSE(WEEKDAY(A1457,2),"Mo","Di","Mi","Do","Fr","Sa","So"))</f>
        <v/>
      </c>
      <c r="C1457" s="20">
        <f>IF(A1457="","",INT((A1457-DATE(YEAR(A1457-WEEKDAY(A1457-1)+4),1,3)+WEEKDAY(DATE(YEAR(A1457-WEEKDAY(A1457-1)+4),1,3))+5)/7))</f>
        <v/>
      </c>
      <c r="D1457" s="21" t="n"/>
      <c r="E1457" s="22" t="n"/>
      <c r="F1457" s="23" t="n"/>
      <c r="G1457" s="23" t="n"/>
      <c r="H1457" s="23" t="n"/>
      <c r="I1457" s="20">
        <f>IF(COUNT(F1457:H1457)=0,"",SUM(F1457:H1457))</f>
        <v/>
      </c>
      <c r="J1457" s="23" t="n"/>
      <c r="K1457" s="23" t="n"/>
      <c r="L1457" s="23" t="n"/>
      <c r="M1457" s="23" t="n"/>
      <c r="N1457" s="23" t="n"/>
      <c r="O1457" s="20">
        <f>IF(OR(I1457="",COUNT(J1457:N1457)=0),"",IF(SUM(J1457:N1457)=I1457,"✓","⚠ "&amp;SUM(J1457:N1457)&amp;" statt "&amp;I1457))</f>
        <v/>
      </c>
      <c r="P1457" s="21" t="n"/>
      <c r="Q1457" s="21" t="n"/>
      <c r="R1457" s="21" t="n"/>
      <c r="S1457" s="24" t="n"/>
      <c r="T1457" s="24" t="n"/>
      <c r="V1457">
        <f>IF(A1457="","",MONTH(A1457))</f>
        <v/>
      </c>
      <c r="W1457">
        <f>N(W1456)+IF(AND(C1457&lt;&gt;"",T1457&lt;&gt;""),IF(C1457=WOCHE!$B$3,1,0),0)</f>
        <v/>
      </c>
      <c r="X1457">
        <f>N(X1456)+IF(AND(V1457&lt;&gt;"",T1457&lt;&gt;""),IF(V1457=MONAT!$AZ$3,1,0),0)</f>
        <v/>
      </c>
    </row>
    <row r="1458">
      <c r="A1458" s="19" t="n"/>
      <c r="B1458" s="20">
        <f>IF(A1458="","",CHOOSE(WEEKDAY(A1458,2),"Mo","Di","Mi","Do","Fr","Sa","So"))</f>
        <v/>
      </c>
      <c r="C1458" s="20">
        <f>IF(A1458="","",INT((A1458-DATE(YEAR(A1458-WEEKDAY(A1458-1)+4),1,3)+WEEKDAY(DATE(YEAR(A1458-WEEKDAY(A1458-1)+4),1,3))+5)/7))</f>
        <v/>
      </c>
      <c r="D1458" s="21" t="n"/>
      <c r="E1458" s="22" t="n"/>
      <c r="F1458" s="23" t="n"/>
      <c r="G1458" s="23" t="n"/>
      <c r="H1458" s="23" t="n"/>
      <c r="I1458" s="20">
        <f>IF(COUNT(F1458:H1458)=0,"",SUM(F1458:H1458))</f>
        <v/>
      </c>
      <c r="J1458" s="23" t="n"/>
      <c r="K1458" s="23" t="n"/>
      <c r="L1458" s="23" t="n"/>
      <c r="M1458" s="23" t="n"/>
      <c r="N1458" s="23" t="n"/>
      <c r="O1458" s="20">
        <f>IF(OR(I1458="",COUNT(J1458:N1458)=0),"",IF(SUM(J1458:N1458)=I1458,"✓","⚠ "&amp;SUM(J1458:N1458)&amp;" statt "&amp;I1458))</f>
        <v/>
      </c>
      <c r="P1458" s="21" t="n"/>
      <c r="Q1458" s="21" t="n"/>
      <c r="R1458" s="21" t="n"/>
      <c r="S1458" s="24" t="n"/>
      <c r="T1458" s="24" t="n"/>
      <c r="V1458">
        <f>IF(A1458="","",MONTH(A1458))</f>
        <v/>
      </c>
      <c r="W1458">
        <f>N(W1457)+IF(AND(C1458&lt;&gt;"",T1458&lt;&gt;""),IF(C1458=WOCHE!$B$3,1,0),0)</f>
        <v/>
      </c>
      <c r="X1458">
        <f>N(X1457)+IF(AND(V1458&lt;&gt;"",T1458&lt;&gt;""),IF(V1458=MONAT!$AZ$3,1,0),0)</f>
        <v/>
      </c>
    </row>
    <row r="1459">
      <c r="A1459" s="19" t="n"/>
      <c r="B1459" s="20">
        <f>IF(A1459="","",CHOOSE(WEEKDAY(A1459,2),"Mo","Di","Mi","Do","Fr","Sa","So"))</f>
        <v/>
      </c>
      <c r="C1459" s="20">
        <f>IF(A1459="","",INT((A1459-DATE(YEAR(A1459-WEEKDAY(A1459-1)+4),1,3)+WEEKDAY(DATE(YEAR(A1459-WEEKDAY(A1459-1)+4),1,3))+5)/7))</f>
        <v/>
      </c>
      <c r="D1459" s="21" t="n"/>
      <c r="E1459" s="22" t="n"/>
      <c r="F1459" s="23" t="n"/>
      <c r="G1459" s="23" t="n"/>
      <c r="H1459" s="23" t="n"/>
      <c r="I1459" s="20">
        <f>IF(COUNT(F1459:H1459)=0,"",SUM(F1459:H1459))</f>
        <v/>
      </c>
      <c r="J1459" s="23" t="n"/>
      <c r="K1459" s="23" t="n"/>
      <c r="L1459" s="23" t="n"/>
      <c r="M1459" s="23" t="n"/>
      <c r="N1459" s="23" t="n"/>
      <c r="O1459" s="20">
        <f>IF(OR(I1459="",COUNT(J1459:N1459)=0),"",IF(SUM(J1459:N1459)=I1459,"✓","⚠ "&amp;SUM(J1459:N1459)&amp;" statt "&amp;I1459))</f>
        <v/>
      </c>
      <c r="P1459" s="21" t="n"/>
      <c r="Q1459" s="21" t="n"/>
      <c r="R1459" s="21" t="n"/>
      <c r="S1459" s="24" t="n"/>
      <c r="T1459" s="24" t="n"/>
      <c r="V1459">
        <f>IF(A1459="","",MONTH(A1459))</f>
        <v/>
      </c>
      <c r="W1459">
        <f>N(W1458)+IF(AND(C1459&lt;&gt;"",T1459&lt;&gt;""),IF(C1459=WOCHE!$B$3,1,0),0)</f>
        <v/>
      </c>
      <c r="X1459">
        <f>N(X1458)+IF(AND(V1459&lt;&gt;"",T1459&lt;&gt;""),IF(V1459=MONAT!$AZ$3,1,0),0)</f>
        <v/>
      </c>
    </row>
    <row r="1460">
      <c r="A1460" s="19" t="n"/>
      <c r="B1460" s="20">
        <f>IF(A1460="","",CHOOSE(WEEKDAY(A1460,2),"Mo","Di","Mi","Do","Fr","Sa","So"))</f>
        <v/>
      </c>
      <c r="C1460" s="20">
        <f>IF(A1460="","",INT((A1460-DATE(YEAR(A1460-WEEKDAY(A1460-1)+4),1,3)+WEEKDAY(DATE(YEAR(A1460-WEEKDAY(A1460-1)+4),1,3))+5)/7))</f>
        <v/>
      </c>
      <c r="D1460" s="21" t="n"/>
      <c r="E1460" s="22" t="n"/>
      <c r="F1460" s="23" t="n"/>
      <c r="G1460" s="23" t="n"/>
      <c r="H1460" s="23" t="n"/>
      <c r="I1460" s="20">
        <f>IF(COUNT(F1460:H1460)=0,"",SUM(F1460:H1460))</f>
        <v/>
      </c>
      <c r="J1460" s="23" t="n"/>
      <c r="K1460" s="23" t="n"/>
      <c r="L1460" s="23" t="n"/>
      <c r="M1460" s="23" t="n"/>
      <c r="N1460" s="23" t="n"/>
      <c r="O1460" s="20">
        <f>IF(OR(I1460="",COUNT(J1460:N1460)=0),"",IF(SUM(J1460:N1460)=I1460,"✓","⚠ "&amp;SUM(J1460:N1460)&amp;" statt "&amp;I1460))</f>
        <v/>
      </c>
      <c r="P1460" s="21" t="n"/>
      <c r="Q1460" s="21" t="n"/>
      <c r="R1460" s="21" t="n"/>
      <c r="S1460" s="24" t="n"/>
      <c r="T1460" s="24" t="n"/>
      <c r="V1460">
        <f>IF(A1460="","",MONTH(A1460))</f>
        <v/>
      </c>
      <c r="W1460">
        <f>N(W1459)+IF(AND(C1460&lt;&gt;"",T1460&lt;&gt;""),IF(C1460=WOCHE!$B$3,1,0),0)</f>
        <v/>
      </c>
      <c r="X1460">
        <f>N(X1459)+IF(AND(V1460&lt;&gt;"",T1460&lt;&gt;""),IF(V1460=MONAT!$AZ$3,1,0),0)</f>
        <v/>
      </c>
    </row>
    <row r="1461">
      <c r="A1461" s="19" t="n"/>
      <c r="B1461" s="20">
        <f>IF(A1461="","",CHOOSE(WEEKDAY(A1461,2),"Mo","Di","Mi","Do","Fr","Sa","So"))</f>
        <v/>
      </c>
      <c r="C1461" s="20">
        <f>IF(A1461="","",INT((A1461-DATE(YEAR(A1461-WEEKDAY(A1461-1)+4),1,3)+WEEKDAY(DATE(YEAR(A1461-WEEKDAY(A1461-1)+4),1,3))+5)/7))</f>
        <v/>
      </c>
      <c r="D1461" s="21" t="n"/>
      <c r="E1461" s="22" t="n"/>
      <c r="F1461" s="23" t="n"/>
      <c r="G1461" s="23" t="n"/>
      <c r="H1461" s="23" t="n"/>
      <c r="I1461" s="20">
        <f>IF(COUNT(F1461:H1461)=0,"",SUM(F1461:H1461))</f>
        <v/>
      </c>
      <c r="J1461" s="23" t="n"/>
      <c r="K1461" s="23" t="n"/>
      <c r="L1461" s="23" t="n"/>
      <c r="M1461" s="23" t="n"/>
      <c r="N1461" s="23" t="n"/>
      <c r="O1461" s="20">
        <f>IF(OR(I1461="",COUNT(J1461:N1461)=0),"",IF(SUM(J1461:N1461)=I1461,"✓","⚠ "&amp;SUM(J1461:N1461)&amp;" statt "&amp;I1461))</f>
        <v/>
      </c>
      <c r="P1461" s="21" t="n"/>
      <c r="Q1461" s="21" t="n"/>
      <c r="R1461" s="21" t="n"/>
      <c r="S1461" s="24" t="n"/>
      <c r="T1461" s="24" t="n"/>
      <c r="V1461">
        <f>IF(A1461="","",MONTH(A1461))</f>
        <v/>
      </c>
      <c r="W1461">
        <f>N(W1460)+IF(AND(C1461&lt;&gt;"",T1461&lt;&gt;""),IF(C1461=WOCHE!$B$3,1,0),0)</f>
        <v/>
      </c>
      <c r="X1461">
        <f>N(X1460)+IF(AND(V1461&lt;&gt;"",T1461&lt;&gt;""),IF(V1461=MONAT!$AZ$3,1,0),0)</f>
        <v/>
      </c>
    </row>
    <row r="1462">
      <c r="A1462" s="19" t="n"/>
      <c r="B1462" s="20">
        <f>IF(A1462="","",CHOOSE(WEEKDAY(A1462,2),"Mo","Di","Mi","Do","Fr","Sa","So"))</f>
        <v/>
      </c>
      <c r="C1462" s="20">
        <f>IF(A1462="","",INT((A1462-DATE(YEAR(A1462-WEEKDAY(A1462-1)+4),1,3)+WEEKDAY(DATE(YEAR(A1462-WEEKDAY(A1462-1)+4),1,3))+5)/7))</f>
        <v/>
      </c>
      <c r="D1462" s="21" t="n"/>
      <c r="E1462" s="22" t="n"/>
      <c r="F1462" s="23" t="n"/>
      <c r="G1462" s="23" t="n"/>
      <c r="H1462" s="23" t="n"/>
      <c r="I1462" s="20">
        <f>IF(COUNT(F1462:H1462)=0,"",SUM(F1462:H1462))</f>
        <v/>
      </c>
      <c r="J1462" s="23" t="n"/>
      <c r="K1462" s="23" t="n"/>
      <c r="L1462" s="23" t="n"/>
      <c r="M1462" s="23" t="n"/>
      <c r="N1462" s="23" t="n"/>
      <c r="O1462" s="20">
        <f>IF(OR(I1462="",COUNT(J1462:N1462)=0),"",IF(SUM(J1462:N1462)=I1462,"✓","⚠ "&amp;SUM(J1462:N1462)&amp;" statt "&amp;I1462))</f>
        <v/>
      </c>
      <c r="P1462" s="21" t="n"/>
      <c r="Q1462" s="21" t="n"/>
      <c r="R1462" s="21" t="n"/>
      <c r="S1462" s="24" t="n"/>
      <c r="T1462" s="24" t="n"/>
      <c r="V1462">
        <f>IF(A1462="","",MONTH(A1462))</f>
        <v/>
      </c>
      <c r="W1462">
        <f>N(W1461)+IF(AND(C1462&lt;&gt;"",T1462&lt;&gt;""),IF(C1462=WOCHE!$B$3,1,0),0)</f>
        <v/>
      </c>
      <c r="X1462">
        <f>N(X1461)+IF(AND(V1462&lt;&gt;"",T1462&lt;&gt;""),IF(V1462=MONAT!$AZ$3,1,0),0)</f>
        <v/>
      </c>
    </row>
    <row r="1463">
      <c r="A1463" s="19" t="n"/>
      <c r="B1463" s="20">
        <f>IF(A1463="","",CHOOSE(WEEKDAY(A1463,2),"Mo","Di","Mi","Do","Fr","Sa","So"))</f>
        <v/>
      </c>
      <c r="C1463" s="20">
        <f>IF(A1463="","",INT((A1463-DATE(YEAR(A1463-WEEKDAY(A1463-1)+4),1,3)+WEEKDAY(DATE(YEAR(A1463-WEEKDAY(A1463-1)+4),1,3))+5)/7))</f>
        <v/>
      </c>
      <c r="D1463" s="21" t="n"/>
      <c r="E1463" s="22" t="n"/>
      <c r="F1463" s="23" t="n"/>
      <c r="G1463" s="23" t="n"/>
      <c r="H1463" s="23" t="n"/>
      <c r="I1463" s="20">
        <f>IF(COUNT(F1463:H1463)=0,"",SUM(F1463:H1463))</f>
        <v/>
      </c>
      <c r="J1463" s="23" t="n"/>
      <c r="K1463" s="23" t="n"/>
      <c r="L1463" s="23" t="n"/>
      <c r="M1463" s="23" t="n"/>
      <c r="N1463" s="23" t="n"/>
      <c r="O1463" s="20">
        <f>IF(OR(I1463="",COUNT(J1463:N1463)=0),"",IF(SUM(J1463:N1463)=I1463,"✓","⚠ "&amp;SUM(J1463:N1463)&amp;" statt "&amp;I1463))</f>
        <v/>
      </c>
      <c r="P1463" s="21" t="n"/>
      <c r="Q1463" s="21" t="n"/>
      <c r="R1463" s="21" t="n"/>
      <c r="S1463" s="24" t="n"/>
      <c r="T1463" s="24" t="n"/>
      <c r="V1463">
        <f>IF(A1463="","",MONTH(A1463))</f>
        <v/>
      </c>
      <c r="W1463">
        <f>N(W1462)+IF(AND(C1463&lt;&gt;"",T1463&lt;&gt;""),IF(C1463=WOCHE!$B$3,1,0),0)</f>
        <v/>
      </c>
      <c r="X1463">
        <f>N(X1462)+IF(AND(V1463&lt;&gt;"",T1463&lt;&gt;""),IF(V1463=MONAT!$AZ$3,1,0),0)</f>
        <v/>
      </c>
    </row>
    <row r="1464">
      <c r="A1464" s="19" t="n"/>
      <c r="B1464" s="20">
        <f>IF(A1464="","",CHOOSE(WEEKDAY(A1464,2),"Mo","Di","Mi","Do","Fr","Sa","So"))</f>
        <v/>
      </c>
      <c r="C1464" s="20">
        <f>IF(A1464="","",INT((A1464-DATE(YEAR(A1464-WEEKDAY(A1464-1)+4),1,3)+WEEKDAY(DATE(YEAR(A1464-WEEKDAY(A1464-1)+4),1,3))+5)/7))</f>
        <v/>
      </c>
      <c r="D1464" s="21" t="n"/>
      <c r="E1464" s="22" t="n"/>
      <c r="F1464" s="23" t="n"/>
      <c r="G1464" s="23" t="n"/>
      <c r="H1464" s="23" t="n"/>
      <c r="I1464" s="20">
        <f>IF(COUNT(F1464:H1464)=0,"",SUM(F1464:H1464))</f>
        <v/>
      </c>
      <c r="J1464" s="23" t="n"/>
      <c r="K1464" s="23" t="n"/>
      <c r="L1464" s="23" t="n"/>
      <c r="M1464" s="23" t="n"/>
      <c r="N1464" s="23" t="n"/>
      <c r="O1464" s="20">
        <f>IF(OR(I1464="",COUNT(J1464:N1464)=0),"",IF(SUM(J1464:N1464)=I1464,"✓","⚠ "&amp;SUM(J1464:N1464)&amp;" statt "&amp;I1464))</f>
        <v/>
      </c>
      <c r="P1464" s="21" t="n"/>
      <c r="Q1464" s="21" t="n"/>
      <c r="R1464" s="21" t="n"/>
      <c r="S1464" s="24" t="n"/>
      <c r="T1464" s="24" t="n"/>
      <c r="V1464">
        <f>IF(A1464="","",MONTH(A1464))</f>
        <v/>
      </c>
      <c r="W1464">
        <f>N(W1463)+IF(AND(C1464&lt;&gt;"",T1464&lt;&gt;""),IF(C1464=WOCHE!$B$3,1,0),0)</f>
        <v/>
      </c>
      <c r="X1464">
        <f>N(X1463)+IF(AND(V1464&lt;&gt;"",T1464&lt;&gt;""),IF(V1464=MONAT!$AZ$3,1,0),0)</f>
        <v/>
      </c>
    </row>
    <row r="1465">
      <c r="A1465" s="19" t="n"/>
      <c r="B1465" s="20">
        <f>IF(A1465="","",CHOOSE(WEEKDAY(A1465,2),"Mo","Di","Mi","Do","Fr","Sa","So"))</f>
        <v/>
      </c>
      <c r="C1465" s="20">
        <f>IF(A1465="","",INT((A1465-DATE(YEAR(A1465-WEEKDAY(A1465-1)+4),1,3)+WEEKDAY(DATE(YEAR(A1465-WEEKDAY(A1465-1)+4),1,3))+5)/7))</f>
        <v/>
      </c>
      <c r="D1465" s="21" t="n"/>
      <c r="E1465" s="22" t="n"/>
      <c r="F1465" s="23" t="n"/>
      <c r="G1465" s="23" t="n"/>
      <c r="H1465" s="23" t="n"/>
      <c r="I1465" s="20">
        <f>IF(COUNT(F1465:H1465)=0,"",SUM(F1465:H1465))</f>
        <v/>
      </c>
      <c r="J1465" s="23" t="n"/>
      <c r="K1465" s="23" t="n"/>
      <c r="L1465" s="23" t="n"/>
      <c r="M1465" s="23" t="n"/>
      <c r="N1465" s="23" t="n"/>
      <c r="O1465" s="20">
        <f>IF(OR(I1465="",COUNT(J1465:N1465)=0),"",IF(SUM(J1465:N1465)=I1465,"✓","⚠ "&amp;SUM(J1465:N1465)&amp;" statt "&amp;I1465))</f>
        <v/>
      </c>
      <c r="P1465" s="21" t="n"/>
      <c r="Q1465" s="21" t="n"/>
      <c r="R1465" s="21" t="n"/>
      <c r="S1465" s="24" t="n"/>
      <c r="T1465" s="24" t="n"/>
      <c r="V1465">
        <f>IF(A1465="","",MONTH(A1465))</f>
        <v/>
      </c>
      <c r="W1465">
        <f>N(W1464)+IF(AND(C1465&lt;&gt;"",T1465&lt;&gt;""),IF(C1465=WOCHE!$B$3,1,0),0)</f>
        <v/>
      </c>
      <c r="X1465">
        <f>N(X1464)+IF(AND(V1465&lt;&gt;"",T1465&lt;&gt;""),IF(V1465=MONAT!$AZ$3,1,0),0)</f>
        <v/>
      </c>
    </row>
    <row r="1466">
      <c r="A1466" s="19" t="n"/>
      <c r="B1466" s="20">
        <f>IF(A1466="","",CHOOSE(WEEKDAY(A1466,2),"Mo","Di","Mi","Do","Fr","Sa","So"))</f>
        <v/>
      </c>
      <c r="C1466" s="20">
        <f>IF(A1466="","",INT((A1466-DATE(YEAR(A1466-WEEKDAY(A1466-1)+4),1,3)+WEEKDAY(DATE(YEAR(A1466-WEEKDAY(A1466-1)+4),1,3))+5)/7))</f>
        <v/>
      </c>
      <c r="D1466" s="21" t="n"/>
      <c r="E1466" s="22" t="n"/>
      <c r="F1466" s="23" t="n"/>
      <c r="G1466" s="23" t="n"/>
      <c r="H1466" s="23" t="n"/>
      <c r="I1466" s="20">
        <f>IF(COUNT(F1466:H1466)=0,"",SUM(F1466:H1466))</f>
        <v/>
      </c>
      <c r="J1466" s="23" t="n"/>
      <c r="K1466" s="23" t="n"/>
      <c r="L1466" s="23" t="n"/>
      <c r="M1466" s="23" t="n"/>
      <c r="N1466" s="23" t="n"/>
      <c r="O1466" s="20">
        <f>IF(OR(I1466="",COUNT(J1466:N1466)=0),"",IF(SUM(J1466:N1466)=I1466,"✓","⚠ "&amp;SUM(J1466:N1466)&amp;" statt "&amp;I1466))</f>
        <v/>
      </c>
      <c r="P1466" s="21" t="n"/>
      <c r="Q1466" s="21" t="n"/>
      <c r="R1466" s="21" t="n"/>
      <c r="S1466" s="24" t="n"/>
      <c r="T1466" s="24" t="n"/>
      <c r="V1466">
        <f>IF(A1466="","",MONTH(A1466))</f>
        <v/>
      </c>
      <c r="W1466">
        <f>N(W1465)+IF(AND(C1466&lt;&gt;"",T1466&lt;&gt;""),IF(C1466=WOCHE!$B$3,1,0),0)</f>
        <v/>
      </c>
      <c r="X1466">
        <f>N(X1465)+IF(AND(V1466&lt;&gt;"",T1466&lt;&gt;""),IF(V1466=MONAT!$AZ$3,1,0),0)</f>
        <v/>
      </c>
    </row>
    <row r="1467">
      <c r="A1467" s="19" t="n"/>
      <c r="B1467" s="20">
        <f>IF(A1467="","",CHOOSE(WEEKDAY(A1467,2),"Mo","Di","Mi","Do","Fr","Sa","So"))</f>
        <v/>
      </c>
      <c r="C1467" s="20">
        <f>IF(A1467="","",INT((A1467-DATE(YEAR(A1467-WEEKDAY(A1467-1)+4),1,3)+WEEKDAY(DATE(YEAR(A1467-WEEKDAY(A1467-1)+4),1,3))+5)/7))</f>
        <v/>
      </c>
      <c r="D1467" s="21" t="n"/>
      <c r="E1467" s="22" t="n"/>
      <c r="F1467" s="23" t="n"/>
      <c r="G1467" s="23" t="n"/>
      <c r="H1467" s="23" t="n"/>
      <c r="I1467" s="20">
        <f>IF(COUNT(F1467:H1467)=0,"",SUM(F1467:H1467))</f>
        <v/>
      </c>
      <c r="J1467" s="23" t="n"/>
      <c r="K1467" s="23" t="n"/>
      <c r="L1467" s="23" t="n"/>
      <c r="M1467" s="23" t="n"/>
      <c r="N1467" s="23" t="n"/>
      <c r="O1467" s="20">
        <f>IF(OR(I1467="",COUNT(J1467:N1467)=0),"",IF(SUM(J1467:N1467)=I1467,"✓","⚠ "&amp;SUM(J1467:N1467)&amp;" statt "&amp;I1467))</f>
        <v/>
      </c>
      <c r="P1467" s="21" t="n"/>
      <c r="Q1467" s="21" t="n"/>
      <c r="R1467" s="21" t="n"/>
      <c r="S1467" s="24" t="n"/>
      <c r="T1467" s="24" t="n"/>
      <c r="V1467">
        <f>IF(A1467="","",MONTH(A1467))</f>
        <v/>
      </c>
      <c r="W1467">
        <f>N(W1466)+IF(AND(C1467&lt;&gt;"",T1467&lt;&gt;""),IF(C1467=WOCHE!$B$3,1,0),0)</f>
        <v/>
      </c>
      <c r="X1467">
        <f>N(X1466)+IF(AND(V1467&lt;&gt;"",T1467&lt;&gt;""),IF(V1467=MONAT!$AZ$3,1,0),0)</f>
        <v/>
      </c>
    </row>
    <row r="1468">
      <c r="A1468" s="19" t="n"/>
      <c r="B1468" s="20">
        <f>IF(A1468="","",CHOOSE(WEEKDAY(A1468,2),"Mo","Di","Mi","Do","Fr","Sa","So"))</f>
        <v/>
      </c>
      <c r="C1468" s="20">
        <f>IF(A1468="","",INT((A1468-DATE(YEAR(A1468-WEEKDAY(A1468-1)+4),1,3)+WEEKDAY(DATE(YEAR(A1468-WEEKDAY(A1468-1)+4),1,3))+5)/7))</f>
        <v/>
      </c>
      <c r="D1468" s="21" t="n"/>
      <c r="E1468" s="22" t="n"/>
      <c r="F1468" s="23" t="n"/>
      <c r="G1468" s="23" t="n"/>
      <c r="H1468" s="23" t="n"/>
      <c r="I1468" s="20">
        <f>IF(COUNT(F1468:H1468)=0,"",SUM(F1468:H1468))</f>
        <v/>
      </c>
      <c r="J1468" s="23" t="n"/>
      <c r="K1468" s="23" t="n"/>
      <c r="L1468" s="23" t="n"/>
      <c r="M1468" s="23" t="n"/>
      <c r="N1468" s="23" t="n"/>
      <c r="O1468" s="20">
        <f>IF(OR(I1468="",COUNT(J1468:N1468)=0),"",IF(SUM(J1468:N1468)=I1468,"✓","⚠ "&amp;SUM(J1468:N1468)&amp;" statt "&amp;I1468))</f>
        <v/>
      </c>
      <c r="P1468" s="21" t="n"/>
      <c r="Q1468" s="21" t="n"/>
      <c r="R1468" s="21" t="n"/>
      <c r="S1468" s="24" t="n"/>
      <c r="T1468" s="24" t="n"/>
      <c r="V1468">
        <f>IF(A1468="","",MONTH(A1468))</f>
        <v/>
      </c>
      <c r="W1468">
        <f>N(W1467)+IF(AND(C1468&lt;&gt;"",T1468&lt;&gt;""),IF(C1468=WOCHE!$B$3,1,0),0)</f>
        <v/>
      </c>
      <c r="X1468">
        <f>N(X1467)+IF(AND(V1468&lt;&gt;"",T1468&lt;&gt;""),IF(V1468=MONAT!$AZ$3,1,0),0)</f>
        <v/>
      </c>
    </row>
    <row r="1469">
      <c r="A1469" s="19" t="n"/>
      <c r="B1469" s="20">
        <f>IF(A1469="","",CHOOSE(WEEKDAY(A1469,2),"Mo","Di","Mi","Do","Fr","Sa","So"))</f>
        <v/>
      </c>
      <c r="C1469" s="20">
        <f>IF(A1469="","",INT((A1469-DATE(YEAR(A1469-WEEKDAY(A1469-1)+4),1,3)+WEEKDAY(DATE(YEAR(A1469-WEEKDAY(A1469-1)+4),1,3))+5)/7))</f>
        <v/>
      </c>
      <c r="D1469" s="21" t="n"/>
      <c r="E1469" s="22" t="n"/>
      <c r="F1469" s="23" t="n"/>
      <c r="G1469" s="23" t="n"/>
      <c r="H1469" s="23" t="n"/>
      <c r="I1469" s="20">
        <f>IF(COUNT(F1469:H1469)=0,"",SUM(F1469:H1469))</f>
        <v/>
      </c>
      <c r="J1469" s="23" t="n"/>
      <c r="K1469" s="23" t="n"/>
      <c r="L1469" s="23" t="n"/>
      <c r="M1469" s="23" t="n"/>
      <c r="N1469" s="23" t="n"/>
      <c r="O1469" s="20">
        <f>IF(OR(I1469="",COUNT(J1469:N1469)=0),"",IF(SUM(J1469:N1469)=I1469,"✓","⚠ "&amp;SUM(J1469:N1469)&amp;" statt "&amp;I1469))</f>
        <v/>
      </c>
      <c r="P1469" s="21" t="n"/>
      <c r="Q1469" s="21" t="n"/>
      <c r="R1469" s="21" t="n"/>
      <c r="S1469" s="24" t="n"/>
      <c r="T1469" s="24" t="n"/>
      <c r="V1469">
        <f>IF(A1469="","",MONTH(A1469))</f>
        <v/>
      </c>
      <c r="W1469">
        <f>N(W1468)+IF(AND(C1469&lt;&gt;"",T1469&lt;&gt;""),IF(C1469=WOCHE!$B$3,1,0),0)</f>
        <v/>
      </c>
      <c r="X1469">
        <f>N(X1468)+IF(AND(V1469&lt;&gt;"",T1469&lt;&gt;""),IF(V1469=MONAT!$AZ$3,1,0),0)</f>
        <v/>
      </c>
    </row>
    <row r="1470">
      <c r="A1470" s="19" t="n"/>
      <c r="B1470" s="20">
        <f>IF(A1470="","",CHOOSE(WEEKDAY(A1470,2),"Mo","Di","Mi","Do","Fr","Sa","So"))</f>
        <v/>
      </c>
      <c r="C1470" s="20">
        <f>IF(A1470="","",INT((A1470-DATE(YEAR(A1470-WEEKDAY(A1470-1)+4),1,3)+WEEKDAY(DATE(YEAR(A1470-WEEKDAY(A1470-1)+4),1,3))+5)/7))</f>
        <v/>
      </c>
      <c r="D1470" s="21" t="n"/>
      <c r="E1470" s="22" t="n"/>
      <c r="F1470" s="23" t="n"/>
      <c r="G1470" s="23" t="n"/>
      <c r="H1470" s="23" t="n"/>
      <c r="I1470" s="20">
        <f>IF(COUNT(F1470:H1470)=0,"",SUM(F1470:H1470))</f>
        <v/>
      </c>
      <c r="J1470" s="23" t="n"/>
      <c r="K1470" s="23" t="n"/>
      <c r="L1470" s="23" t="n"/>
      <c r="M1470" s="23" t="n"/>
      <c r="N1470" s="23" t="n"/>
      <c r="O1470" s="20">
        <f>IF(OR(I1470="",COUNT(J1470:N1470)=0),"",IF(SUM(J1470:N1470)=I1470,"✓","⚠ "&amp;SUM(J1470:N1470)&amp;" statt "&amp;I1470))</f>
        <v/>
      </c>
      <c r="P1470" s="21" t="n"/>
      <c r="Q1470" s="21" t="n"/>
      <c r="R1470" s="21" t="n"/>
      <c r="S1470" s="24" t="n"/>
      <c r="T1470" s="24" t="n"/>
      <c r="V1470">
        <f>IF(A1470="","",MONTH(A1470))</f>
        <v/>
      </c>
      <c r="W1470">
        <f>N(W1469)+IF(AND(C1470&lt;&gt;"",T1470&lt;&gt;""),IF(C1470=WOCHE!$B$3,1,0),0)</f>
        <v/>
      </c>
      <c r="X1470">
        <f>N(X1469)+IF(AND(V1470&lt;&gt;"",T1470&lt;&gt;""),IF(V1470=MONAT!$AZ$3,1,0),0)</f>
        <v/>
      </c>
    </row>
    <row r="1471">
      <c r="A1471" s="19" t="n"/>
      <c r="B1471" s="20">
        <f>IF(A1471="","",CHOOSE(WEEKDAY(A1471,2),"Mo","Di","Mi","Do","Fr","Sa","So"))</f>
        <v/>
      </c>
      <c r="C1471" s="20">
        <f>IF(A1471="","",INT((A1471-DATE(YEAR(A1471-WEEKDAY(A1471-1)+4),1,3)+WEEKDAY(DATE(YEAR(A1471-WEEKDAY(A1471-1)+4),1,3))+5)/7))</f>
        <v/>
      </c>
      <c r="D1471" s="21" t="n"/>
      <c r="E1471" s="22" t="n"/>
      <c r="F1471" s="23" t="n"/>
      <c r="G1471" s="23" t="n"/>
      <c r="H1471" s="23" t="n"/>
      <c r="I1471" s="20">
        <f>IF(COUNT(F1471:H1471)=0,"",SUM(F1471:H1471))</f>
        <v/>
      </c>
      <c r="J1471" s="23" t="n"/>
      <c r="K1471" s="23" t="n"/>
      <c r="L1471" s="23" t="n"/>
      <c r="M1471" s="23" t="n"/>
      <c r="N1471" s="23" t="n"/>
      <c r="O1471" s="20">
        <f>IF(OR(I1471="",COUNT(J1471:N1471)=0),"",IF(SUM(J1471:N1471)=I1471,"✓","⚠ "&amp;SUM(J1471:N1471)&amp;" statt "&amp;I1471))</f>
        <v/>
      </c>
      <c r="P1471" s="21" t="n"/>
      <c r="Q1471" s="21" t="n"/>
      <c r="R1471" s="21" t="n"/>
      <c r="S1471" s="24" t="n"/>
      <c r="T1471" s="24" t="n"/>
      <c r="V1471">
        <f>IF(A1471="","",MONTH(A1471))</f>
        <v/>
      </c>
      <c r="W1471">
        <f>N(W1470)+IF(AND(C1471&lt;&gt;"",T1471&lt;&gt;""),IF(C1471=WOCHE!$B$3,1,0),0)</f>
        <v/>
      </c>
      <c r="X1471">
        <f>N(X1470)+IF(AND(V1471&lt;&gt;"",T1471&lt;&gt;""),IF(V1471=MONAT!$AZ$3,1,0),0)</f>
        <v/>
      </c>
    </row>
    <row r="1472">
      <c r="A1472" s="19" t="n"/>
      <c r="B1472" s="20">
        <f>IF(A1472="","",CHOOSE(WEEKDAY(A1472,2),"Mo","Di","Mi","Do","Fr","Sa","So"))</f>
        <v/>
      </c>
      <c r="C1472" s="20">
        <f>IF(A1472="","",INT((A1472-DATE(YEAR(A1472-WEEKDAY(A1472-1)+4),1,3)+WEEKDAY(DATE(YEAR(A1472-WEEKDAY(A1472-1)+4),1,3))+5)/7))</f>
        <v/>
      </c>
      <c r="D1472" s="21" t="n"/>
      <c r="E1472" s="22" t="n"/>
      <c r="F1472" s="23" t="n"/>
      <c r="G1472" s="23" t="n"/>
      <c r="H1472" s="23" t="n"/>
      <c r="I1472" s="20">
        <f>IF(COUNT(F1472:H1472)=0,"",SUM(F1472:H1472))</f>
        <v/>
      </c>
      <c r="J1472" s="23" t="n"/>
      <c r="K1472" s="23" t="n"/>
      <c r="L1472" s="23" t="n"/>
      <c r="M1472" s="23" t="n"/>
      <c r="N1472" s="23" t="n"/>
      <c r="O1472" s="20">
        <f>IF(OR(I1472="",COUNT(J1472:N1472)=0),"",IF(SUM(J1472:N1472)=I1472,"✓","⚠ "&amp;SUM(J1472:N1472)&amp;" statt "&amp;I1472))</f>
        <v/>
      </c>
      <c r="P1472" s="21" t="n"/>
      <c r="Q1472" s="21" t="n"/>
      <c r="R1472" s="21" t="n"/>
      <c r="S1472" s="24" t="n"/>
      <c r="T1472" s="24" t="n"/>
      <c r="V1472">
        <f>IF(A1472="","",MONTH(A1472))</f>
        <v/>
      </c>
      <c r="W1472">
        <f>N(W1471)+IF(AND(C1472&lt;&gt;"",T1472&lt;&gt;""),IF(C1472=WOCHE!$B$3,1,0),0)</f>
        <v/>
      </c>
      <c r="X1472">
        <f>N(X1471)+IF(AND(V1472&lt;&gt;"",T1472&lt;&gt;""),IF(V1472=MONAT!$AZ$3,1,0),0)</f>
        <v/>
      </c>
    </row>
    <row r="1473">
      <c r="A1473" s="19" t="n"/>
      <c r="B1473" s="20">
        <f>IF(A1473="","",CHOOSE(WEEKDAY(A1473,2),"Mo","Di","Mi","Do","Fr","Sa","So"))</f>
        <v/>
      </c>
      <c r="C1473" s="20">
        <f>IF(A1473="","",INT((A1473-DATE(YEAR(A1473-WEEKDAY(A1473-1)+4),1,3)+WEEKDAY(DATE(YEAR(A1473-WEEKDAY(A1473-1)+4),1,3))+5)/7))</f>
        <v/>
      </c>
      <c r="D1473" s="21" t="n"/>
      <c r="E1473" s="22" t="n"/>
      <c r="F1473" s="23" t="n"/>
      <c r="G1473" s="23" t="n"/>
      <c r="H1473" s="23" t="n"/>
      <c r="I1473" s="20">
        <f>IF(COUNT(F1473:H1473)=0,"",SUM(F1473:H1473))</f>
        <v/>
      </c>
      <c r="J1473" s="23" t="n"/>
      <c r="K1473" s="23" t="n"/>
      <c r="L1473" s="23" t="n"/>
      <c r="M1473" s="23" t="n"/>
      <c r="N1473" s="23" t="n"/>
      <c r="O1473" s="20">
        <f>IF(OR(I1473="",COUNT(J1473:N1473)=0),"",IF(SUM(J1473:N1473)=I1473,"✓","⚠ "&amp;SUM(J1473:N1473)&amp;" statt "&amp;I1473))</f>
        <v/>
      </c>
      <c r="P1473" s="21" t="n"/>
      <c r="Q1473" s="21" t="n"/>
      <c r="R1473" s="21" t="n"/>
      <c r="S1473" s="24" t="n"/>
      <c r="T1473" s="24" t="n"/>
      <c r="V1473">
        <f>IF(A1473="","",MONTH(A1473))</f>
        <v/>
      </c>
      <c r="W1473">
        <f>N(W1472)+IF(AND(C1473&lt;&gt;"",T1473&lt;&gt;""),IF(C1473=WOCHE!$B$3,1,0),0)</f>
        <v/>
      </c>
      <c r="X1473">
        <f>N(X1472)+IF(AND(V1473&lt;&gt;"",T1473&lt;&gt;""),IF(V1473=MONAT!$AZ$3,1,0),0)</f>
        <v/>
      </c>
    </row>
    <row r="1474">
      <c r="A1474" s="19" t="n"/>
      <c r="B1474" s="20">
        <f>IF(A1474="","",CHOOSE(WEEKDAY(A1474,2),"Mo","Di","Mi","Do","Fr","Sa","So"))</f>
        <v/>
      </c>
      <c r="C1474" s="20">
        <f>IF(A1474="","",INT((A1474-DATE(YEAR(A1474-WEEKDAY(A1474-1)+4),1,3)+WEEKDAY(DATE(YEAR(A1474-WEEKDAY(A1474-1)+4),1,3))+5)/7))</f>
        <v/>
      </c>
      <c r="D1474" s="21" t="n"/>
      <c r="E1474" s="22" t="n"/>
      <c r="F1474" s="23" t="n"/>
      <c r="G1474" s="23" t="n"/>
      <c r="H1474" s="23" t="n"/>
      <c r="I1474" s="20">
        <f>IF(COUNT(F1474:H1474)=0,"",SUM(F1474:H1474))</f>
        <v/>
      </c>
      <c r="J1474" s="23" t="n"/>
      <c r="K1474" s="23" t="n"/>
      <c r="L1474" s="23" t="n"/>
      <c r="M1474" s="23" t="n"/>
      <c r="N1474" s="23" t="n"/>
      <c r="O1474" s="20">
        <f>IF(OR(I1474="",COUNT(J1474:N1474)=0),"",IF(SUM(J1474:N1474)=I1474,"✓","⚠ "&amp;SUM(J1474:N1474)&amp;" statt "&amp;I1474))</f>
        <v/>
      </c>
      <c r="P1474" s="21" t="n"/>
      <c r="Q1474" s="21" t="n"/>
      <c r="R1474" s="21" t="n"/>
      <c r="S1474" s="24" t="n"/>
      <c r="T1474" s="24" t="n"/>
      <c r="V1474">
        <f>IF(A1474="","",MONTH(A1474))</f>
        <v/>
      </c>
      <c r="W1474">
        <f>N(W1473)+IF(AND(C1474&lt;&gt;"",T1474&lt;&gt;""),IF(C1474=WOCHE!$B$3,1,0),0)</f>
        <v/>
      </c>
      <c r="X1474">
        <f>N(X1473)+IF(AND(V1474&lt;&gt;"",T1474&lt;&gt;""),IF(V1474=MONAT!$AZ$3,1,0),0)</f>
        <v/>
      </c>
    </row>
    <row r="1475">
      <c r="A1475" s="19" t="n"/>
      <c r="B1475" s="20">
        <f>IF(A1475="","",CHOOSE(WEEKDAY(A1475,2),"Mo","Di","Mi","Do","Fr","Sa","So"))</f>
        <v/>
      </c>
      <c r="C1475" s="20">
        <f>IF(A1475="","",INT((A1475-DATE(YEAR(A1475-WEEKDAY(A1475-1)+4),1,3)+WEEKDAY(DATE(YEAR(A1475-WEEKDAY(A1475-1)+4),1,3))+5)/7))</f>
        <v/>
      </c>
      <c r="D1475" s="21" t="n"/>
      <c r="E1475" s="22" t="n"/>
      <c r="F1475" s="23" t="n"/>
      <c r="G1475" s="23" t="n"/>
      <c r="H1475" s="23" t="n"/>
      <c r="I1475" s="20">
        <f>IF(COUNT(F1475:H1475)=0,"",SUM(F1475:H1475))</f>
        <v/>
      </c>
      <c r="J1475" s="23" t="n"/>
      <c r="K1475" s="23" t="n"/>
      <c r="L1475" s="23" t="n"/>
      <c r="M1475" s="23" t="n"/>
      <c r="N1475" s="23" t="n"/>
      <c r="O1475" s="20">
        <f>IF(OR(I1475="",COUNT(J1475:N1475)=0),"",IF(SUM(J1475:N1475)=I1475,"✓","⚠ "&amp;SUM(J1475:N1475)&amp;" statt "&amp;I1475))</f>
        <v/>
      </c>
      <c r="P1475" s="21" t="n"/>
      <c r="Q1475" s="21" t="n"/>
      <c r="R1475" s="21" t="n"/>
      <c r="S1475" s="24" t="n"/>
      <c r="T1475" s="24" t="n"/>
      <c r="V1475">
        <f>IF(A1475="","",MONTH(A1475))</f>
        <v/>
      </c>
      <c r="W1475">
        <f>N(W1474)+IF(AND(C1475&lt;&gt;"",T1475&lt;&gt;""),IF(C1475=WOCHE!$B$3,1,0),0)</f>
        <v/>
      </c>
      <c r="X1475">
        <f>N(X1474)+IF(AND(V1475&lt;&gt;"",T1475&lt;&gt;""),IF(V1475=MONAT!$AZ$3,1,0),0)</f>
        <v/>
      </c>
    </row>
    <row r="1476">
      <c r="A1476" s="19" t="n"/>
      <c r="B1476" s="20">
        <f>IF(A1476="","",CHOOSE(WEEKDAY(A1476,2),"Mo","Di","Mi","Do","Fr","Sa","So"))</f>
        <v/>
      </c>
      <c r="C1476" s="20">
        <f>IF(A1476="","",INT((A1476-DATE(YEAR(A1476-WEEKDAY(A1476-1)+4),1,3)+WEEKDAY(DATE(YEAR(A1476-WEEKDAY(A1476-1)+4),1,3))+5)/7))</f>
        <v/>
      </c>
      <c r="D1476" s="21" t="n"/>
      <c r="E1476" s="22" t="n"/>
      <c r="F1476" s="23" t="n"/>
      <c r="G1476" s="23" t="n"/>
      <c r="H1476" s="23" t="n"/>
      <c r="I1476" s="20">
        <f>IF(COUNT(F1476:H1476)=0,"",SUM(F1476:H1476))</f>
        <v/>
      </c>
      <c r="J1476" s="23" t="n"/>
      <c r="K1476" s="23" t="n"/>
      <c r="L1476" s="23" t="n"/>
      <c r="M1476" s="23" t="n"/>
      <c r="N1476" s="23" t="n"/>
      <c r="O1476" s="20">
        <f>IF(OR(I1476="",COUNT(J1476:N1476)=0),"",IF(SUM(J1476:N1476)=I1476,"✓","⚠ "&amp;SUM(J1476:N1476)&amp;" statt "&amp;I1476))</f>
        <v/>
      </c>
      <c r="P1476" s="21" t="n"/>
      <c r="Q1476" s="21" t="n"/>
      <c r="R1476" s="21" t="n"/>
      <c r="S1476" s="24" t="n"/>
      <c r="T1476" s="24" t="n"/>
      <c r="V1476">
        <f>IF(A1476="","",MONTH(A1476))</f>
        <v/>
      </c>
      <c r="W1476">
        <f>N(W1475)+IF(AND(C1476&lt;&gt;"",T1476&lt;&gt;""),IF(C1476=WOCHE!$B$3,1,0),0)</f>
        <v/>
      </c>
      <c r="X1476">
        <f>N(X1475)+IF(AND(V1476&lt;&gt;"",T1476&lt;&gt;""),IF(V1476=MONAT!$AZ$3,1,0),0)</f>
        <v/>
      </c>
    </row>
    <row r="1477">
      <c r="A1477" s="19" t="n"/>
      <c r="B1477" s="20">
        <f>IF(A1477="","",CHOOSE(WEEKDAY(A1477,2),"Mo","Di","Mi","Do","Fr","Sa","So"))</f>
        <v/>
      </c>
      <c r="C1477" s="20">
        <f>IF(A1477="","",INT((A1477-DATE(YEAR(A1477-WEEKDAY(A1477-1)+4),1,3)+WEEKDAY(DATE(YEAR(A1477-WEEKDAY(A1477-1)+4),1,3))+5)/7))</f>
        <v/>
      </c>
      <c r="D1477" s="21" t="n"/>
      <c r="E1477" s="22" t="n"/>
      <c r="F1477" s="23" t="n"/>
      <c r="G1477" s="23" t="n"/>
      <c r="H1477" s="23" t="n"/>
      <c r="I1477" s="20">
        <f>IF(COUNT(F1477:H1477)=0,"",SUM(F1477:H1477))</f>
        <v/>
      </c>
      <c r="J1477" s="23" t="n"/>
      <c r="K1477" s="23" t="n"/>
      <c r="L1477" s="23" t="n"/>
      <c r="M1477" s="23" t="n"/>
      <c r="N1477" s="23" t="n"/>
      <c r="O1477" s="20">
        <f>IF(OR(I1477="",COUNT(J1477:N1477)=0),"",IF(SUM(J1477:N1477)=I1477,"✓","⚠ "&amp;SUM(J1477:N1477)&amp;" statt "&amp;I1477))</f>
        <v/>
      </c>
      <c r="P1477" s="21" t="n"/>
      <c r="Q1477" s="21" t="n"/>
      <c r="R1477" s="21" t="n"/>
      <c r="S1477" s="24" t="n"/>
      <c r="T1477" s="24" t="n"/>
      <c r="V1477">
        <f>IF(A1477="","",MONTH(A1477))</f>
        <v/>
      </c>
      <c r="W1477">
        <f>N(W1476)+IF(AND(C1477&lt;&gt;"",T1477&lt;&gt;""),IF(C1477=WOCHE!$B$3,1,0),0)</f>
        <v/>
      </c>
      <c r="X1477">
        <f>N(X1476)+IF(AND(V1477&lt;&gt;"",T1477&lt;&gt;""),IF(V1477=MONAT!$AZ$3,1,0),0)</f>
        <v/>
      </c>
    </row>
    <row r="1478">
      <c r="A1478" s="19" t="n"/>
      <c r="B1478" s="20">
        <f>IF(A1478="","",CHOOSE(WEEKDAY(A1478,2),"Mo","Di","Mi","Do","Fr","Sa","So"))</f>
        <v/>
      </c>
      <c r="C1478" s="20">
        <f>IF(A1478="","",INT((A1478-DATE(YEAR(A1478-WEEKDAY(A1478-1)+4),1,3)+WEEKDAY(DATE(YEAR(A1478-WEEKDAY(A1478-1)+4),1,3))+5)/7))</f>
        <v/>
      </c>
      <c r="D1478" s="21" t="n"/>
      <c r="E1478" s="22" t="n"/>
      <c r="F1478" s="23" t="n"/>
      <c r="G1478" s="23" t="n"/>
      <c r="H1478" s="23" t="n"/>
      <c r="I1478" s="20">
        <f>IF(COUNT(F1478:H1478)=0,"",SUM(F1478:H1478))</f>
        <v/>
      </c>
      <c r="J1478" s="23" t="n"/>
      <c r="K1478" s="23" t="n"/>
      <c r="L1478" s="23" t="n"/>
      <c r="M1478" s="23" t="n"/>
      <c r="N1478" s="23" t="n"/>
      <c r="O1478" s="20">
        <f>IF(OR(I1478="",COUNT(J1478:N1478)=0),"",IF(SUM(J1478:N1478)=I1478,"✓","⚠ "&amp;SUM(J1478:N1478)&amp;" statt "&amp;I1478))</f>
        <v/>
      </c>
      <c r="P1478" s="21" t="n"/>
      <c r="Q1478" s="21" t="n"/>
      <c r="R1478" s="21" t="n"/>
      <c r="S1478" s="24" t="n"/>
      <c r="T1478" s="24" t="n"/>
      <c r="V1478">
        <f>IF(A1478="","",MONTH(A1478))</f>
        <v/>
      </c>
      <c r="W1478">
        <f>N(W1477)+IF(AND(C1478&lt;&gt;"",T1478&lt;&gt;""),IF(C1478=WOCHE!$B$3,1,0),0)</f>
        <v/>
      </c>
      <c r="X1478">
        <f>N(X1477)+IF(AND(V1478&lt;&gt;"",T1478&lt;&gt;""),IF(V1478=MONAT!$AZ$3,1,0),0)</f>
        <v/>
      </c>
    </row>
    <row r="1479">
      <c r="A1479" s="19" t="n"/>
      <c r="B1479" s="20">
        <f>IF(A1479="","",CHOOSE(WEEKDAY(A1479,2),"Mo","Di","Mi","Do","Fr","Sa","So"))</f>
        <v/>
      </c>
      <c r="C1479" s="20">
        <f>IF(A1479="","",INT((A1479-DATE(YEAR(A1479-WEEKDAY(A1479-1)+4),1,3)+WEEKDAY(DATE(YEAR(A1479-WEEKDAY(A1479-1)+4),1,3))+5)/7))</f>
        <v/>
      </c>
      <c r="D1479" s="21" t="n"/>
      <c r="E1479" s="22" t="n"/>
      <c r="F1479" s="23" t="n"/>
      <c r="G1479" s="23" t="n"/>
      <c r="H1479" s="23" t="n"/>
      <c r="I1479" s="20">
        <f>IF(COUNT(F1479:H1479)=0,"",SUM(F1479:H1479))</f>
        <v/>
      </c>
      <c r="J1479" s="23" t="n"/>
      <c r="K1479" s="23" t="n"/>
      <c r="L1479" s="23" t="n"/>
      <c r="M1479" s="23" t="n"/>
      <c r="N1479" s="23" t="n"/>
      <c r="O1479" s="20">
        <f>IF(OR(I1479="",COUNT(J1479:N1479)=0),"",IF(SUM(J1479:N1479)=I1479,"✓","⚠ "&amp;SUM(J1479:N1479)&amp;" statt "&amp;I1479))</f>
        <v/>
      </c>
      <c r="P1479" s="21" t="n"/>
      <c r="Q1479" s="21" t="n"/>
      <c r="R1479" s="21" t="n"/>
      <c r="S1479" s="24" t="n"/>
      <c r="T1479" s="24" t="n"/>
      <c r="V1479">
        <f>IF(A1479="","",MONTH(A1479))</f>
        <v/>
      </c>
      <c r="W1479">
        <f>N(W1478)+IF(AND(C1479&lt;&gt;"",T1479&lt;&gt;""),IF(C1479=WOCHE!$B$3,1,0),0)</f>
        <v/>
      </c>
      <c r="X1479">
        <f>N(X1478)+IF(AND(V1479&lt;&gt;"",T1479&lt;&gt;""),IF(V1479=MONAT!$AZ$3,1,0),0)</f>
        <v/>
      </c>
    </row>
    <row r="1480">
      <c r="A1480" s="19" t="n"/>
      <c r="B1480" s="20">
        <f>IF(A1480="","",CHOOSE(WEEKDAY(A1480,2),"Mo","Di","Mi","Do","Fr","Sa","So"))</f>
        <v/>
      </c>
      <c r="C1480" s="20">
        <f>IF(A1480="","",INT((A1480-DATE(YEAR(A1480-WEEKDAY(A1480-1)+4),1,3)+WEEKDAY(DATE(YEAR(A1480-WEEKDAY(A1480-1)+4),1,3))+5)/7))</f>
        <v/>
      </c>
      <c r="D1480" s="21" t="n"/>
      <c r="E1480" s="22" t="n"/>
      <c r="F1480" s="23" t="n"/>
      <c r="G1480" s="23" t="n"/>
      <c r="H1480" s="23" t="n"/>
      <c r="I1480" s="20">
        <f>IF(COUNT(F1480:H1480)=0,"",SUM(F1480:H1480))</f>
        <v/>
      </c>
      <c r="J1480" s="23" t="n"/>
      <c r="K1480" s="23" t="n"/>
      <c r="L1480" s="23" t="n"/>
      <c r="M1480" s="23" t="n"/>
      <c r="N1480" s="23" t="n"/>
      <c r="O1480" s="20">
        <f>IF(OR(I1480="",COUNT(J1480:N1480)=0),"",IF(SUM(J1480:N1480)=I1480,"✓","⚠ "&amp;SUM(J1480:N1480)&amp;" statt "&amp;I1480))</f>
        <v/>
      </c>
      <c r="P1480" s="21" t="n"/>
      <c r="Q1480" s="21" t="n"/>
      <c r="R1480" s="21" t="n"/>
      <c r="S1480" s="24" t="n"/>
      <c r="T1480" s="24" t="n"/>
      <c r="V1480">
        <f>IF(A1480="","",MONTH(A1480))</f>
        <v/>
      </c>
      <c r="W1480">
        <f>N(W1479)+IF(AND(C1480&lt;&gt;"",T1480&lt;&gt;""),IF(C1480=WOCHE!$B$3,1,0),0)</f>
        <v/>
      </c>
      <c r="X1480">
        <f>N(X1479)+IF(AND(V1480&lt;&gt;"",T1480&lt;&gt;""),IF(V1480=MONAT!$AZ$3,1,0),0)</f>
        <v/>
      </c>
    </row>
    <row r="1481">
      <c r="A1481" s="19" t="n"/>
      <c r="B1481" s="20">
        <f>IF(A1481="","",CHOOSE(WEEKDAY(A1481,2),"Mo","Di","Mi","Do","Fr","Sa","So"))</f>
        <v/>
      </c>
      <c r="C1481" s="20">
        <f>IF(A1481="","",INT((A1481-DATE(YEAR(A1481-WEEKDAY(A1481-1)+4),1,3)+WEEKDAY(DATE(YEAR(A1481-WEEKDAY(A1481-1)+4),1,3))+5)/7))</f>
        <v/>
      </c>
      <c r="D1481" s="21" t="n"/>
      <c r="E1481" s="22" t="n"/>
      <c r="F1481" s="23" t="n"/>
      <c r="G1481" s="23" t="n"/>
      <c r="H1481" s="23" t="n"/>
      <c r="I1481" s="20">
        <f>IF(COUNT(F1481:H1481)=0,"",SUM(F1481:H1481))</f>
        <v/>
      </c>
      <c r="J1481" s="23" t="n"/>
      <c r="K1481" s="23" t="n"/>
      <c r="L1481" s="23" t="n"/>
      <c r="M1481" s="23" t="n"/>
      <c r="N1481" s="23" t="n"/>
      <c r="O1481" s="20">
        <f>IF(OR(I1481="",COUNT(J1481:N1481)=0),"",IF(SUM(J1481:N1481)=I1481,"✓","⚠ "&amp;SUM(J1481:N1481)&amp;" statt "&amp;I1481))</f>
        <v/>
      </c>
      <c r="P1481" s="21" t="n"/>
      <c r="Q1481" s="21" t="n"/>
      <c r="R1481" s="21" t="n"/>
      <c r="S1481" s="24" t="n"/>
      <c r="T1481" s="24" t="n"/>
      <c r="V1481">
        <f>IF(A1481="","",MONTH(A1481))</f>
        <v/>
      </c>
      <c r="W1481">
        <f>N(W1480)+IF(AND(C1481&lt;&gt;"",T1481&lt;&gt;""),IF(C1481=WOCHE!$B$3,1,0),0)</f>
        <v/>
      </c>
      <c r="X1481">
        <f>N(X1480)+IF(AND(V1481&lt;&gt;"",T1481&lt;&gt;""),IF(V1481=MONAT!$AZ$3,1,0),0)</f>
        <v/>
      </c>
    </row>
    <row r="1482">
      <c r="A1482" s="19" t="n"/>
      <c r="B1482" s="20">
        <f>IF(A1482="","",CHOOSE(WEEKDAY(A1482,2),"Mo","Di","Mi","Do","Fr","Sa","So"))</f>
        <v/>
      </c>
      <c r="C1482" s="20">
        <f>IF(A1482="","",INT((A1482-DATE(YEAR(A1482-WEEKDAY(A1482-1)+4),1,3)+WEEKDAY(DATE(YEAR(A1482-WEEKDAY(A1482-1)+4),1,3))+5)/7))</f>
        <v/>
      </c>
      <c r="D1482" s="21" t="n"/>
      <c r="E1482" s="22" t="n"/>
      <c r="F1482" s="23" t="n"/>
      <c r="G1482" s="23" t="n"/>
      <c r="H1482" s="23" t="n"/>
      <c r="I1482" s="20">
        <f>IF(COUNT(F1482:H1482)=0,"",SUM(F1482:H1482))</f>
        <v/>
      </c>
      <c r="J1482" s="23" t="n"/>
      <c r="K1482" s="23" t="n"/>
      <c r="L1482" s="23" t="n"/>
      <c r="M1482" s="23" t="n"/>
      <c r="N1482" s="23" t="n"/>
      <c r="O1482" s="20">
        <f>IF(OR(I1482="",COUNT(J1482:N1482)=0),"",IF(SUM(J1482:N1482)=I1482,"✓","⚠ "&amp;SUM(J1482:N1482)&amp;" statt "&amp;I1482))</f>
        <v/>
      </c>
      <c r="P1482" s="21" t="n"/>
      <c r="Q1482" s="21" t="n"/>
      <c r="R1482" s="21" t="n"/>
      <c r="S1482" s="24" t="n"/>
      <c r="T1482" s="24" t="n"/>
      <c r="V1482">
        <f>IF(A1482="","",MONTH(A1482))</f>
        <v/>
      </c>
      <c r="W1482">
        <f>N(W1481)+IF(AND(C1482&lt;&gt;"",T1482&lt;&gt;""),IF(C1482=WOCHE!$B$3,1,0),0)</f>
        <v/>
      </c>
      <c r="X1482">
        <f>N(X1481)+IF(AND(V1482&lt;&gt;"",T1482&lt;&gt;""),IF(V1482=MONAT!$AZ$3,1,0),0)</f>
        <v/>
      </c>
    </row>
    <row r="1483">
      <c r="A1483" s="19" t="n"/>
      <c r="B1483" s="20">
        <f>IF(A1483="","",CHOOSE(WEEKDAY(A1483,2),"Mo","Di","Mi","Do","Fr","Sa","So"))</f>
        <v/>
      </c>
      <c r="C1483" s="20">
        <f>IF(A1483="","",INT((A1483-DATE(YEAR(A1483-WEEKDAY(A1483-1)+4),1,3)+WEEKDAY(DATE(YEAR(A1483-WEEKDAY(A1483-1)+4),1,3))+5)/7))</f>
        <v/>
      </c>
      <c r="D1483" s="21" t="n"/>
      <c r="E1483" s="22" t="n"/>
      <c r="F1483" s="23" t="n"/>
      <c r="G1483" s="23" t="n"/>
      <c r="H1483" s="23" t="n"/>
      <c r="I1483" s="20">
        <f>IF(COUNT(F1483:H1483)=0,"",SUM(F1483:H1483))</f>
        <v/>
      </c>
      <c r="J1483" s="23" t="n"/>
      <c r="K1483" s="23" t="n"/>
      <c r="L1483" s="23" t="n"/>
      <c r="M1483" s="23" t="n"/>
      <c r="N1483" s="23" t="n"/>
      <c r="O1483" s="20">
        <f>IF(OR(I1483="",COUNT(J1483:N1483)=0),"",IF(SUM(J1483:N1483)=I1483,"✓","⚠ "&amp;SUM(J1483:N1483)&amp;" statt "&amp;I1483))</f>
        <v/>
      </c>
      <c r="P1483" s="21" t="n"/>
      <c r="Q1483" s="21" t="n"/>
      <c r="R1483" s="21" t="n"/>
      <c r="S1483" s="24" t="n"/>
      <c r="T1483" s="24" t="n"/>
      <c r="V1483">
        <f>IF(A1483="","",MONTH(A1483))</f>
        <v/>
      </c>
      <c r="W1483">
        <f>N(W1482)+IF(AND(C1483&lt;&gt;"",T1483&lt;&gt;""),IF(C1483=WOCHE!$B$3,1,0),0)</f>
        <v/>
      </c>
      <c r="X1483">
        <f>N(X1482)+IF(AND(V1483&lt;&gt;"",T1483&lt;&gt;""),IF(V1483=MONAT!$AZ$3,1,0),0)</f>
        <v/>
      </c>
    </row>
    <row r="1484">
      <c r="A1484" s="19" t="n"/>
      <c r="B1484" s="20">
        <f>IF(A1484="","",CHOOSE(WEEKDAY(A1484,2),"Mo","Di","Mi","Do","Fr","Sa","So"))</f>
        <v/>
      </c>
      <c r="C1484" s="20">
        <f>IF(A1484="","",INT((A1484-DATE(YEAR(A1484-WEEKDAY(A1484-1)+4),1,3)+WEEKDAY(DATE(YEAR(A1484-WEEKDAY(A1484-1)+4),1,3))+5)/7))</f>
        <v/>
      </c>
      <c r="D1484" s="21" t="n"/>
      <c r="E1484" s="22" t="n"/>
      <c r="F1484" s="23" t="n"/>
      <c r="G1484" s="23" t="n"/>
      <c r="H1484" s="23" t="n"/>
      <c r="I1484" s="20">
        <f>IF(COUNT(F1484:H1484)=0,"",SUM(F1484:H1484))</f>
        <v/>
      </c>
      <c r="J1484" s="23" t="n"/>
      <c r="K1484" s="23" t="n"/>
      <c r="L1484" s="23" t="n"/>
      <c r="M1484" s="23" t="n"/>
      <c r="N1484" s="23" t="n"/>
      <c r="O1484" s="20">
        <f>IF(OR(I1484="",COUNT(J1484:N1484)=0),"",IF(SUM(J1484:N1484)=I1484,"✓","⚠ "&amp;SUM(J1484:N1484)&amp;" statt "&amp;I1484))</f>
        <v/>
      </c>
      <c r="P1484" s="21" t="n"/>
      <c r="Q1484" s="21" t="n"/>
      <c r="R1484" s="21" t="n"/>
      <c r="S1484" s="24" t="n"/>
      <c r="T1484" s="24" t="n"/>
      <c r="V1484">
        <f>IF(A1484="","",MONTH(A1484))</f>
        <v/>
      </c>
      <c r="W1484">
        <f>N(W1483)+IF(AND(C1484&lt;&gt;"",T1484&lt;&gt;""),IF(C1484=WOCHE!$B$3,1,0),0)</f>
        <v/>
      </c>
      <c r="X1484">
        <f>N(X1483)+IF(AND(V1484&lt;&gt;"",T1484&lt;&gt;""),IF(V1484=MONAT!$AZ$3,1,0),0)</f>
        <v/>
      </c>
    </row>
    <row r="1485">
      <c r="A1485" s="19" t="n"/>
      <c r="B1485" s="20">
        <f>IF(A1485="","",CHOOSE(WEEKDAY(A1485,2),"Mo","Di","Mi","Do","Fr","Sa","So"))</f>
        <v/>
      </c>
      <c r="C1485" s="20">
        <f>IF(A1485="","",INT((A1485-DATE(YEAR(A1485-WEEKDAY(A1485-1)+4),1,3)+WEEKDAY(DATE(YEAR(A1485-WEEKDAY(A1485-1)+4),1,3))+5)/7))</f>
        <v/>
      </c>
      <c r="D1485" s="21" t="n"/>
      <c r="E1485" s="22" t="n"/>
      <c r="F1485" s="23" t="n"/>
      <c r="G1485" s="23" t="n"/>
      <c r="H1485" s="23" t="n"/>
      <c r="I1485" s="20">
        <f>IF(COUNT(F1485:H1485)=0,"",SUM(F1485:H1485))</f>
        <v/>
      </c>
      <c r="J1485" s="23" t="n"/>
      <c r="K1485" s="23" t="n"/>
      <c r="L1485" s="23" t="n"/>
      <c r="M1485" s="23" t="n"/>
      <c r="N1485" s="23" t="n"/>
      <c r="O1485" s="20">
        <f>IF(OR(I1485="",COUNT(J1485:N1485)=0),"",IF(SUM(J1485:N1485)=I1485,"✓","⚠ "&amp;SUM(J1485:N1485)&amp;" statt "&amp;I1485))</f>
        <v/>
      </c>
      <c r="P1485" s="21" t="n"/>
      <c r="Q1485" s="21" t="n"/>
      <c r="R1485" s="21" t="n"/>
      <c r="S1485" s="24" t="n"/>
      <c r="T1485" s="24" t="n"/>
      <c r="V1485">
        <f>IF(A1485="","",MONTH(A1485))</f>
        <v/>
      </c>
      <c r="W1485">
        <f>N(W1484)+IF(AND(C1485&lt;&gt;"",T1485&lt;&gt;""),IF(C1485=WOCHE!$B$3,1,0),0)</f>
        <v/>
      </c>
      <c r="X1485">
        <f>N(X1484)+IF(AND(V1485&lt;&gt;"",T1485&lt;&gt;""),IF(V1485=MONAT!$AZ$3,1,0),0)</f>
        <v/>
      </c>
    </row>
    <row r="1486">
      <c r="A1486" s="19" t="n"/>
      <c r="B1486" s="20">
        <f>IF(A1486="","",CHOOSE(WEEKDAY(A1486,2),"Mo","Di","Mi","Do","Fr","Sa","So"))</f>
        <v/>
      </c>
      <c r="C1486" s="20">
        <f>IF(A1486="","",INT((A1486-DATE(YEAR(A1486-WEEKDAY(A1486-1)+4),1,3)+WEEKDAY(DATE(YEAR(A1486-WEEKDAY(A1486-1)+4),1,3))+5)/7))</f>
        <v/>
      </c>
      <c r="D1486" s="21" t="n"/>
      <c r="E1486" s="22" t="n"/>
      <c r="F1486" s="23" t="n"/>
      <c r="G1486" s="23" t="n"/>
      <c r="H1486" s="23" t="n"/>
      <c r="I1486" s="20">
        <f>IF(COUNT(F1486:H1486)=0,"",SUM(F1486:H1486))</f>
        <v/>
      </c>
      <c r="J1486" s="23" t="n"/>
      <c r="K1486" s="23" t="n"/>
      <c r="L1486" s="23" t="n"/>
      <c r="M1486" s="23" t="n"/>
      <c r="N1486" s="23" t="n"/>
      <c r="O1486" s="20">
        <f>IF(OR(I1486="",COUNT(J1486:N1486)=0),"",IF(SUM(J1486:N1486)=I1486,"✓","⚠ "&amp;SUM(J1486:N1486)&amp;" statt "&amp;I1486))</f>
        <v/>
      </c>
      <c r="P1486" s="21" t="n"/>
      <c r="Q1486" s="21" t="n"/>
      <c r="R1486" s="21" t="n"/>
      <c r="S1486" s="24" t="n"/>
      <c r="T1486" s="24" t="n"/>
      <c r="V1486">
        <f>IF(A1486="","",MONTH(A1486))</f>
        <v/>
      </c>
      <c r="W1486">
        <f>N(W1485)+IF(AND(C1486&lt;&gt;"",T1486&lt;&gt;""),IF(C1486=WOCHE!$B$3,1,0),0)</f>
        <v/>
      </c>
      <c r="X1486">
        <f>N(X1485)+IF(AND(V1486&lt;&gt;"",T1486&lt;&gt;""),IF(V1486=MONAT!$AZ$3,1,0),0)</f>
        <v/>
      </c>
    </row>
    <row r="1487">
      <c r="A1487" s="19" t="n"/>
      <c r="B1487" s="20">
        <f>IF(A1487="","",CHOOSE(WEEKDAY(A1487,2),"Mo","Di","Mi","Do","Fr","Sa","So"))</f>
        <v/>
      </c>
      <c r="C1487" s="20">
        <f>IF(A1487="","",INT((A1487-DATE(YEAR(A1487-WEEKDAY(A1487-1)+4),1,3)+WEEKDAY(DATE(YEAR(A1487-WEEKDAY(A1487-1)+4),1,3))+5)/7))</f>
        <v/>
      </c>
      <c r="D1487" s="21" t="n"/>
      <c r="E1487" s="22" t="n"/>
      <c r="F1487" s="23" t="n"/>
      <c r="G1487" s="23" t="n"/>
      <c r="H1487" s="23" t="n"/>
      <c r="I1487" s="20">
        <f>IF(COUNT(F1487:H1487)=0,"",SUM(F1487:H1487))</f>
        <v/>
      </c>
      <c r="J1487" s="23" t="n"/>
      <c r="K1487" s="23" t="n"/>
      <c r="L1487" s="23" t="n"/>
      <c r="M1487" s="23" t="n"/>
      <c r="N1487" s="23" t="n"/>
      <c r="O1487" s="20">
        <f>IF(OR(I1487="",COUNT(J1487:N1487)=0),"",IF(SUM(J1487:N1487)=I1487,"✓","⚠ "&amp;SUM(J1487:N1487)&amp;" statt "&amp;I1487))</f>
        <v/>
      </c>
      <c r="P1487" s="21" t="n"/>
      <c r="Q1487" s="21" t="n"/>
      <c r="R1487" s="21" t="n"/>
      <c r="S1487" s="24" t="n"/>
      <c r="T1487" s="24" t="n"/>
      <c r="V1487">
        <f>IF(A1487="","",MONTH(A1487))</f>
        <v/>
      </c>
      <c r="W1487">
        <f>N(W1486)+IF(AND(C1487&lt;&gt;"",T1487&lt;&gt;""),IF(C1487=WOCHE!$B$3,1,0),0)</f>
        <v/>
      </c>
      <c r="X1487">
        <f>N(X1486)+IF(AND(V1487&lt;&gt;"",T1487&lt;&gt;""),IF(V1487=MONAT!$AZ$3,1,0),0)</f>
        <v/>
      </c>
    </row>
    <row r="1488">
      <c r="A1488" s="19" t="n"/>
      <c r="B1488" s="20">
        <f>IF(A1488="","",CHOOSE(WEEKDAY(A1488,2),"Mo","Di","Mi","Do","Fr","Sa","So"))</f>
        <v/>
      </c>
      <c r="C1488" s="20">
        <f>IF(A1488="","",INT((A1488-DATE(YEAR(A1488-WEEKDAY(A1488-1)+4),1,3)+WEEKDAY(DATE(YEAR(A1488-WEEKDAY(A1488-1)+4),1,3))+5)/7))</f>
        <v/>
      </c>
      <c r="D1488" s="21" t="n"/>
      <c r="E1488" s="22" t="n"/>
      <c r="F1488" s="23" t="n"/>
      <c r="G1488" s="23" t="n"/>
      <c r="H1488" s="23" t="n"/>
      <c r="I1488" s="20">
        <f>IF(COUNT(F1488:H1488)=0,"",SUM(F1488:H1488))</f>
        <v/>
      </c>
      <c r="J1488" s="23" t="n"/>
      <c r="K1488" s="23" t="n"/>
      <c r="L1488" s="23" t="n"/>
      <c r="M1488" s="23" t="n"/>
      <c r="N1488" s="23" t="n"/>
      <c r="O1488" s="20">
        <f>IF(OR(I1488="",COUNT(J1488:N1488)=0),"",IF(SUM(J1488:N1488)=I1488,"✓","⚠ "&amp;SUM(J1488:N1488)&amp;" statt "&amp;I1488))</f>
        <v/>
      </c>
      <c r="P1488" s="21" t="n"/>
      <c r="Q1488" s="21" t="n"/>
      <c r="R1488" s="21" t="n"/>
      <c r="S1488" s="24" t="n"/>
      <c r="T1488" s="24" t="n"/>
      <c r="V1488">
        <f>IF(A1488="","",MONTH(A1488))</f>
        <v/>
      </c>
      <c r="W1488">
        <f>N(W1487)+IF(AND(C1488&lt;&gt;"",T1488&lt;&gt;""),IF(C1488=WOCHE!$B$3,1,0),0)</f>
        <v/>
      </c>
      <c r="X1488">
        <f>N(X1487)+IF(AND(V1488&lt;&gt;"",T1488&lt;&gt;""),IF(V1488=MONAT!$AZ$3,1,0),0)</f>
        <v/>
      </c>
    </row>
    <row r="1489">
      <c r="A1489" s="19" t="n"/>
      <c r="B1489" s="20">
        <f>IF(A1489="","",CHOOSE(WEEKDAY(A1489,2),"Mo","Di","Mi","Do","Fr","Sa","So"))</f>
        <v/>
      </c>
      <c r="C1489" s="20">
        <f>IF(A1489="","",INT((A1489-DATE(YEAR(A1489-WEEKDAY(A1489-1)+4),1,3)+WEEKDAY(DATE(YEAR(A1489-WEEKDAY(A1489-1)+4),1,3))+5)/7))</f>
        <v/>
      </c>
      <c r="D1489" s="21" t="n"/>
      <c r="E1489" s="22" t="n"/>
      <c r="F1489" s="23" t="n"/>
      <c r="G1489" s="23" t="n"/>
      <c r="H1489" s="23" t="n"/>
      <c r="I1489" s="20">
        <f>IF(COUNT(F1489:H1489)=0,"",SUM(F1489:H1489))</f>
        <v/>
      </c>
      <c r="J1489" s="23" t="n"/>
      <c r="K1489" s="23" t="n"/>
      <c r="L1489" s="23" t="n"/>
      <c r="M1489" s="23" t="n"/>
      <c r="N1489" s="23" t="n"/>
      <c r="O1489" s="20">
        <f>IF(OR(I1489="",COUNT(J1489:N1489)=0),"",IF(SUM(J1489:N1489)=I1489,"✓","⚠ "&amp;SUM(J1489:N1489)&amp;" statt "&amp;I1489))</f>
        <v/>
      </c>
      <c r="P1489" s="21" t="n"/>
      <c r="Q1489" s="21" t="n"/>
      <c r="R1489" s="21" t="n"/>
      <c r="S1489" s="24" t="n"/>
      <c r="T1489" s="24" t="n"/>
      <c r="V1489">
        <f>IF(A1489="","",MONTH(A1489))</f>
        <v/>
      </c>
      <c r="W1489">
        <f>N(W1488)+IF(AND(C1489&lt;&gt;"",T1489&lt;&gt;""),IF(C1489=WOCHE!$B$3,1,0),0)</f>
        <v/>
      </c>
      <c r="X1489">
        <f>N(X1488)+IF(AND(V1489&lt;&gt;"",T1489&lt;&gt;""),IF(V1489=MONAT!$AZ$3,1,0),0)</f>
        <v/>
      </c>
    </row>
    <row r="1490">
      <c r="A1490" s="19" t="n"/>
      <c r="B1490" s="20">
        <f>IF(A1490="","",CHOOSE(WEEKDAY(A1490,2),"Mo","Di","Mi","Do","Fr","Sa","So"))</f>
        <v/>
      </c>
      <c r="C1490" s="20">
        <f>IF(A1490="","",INT((A1490-DATE(YEAR(A1490-WEEKDAY(A1490-1)+4),1,3)+WEEKDAY(DATE(YEAR(A1490-WEEKDAY(A1490-1)+4),1,3))+5)/7))</f>
        <v/>
      </c>
      <c r="D1490" s="21" t="n"/>
      <c r="E1490" s="22" t="n"/>
      <c r="F1490" s="23" t="n"/>
      <c r="G1490" s="23" t="n"/>
      <c r="H1490" s="23" t="n"/>
      <c r="I1490" s="20">
        <f>IF(COUNT(F1490:H1490)=0,"",SUM(F1490:H1490))</f>
        <v/>
      </c>
      <c r="J1490" s="23" t="n"/>
      <c r="K1490" s="23" t="n"/>
      <c r="L1490" s="23" t="n"/>
      <c r="M1490" s="23" t="n"/>
      <c r="N1490" s="23" t="n"/>
      <c r="O1490" s="20">
        <f>IF(OR(I1490="",COUNT(J1490:N1490)=0),"",IF(SUM(J1490:N1490)=I1490,"✓","⚠ "&amp;SUM(J1490:N1490)&amp;" statt "&amp;I1490))</f>
        <v/>
      </c>
      <c r="P1490" s="21" t="n"/>
      <c r="Q1490" s="21" t="n"/>
      <c r="R1490" s="21" t="n"/>
      <c r="S1490" s="24" t="n"/>
      <c r="T1490" s="24" t="n"/>
      <c r="V1490">
        <f>IF(A1490="","",MONTH(A1490))</f>
        <v/>
      </c>
      <c r="W1490">
        <f>N(W1489)+IF(AND(C1490&lt;&gt;"",T1490&lt;&gt;""),IF(C1490=WOCHE!$B$3,1,0),0)</f>
        <v/>
      </c>
      <c r="X1490">
        <f>N(X1489)+IF(AND(V1490&lt;&gt;"",T1490&lt;&gt;""),IF(V1490=MONAT!$AZ$3,1,0),0)</f>
        <v/>
      </c>
    </row>
    <row r="1491">
      <c r="A1491" s="19" t="n"/>
      <c r="B1491" s="20">
        <f>IF(A1491="","",CHOOSE(WEEKDAY(A1491,2),"Mo","Di","Mi","Do","Fr","Sa","So"))</f>
        <v/>
      </c>
      <c r="C1491" s="20">
        <f>IF(A1491="","",INT((A1491-DATE(YEAR(A1491-WEEKDAY(A1491-1)+4),1,3)+WEEKDAY(DATE(YEAR(A1491-WEEKDAY(A1491-1)+4),1,3))+5)/7))</f>
        <v/>
      </c>
      <c r="D1491" s="21" t="n"/>
      <c r="E1491" s="22" t="n"/>
      <c r="F1491" s="23" t="n"/>
      <c r="G1491" s="23" t="n"/>
      <c r="H1491" s="23" t="n"/>
      <c r="I1491" s="20">
        <f>IF(COUNT(F1491:H1491)=0,"",SUM(F1491:H1491))</f>
        <v/>
      </c>
      <c r="J1491" s="23" t="n"/>
      <c r="K1491" s="23" t="n"/>
      <c r="L1491" s="23" t="n"/>
      <c r="M1491" s="23" t="n"/>
      <c r="N1491" s="23" t="n"/>
      <c r="O1491" s="20">
        <f>IF(OR(I1491="",COUNT(J1491:N1491)=0),"",IF(SUM(J1491:N1491)=I1491,"✓","⚠ "&amp;SUM(J1491:N1491)&amp;" statt "&amp;I1491))</f>
        <v/>
      </c>
      <c r="P1491" s="21" t="n"/>
      <c r="Q1491" s="21" t="n"/>
      <c r="R1491" s="21" t="n"/>
      <c r="S1491" s="24" t="n"/>
      <c r="T1491" s="24" t="n"/>
      <c r="V1491">
        <f>IF(A1491="","",MONTH(A1491))</f>
        <v/>
      </c>
      <c r="W1491">
        <f>N(W1490)+IF(AND(C1491&lt;&gt;"",T1491&lt;&gt;""),IF(C1491=WOCHE!$B$3,1,0),0)</f>
        <v/>
      </c>
      <c r="X1491">
        <f>N(X1490)+IF(AND(V1491&lt;&gt;"",T1491&lt;&gt;""),IF(V1491=MONAT!$AZ$3,1,0),0)</f>
        <v/>
      </c>
    </row>
    <row r="1492">
      <c r="A1492" s="19" t="n"/>
      <c r="B1492" s="20">
        <f>IF(A1492="","",CHOOSE(WEEKDAY(A1492,2),"Mo","Di","Mi","Do","Fr","Sa","So"))</f>
        <v/>
      </c>
      <c r="C1492" s="20">
        <f>IF(A1492="","",INT((A1492-DATE(YEAR(A1492-WEEKDAY(A1492-1)+4),1,3)+WEEKDAY(DATE(YEAR(A1492-WEEKDAY(A1492-1)+4),1,3))+5)/7))</f>
        <v/>
      </c>
      <c r="D1492" s="21" t="n"/>
      <c r="E1492" s="22" t="n"/>
      <c r="F1492" s="23" t="n"/>
      <c r="G1492" s="23" t="n"/>
      <c r="H1492" s="23" t="n"/>
      <c r="I1492" s="20">
        <f>IF(COUNT(F1492:H1492)=0,"",SUM(F1492:H1492))</f>
        <v/>
      </c>
      <c r="J1492" s="23" t="n"/>
      <c r="K1492" s="23" t="n"/>
      <c r="L1492" s="23" t="n"/>
      <c r="M1492" s="23" t="n"/>
      <c r="N1492" s="23" t="n"/>
      <c r="O1492" s="20">
        <f>IF(OR(I1492="",COUNT(J1492:N1492)=0),"",IF(SUM(J1492:N1492)=I1492,"✓","⚠ "&amp;SUM(J1492:N1492)&amp;" statt "&amp;I1492))</f>
        <v/>
      </c>
      <c r="P1492" s="21" t="n"/>
      <c r="Q1492" s="21" t="n"/>
      <c r="R1492" s="21" t="n"/>
      <c r="S1492" s="24" t="n"/>
      <c r="T1492" s="24" t="n"/>
      <c r="V1492">
        <f>IF(A1492="","",MONTH(A1492))</f>
        <v/>
      </c>
      <c r="W1492">
        <f>N(W1491)+IF(AND(C1492&lt;&gt;"",T1492&lt;&gt;""),IF(C1492=WOCHE!$B$3,1,0),0)</f>
        <v/>
      </c>
      <c r="X1492">
        <f>N(X1491)+IF(AND(V1492&lt;&gt;"",T1492&lt;&gt;""),IF(V1492=MONAT!$AZ$3,1,0),0)</f>
        <v/>
      </c>
    </row>
    <row r="1493">
      <c r="A1493" s="19" t="n"/>
      <c r="B1493" s="20">
        <f>IF(A1493="","",CHOOSE(WEEKDAY(A1493,2),"Mo","Di","Mi","Do","Fr","Sa","So"))</f>
        <v/>
      </c>
      <c r="C1493" s="20">
        <f>IF(A1493="","",INT((A1493-DATE(YEAR(A1493-WEEKDAY(A1493-1)+4),1,3)+WEEKDAY(DATE(YEAR(A1493-WEEKDAY(A1493-1)+4),1,3))+5)/7))</f>
        <v/>
      </c>
      <c r="D1493" s="21" t="n"/>
      <c r="E1493" s="22" t="n"/>
      <c r="F1493" s="23" t="n"/>
      <c r="G1493" s="23" t="n"/>
      <c r="H1493" s="23" t="n"/>
      <c r="I1493" s="20">
        <f>IF(COUNT(F1493:H1493)=0,"",SUM(F1493:H1493))</f>
        <v/>
      </c>
      <c r="J1493" s="23" t="n"/>
      <c r="K1493" s="23" t="n"/>
      <c r="L1493" s="23" t="n"/>
      <c r="M1493" s="23" t="n"/>
      <c r="N1493" s="23" t="n"/>
      <c r="O1493" s="20">
        <f>IF(OR(I1493="",COUNT(J1493:N1493)=0),"",IF(SUM(J1493:N1493)=I1493,"✓","⚠ "&amp;SUM(J1493:N1493)&amp;" statt "&amp;I1493))</f>
        <v/>
      </c>
      <c r="P1493" s="21" t="n"/>
      <c r="Q1493" s="21" t="n"/>
      <c r="R1493" s="21" t="n"/>
      <c r="S1493" s="24" t="n"/>
      <c r="T1493" s="24" t="n"/>
      <c r="V1493">
        <f>IF(A1493="","",MONTH(A1493))</f>
        <v/>
      </c>
      <c r="W1493">
        <f>N(W1492)+IF(AND(C1493&lt;&gt;"",T1493&lt;&gt;""),IF(C1493=WOCHE!$B$3,1,0),0)</f>
        <v/>
      </c>
      <c r="X1493">
        <f>N(X1492)+IF(AND(V1493&lt;&gt;"",T1493&lt;&gt;""),IF(V1493=MONAT!$AZ$3,1,0),0)</f>
        <v/>
      </c>
    </row>
    <row r="1494">
      <c r="A1494" s="19" t="n"/>
      <c r="B1494" s="20">
        <f>IF(A1494="","",CHOOSE(WEEKDAY(A1494,2),"Mo","Di","Mi","Do","Fr","Sa","So"))</f>
        <v/>
      </c>
      <c r="C1494" s="20">
        <f>IF(A1494="","",INT((A1494-DATE(YEAR(A1494-WEEKDAY(A1494-1)+4),1,3)+WEEKDAY(DATE(YEAR(A1494-WEEKDAY(A1494-1)+4),1,3))+5)/7))</f>
        <v/>
      </c>
      <c r="D1494" s="21" t="n"/>
      <c r="E1494" s="22" t="n"/>
      <c r="F1494" s="23" t="n"/>
      <c r="G1494" s="23" t="n"/>
      <c r="H1494" s="23" t="n"/>
      <c r="I1494" s="20">
        <f>IF(COUNT(F1494:H1494)=0,"",SUM(F1494:H1494))</f>
        <v/>
      </c>
      <c r="J1494" s="23" t="n"/>
      <c r="K1494" s="23" t="n"/>
      <c r="L1494" s="23" t="n"/>
      <c r="M1494" s="23" t="n"/>
      <c r="N1494" s="23" t="n"/>
      <c r="O1494" s="20">
        <f>IF(OR(I1494="",COUNT(J1494:N1494)=0),"",IF(SUM(J1494:N1494)=I1494,"✓","⚠ "&amp;SUM(J1494:N1494)&amp;" statt "&amp;I1494))</f>
        <v/>
      </c>
      <c r="P1494" s="21" t="n"/>
      <c r="Q1494" s="21" t="n"/>
      <c r="R1494" s="21" t="n"/>
      <c r="S1494" s="24" t="n"/>
      <c r="T1494" s="24" t="n"/>
      <c r="V1494">
        <f>IF(A1494="","",MONTH(A1494))</f>
        <v/>
      </c>
      <c r="W1494">
        <f>N(W1493)+IF(AND(C1494&lt;&gt;"",T1494&lt;&gt;""),IF(C1494=WOCHE!$B$3,1,0),0)</f>
        <v/>
      </c>
      <c r="X1494">
        <f>N(X1493)+IF(AND(V1494&lt;&gt;"",T1494&lt;&gt;""),IF(V1494=MONAT!$AZ$3,1,0),0)</f>
        <v/>
      </c>
    </row>
    <row r="1495">
      <c r="A1495" s="19" t="n"/>
      <c r="B1495" s="20">
        <f>IF(A1495="","",CHOOSE(WEEKDAY(A1495,2),"Mo","Di","Mi","Do","Fr","Sa","So"))</f>
        <v/>
      </c>
      <c r="C1495" s="20">
        <f>IF(A1495="","",INT((A1495-DATE(YEAR(A1495-WEEKDAY(A1495-1)+4),1,3)+WEEKDAY(DATE(YEAR(A1495-WEEKDAY(A1495-1)+4),1,3))+5)/7))</f>
        <v/>
      </c>
      <c r="D1495" s="21" t="n"/>
      <c r="E1495" s="22" t="n"/>
      <c r="F1495" s="23" t="n"/>
      <c r="G1495" s="23" t="n"/>
      <c r="H1495" s="23" t="n"/>
      <c r="I1495" s="20">
        <f>IF(COUNT(F1495:H1495)=0,"",SUM(F1495:H1495))</f>
        <v/>
      </c>
      <c r="J1495" s="23" t="n"/>
      <c r="K1495" s="23" t="n"/>
      <c r="L1495" s="23" t="n"/>
      <c r="M1495" s="23" t="n"/>
      <c r="N1495" s="23" t="n"/>
      <c r="O1495" s="20">
        <f>IF(OR(I1495="",COUNT(J1495:N1495)=0),"",IF(SUM(J1495:N1495)=I1495,"✓","⚠ "&amp;SUM(J1495:N1495)&amp;" statt "&amp;I1495))</f>
        <v/>
      </c>
      <c r="P1495" s="21" t="n"/>
      <c r="Q1495" s="21" t="n"/>
      <c r="R1495" s="21" t="n"/>
      <c r="S1495" s="24" t="n"/>
      <c r="T1495" s="24" t="n"/>
      <c r="V1495">
        <f>IF(A1495="","",MONTH(A1495))</f>
        <v/>
      </c>
      <c r="W1495">
        <f>N(W1494)+IF(AND(C1495&lt;&gt;"",T1495&lt;&gt;""),IF(C1495=WOCHE!$B$3,1,0),0)</f>
        <v/>
      </c>
      <c r="X1495">
        <f>N(X1494)+IF(AND(V1495&lt;&gt;"",T1495&lt;&gt;""),IF(V1495=MONAT!$AZ$3,1,0),0)</f>
        <v/>
      </c>
    </row>
    <row r="1496">
      <c r="A1496" s="19" t="n"/>
      <c r="B1496" s="20">
        <f>IF(A1496="","",CHOOSE(WEEKDAY(A1496,2),"Mo","Di","Mi","Do","Fr","Sa","So"))</f>
        <v/>
      </c>
      <c r="C1496" s="20">
        <f>IF(A1496="","",INT((A1496-DATE(YEAR(A1496-WEEKDAY(A1496-1)+4),1,3)+WEEKDAY(DATE(YEAR(A1496-WEEKDAY(A1496-1)+4),1,3))+5)/7))</f>
        <v/>
      </c>
      <c r="D1496" s="21" t="n"/>
      <c r="E1496" s="22" t="n"/>
      <c r="F1496" s="23" t="n"/>
      <c r="G1496" s="23" t="n"/>
      <c r="H1496" s="23" t="n"/>
      <c r="I1496" s="20">
        <f>IF(COUNT(F1496:H1496)=0,"",SUM(F1496:H1496))</f>
        <v/>
      </c>
      <c r="J1496" s="23" t="n"/>
      <c r="K1496" s="23" t="n"/>
      <c r="L1496" s="23" t="n"/>
      <c r="M1496" s="23" t="n"/>
      <c r="N1496" s="23" t="n"/>
      <c r="O1496" s="20">
        <f>IF(OR(I1496="",COUNT(J1496:N1496)=0),"",IF(SUM(J1496:N1496)=I1496,"✓","⚠ "&amp;SUM(J1496:N1496)&amp;" statt "&amp;I1496))</f>
        <v/>
      </c>
      <c r="P1496" s="21" t="n"/>
      <c r="Q1496" s="21" t="n"/>
      <c r="R1496" s="21" t="n"/>
      <c r="S1496" s="24" t="n"/>
      <c r="T1496" s="24" t="n"/>
      <c r="V1496">
        <f>IF(A1496="","",MONTH(A1496))</f>
        <v/>
      </c>
      <c r="W1496">
        <f>N(W1495)+IF(AND(C1496&lt;&gt;"",T1496&lt;&gt;""),IF(C1496=WOCHE!$B$3,1,0),0)</f>
        <v/>
      </c>
      <c r="X1496">
        <f>N(X1495)+IF(AND(V1496&lt;&gt;"",T1496&lt;&gt;""),IF(V1496=MONAT!$AZ$3,1,0),0)</f>
        <v/>
      </c>
    </row>
    <row r="1497">
      <c r="A1497" s="19" t="n"/>
      <c r="B1497" s="20">
        <f>IF(A1497="","",CHOOSE(WEEKDAY(A1497,2),"Mo","Di","Mi","Do","Fr","Sa","So"))</f>
        <v/>
      </c>
      <c r="C1497" s="20">
        <f>IF(A1497="","",INT((A1497-DATE(YEAR(A1497-WEEKDAY(A1497-1)+4),1,3)+WEEKDAY(DATE(YEAR(A1497-WEEKDAY(A1497-1)+4),1,3))+5)/7))</f>
        <v/>
      </c>
      <c r="D1497" s="21" t="n"/>
      <c r="E1497" s="22" t="n"/>
      <c r="F1497" s="23" t="n"/>
      <c r="G1497" s="23" t="n"/>
      <c r="H1497" s="23" t="n"/>
      <c r="I1497" s="20">
        <f>IF(COUNT(F1497:H1497)=0,"",SUM(F1497:H1497))</f>
        <v/>
      </c>
      <c r="J1497" s="23" t="n"/>
      <c r="K1497" s="23" t="n"/>
      <c r="L1497" s="23" t="n"/>
      <c r="M1497" s="23" t="n"/>
      <c r="N1497" s="23" t="n"/>
      <c r="O1497" s="20">
        <f>IF(OR(I1497="",COUNT(J1497:N1497)=0),"",IF(SUM(J1497:N1497)=I1497,"✓","⚠ "&amp;SUM(J1497:N1497)&amp;" statt "&amp;I1497))</f>
        <v/>
      </c>
      <c r="P1497" s="21" t="n"/>
      <c r="Q1497" s="21" t="n"/>
      <c r="R1497" s="21" t="n"/>
      <c r="S1497" s="24" t="n"/>
      <c r="T1497" s="24" t="n"/>
      <c r="V1497">
        <f>IF(A1497="","",MONTH(A1497))</f>
        <v/>
      </c>
      <c r="W1497">
        <f>N(W1496)+IF(AND(C1497&lt;&gt;"",T1497&lt;&gt;""),IF(C1497=WOCHE!$B$3,1,0),0)</f>
        <v/>
      </c>
      <c r="X1497">
        <f>N(X1496)+IF(AND(V1497&lt;&gt;"",T1497&lt;&gt;""),IF(V1497=MONAT!$AZ$3,1,0),0)</f>
        <v/>
      </c>
    </row>
    <row r="1498">
      <c r="A1498" s="19" t="n"/>
      <c r="B1498" s="20">
        <f>IF(A1498="","",CHOOSE(WEEKDAY(A1498,2),"Mo","Di","Mi","Do","Fr","Sa","So"))</f>
        <v/>
      </c>
      <c r="C1498" s="20">
        <f>IF(A1498="","",INT((A1498-DATE(YEAR(A1498-WEEKDAY(A1498-1)+4),1,3)+WEEKDAY(DATE(YEAR(A1498-WEEKDAY(A1498-1)+4),1,3))+5)/7))</f>
        <v/>
      </c>
      <c r="D1498" s="21" t="n"/>
      <c r="E1498" s="22" t="n"/>
      <c r="F1498" s="23" t="n"/>
      <c r="G1498" s="23" t="n"/>
      <c r="H1498" s="23" t="n"/>
      <c r="I1498" s="20">
        <f>IF(COUNT(F1498:H1498)=0,"",SUM(F1498:H1498))</f>
        <v/>
      </c>
      <c r="J1498" s="23" t="n"/>
      <c r="K1498" s="23" t="n"/>
      <c r="L1498" s="23" t="n"/>
      <c r="M1498" s="23" t="n"/>
      <c r="N1498" s="23" t="n"/>
      <c r="O1498" s="20">
        <f>IF(OR(I1498="",COUNT(J1498:N1498)=0),"",IF(SUM(J1498:N1498)=I1498,"✓","⚠ "&amp;SUM(J1498:N1498)&amp;" statt "&amp;I1498))</f>
        <v/>
      </c>
      <c r="P1498" s="21" t="n"/>
      <c r="Q1498" s="21" t="n"/>
      <c r="R1498" s="21" t="n"/>
      <c r="S1498" s="24" t="n"/>
      <c r="T1498" s="24" t="n"/>
      <c r="V1498">
        <f>IF(A1498="","",MONTH(A1498))</f>
        <v/>
      </c>
      <c r="W1498">
        <f>N(W1497)+IF(AND(C1498&lt;&gt;"",T1498&lt;&gt;""),IF(C1498=WOCHE!$B$3,1,0),0)</f>
        <v/>
      </c>
      <c r="X1498">
        <f>N(X1497)+IF(AND(V1498&lt;&gt;"",T1498&lt;&gt;""),IF(V1498=MONAT!$AZ$3,1,0),0)</f>
        <v/>
      </c>
    </row>
    <row r="1499">
      <c r="A1499" s="19" t="n"/>
      <c r="B1499" s="20">
        <f>IF(A1499="","",CHOOSE(WEEKDAY(A1499,2),"Mo","Di","Mi","Do","Fr","Sa","So"))</f>
        <v/>
      </c>
      <c r="C1499" s="20">
        <f>IF(A1499="","",INT((A1499-DATE(YEAR(A1499-WEEKDAY(A1499-1)+4),1,3)+WEEKDAY(DATE(YEAR(A1499-WEEKDAY(A1499-1)+4),1,3))+5)/7))</f>
        <v/>
      </c>
      <c r="D1499" s="21" t="n"/>
      <c r="E1499" s="22" t="n"/>
      <c r="F1499" s="23" t="n"/>
      <c r="G1499" s="23" t="n"/>
      <c r="H1499" s="23" t="n"/>
      <c r="I1499" s="20">
        <f>IF(COUNT(F1499:H1499)=0,"",SUM(F1499:H1499))</f>
        <v/>
      </c>
      <c r="J1499" s="23" t="n"/>
      <c r="K1499" s="23" t="n"/>
      <c r="L1499" s="23" t="n"/>
      <c r="M1499" s="23" t="n"/>
      <c r="N1499" s="23" t="n"/>
      <c r="O1499" s="20">
        <f>IF(OR(I1499="",COUNT(J1499:N1499)=0),"",IF(SUM(J1499:N1499)=I1499,"✓","⚠ "&amp;SUM(J1499:N1499)&amp;" statt "&amp;I1499))</f>
        <v/>
      </c>
      <c r="P1499" s="21" t="n"/>
      <c r="Q1499" s="21" t="n"/>
      <c r="R1499" s="21" t="n"/>
      <c r="S1499" s="24" t="n"/>
      <c r="T1499" s="24" t="n"/>
      <c r="V1499">
        <f>IF(A1499="","",MONTH(A1499))</f>
        <v/>
      </c>
      <c r="W1499">
        <f>N(W1498)+IF(AND(C1499&lt;&gt;"",T1499&lt;&gt;""),IF(C1499=WOCHE!$B$3,1,0),0)</f>
        <v/>
      </c>
      <c r="X1499">
        <f>N(X1498)+IF(AND(V1499&lt;&gt;"",T1499&lt;&gt;""),IF(V1499=MONAT!$AZ$3,1,0),0)</f>
        <v/>
      </c>
    </row>
    <row r="1500">
      <c r="A1500" s="19" t="n"/>
      <c r="B1500" s="20">
        <f>IF(A1500="","",CHOOSE(WEEKDAY(A1500,2),"Mo","Di","Mi","Do","Fr","Sa","So"))</f>
        <v/>
      </c>
      <c r="C1500" s="20">
        <f>IF(A1500="","",INT((A1500-DATE(YEAR(A1500-WEEKDAY(A1500-1)+4),1,3)+WEEKDAY(DATE(YEAR(A1500-WEEKDAY(A1500-1)+4),1,3))+5)/7))</f>
        <v/>
      </c>
      <c r="D1500" s="21" t="n"/>
      <c r="E1500" s="22" t="n"/>
      <c r="F1500" s="23" t="n"/>
      <c r="G1500" s="23" t="n"/>
      <c r="H1500" s="23" t="n"/>
      <c r="I1500" s="20">
        <f>IF(COUNT(F1500:H1500)=0,"",SUM(F1500:H1500))</f>
        <v/>
      </c>
      <c r="J1500" s="23" t="n"/>
      <c r="K1500" s="23" t="n"/>
      <c r="L1500" s="23" t="n"/>
      <c r="M1500" s="23" t="n"/>
      <c r="N1500" s="23" t="n"/>
      <c r="O1500" s="20">
        <f>IF(OR(I1500="",COUNT(J1500:N1500)=0),"",IF(SUM(J1500:N1500)=I1500,"✓","⚠ "&amp;SUM(J1500:N1500)&amp;" statt "&amp;I1500))</f>
        <v/>
      </c>
      <c r="P1500" s="21" t="n"/>
      <c r="Q1500" s="21" t="n"/>
      <c r="R1500" s="21" t="n"/>
      <c r="S1500" s="24" t="n"/>
      <c r="T1500" s="24" t="n"/>
      <c r="V1500">
        <f>IF(A1500="","",MONTH(A1500))</f>
        <v/>
      </c>
      <c r="W1500">
        <f>N(W1499)+IF(AND(C1500&lt;&gt;"",T1500&lt;&gt;""),IF(C1500=WOCHE!$B$3,1,0),0)</f>
        <v/>
      </c>
      <c r="X1500">
        <f>N(X1499)+IF(AND(V1500&lt;&gt;"",T1500&lt;&gt;""),IF(V1500=MONAT!$AZ$3,1,0),0)</f>
        <v/>
      </c>
    </row>
    <row r="1501">
      <c r="A1501" s="19" t="n"/>
      <c r="B1501" s="20">
        <f>IF(A1501="","",CHOOSE(WEEKDAY(A1501,2),"Mo","Di","Mi","Do","Fr","Sa","So"))</f>
        <v/>
      </c>
      <c r="C1501" s="20">
        <f>IF(A1501="","",INT((A1501-DATE(YEAR(A1501-WEEKDAY(A1501-1)+4),1,3)+WEEKDAY(DATE(YEAR(A1501-WEEKDAY(A1501-1)+4),1,3))+5)/7))</f>
        <v/>
      </c>
      <c r="D1501" s="21" t="n"/>
      <c r="E1501" s="22" t="n"/>
      <c r="F1501" s="23" t="n"/>
      <c r="G1501" s="23" t="n"/>
      <c r="H1501" s="23" t="n"/>
      <c r="I1501" s="20">
        <f>IF(COUNT(F1501:H1501)=0,"",SUM(F1501:H1501))</f>
        <v/>
      </c>
      <c r="J1501" s="23" t="n"/>
      <c r="K1501" s="23" t="n"/>
      <c r="L1501" s="23" t="n"/>
      <c r="M1501" s="23" t="n"/>
      <c r="N1501" s="23" t="n"/>
      <c r="O1501" s="20">
        <f>IF(OR(I1501="",COUNT(J1501:N1501)=0),"",IF(SUM(J1501:N1501)=I1501,"✓","⚠ "&amp;SUM(J1501:N1501)&amp;" statt "&amp;I1501))</f>
        <v/>
      </c>
      <c r="P1501" s="21" t="n"/>
      <c r="Q1501" s="21" t="n"/>
      <c r="R1501" s="21" t="n"/>
      <c r="S1501" s="24" t="n"/>
      <c r="T1501" s="24" t="n"/>
      <c r="V1501">
        <f>IF(A1501="","",MONTH(A1501))</f>
        <v/>
      </c>
      <c r="W1501">
        <f>N(W1500)+IF(AND(C1501&lt;&gt;"",T1501&lt;&gt;""),IF(C1501=WOCHE!$B$3,1,0),0)</f>
        <v/>
      </c>
      <c r="X1501">
        <f>N(X1500)+IF(AND(V1501&lt;&gt;"",T1501&lt;&gt;""),IF(V1501=MONAT!$AZ$3,1,0),0)</f>
        <v/>
      </c>
    </row>
    <row r="1502">
      <c r="A1502" s="19" t="n"/>
      <c r="B1502" s="20">
        <f>IF(A1502="","",CHOOSE(WEEKDAY(A1502,2),"Mo","Di","Mi","Do","Fr","Sa","So"))</f>
        <v/>
      </c>
      <c r="C1502" s="20">
        <f>IF(A1502="","",INT((A1502-DATE(YEAR(A1502-WEEKDAY(A1502-1)+4),1,3)+WEEKDAY(DATE(YEAR(A1502-WEEKDAY(A1502-1)+4),1,3))+5)/7))</f>
        <v/>
      </c>
      <c r="D1502" s="21" t="n"/>
      <c r="E1502" s="22" t="n"/>
      <c r="F1502" s="23" t="n"/>
      <c r="G1502" s="23" t="n"/>
      <c r="H1502" s="23" t="n"/>
      <c r="I1502" s="20">
        <f>IF(COUNT(F1502:H1502)=0,"",SUM(F1502:H1502))</f>
        <v/>
      </c>
      <c r="J1502" s="23" t="n"/>
      <c r="K1502" s="23" t="n"/>
      <c r="L1502" s="23" t="n"/>
      <c r="M1502" s="23" t="n"/>
      <c r="N1502" s="23" t="n"/>
      <c r="O1502" s="20">
        <f>IF(OR(I1502="",COUNT(J1502:N1502)=0),"",IF(SUM(J1502:N1502)=I1502,"✓","⚠ "&amp;SUM(J1502:N1502)&amp;" statt "&amp;I1502))</f>
        <v/>
      </c>
      <c r="P1502" s="21" t="n"/>
      <c r="Q1502" s="21" t="n"/>
      <c r="R1502" s="21" t="n"/>
      <c r="S1502" s="24" t="n"/>
      <c r="T1502" s="24" t="n"/>
      <c r="V1502">
        <f>IF(A1502="","",MONTH(A1502))</f>
        <v/>
      </c>
      <c r="W1502">
        <f>N(W1501)+IF(AND(C1502&lt;&gt;"",T1502&lt;&gt;""),IF(C1502=WOCHE!$B$3,1,0),0)</f>
        <v/>
      </c>
      <c r="X1502">
        <f>N(X1501)+IF(AND(V1502&lt;&gt;"",T1502&lt;&gt;""),IF(V1502=MONAT!$AZ$3,1,0),0)</f>
        <v/>
      </c>
    </row>
    <row r="1503">
      <c r="A1503" s="19" t="n"/>
      <c r="B1503" s="20">
        <f>IF(A1503="","",CHOOSE(WEEKDAY(A1503,2),"Mo","Di","Mi","Do","Fr","Sa","So"))</f>
        <v/>
      </c>
      <c r="C1503" s="20">
        <f>IF(A1503="","",INT((A1503-DATE(YEAR(A1503-WEEKDAY(A1503-1)+4),1,3)+WEEKDAY(DATE(YEAR(A1503-WEEKDAY(A1503-1)+4),1,3))+5)/7))</f>
        <v/>
      </c>
      <c r="D1503" s="21" t="n"/>
      <c r="E1503" s="22" t="n"/>
      <c r="F1503" s="23" t="n"/>
      <c r="G1503" s="23" t="n"/>
      <c r="H1503" s="23" t="n"/>
      <c r="I1503" s="20">
        <f>IF(COUNT(F1503:H1503)=0,"",SUM(F1503:H1503))</f>
        <v/>
      </c>
      <c r="J1503" s="23" t="n"/>
      <c r="K1503" s="23" t="n"/>
      <c r="L1503" s="23" t="n"/>
      <c r="M1503" s="23" t="n"/>
      <c r="N1503" s="23" t="n"/>
      <c r="O1503" s="20">
        <f>IF(OR(I1503="",COUNT(J1503:N1503)=0),"",IF(SUM(J1503:N1503)=I1503,"✓","⚠ "&amp;SUM(J1503:N1503)&amp;" statt "&amp;I1503))</f>
        <v/>
      </c>
      <c r="P1503" s="21" t="n"/>
      <c r="Q1503" s="21" t="n"/>
      <c r="R1503" s="21" t="n"/>
      <c r="S1503" s="24" t="n"/>
      <c r="T1503" s="24" t="n"/>
      <c r="V1503">
        <f>IF(A1503="","",MONTH(A1503))</f>
        <v/>
      </c>
      <c r="W1503">
        <f>N(W1502)+IF(AND(C1503&lt;&gt;"",T1503&lt;&gt;""),IF(C1503=WOCHE!$B$3,1,0),0)</f>
        <v/>
      </c>
      <c r="X1503">
        <f>N(X1502)+IF(AND(V1503&lt;&gt;"",T1503&lt;&gt;""),IF(V1503=MONAT!$AZ$3,1,0),0)</f>
        <v/>
      </c>
    </row>
    <row r="1504">
      <c r="A1504" s="19" t="n"/>
      <c r="B1504" s="20">
        <f>IF(A1504="","",CHOOSE(WEEKDAY(A1504,2),"Mo","Di","Mi","Do","Fr","Sa","So"))</f>
        <v/>
      </c>
      <c r="C1504" s="20">
        <f>IF(A1504="","",INT((A1504-DATE(YEAR(A1504-WEEKDAY(A1504-1)+4),1,3)+WEEKDAY(DATE(YEAR(A1504-WEEKDAY(A1504-1)+4),1,3))+5)/7))</f>
        <v/>
      </c>
      <c r="D1504" s="21" t="n"/>
      <c r="E1504" s="22" t="n"/>
      <c r="F1504" s="23" t="n"/>
      <c r="G1504" s="23" t="n"/>
      <c r="H1504" s="23" t="n"/>
      <c r="I1504" s="20">
        <f>IF(COUNT(F1504:H1504)=0,"",SUM(F1504:H1504))</f>
        <v/>
      </c>
      <c r="J1504" s="23" t="n"/>
      <c r="K1504" s="23" t="n"/>
      <c r="L1504" s="23" t="n"/>
      <c r="M1504" s="23" t="n"/>
      <c r="N1504" s="23" t="n"/>
      <c r="O1504" s="20">
        <f>IF(OR(I1504="",COUNT(J1504:N1504)=0),"",IF(SUM(J1504:N1504)=I1504,"✓","⚠ "&amp;SUM(J1504:N1504)&amp;" statt "&amp;I1504))</f>
        <v/>
      </c>
      <c r="P1504" s="21" t="n"/>
      <c r="Q1504" s="21" t="n"/>
      <c r="R1504" s="21" t="n"/>
      <c r="S1504" s="24" t="n"/>
      <c r="T1504" s="24" t="n"/>
      <c r="V1504">
        <f>IF(A1504="","",MONTH(A1504))</f>
        <v/>
      </c>
      <c r="W1504">
        <f>N(W1503)+IF(AND(C1504&lt;&gt;"",T1504&lt;&gt;""),IF(C1504=WOCHE!$B$3,1,0),0)</f>
        <v/>
      </c>
      <c r="X1504">
        <f>N(X1503)+IF(AND(V1504&lt;&gt;"",T1504&lt;&gt;""),IF(V1504=MONAT!$AZ$3,1,0),0)</f>
        <v/>
      </c>
    </row>
    <row r="1505">
      <c r="A1505" s="19" t="n"/>
      <c r="B1505" s="20">
        <f>IF(A1505="","",CHOOSE(WEEKDAY(A1505,2),"Mo","Di","Mi","Do","Fr","Sa","So"))</f>
        <v/>
      </c>
      <c r="C1505" s="20">
        <f>IF(A1505="","",INT((A1505-DATE(YEAR(A1505-WEEKDAY(A1505-1)+4),1,3)+WEEKDAY(DATE(YEAR(A1505-WEEKDAY(A1505-1)+4),1,3))+5)/7))</f>
        <v/>
      </c>
      <c r="D1505" s="21" t="n"/>
      <c r="E1505" s="22" t="n"/>
      <c r="F1505" s="23" t="n"/>
      <c r="G1505" s="23" t="n"/>
      <c r="H1505" s="23" t="n"/>
      <c r="I1505" s="20">
        <f>IF(COUNT(F1505:H1505)=0,"",SUM(F1505:H1505))</f>
        <v/>
      </c>
      <c r="J1505" s="23" t="n"/>
      <c r="K1505" s="23" t="n"/>
      <c r="L1505" s="23" t="n"/>
      <c r="M1505" s="23" t="n"/>
      <c r="N1505" s="23" t="n"/>
      <c r="O1505" s="20">
        <f>IF(OR(I1505="",COUNT(J1505:N1505)=0),"",IF(SUM(J1505:N1505)=I1505,"✓","⚠ "&amp;SUM(J1505:N1505)&amp;" statt "&amp;I1505))</f>
        <v/>
      </c>
      <c r="P1505" s="21" t="n"/>
      <c r="Q1505" s="21" t="n"/>
      <c r="R1505" s="21" t="n"/>
      <c r="S1505" s="24" t="n"/>
      <c r="T1505" s="24" t="n"/>
      <c r="V1505">
        <f>IF(A1505="","",MONTH(A1505))</f>
        <v/>
      </c>
      <c r="W1505">
        <f>N(W1504)+IF(AND(C1505&lt;&gt;"",T1505&lt;&gt;""),IF(C1505=WOCHE!$B$3,1,0),0)</f>
        <v/>
      </c>
      <c r="X1505">
        <f>N(X1504)+IF(AND(V1505&lt;&gt;"",T1505&lt;&gt;""),IF(V1505=MONAT!$AZ$3,1,0),0)</f>
        <v/>
      </c>
    </row>
    <row r="1506">
      <c r="A1506" s="19" t="n"/>
      <c r="B1506" s="20">
        <f>IF(A1506="","",CHOOSE(WEEKDAY(A1506,2),"Mo","Di","Mi","Do","Fr","Sa","So"))</f>
        <v/>
      </c>
      <c r="C1506" s="20">
        <f>IF(A1506="","",INT((A1506-DATE(YEAR(A1506-WEEKDAY(A1506-1)+4),1,3)+WEEKDAY(DATE(YEAR(A1506-WEEKDAY(A1506-1)+4),1,3))+5)/7))</f>
        <v/>
      </c>
      <c r="D1506" s="21" t="n"/>
      <c r="E1506" s="22" t="n"/>
      <c r="F1506" s="23" t="n"/>
      <c r="G1506" s="23" t="n"/>
      <c r="H1506" s="23" t="n"/>
      <c r="I1506" s="20">
        <f>IF(COUNT(F1506:H1506)=0,"",SUM(F1506:H1506))</f>
        <v/>
      </c>
      <c r="J1506" s="23" t="n"/>
      <c r="K1506" s="23" t="n"/>
      <c r="L1506" s="23" t="n"/>
      <c r="M1506" s="23" t="n"/>
      <c r="N1506" s="23" t="n"/>
      <c r="O1506" s="20">
        <f>IF(OR(I1506="",COUNT(J1506:N1506)=0),"",IF(SUM(J1506:N1506)=I1506,"✓","⚠ "&amp;SUM(J1506:N1506)&amp;" statt "&amp;I1506))</f>
        <v/>
      </c>
      <c r="P1506" s="21" t="n"/>
      <c r="Q1506" s="21" t="n"/>
      <c r="R1506" s="21" t="n"/>
      <c r="S1506" s="24" t="n"/>
      <c r="T1506" s="24" t="n"/>
      <c r="V1506">
        <f>IF(A1506="","",MONTH(A1506))</f>
        <v/>
      </c>
      <c r="W1506">
        <f>N(W1505)+IF(AND(C1506&lt;&gt;"",T1506&lt;&gt;""),IF(C1506=WOCHE!$B$3,1,0),0)</f>
        <v/>
      </c>
      <c r="X1506">
        <f>N(X1505)+IF(AND(V1506&lt;&gt;"",T1506&lt;&gt;""),IF(V1506=MONAT!$AZ$3,1,0),0)</f>
        <v/>
      </c>
    </row>
    <row r="1507">
      <c r="A1507" s="19" t="n"/>
      <c r="B1507" s="20">
        <f>IF(A1507="","",CHOOSE(WEEKDAY(A1507,2),"Mo","Di","Mi","Do","Fr","Sa","So"))</f>
        <v/>
      </c>
      <c r="C1507" s="20">
        <f>IF(A1507="","",INT((A1507-DATE(YEAR(A1507-WEEKDAY(A1507-1)+4),1,3)+WEEKDAY(DATE(YEAR(A1507-WEEKDAY(A1507-1)+4),1,3))+5)/7))</f>
        <v/>
      </c>
      <c r="D1507" s="21" t="n"/>
      <c r="E1507" s="22" t="n"/>
      <c r="F1507" s="23" t="n"/>
      <c r="G1507" s="23" t="n"/>
      <c r="H1507" s="23" t="n"/>
      <c r="I1507" s="20">
        <f>IF(COUNT(F1507:H1507)=0,"",SUM(F1507:H1507))</f>
        <v/>
      </c>
      <c r="J1507" s="23" t="n"/>
      <c r="K1507" s="23" t="n"/>
      <c r="L1507" s="23" t="n"/>
      <c r="M1507" s="23" t="n"/>
      <c r="N1507" s="23" t="n"/>
      <c r="O1507" s="20">
        <f>IF(OR(I1507="",COUNT(J1507:N1507)=0),"",IF(SUM(J1507:N1507)=I1507,"✓","⚠ "&amp;SUM(J1507:N1507)&amp;" statt "&amp;I1507))</f>
        <v/>
      </c>
      <c r="P1507" s="21" t="n"/>
      <c r="Q1507" s="21" t="n"/>
      <c r="R1507" s="21" t="n"/>
      <c r="S1507" s="24" t="n"/>
      <c r="T1507" s="24" t="n"/>
      <c r="V1507">
        <f>IF(A1507="","",MONTH(A1507))</f>
        <v/>
      </c>
      <c r="W1507">
        <f>N(W1506)+IF(AND(C1507&lt;&gt;"",T1507&lt;&gt;""),IF(C1507=WOCHE!$B$3,1,0),0)</f>
        <v/>
      </c>
      <c r="X1507">
        <f>N(X1506)+IF(AND(V1507&lt;&gt;"",T1507&lt;&gt;""),IF(V1507=MONAT!$AZ$3,1,0),0)</f>
        <v/>
      </c>
    </row>
    <row r="1508">
      <c r="A1508" s="19" t="n"/>
      <c r="B1508" s="20">
        <f>IF(A1508="","",CHOOSE(WEEKDAY(A1508,2),"Mo","Di","Mi","Do","Fr","Sa","So"))</f>
        <v/>
      </c>
      <c r="C1508" s="20">
        <f>IF(A1508="","",INT((A1508-DATE(YEAR(A1508-WEEKDAY(A1508-1)+4),1,3)+WEEKDAY(DATE(YEAR(A1508-WEEKDAY(A1508-1)+4),1,3))+5)/7))</f>
        <v/>
      </c>
      <c r="D1508" s="21" t="n"/>
      <c r="E1508" s="22" t="n"/>
      <c r="F1508" s="23" t="n"/>
      <c r="G1508" s="23" t="n"/>
      <c r="H1508" s="23" t="n"/>
      <c r="I1508" s="20">
        <f>IF(COUNT(F1508:H1508)=0,"",SUM(F1508:H1508))</f>
        <v/>
      </c>
      <c r="J1508" s="23" t="n"/>
      <c r="K1508" s="23" t="n"/>
      <c r="L1508" s="23" t="n"/>
      <c r="M1508" s="23" t="n"/>
      <c r="N1508" s="23" t="n"/>
      <c r="O1508" s="20">
        <f>IF(OR(I1508="",COUNT(J1508:N1508)=0),"",IF(SUM(J1508:N1508)=I1508,"✓","⚠ "&amp;SUM(J1508:N1508)&amp;" statt "&amp;I1508))</f>
        <v/>
      </c>
      <c r="P1508" s="21" t="n"/>
      <c r="Q1508" s="21" t="n"/>
      <c r="R1508" s="21" t="n"/>
      <c r="S1508" s="24" t="n"/>
      <c r="T1508" s="24" t="n"/>
      <c r="V1508">
        <f>IF(A1508="","",MONTH(A1508))</f>
        <v/>
      </c>
      <c r="W1508">
        <f>N(W1507)+IF(AND(C1508&lt;&gt;"",T1508&lt;&gt;""),IF(C1508=WOCHE!$B$3,1,0),0)</f>
        <v/>
      </c>
      <c r="X1508">
        <f>N(X1507)+IF(AND(V1508&lt;&gt;"",T1508&lt;&gt;""),IF(V1508=MONAT!$AZ$3,1,0),0)</f>
        <v/>
      </c>
    </row>
    <row r="1509">
      <c r="A1509" s="19" t="n"/>
      <c r="B1509" s="20">
        <f>IF(A1509="","",CHOOSE(WEEKDAY(A1509,2),"Mo","Di","Mi","Do","Fr","Sa","So"))</f>
        <v/>
      </c>
      <c r="C1509" s="20">
        <f>IF(A1509="","",INT((A1509-DATE(YEAR(A1509-WEEKDAY(A1509-1)+4),1,3)+WEEKDAY(DATE(YEAR(A1509-WEEKDAY(A1509-1)+4),1,3))+5)/7))</f>
        <v/>
      </c>
      <c r="D1509" s="21" t="n"/>
      <c r="E1509" s="22" t="n"/>
      <c r="F1509" s="23" t="n"/>
      <c r="G1509" s="23" t="n"/>
      <c r="H1509" s="23" t="n"/>
      <c r="I1509" s="20">
        <f>IF(COUNT(F1509:H1509)=0,"",SUM(F1509:H1509))</f>
        <v/>
      </c>
      <c r="J1509" s="23" t="n"/>
      <c r="K1509" s="23" t="n"/>
      <c r="L1509" s="23" t="n"/>
      <c r="M1509" s="23" t="n"/>
      <c r="N1509" s="23" t="n"/>
      <c r="O1509" s="20">
        <f>IF(OR(I1509="",COUNT(J1509:N1509)=0),"",IF(SUM(J1509:N1509)=I1509,"✓","⚠ "&amp;SUM(J1509:N1509)&amp;" statt "&amp;I1509))</f>
        <v/>
      </c>
      <c r="P1509" s="21" t="n"/>
      <c r="Q1509" s="21" t="n"/>
      <c r="R1509" s="21" t="n"/>
      <c r="S1509" s="24" t="n"/>
      <c r="T1509" s="24" t="n"/>
      <c r="V1509">
        <f>IF(A1509="","",MONTH(A1509))</f>
        <v/>
      </c>
      <c r="W1509">
        <f>N(W1508)+IF(AND(C1509&lt;&gt;"",T1509&lt;&gt;""),IF(C1509=WOCHE!$B$3,1,0),0)</f>
        <v/>
      </c>
      <c r="X1509">
        <f>N(X1508)+IF(AND(V1509&lt;&gt;"",T1509&lt;&gt;""),IF(V1509=MONAT!$AZ$3,1,0),0)</f>
        <v/>
      </c>
    </row>
    <row r="1510">
      <c r="A1510" s="19" t="n"/>
      <c r="B1510" s="20">
        <f>IF(A1510="","",CHOOSE(WEEKDAY(A1510,2),"Mo","Di","Mi","Do","Fr","Sa","So"))</f>
        <v/>
      </c>
      <c r="C1510" s="20">
        <f>IF(A1510="","",INT((A1510-DATE(YEAR(A1510-WEEKDAY(A1510-1)+4),1,3)+WEEKDAY(DATE(YEAR(A1510-WEEKDAY(A1510-1)+4),1,3))+5)/7))</f>
        <v/>
      </c>
      <c r="D1510" s="21" t="n"/>
      <c r="E1510" s="22" t="n"/>
      <c r="F1510" s="23" t="n"/>
      <c r="G1510" s="23" t="n"/>
      <c r="H1510" s="23" t="n"/>
      <c r="I1510" s="20">
        <f>IF(COUNT(F1510:H1510)=0,"",SUM(F1510:H1510))</f>
        <v/>
      </c>
      <c r="J1510" s="23" t="n"/>
      <c r="K1510" s="23" t="n"/>
      <c r="L1510" s="23" t="n"/>
      <c r="M1510" s="23" t="n"/>
      <c r="N1510" s="23" t="n"/>
      <c r="O1510" s="20">
        <f>IF(OR(I1510="",COUNT(J1510:N1510)=0),"",IF(SUM(J1510:N1510)=I1510,"✓","⚠ "&amp;SUM(J1510:N1510)&amp;" statt "&amp;I1510))</f>
        <v/>
      </c>
      <c r="P1510" s="21" t="n"/>
      <c r="Q1510" s="21" t="n"/>
      <c r="R1510" s="21" t="n"/>
      <c r="S1510" s="24" t="n"/>
      <c r="T1510" s="24" t="n"/>
      <c r="V1510">
        <f>IF(A1510="","",MONTH(A1510))</f>
        <v/>
      </c>
      <c r="W1510">
        <f>N(W1509)+IF(AND(C1510&lt;&gt;"",T1510&lt;&gt;""),IF(C1510=WOCHE!$B$3,1,0),0)</f>
        <v/>
      </c>
      <c r="X1510">
        <f>N(X1509)+IF(AND(V1510&lt;&gt;"",T1510&lt;&gt;""),IF(V1510=MONAT!$AZ$3,1,0),0)</f>
        <v/>
      </c>
    </row>
    <row r="1511">
      <c r="A1511" s="19" t="n"/>
      <c r="B1511" s="20">
        <f>IF(A1511="","",CHOOSE(WEEKDAY(A1511,2),"Mo","Di","Mi","Do","Fr","Sa","So"))</f>
        <v/>
      </c>
      <c r="C1511" s="20">
        <f>IF(A1511="","",INT((A1511-DATE(YEAR(A1511-WEEKDAY(A1511-1)+4),1,3)+WEEKDAY(DATE(YEAR(A1511-WEEKDAY(A1511-1)+4),1,3))+5)/7))</f>
        <v/>
      </c>
      <c r="D1511" s="21" t="n"/>
      <c r="E1511" s="22" t="n"/>
      <c r="F1511" s="23" t="n"/>
      <c r="G1511" s="23" t="n"/>
      <c r="H1511" s="23" t="n"/>
      <c r="I1511" s="20">
        <f>IF(COUNT(F1511:H1511)=0,"",SUM(F1511:H1511))</f>
        <v/>
      </c>
      <c r="J1511" s="23" t="n"/>
      <c r="K1511" s="23" t="n"/>
      <c r="L1511" s="23" t="n"/>
      <c r="M1511" s="23" t="n"/>
      <c r="N1511" s="23" t="n"/>
      <c r="O1511" s="20">
        <f>IF(OR(I1511="",COUNT(J1511:N1511)=0),"",IF(SUM(J1511:N1511)=I1511,"✓","⚠ "&amp;SUM(J1511:N1511)&amp;" statt "&amp;I1511))</f>
        <v/>
      </c>
      <c r="P1511" s="21" t="n"/>
      <c r="Q1511" s="21" t="n"/>
      <c r="R1511" s="21" t="n"/>
      <c r="S1511" s="24" t="n"/>
      <c r="T1511" s="24" t="n"/>
      <c r="V1511">
        <f>IF(A1511="","",MONTH(A1511))</f>
        <v/>
      </c>
      <c r="W1511">
        <f>N(W1510)+IF(AND(C1511&lt;&gt;"",T1511&lt;&gt;""),IF(C1511=WOCHE!$B$3,1,0),0)</f>
        <v/>
      </c>
      <c r="X1511">
        <f>N(X1510)+IF(AND(V1511&lt;&gt;"",T1511&lt;&gt;""),IF(V1511=MONAT!$AZ$3,1,0),0)</f>
        <v/>
      </c>
    </row>
    <row r="1512">
      <c r="A1512" s="19" t="n"/>
      <c r="B1512" s="20">
        <f>IF(A1512="","",CHOOSE(WEEKDAY(A1512,2),"Mo","Di","Mi","Do","Fr","Sa","So"))</f>
        <v/>
      </c>
      <c r="C1512" s="20">
        <f>IF(A1512="","",INT((A1512-DATE(YEAR(A1512-WEEKDAY(A1512-1)+4),1,3)+WEEKDAY(DATE(YEAR(A1512-WEEKDAY(A1512-1)+4),1,3))+5)/7))</f>
        <v/>
      </c>
      <c r="D1512" s="21" t="n"/>
      <c r="E1512" s="22" t="n"/>
      <c r="F1512" s="23" t="n"/>
      <c r="G1512" s="23" t="n"/>
      <c r="H1512" s="23" t="n"/>
      <c r="I1512" s="20">
        <f>IF(COUNT(F1512:H1512)=0,"",SUM(F1512:H1512))</f>
        <v/>
      </c>
      <c r="J1512" s="23" t="n"/>
      <c r="K1512" s="23" t="n"/>
      <c r="L1512" s="23" t="n"/>
      <c r="M1512" s="23" t="n"/>
      <c r="N1512" s="23" t="n"/>
      <c r="O1512" s="20">
        <f>IF(OR(I1512="",COUNT(J1512:N1512)=0),"",IF(SUM(J1512:N1512)=I1512,"✓","⚠ "&amp;SUM(J1512:N1512)&amp;" statt "&amp;I1512))</f>
        <v/>
      </c>
      <c r="P1512" s="21" t="n"/>
      <c r="Q1512" s="21" t="n"/>
      <c r="R1512" s="21" t="n"/>
      <c r="S1512" s="24" t="n"/>
      <c r="T1512" s="24" t="n"/>
      <c r="V1512">
        <f>IF(A1512="","",MONTH(A1512))</f>
        <v/>
      </c>
      <c r="W1512">
        <f>N(W1511)+IF(AND(C1512&lt;&gt;"",T1512&lt;&gt;""),IF(C1512=WOCHE!$B$3,1,0),0)</f>
        <v/>
      </c>
      <c r="X1512">
        <f>N(X1511)+IF(AND(V1512&lt;&gt;"",T1512&lt;&gt;""),IF(V1512=MONAT!$AZ$3,1,0),0)</f>
        <v/>
      </c>
    </row>
    <row r="1513">
      <c r="A1513" s="19" t="n"/>
      <c r="B1513" s="20">
        <f>IF(A1513="","",CHOOSE(WEEKDAY(A1513,2),"Mo","Di","Mi","Do","Fr","Sa","So"))</f>
        <v/>
      </c>
      <c r="C1513" s="20">
        <f>IF(A1513="","",INT((A1513-DATE(YEAR(A1513-WEEKDAY(A1513-1)+4),1,3)+WEEKDAY(DATE(YEAR(A1513-WEEKDAY(A1513-1)+4),1,3))+5)/7))</f>
        <v/>
      </c>
      <c r="D1513" s="21" t="n"/>
      <c r="E1513" s="22" t="n"/>
      <c r="F1513" s="23" t="n"/>
      <c r="G1513" s="23" t="n"/>
      <c r="H1513" s="23" t="n"/>
      <c r="I1513" s="20">
        <f>IF(COUNT(F1513:H1513)=0,"",SUM(F1513:H1513))</f>
        <v/>
      </c>
      <c r="J1513" s="23" t="n"/>
      <c r="K1513" s="23" t="n"/>
      <c r="L1513" s="23" t="n"/>
      <c r="M1513" s="23" t="n"/>
      <c r="N1513" s="23" t="n"/>
      <c r="O1513" s="20">
        <f>IF(OR(I1513="",COUNT(J1513:N1513)=0),"",IF(SUM(J1513:N1513)=I1513,"✓","⚠ "&amp;SUM(J1513:N1513)&amp;" statt "&amp;I1513))</f>
        <v/>
      </c>
      <c r="P1513" s="21" t="n"/>
      <c r="Q1513" s="21" t="n"/>
      <c r="R1513" s="21" t="n"/>
      <c r="S1513" s="24" t="n"/>
      <c r="T1513" s="24" t="n"/>
      <c r="V1513">
        <f>IF(A1513="","",MONTH(A1513))</f>
        <v/>
      </c>
      <c r="W1513">
        <f>N(W1512)+IF(AND(C1513&lt;&gt;"",T1513&lt;&gt;""),IF(C1513=WOCHE!$B$3,1,0),0)</f>
        <v/>
      </c>
      <c r="X1513">
        <f>N(X1512)+IF(AND(V1513&lt;&gt;"",T1513&lt;&gt;""),IF(V1513=MONAT!$AZ$3,1,0),0)</f>
        <v/>
      </c>
    </row>
    <row r="1514">
      <c r="A1514" s="19" t="n"/>
      <c r="B1514" s="20">
        <f>IF(A1514="","",CHOOSE(WEEKDAY(A1514,2),"Mo","Di","Mi","Do","Fr","Sa","So"))</f>
        <v/>
      </c>
      <c r="C1514" s="20">
        <f>IF(A1514="","",INT((A1514-DATE(YEAR(A1514-WEEKDAY(A1514-1)+4),1,3)+WEEKDAY(DATE(YEAR(A1514-WEEKDAY(A1514-1)+4),1,3))+5)/7))</f>
        <v/>
      </c>
      <c r="D1514" s="21" t="n"/>
      <c r="E1514" s="22" t="n"/>
      <c r="F1514" s="23" t="n"/>
      <c r="G1514" s="23" t="n"/>
      <c r="H1514" s="23" t="n"/>
      <c r="I1514" s="20">
        <f>IF(COUNT(F1514:H1514)=0,"",SUM(F1514:H1514))</f>
        <v/>
      </c>
      <c r="J1514" s="23" t="n"/>
      <c r="K1514" s="23" t="n"/>
      <c r="L1514" s="23" t="n"/>
      <c r="M1514" s="23" t="n"/>
      <c r="N1514" s="23" t="n"/>
      <c r="O1514" s="20">
        <f>IF(OR(I1514="",COUNT(J1514:N1514)=0),"",IF(SUM(J1514:N1514)=I1514,"✓","⚠ "&amp;SUM(J1514:N1514)&amp;" statt "&amp;I1514))</f>
        <v/>
      </c>
      <c r="P1514" s="21" t="n"/>
      <c r="Q1514" s="21" t="n"/>
      <c r="R1514" s="21" t="n"/>
      <c r="S1514" s="24" t="n"/>
      <c r="T1514" s="24" t="n"/>
      <c r="V1514">
        <f>IF(A1514="","",MONTH(A1514))</f>
        <v/>
      </c>
      <c r="W1514">
        <f>N(W1513)+IF(AND(C1514&lt;&gt;"",T1514&lt;&gt;""),IF(C1514=WOCHE!$B$3,1,0),0)</f>
        <v/>
      </c>
      <c r="X1514">
        <f>N(X1513)+IF(AND(V1514&lt;&gt;"",T1514&lt;&gt;""),IF(V1514=MONAT!$AZ$3,1,0),0)</f>
        <v/>
      </c>
    </row>
    <row r="1515">
      <c r="A1515" s="19" t="n"/>
      <c r="B1515" s="20">
        <f>IF(A1515="","",CHOOSE(WEEKDAY(A1515,2),"Mo","Di","Mi","Do","Fr","Sa","So"))</f>
        <v/>
      </c>
      <c r="C1515" s="20">
        <f>IF(A1515="","",INT((A1515-DATE(YEAR(A1515-WEEKDAY(A1515-1)+4),1,3)+WEEKDAY(DATE(YEAR(A1515-WEEKDAY(A1515-1)+4),1,3))+5)/7))</f>
        <v/>
      </c>
      <c r="D1515" s="21" t="n"/>
      <c r="E1515" s="22" t="n"/>
      <c r="F1515" s="23" t="n"/>
      <c r="G1515" s="23" t="n"/>
      <c r="H1515" s="23" t="n"/>
      <c r="I1515" s="20">
        <f>IF(COUNT(F1515:H1515)=0,"",SUM(F1515:H1515))</f>
        <v/>
      </c>
      <c r="J1515" s="23" t="n"/>
      <c r="K1515" s="23" t="n"/>
      <c r="L1515" s="23" t="n"/>
      <c r="M1515" s="23" t="n"/>
      <c r="N1515" s="23" t="n"/>
      <c r="O1515" s="20">
        <f>IF(OR(I1515="",COUNT(J1515:N1515)=0),"",IF(SUM(J1515:N1515)=I1515,"✓","⚠ "&amp;SUM(J1515:N1515)&amp;" statt "&amp;I1515))</f>
        <v/>
      </c>
      <c r="P1515" s="21" t="n"/>
      <c r="Q1515" s="21" t="n"/>
      <c r="R1515" s="21" t="n"/>
      <c r="S1515" s="24" t="n"/>
      <c r="T1515" s="24" t="n"/>
      <c r="V1515">
        <f>IF(A1515="","",MONTH(A1515))</f>
        <v/>
      </c>
      <c r="W1515">
        <f>N(W1514)+IF(AND(C1515&lt;&gt;"",T1515&lt;&gt;""),IF(C1515=WOCHE!$B$3,1,0),0)</f>
        <v/>
      </c>
      <c r="X1515">
        <f>N(X1514)+IF(AND(V1515&lt;&gt;"",T1515&lt;&gt;""),IF(V1515=MONAT!$AZ$3,1,0),0)</f>
        <v/>
      </c>
    </row>
    <row r="1516">
      <c r="A1516" s="19" t="n"/>
      <c r="B1516" s="20">
        <f>IF(A1516="","",CHOOSE(WEEKDAY(A1516,2),"Mo","Di","Mi","Do","Fr","Sa","So"))</f>
        <v/>
      </c>
      <c r="C1516" s="20">
        <f>IF(A1516="","",INT((A1516-DATE(YEAR(A1516-WEEKDAY(A1516-1)+4),1,3)+WEEKDAY(DATE(YEAR(A1516-WEEKDAY(A1516-1)+4),1,3))+5)/7))</f>
        <v/>
      </c>
      <c r="D1516" s="21" t="n"/>
      <c r="E1516" s="22" t="n"/>
      <c r="F1516" s="23" t="n"/>
      <c r="G1516" s="23" t="n"/>
      <c r="H1516" s="23" t="n"/>
      <c r="I1516" s="20">
        <f>IF(COUNT(F1516:H1516)=0,"",SUM(F1516:H1516))</f>
        <v/>
      </c>
      <c r="J1516" s="23" t="n"/>
      <c r="K1516" s="23" t="n"/>
      <c r="L1516" s="23" t="n"/>
      <c r="M1516" s="23" t="n"/>
      <c r="N1516" s="23" t="n"/>
      <c r="O1516" s="20">
        <f>IF(OR(I1516="",COUNT(J1516:N1516)=0),"",IF(SUM(J1516:N1516)=I1516,"✓","⚠ "&amp;SUM(J1516:N1516)&amp;" statt "&amp;I1516))</f>
        <v/>
      </c>
      <c r="P1516" s="21" t="n"/>
      <c r="Q1516" s="21" t="n"/>
      <c r="R1516" s="21" t="n"/>
      <c r="S1516" s="24" t="n"/>
      <c r="T1516" s="24" t="n"/>
      <c r="V1516">
        <f>IF(A1516="","",MONTH(A1516))</f>
        <v/>
      </c>
      <c r="W1516">
        <f>N(W1515)+IF(AND(C1516&lt;&gt;"",T1516&lt;&gt;""),IF(C1516=WOCHE!$B$3,1,0),0)</f>
        <v/>
      </c>
      <c r="X1516">
        <f>N(X1515)+IF(AND(V1516&lt;&gt;"",T1516&lt;&gt;""),IF(V1516=MONAT!$AZ$3,1,0),0)</f>
        <v/>
      </c>
    </row>
    <row r="1517">
      <c r="A1517" s="19" t="n"/>
      <c r="B1517" s="20">
        <f>IF(A1517="","",CHOOSE(WEEKDAY(A1517,2),"Mo","Di","Mi","Do","Fr","Sa","So"))</f>
        <v/>
      </c>
      <c r="C1517" s="20">
        <f>IF(A1517="","",INT((A1517-DATE(YEAR(A1517-WEEKDAY(A1517-1)+4),1,3)+WEEKDAY(DATE(YEAR(A1517-WEEKDAY(A1517-1)+4),1,3))+5)/7))</f>
        <v/>
      </c>
      <c r="D1517" s="21" t="n"/>
      <c r="E1517" s="22" t="n"/>
      <c r="F1517" s="23" t="n"/>
      <c r="G1517" s="23" t="n"/>
      <c r="H1517" s="23" t="n"/>
      <c r="I1517" s="20">
        <f>IF(COUNT(F1517:H1517)=0,"",SUM(F1517:H1517))</f>
        <v/>
      </c>
      <c r="J1517" s="23" t="n"/>
      <c r="K1517" s="23" t="n"/>
      <c r="L1517" s="23" t="n"/>
      <c r="M1517" s="23" t="n"/>
      <c r="N1517" s="23" t="n"/>
      <c r="O1517" s="20">
        <f>IF(OR(I1517="",COUNT(J1517:N1517)=0),"",IF(SUM(J1517:N1517)=I1517,"✓","⚠ "&amp;SUM(J1517:N1517)&amp;" statt "&amp;I1517))</f>
        <v/>
      </c>
      <c r="P1517" s="21" t="n"/>
      <c r="Q1517" s="21" t="n"/>
      <c r="R1517" s="21" t="n"/>
      <c r="S1517" s="24" t="n"/>
      <c r="T1517" s="24" t="n"/>
      <c r="V1517">
        <f>IF(A1517="","",MONTH(A1517))</f>
        <v/>
      </c>
      <c r="W1517">
        <f>N(W1516)+IF(AND(C1517&lt;&gt;"",T1517&lt;&gt;""),IF(C1517=WOCHE!$B$3,1,0),0)</f>
        <v/>
      </c>
      <c r="X1517">
        <f>N(X1516)+IF(AND(V1517&lt;&gt;"",T1517&lt;&gt;""),IF(V1517=MONAT!$AZ$3,1,0),0)</f>
        <v/>
      </c>
    </row>
    <row r="1518">
      <c r="A1518" s="19" t="n"/>
      <c r="B1518" s="20">
        <f>IF(A1518="","",CHOOSE(WEEKDAY(A1518,2),"Mo","Di","Mi","Do","Fr","Sa","So"))</f>
        <v/>
      </c>
      <c r="C1518" s="20">
        <f>IF(A1518="","",INT((A1518-DATE(YEAR(A1518-WEEKDAY(A1518-1)+4),1,3)+WEEKDAY(DATE(YEAR(A1518-WEEKDAY(A1518-1)+4),1,3))+5)/7))</f>
        <v/>
      </c>
      <c r="D1518" s="21" t="n"/>
      <c r="E1518" s="22" t="n"/>
      <c r="F1518" s="23" t="n"/>
      <c r="G1518" s="23" t="n"/>
      <c r="H1518" s="23" t="n"/>
      <c r="I1518" s="20">
        <f>IF(COUNT(F1518:H1518)=0,"",SUM(F1518:H1518))</f>
        <v/>
      </c>
      <c r="J1518" s="23" t="n"/>
      <c r="K1518" s="23" t="n"/>
      <c r="L1518" s="23" t="n"/>
      <c r="M1518" s="23" t="n"/>
      <c r="N1518" s="23" t="n"/>
      <c r="O1518" s="20">
        <f>IF(OR(I1518="",COUNT(J1518:N1518)=0),"",IF(SUM(J1518:N1518)=I1518,"✓","⚠ "&amp;SUM(J1518:N1518)&amp;" statt "&amp;I1518))</f>
        <v/>
      </c>
      <c r="P1518" s="21" t="n"/>
      <c r="Q1518" s="21" t="n"/>
      <c r="R1518" s="21" t="n"/>
      <c r="S1518" s="24" t="n"/>
      <c r="T1518" s="24" t="n"/>
      <c r="V1518">
        <f>IF(A1518="","",MONTH(A1518))</f>
        <v/>
      </c>
      <c r="W1518">
        <f>N(W1517)+IF(AND(C1518&lt;&gt;"",T1518&lt;&gt;""),IF(C1518=WOCHE!$B$3,1,0),0)</f>
        <v/>
      </c>
      <c r="X1518">
        <f>N(X1517)+IF(AND(V1518&lt;&gt;"",T1518&lt;&gt;""),IF(V1518=MONAT!$AZ$3,1,0),0)</f>
        <v/>
      </c>
    </row>
    <row r="1519">
      <c r="A1519" s="19" t="n"/>
      <c r="B1519" s="20">
        <f>IF(A1519="","",CHOOSE(WEEKDAY(A1519,2),"Mo","Di","Mi","Do","Fr","Sa","So"))</f>
        <v/>
      </c>
      <c r="C1519" s="20">
        <f>IF(A1519="","",INT((A1519-DATE(YEAR(A1519-WEEKDAY(A1519-1)+4),1,3)+WEEKDAY(DATE(YEAR(A1519-WEEKDAY(A1519-1)+4),1,3))+5)/7))</f>
        <v/>
      </c>
      <c r="D1519" s="21" t="n"/>
      <c r="E1519" s="22" t="n"/>
      <c r="F1519" s="23" t="n"/>
      <c r="G1519" s="23" t="n"/>
      <c r="H1519" s="23" t="n"/>
      <c r="I1519" s="20">
        <f>IF(COUNT(F1519:H1519)=0,"",SUM(F1519:H1519))</f>
        <v/>
      </c>
      <c r="J1519" s="23" t="n"/>
      <c r="K1519" s="23" t="n"/>
      <c r="L1519" s="23" t="n"/>
      <c r="M1519" s="23" t="n"/>
      <c r="N1519" s="23" t="n"/>
      <c r="O1519" s="20">
        <f>IF(OR(I1519="",COUNT(J1519:N1519)=0),"",IF(SUM(J1519:N1519)=I1519,"✓","⚠ "&amp;SUM(J1519:N1519)&amp;" statt "&amp;I1519))</f>
        <v/>
      </c>
      <c r="P1519" s="21" t="n"/>
      <c r="Q1519" s="21" t="n"/>
      <c r="R1519" s="21" t="n"/>
      <c r="S1519" s="24" t="n"/>
      <c r="T1519" s="24" t="n"/>
      <c r="V1519">
        <f>IF(A1519="","",MONTH(A1519))</f>
        <v/>
      </c>
      <c r="W1519">
        <f>N(W1518)+IF(AND(C1519&lt;&gt;"",T1519&lt;&gt;""),IF(C1519=WOCHE!$B$3,1,0),0)</f>
        <v/>
      </c>
      <c r="X1519">
        <f>N(X1518)+IF(AND(V1519&lt;&gt;"",T1519&lt;&gt;""),IF(V1519=MONAT!$AZ$3,1,0),0)</f>
        <v/>
      </c>
    </row>
    <row r="1520">
      <c r="A1520" s="19" t="n"/>
      <c r="B1520" s="20">
        <f>IF(A1520="","",CHOOSE(WEEKDAY(A1520,2),"Mo","Di","Mi","Do","Fr","Sa","So"))</f>
        <v/>
      </c>
      <c r="C1520" s="20">
        <f>IF(A1520="","",INT((A1520-DATE(YEAR(A1520-WEEKDAY(A1520-1)+4),1,3)+WEEKDAY(DATE(YEAR(A1520-WEEKDAY(A1520-1)+4),1,3))+5)/7))</f>
        <v/>
      </c>
      <c r="D1520" s="21" t="n"/>
      <c r="E1520" s="22" t="n"/>
      <c r="F1520" s="23" t="n"/>
      <c r="G1520" s="23" t="n"/>
      <c r="H1520" s="23" t="n"/>
      <c r="I1520" s="20">
        <f>IF(COUNT(F1520:H1520)=0,"",SUM(F1520:H1520))</f>
        <v/>
      </c>
      <c r="J1520" s="23" t="n"/>
      <c r="K1520" s="23" t="n"/>
      <c r="L1520" s="23" t="n"/>
      <c r="M1520" s="23" t="n"/>
      <c r="N1520" s="23" t="n"/>
      <c r="O1520" s="20">
        <f>IF(OR(I1520="",COUNT(J1520:N1520)=0),"",IF(SUM(J1520:N1520)=I1520,"✓","⚠ "&amp;SUM(J1520:N1520)&amp;" statt "&amp;I1520))</f>
        <v/>
      </c>
      <c r="P1520" s="21" t="n"/>
      <c r="Q1520" s="21" t="n"/>
      <c r="R1520" s="21" t="n"/>
      <c r="S1520" s="24" t="n"/>
      <c r="T1520" s="24" t="n"/>
      <c r="V1520">
        <f>IF(A1520="","",MONTH(A1520))</f>
        <v/>
      </c>
      <c r="W1520">
        <f>N(W1519)+IF(AND(C1520&lt;&gt;"",T1520&lt;&gt;""),IF(C1520=WOCHE!$B$3,1,0),0)</f>
        <v/>
      </c>
      <c r="X1520">
        <f>N(X1519)+IF(AND(V1520&lt;&gt;"",T1520&lt;&gt;""),IF(V1520=MONAT!$AZ$3,1,0),0)</f>
        <v/>
      </c>
    </row>
    <row r="1521">
      <c r="A1521" s="19" t="n"/>
      <c r="B1521" s="20">
        <f>IF(A1521="","",CHOOSE(WEEKDAY(A1521,2),"Mo","Di","Mi","Do","Fr","Sa","So"))</f>
        <v/>
      </c>
      <c r="C1521" s="20">
        <f>IF(A1521="","",INT((A1521-DATE(YEAR(A1521-WEEKDAY(A1521-1)+4),1,3)+WEEKDAY(DATE(YEAR(A1521-WEEKDAY(A1521-1)+4),1,3))+5)/7))</f>
        <v/>
      </c>
      <c r="D1521" s="21" t="n"/>
      <c r="E1521" s="22" t="n"/>
      <c r="F1521" s="23" t="n"/>
      <c r="G1521" s="23" t="n"/>
      <c r="H1521" s="23" t="n"/>
      <c r="I1521" s="20">
        <f>IF(COUNT(F1521:H1521)=0,"",SUM(F1521:H1521))</f>
        <v/>
      </c>
      <c r="J1521" s="23" t="n"/>
      <c r="K1521" s="23" t="n"/>
      <c r="L1521" s="23" t="n"/>
      <c r="M1521" s="23" t="n"/>
      <c r="N1521" s="23" t="n"/>
      <c r="O1521" s="20">
        <f>IF(OR(I1521="",COUNT(J1521:N1521)=0),"",IF(SUM(J1521:N1521)=I1521,"✓","⚠ "&amp;SUM(J1521:N1521)&amp;" statt "&amp;I1521))</f>
        <v/>
      </c>
      <c r="P1521" s="21" t="n"/>
      <c r="Q1521" s="21" t="n"/>
      <c r="R1521" s="21" t="n"/>
      <c r="S1521" s="24" t="n"/>
      <c r="T1521" s="24" t="n"/>
      <c r="V1521">
        <f>IF(A1521="","",MONTH(A1521))</f>
        <v/>
      </c>
      <c r="W1521">
        <f>N(W1520)+IF(AND(C1521&lt;&gt;"",T1521&lt;&gt;""),IF(C1521=WOCHE!$B$3,1,0),0)</f>
        <v/>
      </c>
      <c r="X1521">
        <f>N(X1520)+IF(AND(V1521&lt;&gt;"",T1521&lt;&gt;""),IF(V1521=MONAT!$AZ$3,1,0),0)</f>
        <v/>
      </c>
    </row>
    <row r="1522">
      <c r="A1522" s="19" t="n"/>
      <c r="B1522" s="20">
        <f>IF(A1522="","",CHOOSE(WEEKDAY(A1522,2),"Mo","Di","Mi","Do","Fr","Sa","So"))</f>
        <v/>
      </c>
      <c r="C1522" s="20">
        <f>IF(A1522="","",INT((A1522-DATE(YEAR(A1522-WEEKDAY(A1522-1)+4),1,3)+WEEKDAY(DATE(YEAR(A1522-WEEKDAY(A1522-1)+4),1,3))+5)/7))</f>
        <v/>
      </c>
      <c r="D1522" s="21" t="n"/>
      <c r="E1522" s="22" t="n"/>
      <c r="F1522" s="23" t="n"/>
      <c r="G1522" s="23" t="n"/>
      <c r="H1522" s="23" t="n"/>
      <c r="I1522" s="20">
        <f>IF(COUNT(F1522:H1522)=0,"",SUM(F1522:H1522))</f>
        <v/>
      </c>
      <c r="J1522" s="23" t="n"/>
      <c r="K1522" s="23" t="n"/>
      <c r="L1522" s="23" t="n"/>
      <c r="M1522" s="23" t="n"/>
      <c r="N1522" s="23" t="n"/>
      <c r="O1522" s="20">
        <f>IF(OR(I1522="",COUNT(J1522:N1522)=0),"",IF(SUM(J1522:N1522)=I1522,"✓","⚠ "&amp;SUM(J1522:N1522)&amp;" statt "&amp;I1522))</f>
        <v/>
      </c>
      <c r="P1522" s="21" t="n"/>
      <c r="Q1522" s="21" t="n"/>
      <c r="R1522" s="21" t="n"/>
      <c r="S1522" s="24" t="n"/>
      <c r="T1522" s="24" t="n"/>
      <c r="V1522">
        <f>IF(A1522="","",MONTH(A1522))</f>
        <v/>
      </c>
      <c r="W1522">
        <f>N(W1521)+IF(AND(C1522&lt;&gt;"",T1522&lt;&gt;""),IF(C1522=WOCHE!$B$3,1,0),0)</f>
        <v/>
      </c>
      <c r="X1522">
        <f>N(X1521)+IF(AND(V1522&lt;&gt;"",T1522&lt;&gt;""),IF(V1522=MONAT!$AZ$3,1,0),0)</f>
        <v/>
      </c>
    </row>
    <row r="1523">
      <c r="A1523" s="19" t="n"/>
      <c r="B1523" s="20">
        <f>IF(A1523="","",CHOOSE(WEEKDAY(A1523,2),"Mo","Di","Mi","Do","Fr","Sa","So"))</f>
        <v/>
      </c>
      <c r="C1523" s="20">
        <f>IF(A1523="","",INT((A1523-DATE(YEAR(A1523-WEEKDAY(A1523-1)+4),1,3)+WEEKDAY(DATE(YEAR(A1523-WEEKDAY(A1523-1)+4),1,3))+5)/7))</f>
        <v/>
      </c>
      <c r="D1523" s="21" t="n"/>
      <c r="E1523" s="22" t="n"/>
      <c r="F1523" s="23" t="n"/>
      <c r="G1523" s="23" t="n"/>
      <c r="H1523" s="23" t="n"/>
      <c r="I1523" s="20">
        <f>IF(COUNT(F1523:H1523)=0,"",SUM(F1523:H1523))</f>
        <v/>
      </c>
      <c r="J1523" s="23" t="n"/>
      <c r="K1523" s="23" t="n"/>
      <c r="L1523" s="23" t="n"/>
      <c r="M1523" s="23" t="n"/>
      <c r="N1523" s="23" t="n"/>
      <c r="O1523" s="20">
        <f>IF(OR(I1523="",COUNT(J1523:N1523)=0),"",IF(SUM(J1523:N1523)=I1523,"✓","⚠ "&amp;SUM(J1523:N1523)&amp;" statt "&amp;I1523))</f>
        <v/>
      </c>
      <c r="P1523" s="21" t="n"/>
      <c r="Q1523" s="21" t="n"/>
      <c r="R1523" s="21" t="n"/>
      <c r="S1523" s="24" t="n"/>
      <c r="T1523" s="24" t="n"/>
      <c r="V1523">
        <f>IF(A1523="","",MONTH(A1523))</f>
        <v/>
      </c>
      <c r="W1523">
        <f>N(W1522)+IF(AND(C1523&lt;&gt;"",T1523&lt;&gt;""),IF(C1523=WOCHE!$B$3,1,0),0)</f>
        <v/>
      </c>
      <c r="X1523">
        <f>N(X1522)+IF(AND(V1523&lt;&gt;"",T1523&lt;&gt;""),IF(V1523=MONAT!$AZ$3,1,0),0)</f>
        <v/>
      </c>
    </row>
    <row r="1524">
      <c r="A1524" s="19" t="n"/>
      <c r="B1524" s="20">
        <f>IF(A1524="","",CHOOSE(WEEKDAY(A1524,2),"Mo","Di","Mi","Do","Fr","Sa","So"))</f>
        <v/>
      </c>
      <c r="C1524" s="20">
        <f>IF(A1524="","",INT((A1524-DATE(YEAR(A1524-WEEKDAY(A1524-1)+4),1,3)+WEEKDAY(DATE(YEAR(A1524-WEEKDAY(A1524-1)+4),1,3))+5)/7))</f>
        <v/>
      </c>
      <c r="D1524" s="21" t="n"/>
      <c r="E1524" s="22" t="n"/>
      <c r="F1524" s="23" t="n"/>
      <c r="G1524" s="23" t="n"/>
      <c r="H1524" s="23" t="n"/>
      <c r="I1524" s="20">
        <f>IF(COUNT(F1524:H1524)=0,"",SUM(F1524:H1524))</f>
        <v/>
      </c>
      <c r="J1524" s="23" t="n"/>
      <c r="K1524" s="23" t="n"/>
      <c r="L1524" s="23" t="n"/>
      <c r="M1524" s="23" t="n"/>
      <c r="N1524" s="23" t="n"/>
      <c r="O1524" s="20">
        <f>IF(OR(I1524="",COUNT(J1524:N1524)=0),"",IF(SUM(J1524:N1524)=I1524,"✓","⚠ "&amp;SUM(J1524:N1524)&amp;" statt "&amp;I1524))</f>
        <v/>
      </c>
      <c r="P1524" s="21" t="n"/>
      <c r="Q1524" s="21" t="n"/>
      <c r="R1524" s="21" t="n"/>
      <c r="S1524" s="24" t="n"/>
      <c r="T1524" s="24" t="n"/>
      <c r="V1524">
        <f>IF(A1524="","",MONTH(A1524))</f>
        <v/>
      </c>
      <c r="W1524">
        <f>N(W1523)+IF(AND(C1524&lt;&gt;"",T1524&lt;&gt;""),IF(C1524=WOCHE!$B$3,1,0),0)</f>
        <v/>
      </c>
      <c r="X1524">
        <f>N(X1523)+IF(AND(V1524&lt;&gt;"",T1524&lt;&gt;""),IF(V1524=MONAT!$AZ$3,1,0),0)</f>
        <v/>
      </c>
    </row>
    <row r="1525">
      <c r="A1525" s="19" t="n"/>
      <c r="B1525" s="20">
        <f>IF(A1525="","",CHOOSE(WEEKDAY(A1525,2),"Mo","Di","Mi","Do","Fr","Sa","So"))</f>
        <v/>
      </c>
      <c r="C1525" s="20">
        <f>IF(A1525="","",INT((A1525-DATE(YEAR(A1525-WEEKDAY(A1525-1)+4),1,3)+WEEKDAY(DATE(YEAR(A1525-WEEKDAY(A1525-1)+4),1,3))+5)/7))</f>
        <v/>
      </c>
      <c r="D1525" s="21" t="n"/>
      <c r="E1525" s="22" t="n"/>
      <c r="F1525" s="23" t="n"/>
      <c r="G1525" s="23" t="n"/>
      <c r="H1525" s="23" t="n"/>
      <c r="I1525" s="20">
        <f>IF(COUNT(F1525:H1525)=0,"",SUM(F1525:H1525))</f>
        <v/>
      </c>
      <c r="J1525" s="23" t="n"/>
      <c r="K1525" s="23" t="n"/>
      <c r="L1525" s="23" t="n"/>
      <c r="M1525" s="23" t="n"/>
      <c r="N1525" s="23" t="n"/>
      <c r="O1525" s="20">
        <f>IF(OR(I1525="",COUNT(J1525:N1525)=0),"",IF(SUM(J1525:N1525)=I1525,"✓","⚠ "&amp;SUM(J1525:N1525)&amp;" statt "&amp;I1525))</f>
        <v/>
      </c>
      <c r="P1525" s="21" t="n"/>
      <c r="Q1525" s="21" t="n"/>
      <c r="R1525" s="21" t="n"/>
      <c r="S1525" s="24" t="n"/>
      <c r="T1525" s="24" t="n"/>
      <c r="V1525">
        <f>IF(A1525="","",MONTH(A1525))</f>
        <v/>
      </c>
      <c r="W1525">
        <f>N(W1524)+IF(AND(C1525&lt;&gt;"",T1525&lt;&gt;""),IF(C1525=WOCHE!$B$3,1,0),0)</f>
        <v/>
      </c>
      <c r="X1525">
        <f>N(X1524)+IF(AND(V1525&lt;&gt;"",T1525&lt;&gt;""),IF(V1525=MONAT!$AZ$3,1,0),0)</f>
        <v/>
      </c>
    </row>
    <row r="1526">
      <c r="A1526" s="19" t="n"/>
      <c r="B1526" s="20">
        <f>IF(A1526="","",CHOOSE(WEEKDAY(A1526,2),"Mo","Di","Mi","Do","Fr","Sa","So"))</f>
        <v/>
      </c>
      <c r="C1526" s="20">
        <f>IF(A1526="","",INT((A1526-DATE(YEAR(A1526-WEEKDAY(A1526-1)+4),1,3)+WEEKDAY(DATE(YEAR(A1526-WEEKDAY(A1526-1)+4),1,3))+5)/7))</f>
        <v/>
      </c>
      <c r="D1526" s="21" t="n"/>
      <c r="E1526" s="22" t="n"/>
      <c r="F1526" s="23" t="n"/>
      <c r="G1526" s="23" t="n"/>
      <c r="H1526" s="23" t="n"/>
      <c r="I1526" s="20">
        <f>IF(COUNT(F1526:H1526)=0,"",SUM(F1526:H1526))</f>
        <v/>
      </c>
      <c r="J1526" s="23" t="n"/>
      <c r="K1526" s="23" t="n"/>
      <c r="L1526" s="23" t="n"/>
      <c r="M1526" s="23" t="n"/>
      <c r="N1526" s="23" t="n"/>
      <c r="O1526" s="20">
        <f>IF(OR(I1526="",COUNT(J1526:N1526)=0),"",IF(SUM(J1526:N1526)=I1526,"✓","⚠ "&amp;SUM(J1526:N1526)&amp;" statt "&amp;I1526))</f>
        <v/>
      </c>
      <c r="P1526" s="21" t="n"/>
      <c r="Q1526" s="21" t="n"/>
      <c r="R1526" s="21" t="n"/>
      <c r="S1526" s="24" t="n"/>
      <c r="T1526" s="24" t="n"/>
      <c r="V1526">
        <f>IF(A1526="","",MONTH(A1526))</f>
        <v/>
      </c>
      <c r="W1526">
        <f>N(W1525)+IF(AND(C1526&lt;&gt;"",T1526&lt;&gt;""),IF(C1526=WOCHE!$B$3,1,0),0)</f>
        <v/>
      </c>
      <c r="X1526">
        <f>N(X1525)+IF(AND(V1526&lt;&gt;"",T1526&lt;&gt;""),IF(V1526=MONAT!$AZ$3,1,0),0)</f>
        <v/>
      </c>
    </row>
    <row r="1527">
      <c r="A1527" s="19" t="n"/>
      <c r="B1527" s="20">
        <f>IF(A1527="","",CHOOSE(WEEKDAY(A1527,2),"Mo","Di","Mi","Do","Fr","Sa","So"))</f>
        <v/>
      </c>
      <c r="C1527" s="20">
        <f>IF(A1527="","",INT((A1527-DATE(YEAR(A1527-WEEKDAY(A1527-1)+4),1,3)+WEEKDAY(DATE(YEAR(A1527-WEEKDAY(A1527-1)+4),1,3))+5)/7))</f>
        <v/>
      </c>
      <c r="D1527" s="21" t="n"/>
      <c r="E1527" s="22" t="n"/>
      <c r="F1527" s="23" t="n"/>
      <c r="G1527" s="23" t="n"/>
      <c r="H1527" s="23" t="n"/>
      <c r="I1527" s="20">
        <f>IF(COUNT(F1527:H1527)=0,"",SUM(F1527:H1527))</f>
        <v/>
      </c>
      <c r="J1527" s="23" t="n"/>
      <c r="K1527" s="23" t="n"/>
      <c r="L1527" s="23" t="n"/>
      <c r="M1527" s="23" t="n"/>
      <c r="N1527" s="23" t="n"/>
      <c r="O1527" s="20">
        <f>IF(OR(I1527="",COUNT(J1527:N1527)=0),"",IF(SUM(J1527:N1527)=I1527,"✓","⚠ "&amp;SUM(J1527:N1527)&amp;" statt "&amp;I1527))</f>
        <v/>
      </c>
      <c r="P1527" s="21" t="n"/>
      <c r="Q1527" s="21" t="n"/>
      <c r="R1527" s="21" t="n"/>
      <c r="S1527" s="24" t="n"/>
      <c r="T1527" s="24" t="n"/>
      <c r="V1527">
        <f>IF(A1527="","",MONTH(A1527))</f>
        <v/>
      </c>
      <c r="W1527">
        <f>N(W1526)+IF(AND(C1527&lt;&gt;"",T1527&lt;&gt;""),IF(C1527=WOCHE!$B$3,1,0),0)</f>
        <v/>
      </c>
      <c r="X1527">
        <f>N(X1526)+IF(AND(V1527&lt;&gt;"",T1527&lt;&gt;""),IF(V1527=MONAT!$AZ$3,1,0),0)</f>
        <v/>
      </c>
    </row>
    <row r="1528">
      <c r="A1528" s="19" t="n"/>
      <c r="B1528" s="20">
        <f>IF(A1528="","",CHOOSE(WEEKDAY(A1528,2),"Mo","Di","Mi","Do","Fr","Sa","So"))</f>
        <v/>
      </c>
      <c r="C1528" s="20">
        <f>IF(A1528="","",INT((A1528-DATE(YEAR(A1528-WEEKDAY(A1528-1)+4),1,3)+WEEKDAY(DATE(YEAR(A1528-WEEKDAY(A1528-1)+4),1,3))+5)/7))</f>
        <v/>
      </c>
      <c r="D1528" s="21" t="n"/>
      <c r="E1528" s="22" t="n"/>
      <c r="F1528" s="23" t="n"/>
      <c r="G1528" s="23" t="n"/>
      <c r="H1528" s="23" t="n"/>
      <c r="I1528" s="20">
        <f>IF(COUNT(F1528:H1528)=0,"",SUM(F1528:H1528))</f>
        <v/>
      </c>
      <c r="J1528" s="23" t="n"/>
      <c r="K1528" s="23" t="n"/>
      <c r="L1528" s="23" t="n"/>
      <c r="M1528" s="23" t="n"/>
      <c r="N1528" s="23" t="n"/>
      <c r="O1528" s="20">
        <f>IF(OR(I1528="",COUNT(J1528:N1528)=0),"",IF(SUM(J1528:N1528)=I1528,"✓","⚠ "&amp;SUM(J1528:N1528)&amp;" statt "&amp;I1528))</f>
        <v/>
      </c>
      <c r="P1528" s="21" t="n"/>
      <c r="Q1528" s="21" t="n"/>
      <c r="R1528" s="21" t="n"/>
      <c r="S1528" s="24" t="n"/>
      <c r="T1528" s="24" t="n"/>
      <c r="V1528">
        <f>IF(A1528="","",MONTH(A1528))</f>
        <v/>
      </c>
      <c r="W1528">
        <f>N(W1527)+IF(AND(C1528&lt;&gt;"",T1528&lt;&gt;""),IF(C1528=WOCHE!$B$3,1,0),0)</f>
        <v/>
      </c>
      <c r="X1528">
        <f>N(X1527)+IF(AND(V1528&lt;&gt;"",T1528&lt;&gt;""),IF(V1528=MONAT!$AZ$3,1,0),0)</f>
        <v/>
      </c>
    </row>
    <row r="1529">
      <c r="A1529" s="19" t="n"/>
      <c r="B1529" s="20">
        <f>IF(A1529="","",CHOOSE(WEEKDAY(A1529,2),"Mo","Di","Mi","Do","Fr","Sa","So"))</f>
        <v/>
      </c>
      <c r="C1529" s="20">
        <f>IF(A1529="","",INT((A1529-DATE(YEAR(A1529-WEEKDAY(A1529-1)+4),1,3)+WEEKDAY(DATE(YEAR(A1529-WEEKDAY(A1529-1)+4),1,3))+5)/7))</f>
        <v/>
      </c>
      <c r="D1529" s="21" t="n"/>
      <c r="E1529" s="22" t="n"/>
      <c r="F1529" s="23" t="n"/>
      <c r="G1529" s="23" t="n"/>
      <c r="H1529" s="23" t="n"/>
      <c r="I1529" s="20">
        <f>IF(COUNT(F1529:H1529)=0,"",SUM(F1529:H1529))</f>
        <v/>
      </c>
      <c r="J1529" s="23" t="n"/>
      <c r="K1529" s="23" t="n"/>
      <c r="L1529" s="23" t="n"/>
      <c r="M1529" s="23" t="n"/>
      <c r="N1529" s="23" t="n"/>
      <c r="O1529" s="20">
        <f>IF(OR(I1529="",COUNT(J1529:N1529)=0),"",IF(SUM(J1529:N1529)=I1529,"✓","⚠ "&amp;SUM(J1529:N1529)&amp;" statt "&amp;I1529))</f>
        <v/>
      </c>
      <c r="P1529" s="21" t="n"/>
      <c r="Q1529" s="21" t="n"/>
      <c r="R1529" s="21" t="n"/>
      <c r="S1529" s="24" t="n"/>
      <c r="T1529" s="24" t="n"/>
      <c r="V1529">
        <f>IF(A1529="","",MONTH(A1529))</f>
        <v/>
      </c>
      <c r="W1529">
        <f>N(W1528)+IF(AND(C1529&lt;&gt;"",T1529&lt;&gt;""),IF(C1529=WOCHE!$B$3,1,0),0)</f>
        <v/>
      </c>
      <c r="X1529">
        <f>N(X1528)+IF(AND(V1529&lt;&gt;"",T1529&lt;&gt;""),IF(V1529=MONAT!$AZ$3,1,0),0)</f>
        <v/>
      </c>
    </row>
    <row r="1530">
      <c r="A1530" s="19" t="n"/>
      <c r="B1530" s="20">
        <f>IF(A1530="","",CHOOSE(WEEKDAY(A1530,2),"Mo","Di","Mi","Do","Fr","Sa","So"))</f>
        <v/>
      </c>
      <c r="C1530" s="20">
        <f>IF(A1530="","",INT((A1530-DATE(YEAR(A1530-WEEKDAY(A1530-1)+4),1,3)+WEEKDAY(DATE(YEAR(A1530-WEEKDAY(A1530-1)+4),1,3))+5)/7))</f>
        <v/>
      </c>
      <c r="D1530" s="21" t="n"/>
      <c r="E1530" s="22" t="n"/>
      <c r="F1530" s="23" t="n"/>
      <c r="G1530" s="23" t="n"/>
      <c r="H1530" s="23" t="n"/>
      <c r="I1530" s="20">
        <f>IF(COUNT(F1530:H1530)=0,"",SUM(F1530:H1530))</f>
        <v/>
      </c>
      <c r="J1530" s="23" t="n"/>
      <c r="K1530" s="23" t="n"/>
      <c r="L1530" s="23" t="n"/>
      <c r="M1530" s="23" t="n"/>
      <c r="N1530" s="23" t="n"/>
      <c r="O1530" s="20">
        <f>IF(OR(I1530="",COUNT(J1530:N1530)=0),"",IF(SUM(J1530:N1530)=I1530,"✓","⚠ "&amp;SUM(J1530:N1530)&amp;" statt "&amp;I1530))</f>
        <v/>
      </c>
      <c r="P1530" s="21" t="n"/>
      <c r="Q1530" s="21" t="n"/>
      <c r="R1530" s="21" t="n"/>
      <c r="S1530" s="24" t="n"/>
      <c r="T1530" s="24" t="n"/>
      <c r="V1530">
        <f>IF(A1530="","",MONTH(A1530))</f>
        <v/>
      </c>
      <c r="W1530">
        <f>N(W1529)+IF(AND(C1530&lt;&gt;"",T1530&lt;&gt;""),IF(C1530=WOCHE!$B$3,1,0),0)</f>
        <v/>
      </c>
      <c r="X1530">
        <f>N(X1529)+IF(AND(V1530&lt;&gt;"",T1530&lt;&gt;""),IF(V1530=MONAT!$AZ$3,1,0),0)</f>
        <v/>
      </c>
    </row>
    <row r="1531">
      <c r="A1531" s="19" t="n"/>
      <c r="B1531" s="20">
        <f>IF(A1531="","",CHOOSE(WEEKDAY(A1531,2),"Mo","Di","Mi","Do","Fr","Sa","So"))</f>
        <v/>
      </c>
      <c r="C1531" s="20">
        <f>IF(A1531="","",INT((A1531-DATE(YEAR(A1531-WEEKDAY(A1531-1)+4),1,3)+WEEKDAY(DATE(YEAR(A1531-WEEKDAY(A1531-1)+4),1,3))+5)/7))</f>
        <v/>
      </c>
      <c r="D1531" s="21" t="n"/>
      <c r="E1531" s="22" t="n"/>
      <c r="F1531" s="23" t="n"/>
      <c r="G1531" s="23" t="n"/>
      <c r="H1531" s="23" t="n"/>
      <c r="I1531" s="20">
        <f>IF(COUNT(F1531:H1531)=0,"",SUM(F1531:H1531))</f>
        <v/>
      </c>
      <c r="J1531" s="23" t="n"/>
      <c r="K1531" s="23" t="n"/>
      <c r="L1531" s="23" t="n"/>
      <c r="M1531" s="23" t="n"/>
      <c r="N1531" s="23" t="n"/>
      <c r="O1531" s="20">
        <f>IF(OR(I1531="",COUNT(J1531:N1531)=0),"",IF(SUM(J1531:N1531)=I1531,"✓","⚠ "&amp;SUM(J1531:N1531)&amp;" statt "&amp;I1531))</f>
        <v/>
      </c>
      <c r="P1531" s="21" t="n"/>
      <c r="Q1531" s="21" t="n"/>
      <c r="R1531" s="21" t="n"/>
      <c r="S1531" s="24" t="n"/>
      <c r="T1531" s="24" t="n"/>
      <c r="V1531">
        <f>IF(A1531="","",MONTH(A1531))</f>
        <v/>
      </c>
      <c r="W1531">
        <f>N(W1530)+IF(AND(C1531&lt;&gt;"",T1531&lt;&gt;""),IF(C1531=WOCHE!$B$3,1,0),0)</f>
        <v/>
      </c>
      <c r="X1531">
        <f>N(X1530)+IF(AND(V1531&lt;&gt;"",T1531&lt;&gt;""),IF(V1531=MONAT!$AZ$3,1,0),0)</f>
        <v/>
      </c>
    </row>
    <row r="1532">
      <c r="A1532" s="19" t="n"/>
      <c r="B1532" s="20">
        <f>IF(A1532="","",CHOOSE(WEEKDAY(A1532,2),"Mo","Di","Mi","Do","Fr","Sa","So"))</f>
        <v/>
      </c>
      <c r="C1532" s="20">
        <f>IF(A1532="","",INT((A1532-DATE(YEAR(A1532-WEEKDAY(A1532-1)+4),1,3)+WEEKDAY(DATE(YEAR(A1532-WEEKDAY(A1532-1)+4),1,3))+5)/7))</f>
        <v/>
      </c>
      <c r="D1532" s="21" t="n"/>
      <c r="E1532" s="22" t="n"/>
      <c r="F1532" s="23" t="n"/>
      <c r="G1532" s="23" t="n"/>
      <c r="H1532" s="23" t="n"/>
      <c r="I1532" s="20">
        <f>IF(COUNT(F1532:H1532)=0,"",SUM(F1532:H1532))</f>
        <v/>
      </c>
      <c r="J1532" s="23" t="n"/>
      <c r="K1532" s="23" t="n"/>
      <c r="L1532" s="23" t="n"/>
      <c r="M1532" s="23" t="n"/>
      <c r="N1532" s="23" t="n"/>
      <c r="O1532" s="20">
        <f>IF(OR(I1532="",COUNT(J1532:N1532)=0),"",IF(SUM(J1532:N1532)=I1532,"✓","⚠ "&amp;SUM(J1532:N1532)&amp;" statt "&amp;I1532))</f>
        <v/>
      </c>
      <c r="P1532" s="21" t="n"/>
      <c r="Q1532" s="21" t="n"/>
      <c r="R1532" s="21" t="n"/>
      <c r="S1532" s="24" t="n"/>
      <c r="T1532" s="24" t="n"/>
      <c r="V1532">
        <f>IF(A1532="","",MONTH(A1532))</f>
        <v/>
      </c>
      <c r="W1532">
        <f>N(W1531)+IF(AND(C1532&lt;&gt;"",T1532&lt;&gt;""),IF(C1532=WOCHE!$B$3,1,0),0)</f>
        <v/>
      </c>
      <c r="X1532">
        <f>N(X1531)+IF(AND(V1532&lt;&gt;"",T1532&lt;&gt;""),IF(V1532=MONAT!$AZ$3,1,0),0)</f>
        <v/>
      </c>
    </row>
    <row r="1533">
      <c r="A1533" s="19" t="n"/>
      <c r="B1533" s="20">
        <f>IF(A1533="","",CHOOSE(WEEKDAY(A1533,2),"Mo","Di","Mi","Do","Fr","Sa","So"))</f>
        <v/>
      </c>
      <c r="C1533" s="20">
        <f>IF(A1533="","",INT((A1533-DATE(YEAR(A1533-WEEKDAY(A1533-1)+4),1,3)+WEEKDAY(DATE(YEAR(A1533-WEEKDAY(A1533-1)+4),1,3))+5)/7))</f>
        <v/>
      </c>
      <c r="D1533" s="21" t="n"/>
      <c r="E1533" s="22" t="n"/>
      <c r="F1533" s="23" t="n"/>
      <c r="G1533" s="23" t="n"/>
      <c r="H1533" s="23" t="n"/>
      <c r="I1533" s="20">
        <f>IF(COUNT(F1533:H1533)=0,"",SUM(F1533:H1533))</f>
        <v/>
      </c>
      <c r="J1533" s="23" t="n"/>
      <c r="K1533" s="23" t="n"/>
      <c r="L1533" s="23" t="n"/>
      <c r="M1533" s="23" t="n"/>
      <c r="N1533" s="23" t="n"/>
      <c r="O1533" s="20">
        <f>IF(OR(I1533="",COUNT(J1533:N1533)=0),"",IF(SUM(J1533:N1533)=I1533,"✓","⚠ "&amp;SUM(J1533:N1533)&amp;" statt "&amp;I1533))</f>
        <v/>
      </c>
      <c r="P1533" s="21" t="n"/>
      <c r="Q1533" s="21" t="n"/>
      <c r="R1533" s="21" t="n"/>
      <c r="S1533" s="24" t="n"/>
      <c r="T1533" s="24" t="n"/>
      <c r="V1533">
        <f>IF(A1533="","",MONTH(A1533))</f>
        <v/>
      </c>
      <c r="W1533">
        <f>N(W1532)+IF(AND(C1533&lt;&gt;"",T1533&lt;&gt;""),IF(C1533=WOCHE!$B$3,1,0),0)</f>
        <v/>
      </c>
      <c r="X1533">
        <f>N(X1532)+IF(AND(V1533&lt;&gt;"",T1533&lt;&gt;""),IF(V1533=MONAT!$AZ$3,1,0),0)</f>
        <v/>
      </c>
    </row>
    <row r="1534">
      <c r="A1534" s="19" t="n"/>
      <c r="B1534" s="20">
        <f>IF(A1534="","",CHOOSE(WEEKDAY(A1534,2),"Mo","Di","Mi","Do","Fr","Sa","So"))</f>
        <v/>
      </c>
      <c r="C1534" s="20">
        <f>IF(A1534="","",INT((A1534-DATE(YEAR(A1534-WEEKDAY(A1534-1)+4),1,3)+WEEKDAY(DATE(YEAR(A1534-WEEKDAY(A1534-1)+4),1,3))+5)/7))</f>
        <v/>
      </c>
      <c r="D1534" s="21" t="n"/>
      <c r="E1534" s="22" t="n"/>
      <c r="F1534" s="23" t="n"/>
      <c r="G1534" s="23" t="n"/>
      <c r="H1534" s="23" t="n"/>
      <c r="I1534" s="20">
        <f>IF(COUNT(F1534:H1534)=0,"",SUM(F1534:H1534))</f>
        <v/>
      </c>
      <c r="J1534" s="23" t="n"/>
      <c r="K1534" s="23" t="n"/>
      <c r="L1534" s="23" t="n"/>
      <c r="M1534" s="23" t="n"/>
      <c r="N1534" s="23" t="n"/>
      <c r="O1534" s="20">
        <f>IF(OR(I1534="",COUNT(J1534:N1534)=0),"",IF(SUM(J1534:N1534)=I1534,"✓","⚠ "&amp;SUM(J1534:N1534)&amp;" statt "&amp;I1534))</f>
        <v/>
      </c>
      <c r="P1534" s="21" t="n"/>
      <c r="Q1534" s="21" t="n"/>
      <c r="R1534" s="21" t="n"/>
      <c r="S1534" s="24" t="n"/>
      <c r="T1534" s="24" t="n"/>
      <c r="V1534">
        <f>IF(A1534="","",MONTH(A1534))</f>
        <v/>
      </c>
      <c r="W1534">
        <f>N(W1533)+IF(AND(C1534&lt;&gt;"",T1534&lt;&gt;""),IF(C1534=WOCHE!$B$3,1,0),0)</f>
        <v/>
      </c>
      <c r="X1534">
        <f>N(X1533)+IF(AND(V1534&lt;&gt;"",T1534&lt;&gt;""),IF(V1534=MONAT!$AZ$3,1,0),0)</f>
        <v/>
      </c>
    </row>
    <row r="1535">
      <c r="A1535" s="19" t="n"/>
      <c r="B1535" s="20">
        <f>IF(A1535="","",CHOOSE(WEEKDAY(A1535,2),"Mo","Di","Mi","Do","Fr","Sa","So"))</f>
        <v/>
      </c>
      <c r="C1535" s="20">
        <f>IF(A1535="","",INT((A1535-DATE(YEAR(A1535-WEEKDAY(A1535-1)+4),1,3)+WEEKDAY(DATE(YEAR(A1535-WEEKDAY(A1535-1)+4),1,3))+5)/7))</f>
        <v/>
      </c>
      <c r="D1535" s="21" t="n"/>
      <c r="E1535" s="22" t="n"/>
      <c r="F1535" s="23" t="n"/>
      <c r="G1535" s="23" t="n"/>
      <c r="H1535" s="23" t="n"/>
      <c r="I1535" s="20">
        <f>IF(COUNT(F1535:H1535)=0,"",SUM(F1535:H1535))</f>
        <v/>
      </c>
      <c r="J1535" s="23" t="n"/>
      <c r="K1535" s="23" t="n"/>
      <c r="L1535" s="23" t="n"/>
      <c r="M1535" s="23" t="n"/>
      <c r="N1535" s="23" t="n"/>
      <c r="O1535" s="20">
        <f>IF(OR(I1535="",COUNT(J1535:N1535)=0),"",IF(SUM(J1535:N1535)=I1535,"✓","⚠ "&amp;SUM(J1535:N1535)&amp;" statt "&amp;I1535))</f>
        <v/>
      </c>
      <c r="P1535" s="21" t="n"/>
      <c r="Q1535" s="21" t="n"/>
      <c r="R1535" s="21" t="n"/>
      <c r="S1535" s="24" t="n"/>
      <c r="T1535" s="24" t="n"/>
      <c r="V1535">
        <f>IF(A1535="","",MONTH(A1535))</f>
        <v/>
      </c>
      <c r="W1535">
        <f>N(W1534)+IF(AND(C1535&lt;&gt;"",T1535&lt;&gt;""),IF(C1535=WOCHE!$B$3,1,0),0)</f>
        <v/>
      </c>
      <c r="X1535">
        <f>N(X1534)+IF(AND(V1535&lt;&gt;"",T1535&lt;&gt;""),IF(V1535=MONAT!$AZ$3,1,0),0)</f>
        <v/>
      </c>
    </row>
    <row r="1536">
      <c r="A1536" s="19" t="n"/>
      <c r="B1536" s="20">
        <f>IF(A1536="","",CHOOSE(WEEKDAY(A1536,2),"Mo","Di","Mi","Do","Fr","Sa","So"))</f>
        <v/>
      </c>
      <c r="C1536" s="20">
        <f>IF(A1536="","",INT((A1536-DATE(YEAR(A1536-WEEKDAY(A1536-1)+4),1,3)+WEEKDAY(DATE(YEAR(A1536-WEEKDAY(A1536-1)+4),1,3))+5)/7))</f>
        <v/>
      </c>
      <c r="D1536" s="21" t="n"/>
      <c r="E1536" s="22" t="n"/>
      <c r="F1536" s="23" t="n"/>
      <c r="G1536" s="23" t="n"/>
      <c r="H1536" s="23" t="n"/>
      <c r="I1536" s="20">
        <f>IF(COUNT(F1536:H1536)=0,"",SUM(F1536:H1536))</f>
        <v/>
      </c>
      <c r="J1536" s="23" t="n"/>
      <c r="K1536" s="23" t="n"/>
      <c r="L1536" s="23" t="n"/>
      <c r="M1536" s="23" t="n"/>
      <c r="N1536" s="23" t="n"/>
      <c r="O1536" s="20">
        <f>IF(OR(I1536="",COUNT(J1536:N1536)=0),"",IF(SUM(J1536:N1536)=I1536,"✓","⚠ "&amp;SUM(J1536:N1536)&amp;" statt "&amp;I1536))</f>
        <v/>
      </c>
      <c r="P1536" s="21" t="n"/>
      <c r="Q1536" s="21" t="n"/>
      <c r="R1536" s="21" t="n"/>
      <c r="S1536" s="24" t="n"/>
      <c r="T1536" s="24" t="n"/>
      <c r="V1536">
        <f>IF(A1536="","",MONTH(A1536))</f>
        <v/>
      </c>
      <c r="W1536">
        <f>N(W1535)+IF(AND(C1536&lt;&gt;"",T1536&lt;&gt;""),IF(C1536=WOCHE!$B$3,1,0),0)</f>
        <v/>
      </c>
      <c r="X1536">
        <f>N(X1535)+IF(AND(V1536&lt;&gt;"",T1536&lt;&gt;""),IF(V1536=MONAT!$AZ$3,1,0),0)</f>
        <v/>
      </c>
    </row>
    <row r="1537">
      <c r="A1537" s="19" t="n"/>
      <c r="B1537" s="20">
        <f>IF(A1537="","",CHOOSE(WEEKDAY(A1537,2),"Mo","Di","Mi","Do","Fr","Sa","So"))</f>
        <v/>
      </c>
      <c r="C1537" s="20">
        <f>IF(A1537="","",INT((A1537-DATE(YEAR(A1537-WEEKDAY(A1537-1)+4),1,3)+WEEKDAY(DATE(YEAR(A1537-WEEKDAY(A1537-1)+4),1,3))+5)/7))</f>
        <v/>
      </c>
      <c r="D1537" s="21" t="n"/>
      <c r="E1537" s="22" t="n"/>
      <c r="F1537" s="23" t="n"/>
      <c r="G1537" s="23" t="n"/>
      <c r="H1537" s="23" t="n"/>
      <c r="I1537" s="20">
        <f>IF(COUNT(F1537:H1537)=0,"",SUM(F1537:H1537))</f>
        <v/>
      </c>
      <c r="J1537" s="23" t="n"/>
      <c r="K1537" s="23" t="n"/>
      <c r="L1537" s="23" t="n"/>
      <c r="M1537" s="23" t="n"/>
      <c r="N1537" s="23" t="n"/>
      <c r="O1537" s="20">
        <f>IF(OR(I1537="",COUNT(J1537:N1537)=0),"",IF(SUM(J1537:N1537)=I1537,"✓","⚠ "&amp;SUM(J1537:N1537)&amp;" statt "&amp;I1537))</f>
        <v/>
      </c>
      <c r="P1537" s="21" t="n"/>
      <c r="Q1537" s="21" t="n"/>
      <c r="R1537" s="21" t="n"/>
      <c r="S1537" s="24" t="n"/>
      <c r="T1537" s="24" t="n"/>
      <c r="V1537">
        <f>IF(A1537="","",MONTH(A1537))</f>
        <v/>
      </c>
      <c r="W1537">
        <f>N(W1536)+IF(AND(C1537&lt;&gt;"",T1537&lt;&gt;""),IF(C1537=WOCHE!$B$3,1,0),0)</f>
        <v/>
      </c>
      <c r="X1537">
        <f>N(X1536)+IF(AND(V1537&lt;&gt;"",T1537&lt;&gt;""),IF(V1537=MONAT!$AZ$3,1,0),0)</f>
        <v/>
      </c>
    </row>
    <row r="1538">
      <c r="A1538" s="19" t="n"/>
      <c r="B1538" s="20">
        <f>IF(A1538="","",CHOOSE(WEEKDAY(A1538,2),"Mo","Di","Mi","Do","Fr","Sa","So"))</f>
        <v/>
      </c>
      <c r="C1538" s="20">
        <f>IF(A1538="","",INT((A1538-DATE(YEAR(A1538-WEEKDAY(A1538-1)+4),1,3)+WEEKDAY(DATE(YEAR(A1538-WEEKDAY(A1538-1)+4),1,3))+5)/7))</f>
        <v/>
      </c>
      <c r="D1538" s="21" t="n"/>
      <c r="E1538" s="22" t="n"/>
      <c r="F1538" s="23" t="n"/>
      <c r="G1538" s="23" t="n"/>
      <c r="H1538" s="23" t="n"/>
      <c r="I1538" s="20">
        <f>IF(COUNT(F1538:H1538)=0,"",SUM(F1538:H1538))</f>
        <v/>
      </c>
      <c r="J1538" s="23" t="n"/>
      <c r="K1538" s="23" t="n"/>
      <c r="L1538" s="23" t="n"/>
      <c r="M1538" s="23" t="n"/>
      <c r="N1538" s="23" t="n"/>
      <c r="O1538" s="20">
        <f>IF(OR(I1538="",COUNT(J1538:N1538)=0),"",IF(SUM(J1538:N1538)=I1538,"✓","⚠ "&amp;SUM(J1538:N1538)&amp;" statt "&amp;I1538))</f>
        <v/>
      </c>
      <c r="P1538" s="21" t="n"/>
      <c r="Q1538" s="21" t="n"/>
      <c r="R1538" s="21" t="n"/>
      <c r="S1538" s="24" t="n"/>
      <c r="T1538" s="24" t="n"/>
      <c r="V1538">
        <f>IF(A1538="","",MONTH(A1538))</f>
        <v/>
      </c>
      <c r="W1538">
        <f>N(W1537)+IF(AND(C1538&lt;&gt;"",T1538&lt;&gt;""),IF(C1538=WOCHE!$B$3,1,0),0)</f>
        <v/>
      </c>
      <c r="X1538">
        <f>N(X1537)+IF(AND(V1538&lt;&gt;"",T1538&lt;&gt;""),IF(V1538=MONAT!$AZ$3,1,0),0)</f>
        <v/>
      </c>
    </row>
    <row r="1539">
      <c r="A1539" s="19" t="n"/>
      <c r="B1539" s="20">
        <f>IF(A1539="","",CHOOSE(WEEKDAY(A1539,2),"Mo","Di","Mi","Do","Fr","Sa","So"))</f>
        <v/>
      </c>
      <c r="C1539" s="20">
        <f>IF(A1539="","",INT((A1539-DATE(YEAR(A1539-WEEKDAY(A1539-1)+4),1,3)+WEEKDAY(DATE(YEAR(A1539-WEEKDAY(A1539-1)+4),1,3))+5)/7))</f>
        <v/>
      </c>
      <c r="D1539" s="21" t="n"/>
      <c r="E1539" s="22" t="n"/>
      <c r="F1539" s="23" t="n"/>
      <c r="G1539" s="23" t="n"/>
      <c r="H1539" s="23" t="n"/>
      <c r="I1539" s="20">
        <f>IF(COUNT(F1539:H1539)=0,"",SUM(F1539:H1539))</f>
        <v/>
      </c>
      <c r="J1539" s="23" t="n"/>
      <c r="K1539" s="23" t="n"/>
      <c r="L1539" s="23" t="n"/>
      <c r="M1539" s="23" t="n"/>
      <c r="N1539" s="23" t="n"/>
      <c r="O1539" s="20">
        <f>IF(OR(I1539="",COUNT(J1539:N1539)=0),"",IF(SUM(J1539:N1539)=I1539,"✓","⚠ "&amp;SUM(J1539:N1539)&amp;" statt "&amp;I1539))</f>
        <v/>
      </c>
      <c r="P1539" s="21" t="n"/>
      <c r="Q1539" s="21" t="n"/>
      <c r="R1539" s="21" t="n"/>
      <c r="S1539" s="24" t="n"/>
      <c r="T1539" s="24" t="n"/>
      <c r="V1539">
        <f>IF(A1539="","",MONTH(A1539))</f>
        <v/>
      </c>
      <c r="W1539">
        <f>N(W1538)+IF(AND(C1539&lt;&gt;"",T1539&lt;&gt;""),IF(C1539=WOCHE!$B$3,1,0),0)</f>
        <v/>
      </c>
      <c r="X1539">
        <f>N(X1538)+IF(AND(V1539&lt;&gt;"",T1539&lt;&gt;""),IF(V1539=MONAT!$AZ$3,1,0),0)</f>
        <v/>
      </c>
    </row>
    <row r="1540">
      <c r="A1540" s="19" t="n"/>
      <c r="B1540" s="20">
        <f>IF(A1540="","",CHOOSE(WEEKDAY(A1540,2),"Mo","Di","Mi","Do","Fr","Sa","So"))</f>
        <v/>
      </c>
      <c r="C1540" s="20">
        <f>IF(A1540="","",INT((A1540-DATE(YEAR(A1540-WEEKDAY(A1540-1)+4),1,3)+WEEKDAY(DATE(YEAR(A1540-WEEKDAY(A1540-1)+4),1,3))+5)/7))</f>
        <v/>
      </c>
      <c r="D1540" s="21" t="n"/>
      <c r="E1540" s="22" t="n"/>
      <c r="F1540" s="23" t="n"/>
      <c r="G1540" s="23" t="n"/>
      <c r="H1540" s="23" t="n"/>
      <c r="I1540" s="20">
        <f>IF(COUNT(F1540:H1540)=0,"",SUM(F1540:H1540))</f>
        <v/>
      </c>
      <c r="J1540" s="23" t="n"/>
      <c r="K1540" s="23" t="n"/>
      <c r="L1540" s="23" t="n"/>
      <c r="M1540" s="23" t="n"/>
      <c r="N1540" s="23" t="n"/>
      <c r="O1540" s="20">
        <f>IF(OR(I1540="",COUNT(J1540:N1540)=0),"",IF(SUM(J1540:N1540)=I1540,"✓","⚠ "&amp;SUM(J1540:N1540)&amp;" statt "&amp;I1540))</f>
        <v/>
      </c>
      <c r="P1540" s="21" t="n"/>
      <c r="Q1540" s="21" t="n"/>
      <c r="R1540" s="21" t="n"/>
      <c r="S1540" s="24" t="n"/>
      <c r="T1540" s="24" t="n"/>
      <c r="V1540">
        <f>IF(A1540="","",MONTH(A1540))</f>
        <v/>
      </c>
      <c r="W1540">
        <f>N(W1539)+IF(AND(C1540&lt;&gt;"",T1540&lt;&gt;""),IF(C1540=WOCHE!$B$3,1,0),0)</f>
        <v/>
      </c>
      <c r="X1540">
        <f>N(X1539)+IF(AND(V1540&lt;&gt;"",T1540&lt;&gt;""),IF(V1540=MONAT!$AZ$3,1,0),0)</f>
        <v/>
      </c>
    </row>
    <row r="1541">
      <c r="A1541" s="19" t="n"/>
      <c r="B1541" s="20">
        <f>IF(A1541="","",CHOOSE(WEEKDAY(A1541,2),"Mo","Di","Mi","Do","Fr","Sa","So"))</f>
        <v/>
      </c>
      <c r="C1541" s="20">
        <f>IF(A1541="","",INT((A1541-DATE(YEAR(A1541-WEEKDAY(A1541-1)+4),1,3)+WEEKDAY(DATE(YEAR(A1541-WEEKDAY(A1541-1)+4),1,3))+5)/7))</f>
        <v/>
      </c>
      <c r="D1541" s="21" t="n"/>
      <c r="E1541" s="22" t="n"/>
      <c r="F1541" s="23" t="n"/>
      <c r="G1541" s="23" t="n"/>
      <c r="H1541" s="23" t="n"/>
      <c r="I1541" s="20">
        <f>IF(COUNT(F1541:H1541)=0,"",SUM(F1541:H1541))</f>
        <v/>
      </c>
      <c r="J1541" s="23" t="n"/>
      <c r="K1541" s="23" t="n"/>
      <c r="L1541" s="23" t="n"/>
      <c r="M1541" s="23" t="n"/>
      <c r="N1541" s="23" t="n"/>
      <c r="O1541" s="20">
        <f>IF(OR(I1541="",COUNT(J1541:N1541)=0),"",IF(SUM(J1541:N1541)=I1541,"✓","⚠ "&amp;SUM(J1541:N1541)&amp;" statt "&amp;I1541))</f>
        <v/>
      </c>
      <c r="P1541" s="21" t="n"/>
      <c r="Q1541" s="21" t="n"/>
      <c r="R1541" s="21" t="n"/>
      <c r="S1541" s="24" t="n"/>
      <c r="T1541" s="24" t="n"/>
      <c r="V1541">
        <f>IF(A1541="","",MONTH(A1541))</f>
        <v/>
      </c>
      <c r="W1541">
        <f>N(W1540)+IF(AND(C1541&lt;&gt;"",T1541&lt;&gt;""),IF(C1541=WOCHE!$B$3,1,0),0)</f>
        <v/>
      </c>
      <c r="X1541">
        <f>N(X1540)+IF(AND(V1541&lt;&gt;"",T1541&lt;&gt;""),IF(V1541=MONAT!$AZ$3,1,0),0)</f>
        <v/>
      </c>
    </row>
    <row r="1542">
      <c r="A1542" s="19" t="n"/>
      <c r="B1542" s="20">
        <f>IF(A1542="","",CHOOSE(WEEKDAY(A1542,2),"Mo","Di","Mi","Do","Fr","Sa","So"))</f>
        <v/>
      </c>
      <c r="C1542" s="20">
        <f>IF(A1542="","",INT((A1542-DATE(YEAR(A1542-WEEKDAY(A1542-1)+4),1,3)+WEEKDAY(DATE(YEAR(A1542-WEEKDAY(A1542-1)+4),1,3))+5)/7))</f>
        <v/>
      </c>
      <c r="D1542" s="21" t="n"/>
      <c r="E1542" s="22" t="n"/>
      <c r="F1542" s="23" t="n"/>
      <c r="G1542" s="23" t="n"/>
      <c r="H1542" s="23" t="n"/>
      <c r="I1542" s="20">
        <f>IF(COUNT(F1542:H1542)=0,"",SUM(F1542:H1542))</f>
        <v/>
      </c>
      <c r="J1542" s="23" t="n"/>
      <c r="K1542" s="23" t="n"/>
      <c r="L1542" s="23" t="n"/>
      <c r="M1542" s="23" t="n"/>
      <c r="N1542" s="23" t="n"/>
      <c r="O1542" s="20">
        <f>IF(OR(I1542="",COUNT(J1542:N1542)=0),"",IF(SUM(J1542:N1542)=I1542,"✓","⚠ "&amp;SUM(J1542:N1542)&amp;" statt "&amp;I1542))</f>
        <v/>
      </c>
      <c r="P1542" s="21" t="n"/>
      <c r="Q1542" s="21" t="n"/>
      <c r="R1542" s="21" t="n"/>
      <c r="S1542" s="24" t="n"/>
      <c r="T1542" s="24" t="n"/>
      <c r="V1542">
        <f>IF(A1542="","",MONTH(A1542))</f>
        <v/>
      </c>
      <c r="W1542">
        <f>N(W1541)+IF(AND(C1542&lt;&gt;"",T1542&lt;&gt;""),IF(C1542=WOCHE!$B$3,1,0),0)</f>
        <v/>
      </c>
      <c r="X1542">
        <f>N(X1541)+IF(AND(V1542&lt;&gt;"",T1542&lt;&gt;""),IF(V1542=MONAT!$AZ$3,1,0),0)</f>
        <v/>
      </c>
    </row>
    <row r="1543">
      <c r="A1543" s="19" t="n"/>
      <c r="B1543" s="20">
        <f>IF(A1543="","",CHOOSE(WEEKDAY(A1543,2),"Mo","Di","Mi","Do","Fr","Sa","So"))</f>
        <v/>
      </c>
      <c r="C1543" s="20">
        <f>IF(A1543="","",INT((A1543-DATE(YEAR(A1543-WEEKDAY(A1543-1)+4),1,3)+WEEKDAY(DATE(YEAR(A1543-WEEKDAY(A1543-1)+4),1,3))+5)/7))</f>
        <v/>
      </c>
      <c r="D1543" s="21" t="n"/>
      <c r="E1543" s="22" t="n"/>
      <c r="F1543" s="23" t="n"/>
      <c r="G1543" s="23" t="n"/>
      <c r="H1543" s="23" t="n"/>
      <c r="I1543" s="20">
        <f>IF(COUNT(F1543:H1543)=0,"",SUM(F1543:H1543))</f>
        <v/>
      </c>
      <c r="J1543" s="23" t="n"/>
      <c r="K1543" s="23" t="n"/>
      <c r="L1543" s="23" t="n"/>
      <c r="M1543" s="23" t="n"/>
      <c r="N1543" s="23" t="n"/>
      <c r="O1543" s="20">
        <f>IF(OR(I1543="",COUNT(J1543:N1543)=0),"",IF(SUM(J1543:N1543)=I1543,"✓","⚠ "&amp;SUM(J1543:N1543)&amp;" statt "&amp;I1543))</f>
        <v/>
      </c>
      <c r="P1543" s="21" t="n"/>
      <c r="Q1543" s="21" t="n"/>
      <c r="R1543" s="21" t="n"/>
      <c r="S1543" s="24" t="n"/>
      <c r="T1543" s="24" t="n"/>
      <c r="V1543">
        <f>IF(A1543="","",MONTH(A1543))</f>
        <v/>
      </c>
      <c r="W1543">
        <f>N(W1542)+IF(AND(C1543&lt;&gt;"",T1543&lt;&gt;""),IF(C1543=WOCHE!$B$3,1,0),0)</f>
        <v/>
      </c>
      <c r="X1543">
        <f>N(X1542)+IF(AND(V1543&lt;&gt;"",T1543&lt;&gt;""),IF(V1543=MONAT!$AZ$3,1,0),0)</f>
        <v/>
      </c>
    </row>
    <row r="1544">
      <c r="A1544" s="19" t="n"/>
      <c r="B1544" s="20">
        <f>IF(A1544="","",CHOOSE(WEEKDAY(A1544,2),"Mo","Di","Mi","Do","Fr","Sa","So"))</f>
        <v/>
      </c>
      <c r="C1544" s="20">
        <f>IF(A1544="","",INT((A1544-DATE(YEAR(A1544-WEEKDAY(A1544-1)+4),1,3)+WEEKDAY(DATE(YEAR(A1544-WEEKDAY(A1544-1)+4),1,3))+5)/7))</f>
        <v/>
      </c>
      <c r="D1544" s="21" t="n"/>
      <c r="E1544" s="22" t="n"/>
      <c r="F1544" s="23" t="n"/>
      <c r="G1544" s="23" t="n"/>
      <c r="H1544" s="23" t="n"/>
      <c r="I1544" s="20">
        <f>IF(COUNT(F1544:H1544)=0,"",SUM(F1544:H1544))</f>
        <v/>
      </c>
      <c r="J1544" s="23" t="n"/>
      <c r="K1544" s="23" t="n"/>
      <c r="L1544" s="23" t="n"/>
      <c r="M1544" s="23" t="n"/>
      <c r="N1544" s="23" t="n"/>
      <c r="O1544" s="20">
        <f>IF(OR(I1544="",COUNT(J1544:N1544)=0),"",IF(SUM(J1544:N1544)=I1544,"✓","⚠ "&amp;SUM(J1544:N1544)&amp;" statt "&amp;I1544))</f>
        <v/>
      </c>
      <c r="P1544" s="21" t="n"/>
      <c r="Q1544" s="21" t="n"/>
      <c r="R1544" s="21" t="n"/>
      <c r="S1544" s="24" t="n"/>
      <c r="T1544" s="24" t="n"/>
      <c r="V1544">
        <f>IF(A1544="","",MONTH(A1544))</f>
        <v/>
      </c>
      <c r="W1544">
        <f>N(W1543)+IF(AND(C1544&lt;&gt;"",T1544&lt;&gt;""),IF(C1544=WOCHE!$B$3,1,0),0)</f>
        <v/>
      </c>
      <c r="X1544">
        <f>N(X1543)+IF(AND(V1544&lt;&gt;"",T1544&lt;&gt;""),IF(V1544=MONAT!$AZ$3,1,0),0)</f>
        <v/>
      </c>
    </row>
    <row r="1545">
      <c r="A1545" s="19" t="n"/>
      <c r="B1545" s="20">
        <f>IF(A1545="","",CHOOSE(WEEKDAY(A1545,2),"Mo","Di","Mi","Do","Fr","Sa","So"))</f>
        <v/>
      </c>
      <c r="C1545" s="20">
        <f>IF(A1545="","",INT((A1545-DATE(YEAR(A1545-WEEKDAY(A1545-1)+4),1,3)+WEEKDAY(DATE(YEAR(A1545-WEEKDAY(A1545-1)+4),1,3))+5)/7))</f>
        <v/>
      </c>
      <c r="D1545" s="21" t="n"/>
      <c r="E1545" s="22" t="n"/>
      <c r="F1545" s="23" t="n"/>
      <c r="G1545" s="23" t="n"/>
      <c r="H1545" s="23" t="n"/>
      <c r="I1545" s="20">
        <f>IF(COUNT(F1545:H1545)=0,"",SUM(F1545:H1545))</f>
        <v/>
      </c>
      <c r="J1545" s="23" t="n"/>
      <c r="K1545" s="23" t="n"/>
      <c r="L1545" s="23" t="n"/>
      <c r="M1545" s="23" t="n"/>
      <c r="N1545" s="23" t="n"/>
      <c r="O1545" s="20">
        <f>IF(OR(I1545="",COUNT(J1545:N1545)=0),"",IF(SUM(J1545:N1545)=I1545,"✓","⚠ "&amp;SUM(J1545:N1545)&amp;" statt "&amp;I1545))</f>
        <v/>
      </c>
      <c r="P1545" s="21" t="n"/>
      <c r="Q1545" s="21" t="n"/>
      <c r="R1545" s="21" t="n"/>
      <c r="S1545" s="24" t="n"/>
      <c r="T1545" s="24" t="n"/>
      <c r="V1545">
        <f>IF(A1545="","",MONTH(A1545))</f>
        <v/>
      </c>
      <c r="W1545">
        <f>N(W1544)+IF(AND(C1545&lt;&gt;"",T1545&lt;&gt;""),IF(C1545=WOCHE!$B$3,1,0),0)</f>
        <v/>
      </c>
      <c r="X1545">
        <f>N(X1544)+IF(AND(V1545&lt;&gt;"",T1545&lt;&gt;""),IF(V1545=MONAT!$AZ$3,1,0),0)</f>
        <v/>
      </c>
    </row>
    <row r="1546">
      <c r="A1546" s="19" t="n"/>
      <c r="B1546" s="20">
        <f>IF(A1546="","",CHOOSE(WEEKDAY(A1546,2),"Mo","Di","Mi","Do","Fr","Sa","So"))</f>
        <v/>
      </c>
      <c r="C1546" s="20">
        <f>IF(A1546="","",INT((A1546-DATE(YEAR(A1546-WEEKDAY(A1546-1)+4),1,3)+WEEKDAY(DATE(YEAR(A1546-WEEKDAY(A1546-1)+4),1,3))+5)/7))</f>
        <v/>
      </c>
      <c r="D1546" s="21" t="n"/>
      <c r="E1546" s="22" t="n"/>
      <c r="F1546" s="23" t="n"/>
      <c r="G1546" s="23" t="n"/>
      <c r="H1546" s="23" t="n"/>
      <c r="I1546" s="20">
        <f>IF(COUNT(F1546:H1546)=0,"",SUM(F1546:H1546))</f>
        <v/>
      </c>
      <c r="J1546" s="23" t="n"/>
      <c r="K1546" s="23" t="n"/>
      <c r="L1546" s="23" t="n"/>
      <c r="M1546" s="23" t="n"/>
      <c r="N1546" s="23" t="n"/>
      <c r="O1546" s="20">
        <f>IF(OR(I1546="",COUNT(J1546:N1546)=0),"",IF(SUM(J1546:N1546)=I1546,"✓","⚠ "&amp;SUM(J1546:N1546)&amp;" statt "&amp;I1546))</f>
        <v/>
      </c>
      <c r="P1546" s="21" t="n"/>
      <c r="Q1546" s="21" t="n"/>
      <c r="R1546" s="21" t="n"/>
      <c r="S1546" s="24" t="n"/>
      <c r="T1546" s="24" t="n"/>
      <c r="V1546">
        <f>IF(A1546="","",MONTH(A1546))</f>
        <v/>
      </c>
      <c r="W1546">
        <f>N(W1545)+IF(AND(C1546&lt;&gt;"",T1546&lt;&gt;""),IF(C1546=WOCHE!$B$3,1,0),0)</f>
        <v/>
      </c>
      <c r="X1546">
        <f>N(X1545)+IF(AND(V1546&lt;&gt;"",T1546&lt;&gt;""),IF(V1546=MONAT!$AZ$3,1,0),0)</f>
        <v/>
      </c>
    </row>
    <row r="1547">
      <c r="A1547" s="19" t="n"/>
      <c r="B1547" s="20">
        <f>IF(A1547="","",CHOOSE(WEEKDAY(A1547,2),"Mo","Di","Mi","Do","Fr","Sa","So"))</f>
        <v/>
      </c>
      <c r="C1547" s="20">
        <f>IF(A1547="","",INT((A1547-DATE(YEAR(A1547-WEEKDAY(A1547-1)+4),1,3)+WEEKDAY(DATE(YEAR(A1547-WEEKDAY(A1547-1)+4),1,3))+5)/7))</f>
        <v/>
      </c>
      <c r="D1547" s="21" t="n"/>
      <c r="E1547" s="22" t="n"/>
      <c r="F1547" s="23" t="n"/>
      <c r="G1547" s="23" t="n"/>
      <c r="H1547" s="23" t="n"/>
      <c r="I1547" s="20">
        <f>IF(COUNT(F1547:H1547)=0,"",SUM(F1547:H1547))</f>
        <v/>
      </c>
      <c r="J1547" s="23" t="n"/>
      <c r="K1547" s="23" t="n"/>
      <c r="L1547" s="23" t="n"/>
      <c r="M1547" s="23" t="n"/>
      <c r="N1547" s="23" t="n"/>
      <c r="O1547" s="20">
        <f>IF(OR(I1547="",COUNT(J1547:N1547)=0),"",IF(SUM(J1547:N1547)=I1547,"✓","⚠ "&amp;SUM(J1547:N1547)&amp;" statt "&amp;I1547))</f>
        <v/>
      </c>
      <c r="P1547" s="21" t="n"/>
      <c r="Q1547" s="21" t="n"/>
      <c r="R1547" s="21" t="n"/>
      <c r="S1547" s="24" t="n"/>
      <c r="T1547" s="24" t="n"/>
      <c r="V1547">
        <f>IF(A1547="","",MONTH(A1547))</f>
        <v/>
      </c>
      <c r="W1547">
        <f>N(W1546)+IF(AND(C1547&lt;&gt;"",T1547&lt;&gt;""),IF(C1547=WOCHE!$B$3,1,0),0)</f>
        <v/>
      </c>
      <c r="X1547">
        <f>N(X1546)+IF(AND(V1547&lt;&gt;"",T1547&lt;&gt;""),IF(V1547=MONAT!$AZ$3,1,0),0)</f>
        <v/>
      </c>
    </row>
    <row r="1548">
      <c r="A1548" s="19" t="n"/>
      <c r="B1548" s="20">
        <f>IF(A1548="","",CHOOSE(WEEKDAY(A1548,2),"Mo","Di","Mi","Do","Fr","Sa","So"))</f>
        <v/>
      </c>
      <c r="C1548" s="20">
        <f>IF(A1548="","",INT((A1548-DATE(YEAR(A1548-WEEKDAY(A1548-1)+4),1,3)+WEEKDAY(DATE(YEAR(A1548-WEEKDAY(A1548-1)+4),1,3))+5)/7))</f>
        <v/>
      </c>
      <c r="D1548" s="21" t="n"/>
      <c r="E1548" s="22" t="n"/>
      <c r="F1548" s="23" t="n"/>
      <c r="G1548" s="23" t="n"/>
      <c r="H1548" s="23" t="n"/>
      <c r="I1548" s="20">
        <f>IF(COUNT(F1548:H1548)=0,"",SUM(F1548:H1548))</f>
        <v/>
      </c>
      <c r="J1548" s="23" t="n"/>
      <c r="K1548" s="23" t="n"/>
      <c r="L1548" s="23" t="n"/>
      <c r="M1548" s="23" t="n"/>
      <c r="N1548" s="23" t="n"/>
      <c r="O1548" s="20">
        <f>IF(OR(I1548="",COUNT(J1548:N1548)=0),"",IF(SUM(J1548:N1548)=I1548,"✓","⚠ "&amp;SUM(J1548:N1548)&amp;" statt "&amp;I1548))</f>
        <v/>
      </c>
      <c r="P1548" s="21" t="n"/>
      <c r="Q1548" s="21" t="n"/>
      <c r="R1548" s="21" t="n"/>
      <c r="S1548" s="24" t="n"/>
      <c r="T1548" s="24" t="n"/>
      <c r="V1548">
        <f>IF(A1548="","",MONTH(A1548))</f>
        <v/>
      </c>
      <c r="W1548">
        <f>N(W1547)+IF(AND(C1548&lt;&gt;"",T1548&lt;&gt;""),IF(C1548=WOCHE!$B$3,1,0),0)</f>
        <v/>
      </c>
      <c r="X1548">
        <f>N(X1547)+IF(AND(V1548&lt;&gt;"",T1548&lt;&gt;""),IF(V1548=MONAT!$AZ$3,1,0),0)</f>
        <v/>
      </c>
    </row>
    <row r="1549">
      <c r="A1549" s="19" t="n"/>
      <c r="B1549" s="20">
        <f>IF(A1549="","",CHOOSE(WEEKDAY(A1549,2),"Mo","Di","Mi","Do","Fr","Sa","So"))</f>
        <v/>
      </c>
      <c r="C1549" s="20">
        <f>IF(A1549="","",INT((A1549-DATE(YEAR(A1549-WEEKDAY(A1549-1)+4),1,3)+WEEKDAY(DATE(YEAR(A1549-WEEKDAY(A1549-1)+4),1,3))+5)/7))</f>
        <v/>
      </c>
      <c r="D1549" s="21" t="n"/>
      <c r="E1549" s="22" t="n"/>
      <c r="F1549" s="23" t="n"/>
      <c r="G1549" s="23" t="n"/>
      <c r="H1549" s="23" t="n"/>
      <c r="I1549" s="20">
        <f>IF(COUNT(F1549:H1549)=0,"",SUM(F1549:H1549))</f>
        <v/>
      </c>
      <c r="J1549" s="23" t="n"/>
      <c r="K1549" s="23" t="n"/>
      <c r="L1549" s="23" t="n"/>
      <c r="M1549" s="23" t="n"/>
      <c r="N1549" s="23" t="n"/>
      <c r="O1549" s="20">
        <f>IF(OR(I1549="",COUNT(J1549:N1549)=0),"",IF(SUM(J1549:N1549)=I1549,"✓","⚠ "&amp;SUM(J1549:N1549)&amp;" statt "&amp;I1549))</f>
        <v/>
      </c>
      <c r="P1549" s="21" t="n"/>
      <c r="Q1549" s="21" t="n"/>
      <c r="R1549" s="21" t="n"/>
      <c r="S1549" s="24" t="n"/>
      <c r="T1549" s="24" t="n"/>
      <c r="V1549">
        <f>IF(A1549="","",MONTH(A1549))</f>
        <v/>
      </c>
      <c r="W1549">
        <f>N(W1548)+IF(AND(C1549&lt;&gt;"",T1549&lt;&gt;""),IF(C1549=WOCHE!$B$3,1,0),0)</f>
        <v/>
      </c>
      <c r="X1549">
        <f>N(X1548)+IF(AND(V1549&lt;&gt;"",T1549&lt;&gt;""),IF(V1549=MONAT!$AZ$3,1,0),0)</f>
        <v/>
      </c>
    </row>
    <row r="1550">
      <c r="A1550" s="19" t="n"/>
      <c r="B1550" s="20">
        <f>IF(A1550="","",CHOOSE(WEEKDAY(A1550,2),"Mo","Di","Mi","Do","Fr","Sa","So"))</f>
        <v/>
      </c>
      <c r="C1550" s="20">
        <f>IF(A1550="","",INT((A1550-DATE(YEAR(A1550-WEEKDAY(A1550-1)+4),1,3)+WEEKDAY(DATE(YEAR(A1550-WEEKDAY(A1550-1)+4),1,3))+5)/7))</f>
        <v/>
      </c>
      <c r="D1550" s="21" t="n"/>
      <c r="E1550" s="22" t="n"/>
      <c r="F1550" s="23" t="n"/>
      <c r="G1550" s="23" t="n"/>
      <c r="H1550" s="23" t="n"/>
      <c r="I1550" s="20">
        <f>IF(COUNT(F1550:H1550)=0,"",SUM(F1550:H1550))</f>
        <v/>
      </c>
      <c r="J1550" s="23" t="n"/>
      <c r="K1550" s="23" t="n"/>
      <c r="L1550" s="23" t="n"/>
      <c r="M1550" s="23" t="n"/>
      <c r="N1550" s="23" t="n"/>
      <c r="O1550" s="20">
        <f>IF(OR(I1550="",COUNT(J1550:N1550)=0),"",IF(SUM(J1550:N1550)=I1550,"✓","⚠ "&amp;SUM(J1550:N1550)&amp;" statt "&amp;I1550))</f>
        <v/>
      </c>
      <c r="P1550" s="21" t="n"/>
      <c r="Q1550" s="21" t="n"/>
      <c r="R1550" s="21" t="n"/>
      <c r="S1550" s="24" t="n"/>
      <c r="T1550" s="24" t="n"/>
      <c r="V1550">
        <f>IF(A1550="","",MONTH(A1550))</f>
        <v/>
      </c>
      <c r="W1550">
        <f>N(W1549)+IF(AND(C1550&lt;&gt;"",T1550&lt;&gt;""),IF(C1550=WOCHE!$B$3,1,0),0)</f>
        <v/>
      </c>
      <c r="X1550">
        <f>N(X1549)+IF(AND(V1550&lt;&gt;"",T1550&lt;&gt;""),IF(V1550=MONAT!$AZ$3,1,0),0)</f>
        <v/>
      </c>
    </row>
    <row r="1551">
      <c r="A1551" s="19" t="n"/>
      <c r="B1551" s="20">
        <f>IF(A1551="","",CHOOSE(WEEKDAY(A1551,2),"Mo","Di","Mi","Do","Fr","Sa","So"))</f>
        <v/>
      </c>
      <c r="C1551" s="20">
        <f>IF(A1551="","",INT((A1551-DATE(YEAR(A1551-WEEKDAY(A1551-1)+4),1,3)+WEEKDAY(DATE(YEAR(A1551-WEEKDAY(A1551-1)+4),1,3))+5)/7))</f>
        <v/>
      </c>
      <c r="D1551" s="21" t="n"/>
      <c r="E1551" s="22" t="n"/>
      <c r="F1551" s="23" t="n"/>
      <c r="G1551" s="23" t="n"/>
      <c r="H1551" s="23" t="n"/>
      <c r="I1551" s="20">
        <f>IF(COUNT(F1551:H1551)=0,"",SUM(F1551:H1551))</f>
        <v/>
      </c>
      <c r="J1551" s="23" t="n"/>
      <c r="K1551" s="23" t="n"/>
      <c r="L1551" s="23" t="n"/>
      <c r="M1551" s="23" t="n"/>
      <c r="N1551" s="23" t="n"/>
      <c r="O1551" s="20">
        <f>IF(OR(I1551="",COUNT(J1551:N1551)=0),"",IF(SUM(J1551:N1551)=I1551,"✓","⚠ "&amp;SUM(J1551:N1551)&amp;" statt "&amp;I1551))</f>
        <v/>
      </c>
      <c r="P1551" s="21" t="n"/>
      <c r="Q1551" s="21" t="n"/>
      <c r="R1551" s="21" t="n"/>
      <c r="S1551" s="24" t="n"/>
      <c r="T1551" s="24" t="n"/>
      <c r="V1551">
        <f>IF(A1551="","",MONTH(A1551))</f>
        <v/>
      </c>
      <c r="W1551">
        <f>N(W1550)+IF(AND(C1551&lt;&gt;"",T1551&lt;&gt;""),IF(C1551=WOCHE!$B$3,1,0),0)</f>
        <v/>
      </c>
      <c r="X1551">
        <f>N(X1550)+IF(AND(V1551&lt;&gt;"",T1551&lt;&gt;""),IF(V1551=MONAT!$AZ$3,1,0),0)</f>
        <v/>
      </c>
    </row>
    <row r="1552">
      <c r="A1552" s="19" t="n"/>
      <c r="B1552" s="20">
        <f>IF(A1552="","",CHOOSE(WEEKDAY(A1552,2),"Mo","Di","Mi","Do","Fr","Sa","So"))</f>
        <v/>
      </c>
      <c r="C1552" s="20">
        <f>IF(A1552="","",INT((A1552-DATE(YEAR(A1552-WEEKDAY(A1552-1)+4),1,3)+WEEKDAY(DATE(YEAR(A1552-WEEKDAY(A1552-1)+4),1,3))+5)/7))</f>
        <v/>
      </c>
      <c r="D1552" s="21" t="n"/>
      <c r="E1552" s="22" t="n"/>
      <c r="F1552" s="23" t="n"/>
      <c r="G1552" s="23" t="n"/>
      <c r="H1552" s="23" t="n"/>
      <c r="I1552" s="20">
        <f>IF(COUNT(F1552:H1552)=0,"",SUM(F1552:H1552))</f>
        <v/>
      </c>
      <c r="J1552" s="23" t="n"/>
      <c r="K1552" s="23" t="n"/>
      <c r="L1552" s="23" t="n"/>
      <c r="M1552" s="23" t="n"/>
      <c r="N1552" s="23" t="n"/>
      <c r="O1552" s="20">
        <f>IF(OR(I1552="",COUNT(J1552:N1552)=0),"",IF(SUM(J1552:N1552)=I1552,"✓","⚠ "&amp;SUM(J1552:N1552)&amp;" statt "&amp;I1552))</f>
        <v/>
      </c>
      <c r="P1552" s="21" t="n"/>
      <c r="Q1552" s="21" t="n"/>
      <c r="R1552" s="21" t="n"/>
      <c r="S1552" s="24" t="n"/>
      <c r="T1552" s="24" t="n"/>
      <c r="V1552">
        <f>IF(A1552="","",MONTH(A1552))</f>
        <v/>
      </c>
      <c r="W1552">
        <f>N(W1551)+IF(AND(C1552&lt;&gt;"",T1552&lt;&gt;""),IF(C1552=WOCHE!$B$3,1,0),0)</f>
        <v/>
      </c>
      <c r="X1552">
        <f>N(X1551)+IF(AND(V1552&lt;&gt;"",T1552&lt;&gt;""),IF(V1552=MONAT!$AZ$3,1,0),0)</f>
        <v/>
      </c>
    </row>
    <row r="1553">
      <c r="A1553" s="19" t="n"/>
      <c r="B1553" s="20">
        <f>IF(A1553="","",CHOOSE(WEEKDAY(A1553,2),"Mo","Di","Mi","Do","Fr","Sa","So"))</f>
        <v/>
      </c>
      <c r="C1553" s="20">
        <f>IF(A1553="","",INT((A1553-DATE(YEAR(A1553-WEEKDAY(A1553-1)+4),1,3)+WEEKDAY(DATE(YEAR(A1553-WEEKDAY(A1553-1)+4),1,3))+5)/7))</f>
        <v/>
      </c>
      <c r="D1553" s="21" t="n"/>
      <c r="E1553" s="22" t="n"/>
      <c r="F1553" s="23" t="n"/>
      <c r="G1553" s="23" t="n"/>
      <c r="H1553" s="23" t="n"/>
      <c r="I1553" s="20">
        <f>IF(COUNT(F1553:H1553)=0,"",SUM(F1553:H1553))</f>
        <v/>
      </c>
      <c r="J1553" s="23" t="n"/>
      <c r="K1553" s="23" t="n"/>
      <c r="L1553" s="23" t="n"/>
      <c r="M1553" s="23" t="n"/>
      <c r="N1553" s="23" t="n"/>
      <c r="O1553" s="20">
        <f>IF(OR(I1553="",COUNT(J1553:N1553)=0),"",IF(SUM(J1553:N1553)=I1553,"✓","⚠ "&amp;SUM(J1553:N1553)&amp;" statt "&amp;I1553))</f>
        <v/>
      </c>
      <c r="P1553" s="21" t="n"/>
      <c r="Q1553" s="21" t="n"/>
      <c r="R1553" s="21" t="n"/>
      <c r="S1553" s="24" t="n"/>
      <c r="T1553" s="24" t="n"/>
      <c r="V1553">
        <f>IF(A1553="","",MONTH(A1553))</f>
        <v/>
      </c>
      <c r="W1553">
        <f>N(W1552)+IF(AND(C1553&lt;&gt;"",T1553&lt;&gt;""),IF(C1553=WOCHE!$B$3,1,0),0)</f>
        <v/>
      </c>
      <c r="X1553">
        <f>N(X1552)+IF(AND(V1553&lt;&gt;"",T1553&lt;&gt;""),IF(V1553=MONAT!$AZ$3,1,0),0)</f>
        <v/>
      </c>
    </row>
    <row r="1554">
      <c r="A1554" s="19" t="n"/>
      <c r="B1554" s="20">
        <f>IF(A1554="","",CHOOSE(WEEKDAY(A1554,2),"Mo","Di","Mi","Do","Fr","Sa","So"))</f>
        <v/>
      </c>
      <c r="C1554" s="20">
        <f>IF(A1554="","",INT((A1554-DATE(YEAR(A1554-WEEKDAY(A1554-1)+4),1,3)+WEEKDAY(DATE(YEAR(A1554-WEEKDAY(A1554-1)+4),1,3))+5)/7))</f>
        <v/>
      </c>
      <c r="D1554" s="21" t="n"/>
      <c r="E1554" s="22" t="n"/>
      <c r="F1554" s="23" t="n"/>
      <c r="G1554" s="23" t="n"/>
      <c r="H1554" s="23" t="n"/>
      <c r="I1554" s="20">
        <f>IF(COUNT(F1554:H1554)=0,"",SUM(F1554:H1554))</f>
        <v/>
      </c>
      <c r="J1554" s="23" t="n"/>
      <c r="K1554" s="23" t="n"/>
      <c r="L1554" s="23" t="n"/>
      <c r="M1554" s="23" t="n"/>
      <c r="N1554" s="23" t="n"/>
      <c r="O1554" s="20">
        <f>IF(OR(I1554="",COUNT(J1554:N1554)=0),"",IF(SUM(J1554:N1554)=I1554,"✓","⚠ "&amp;SUM(J1554:N1554)&amp;" statt "&amp;I1554))</f>
        <v/>
      </c>
      <c r="P1554" s="21" t="n"/>
      <c r="Q1554" s="21" t="n"/>
      <c r="R1554" s="21" t="n"/>
      <c r="S1554" s="24" t="n"/>
      <c r="T1554" s="24" t="n"/>
      <c r="V1554">
        <f>IF(A1554="","",MONTH(A1554))</f>
        <v/>
      </c>
      <c r="W1554">
        <f>N(W1553)+IF(AND(C1554&lt;&gt;"",T1554&lt;&gt;""),IF(C1554=WOCHE!$B$3,1,0),0)</f>
        <v/>
      </c>
      <c r="X1554">
        <f>N(X1553)+IF(AND(V1554&lt;&gt;"",T1554&lt;&gt;""),IF(V1554=MONAT!$AZ$3,1,0),0)</f>
        <v/>
      </c>
    </row>
    <row r="1555">
      <c r="A1555" s="19" t="n"/>
      <c r="B1555" s="20">
        <f>IF(A1555="","",CHOOSE(WEEKDAY(A1555,2),"Mo","Di","Mi","Do","Fr","Sa","So"))</f>
        <v/>
      </c>
      <c r="C1555" s="20">
        <f>IF(A1555="","",INT((A1555-DATE(YEAR(A1555-WEEKDAY(A1555-1)+4),1,3)+WEEKDAY(DATE(YEAR(A1555-WEEKDAY(A1555-1)+4),1,3))+5)/7))</f>
        <v/>
      </c>
      <c r="D1555" s="21" t="n"/>
      <c r="E1555" s="22" t="n"/>
      <c r="F1555" s="23" t="n"/>
      <c r="G1555" s="23" t="n"/>
      <c r="H1555" s="23" t="n"/>
      <c r="I1555" s="20">
        <f>IF(COUNT(F1555:H1555)=0,"",SUM(F1555:H1555))</f>
        <v/>
      </c>
      <c r="J1555" s="23" t="n"/>
      <c r="K1555" s="23" t="n"/>
      <c r="L1555" s="23" t="n"/>
      <c r="M1555" s="23" t="n"/>
      <c r="N1555" s="23" t="n"/>
      <c r="O1555" s="20">
        <f>IF(OR(I1555="",COUNT(J1555:N1555)=0),"",IF(SUM(J1555:N1555)=I1555,"✓","⚠ "&amp;SUM(J1555:N1555)&amp;" statt "&amp;I1555))</f>
        <v/>
      </c>
      <c r="P1555" s="21" t="n"/>
      <c r="Q1555" s="21" t="n"/>
      <c r="R1555" s="21" t="n"/>
      <c r="S1555" s="24" t="n"/>
      <c r="T1555" s="24" t="n"/>
      <c r="V1555">
        <f>IF(A1555="","",MONTH(A1555))</f>
        <v/>
      </c>
      <c r="W1555">
        <f>N(W1554)+IF(AND(C1555&lt;&gt;"",T1555&lt;&gt;""),IF(C1555=WOCHE!$B$3,1,0),0)</f>
        <v/>
      </c>
      <c r="X1555">
        <f>N(X1554)+IF(AND(V1555&lt;&gt;"",T1555&lt;&gt;""),IF(V1555=MONAT!$AZ$3,1,0),0)</f>
        <v/>
      </c>
    </row>
    <row r="1556">
      <c r="A1556" s="19" t="n"/>
      <c r="B1556" s="20">
        <f>IF(A1556="","",CHOOSE(WEEKDAY(A1556,2),"Mo","Di","Mi","Do","Fr","Sa","So"))</f>
        <v/>
      </c>
      <c r="C1556" s="20">
        <f>IF(A1556="","",INT((A1556-DATE(YEAR(A1556-WEEKDAY(A1556-1)+4),1,3)+WEEKDAY(DATE(YEAR(A1556-WEEKDAY(A1556-1)+4),1,3))+5)/7))</f>
        <v/>
      </c>
      <c r="D1556" s="21" t="n"/>
      <c r="E1556" s="22" t="n"/>
      <c r="F1556" s="23" t="n"/>
      <c r="G1556" s="23" t="n"/>
      <c r="H1556" s="23" t="n"/>
      <c r="I1556" s="20">
        <f>IF(COUNT(F1556:H1556)=0,"",SUM(F1556:H1556))</f>
        <v/>
      </c>
      <c r="J1556" s="23" t="n"/>
      <c r="K1556" s="23" t="n"/>
      <c r="L1556" s="23" t="n"/>
      <c r="M1556" s="23" t="n"/>
      <c r="N1556" s="23" t="n"/>
      <c r="O1556" s="20">
        <f>IF(OR(I1556="",COUNT(J1556:N1556)=0),"",IF(SUM(J1556:N1556)=I1556,"✓","⚠ "&amp;SUM(J1556:N1556)&amp;" statt "&amp;I1556))</f>
        <v/>
      </c>
      <c r="P1556" s="21" t="n"/>
      <c r="Q1556" s="21" t="n"/>
      <c r="R1556" s="21" t="n"/>
      <c r="S1556" s="24" t="n"/>
      <c r="T1556" s="24" t="n"/>
      <c r="V1556">
        <f>IF(A1556="","",MONTH(A1556))</f>
        <v/>
      </c>
      <c r="W1556">
        <f>N(W1555)+IF(AND(C1556&lt;&gt;"",T1556&lt;&gt;""),IF(C1556=WOCHE!$B$3,1,0),0)</f>
        <v/>
      </c>
      <c r="X1556">
        <f>N(X1555)+IF(AND(V1556&lt;&gt;"",T1556&lt;&gt;""),IF(V1556=MONAT!$AZ$3,1,0),0)</f>
        <v/>
      </c>
    </row>
    <row r="1557">
      <c r="A1557" s="19" t="n"/>
      <c r="B1557" s="20">
        <f>IF(A1557="","",CHOOSE(WEEKDAY(A1557,2),"Mo","Di","Mi","Do","Fr","Sa","So"))</f>
        <v/>
      </c>
      <c r="C1557" s="20">
        <f>IF(A1557="","",INT((A1557-DATE(YEAR(A1557-WEEKDAY(A1557-1)+4),1,3)+WEEKDAY(DATE(YEAR(A1557-WEEKDAY(A1557-1)+4),1,3))+5)/7))</f>
        <v/>
      </c>
      <c r="D1557" s="21" t="n"/>
      <c r="E1557" s="22" t="n"/>
      <c r="F1557" s="23" t="n"/>
      <c r="G1557" s="23" t="n"/>
      <c r="H1557" s="23" t="n"/>
      <c r="I1557" s="20">
        <f>IF(COUNT(F1557:H1557)=0,"",SUM(F1557:H1557))</f>
        <v/>
      </c>
      <c r="J1557" s="23" t="n"/>
      <c r="K1557" s="23" t="n"/>
      <c r="L1557" s="23" t="n"/>
      <c r="M1557" s="23" t="n"/>
      <c r="N1557" s="23" t="n"/>
      <c r="O1557" s="20">
        <f>IF(OR(I1557="",COUNT(J1557:N1557)=0),"",IF(SUM(J1557:N1557)=I1557,"✓","⚠ "&amp;SUM(J1557:N1557)&amp;" statt "&amp;I1557))</f>
        <v/>
      </c>
      <c r="P1557" s="21" t="n"/>
      <c r="Q1557" s="21" t="n"/>
      <c r="R1557" s="21" t="n"/>
      <c r="S1557" s="24" t="n"/>
      <c r="T1557" s="24" t="n"/>
      <c r="V1557">
        <f>IF(A1557="","",MONTH(A1557))</f>
        <v/>
      </c>
      <c r="W1557">
        <f>N(W1556)+IF(AND(C1557&lt;&gt;"",T1557&lt;&gt;""),IF(C1557=WOCHE!$B$3,1,0),0)</f>
        <v/>
      </c>
      <c r="X1557">
        <f>N(X1556)+IF(AND(V1557&lt;&gt;"",T1557&lt;&gt;""),IF(V1557=MONAT!$AZ$3,1,0),0)</f>
        <v/>
      </c>
    </row>
    <row r="1558">
      <c r="A1558" s="19" t="n"/>
      <c r="B1558" s="20">
        <f>IF(A1558="","",CHOOSE(WEEKDAY(A1558,2),"Mo","Di","Mi","Do","Fr","Sa","So"))</f>
        <v/>
      </c>
      <c r="C1558" s="20">
        <f>IF(A1558="","",INT((A1558-DATE(YEAR(A1558-WEEKDAY(A1558-1)+4),1,3)+WEEKDAY(DATE(YEAR(A1558-WEEKDAY(A1558-1)+4),1,3))+5)/7))</f>
        <v/>
      </c>
      <c r="D1558" s="21" t="n"/>
      <c r="E1558" s="22" t="n"/>
      <c r="F1558" s="23" t="n"/>
      <c r="G1558" s="23" t="n"/>
      <c r="H1558" s="23" t="n"/>
      <c r="I1558" s="20">
        <f>IF(COUNT(F1558:H1558)=0,"",SUM(F1558:H1558))</f>
        <v/>
      </c>
      <c r="J1558" s="23" t="n"/>
      <c r="K1558" s="23" t="n"/>
      <c r="L1558" s="23" t="n"/>
      <c r="M1558" s="23" t="n"/>
      <c r="N1558" s="23" t="n"/>
      <c r="O1558" s="20">
        <f>IF(OR(I1558="",COUNT(J1558:N1558)=0),"",IF(SUM(J1558:N1558)=I1558,"✓","⚠ "&amp;SUM(J1558:N1558)&amp;" statt "&amp;I1558))</f>
        <v/>
      </c>
      <c r="P1558" s="21" t="n"/>
      <c r="Q1558" s="21" t="n"/>
      <c r="R1558" s="21" t="n"/>
      <c r="S1558" s="24" t="n"/>
      <c r="T1558" s="24" t="n"/>
      <c r="V1558">
        <f>IF(A1558="","",MONTH(A1558))</f>
        <v/>
      </c>
      <c r="W1558">
        <f>N(W1557)+IF(AND(C1558&lt;&gt;"",T1558&lt;&gt;""),IF(C1558=WOCHE!$B$3,1,0),0)</f>
        <v/>
      </c>
      <c r="X1558">
        <f>N(X1557)+IF(AND(V1558&lt;&gt;"",T1558&lt;&gt;""),IF(V1558=MONAT!$AZ$3,1,0),0)</f>
        <v/>
      </c>
    </row>
    <row r="1559">
      <c r="A1559" s="19" t="n"/>
      <c r="B1559" s="20">
        <f>IF(A1559="","",CHOOSE(WEEKDAY(A1559,2),"Mo","Di","Mi","Do","Fr","Sa","So"))</f>
        <v/>
      </c>
      <c r="C1559" s="20">
        <f>IF(A1559="","",INT((A1559-DATE(YEAR(A1559-WEEKDAY(A1559-1)+4),1,3)+WEEKDAY(DATE(YEAR(A1559-WEEKDAY(A1559-1)+4),1,3))+5)/7))</f>
        <v/>
      </c>
      <c r="D1559" s="21" t="n"/>
      <c r="E1559" s="22" t="n"/>
      <c r="F1559" s="23" t="n"/>
      <c r="G1559" s="23" t="n"/>
      <c r="H1559" s="23" t="n"/>
      <c r="I1559" s="20">
        <f>IF(COUNT(F1559:H1559)=0,"",SUM(F1559:H1559))</f>
        <v/>
      </c>
      <c r="J1559" s="23" t="n"/>
      <c r="K1559" s="23" t="n"/>
      <c r="L1559" s="23" t="n"/>
      <c r="M1559" s="23" t="n"/>
      <c r="N1559" s="23" t="n"/>
      <c r="O1559" s="20">
        <f>IF(OR(I1559="",COUNT(J1559:N1559)=0),"",IF(SUM(J1559:N1559)=I1559,"✓","⚠ "&amp;SUM(J1559:N1559)&amp;" statt "&amp;I1559))</f>
        <v/>
      </c>
      <c r="P1559" s="21" t="n"/>
      <c r="Q1559" s="21" t="n"/>
      <c r="R1559" s="21" t="n"/>
      <c r="S1559" s="24" t="n"/>
      <c r="T1559" s="24" t="n"/>
      <c r="V1559">
        <f>IF(A1559="","",MONTH(A1559))</f>
        <v/>
      </c>
      <c r="W1559">
        <f>N(W1558)+IF(AND(C1559&lt;&gt;"",T1559&lt;&gt;""),IF(C1559=WOCHE!$B$3,1,0),0)</f>
        <v/>
      </c>
      <c r="X1559">
        <f>N(X1558)+IF(AND(V1559&lt;&gt;"",T1559&lt;&gt;""),IF(V1559=MONAT!$AZ$3,1,0),0)</f>
        <v/>
      </c>
    </row>
    <row r="1560">
      <c r="A1560" s="19" t="n"/>
      <c r="B1560" s="20">
        <f>IF(A1560="","",CHOOSE(WEEKDAY(A1560,2),"Mo","Di","Mi","Do","Fr","Sa","So"))</f>
        <v/>
      </c>
      <c r="C1560" s="20">
        <f>IF(A1560="","",INT((A1560-DATE(YEAR(A1560-WEEKDAY(A1560-1)+4),1,3)+WEEKDAY(DATE(YEAR(A1560-WEEKDAY(A1560-1)+4),1,3))+5)/7))</f>
        <v/>
      </c>
      <c r="D1560" s="21" t="n"/>
      <c r="E1560" s="22" t="n"/>
      <c r="F1560" s="23" t="n"/>
      <c r="G1560" s="23" t="n"/>
      <c r="H1560" s="23" t="n"/>
      <c r="I1560" s="20">
        <f>IF(COUNT(F1560:H1560)=0,"",SUM(F1560:H1560))</f>
        <v/>
      </c>
      <c r="J1560" s="23" t="n"/>
      <c r="K1560" s="23" t="n"/>
      <c r="L1560" s="23" t="n"/>
      <c r="M1560" s="23" t="n"/>
      <c r="N1560" s="23" t="n"/>
      <c r="O1560" s="20">
        <f>IF(OR(I1560="",COUNT(J1560:N1560)=0),"",IF(SUM(J1560:N1560)=I1560,"✓","⚠ "&amp;SUM(J1560:N1560)&amp;" statt "&amp;I1560))</f>
        <v/>
      </c>
      <c r="P1560" s="21" t="n"/>
      <c r="Q1560" s="21" t="n"/>
      <c r="R1560" s="21" t="n"/>
      <c r="S1560" s="24" t="n"/>
      <c r="T1560" s="24" t="n"/>
      <c r="V1560">
        <f>IF(A1560="","",MONTH(A1560))</f>
        <v/>
      </c>
      <c r="W1560">
        <f>N(W1559)+IF(AND(C1560&lt;&gt;"",T1560&lt;&gt;""),IF(C1560=WOCHE!$B$3,1,0),0)</f>
        <v/>
      </c>
      <c r="X1560">
        <f>N(X1559)+IF(AND(V1560&lt;&gt;"",T1560&lt;&gt;""),IF(V1560=MONAT!$AZ$3,1,0),0)</f>
        <v/>
      </c>
    </row>
    <row r="1561">
      <c r="A1561" s="19" t="n"/>
      <c r="B1561" s="20">
        <f>IF(A1561="","",CHOOSE(WEEKDAY(A1561,2),"Mo","Di","Mi","Do","Fr","Sa","So"))</f>
        <v/>
      </c>
      <c r="C1561" s="20">
        <f>IF(A1561="","",INT((A1561-DATE(YEAR(A1561-WEEKDAY(A1561-1)+4),1,3)+WEEKDAY(DATE(YEAR(A1561-WEEKDAY(A1561-1)+4),1,3))+5)/7))</f>
        <v/>
      </c>
      <c r="D1561" s="21" t="n"/>
      <c r="E1561" s="22" t="n"/>
      <c r="F1561" s="23" t="n"/>
      <c r="G1561" s="23" t="n"/>
      <c r="H1561" s="23" t="n"/>
      <c r="I1561" s="20">
        <f>IF(COUNT(F1561:H1561)=0,"",SUM(F1561:H1561))</f>
        <v/>
      </c>
      <c r="J1561" s="23" t="n"/>
      <c r="K1561" s="23" t="n"/>
      <c r="L1561" s="23" t="n"/>
      <c r="M1561" s="23" t="n"/>
      <c r="N1561" s="23" t="n"/>
      <c r="O1561" s="20">
        <f>IF(OR(I1561="",COUNT(J1561:N1561)=0),"",IF(SUM(J1561:N1561)=I1561,"✓","⚠ "&amp;SUM(J1561:N1561)&amp;" statt "&amp;I1561))</f>
        <v/>
      </c>
      <c r="P1561" s="21" t="n"/>
      <c r="Q1561" s="21" t="n"/>
      <c r="R1561" s="21" t="n"/>
      <c r="S1561" s="24" t="n"/>
      <c r="T1561" s="24" t="n"/>
      <c r="V1561">
        <f>IF(A1561="","",MONTH(A1561))</f>
        <v/>
      </c>
      <c r="W1561">
        <f>N(W1560)+IF(AND(C1561&lt;&gt;"",T1561&lt;&gt;""),IF(C1561=WOCHE!$B$3,1,0),0)</f>
        <v/>
      </c>
      <c r="X1561">
        <f>N(X1560)+IF(AND(V1561&lt;&gt;"",T1561&lt;&gt;""),IF(V1561=MONAT!$AZ$3,1,0),0)</f>
        <v/>
      </c>
    </row>
    <row r="1562">
      <c r="A1562" s="19" t="n"/>
      <c r="B1562" s="20">
        <f>IF(A1562="","",CHOOSE(WEEKDAY(A1562,2),"Mo","Di","Mi","Do","Fr","Sa","So"))</f>
        <v/>
      </c>
      <c r="C1562" s="20">
        <f>IF(A1562="","",INT((A1562-DATE(YEAR(A1562-WEEKDAY(A1562-1)+4),1,3)+WEEKDAY(DATE(YEAR(A1562-WEEKDAY(A1562-1)+4),1,3))+5)/7))</f>
        <v/>
      </c>
      <c r="D1562" s="21" t="n"/>
      <c r="E1562" s="22" t="n"/>
      <c r="F1562" s="23" t="n"/>
      <c r="G1562" s="23" t="n"/>
      <c r="H1562" s="23" t="n"/>
      <c r="I1562" s="20">
        <f>IF(COUNT(F1562:H1562)=0,"",SUM(F1562:H1562))</f>
        <v/>
      </c>
      <c r="J1562" s="23" t="n"/>
      <c r="K1562" s="23" t="n"/>
      <c r="L1562" s="23" t="n"/>
      <c r="M1562" s="23" t="n"/>
      <c r="N1562" s="23" t="n"/>
      <c r="O1562" s="20">
        <f>IF(OR(I1562="",COUNT(J1562:N1562)=0),"",IF(SUM(J1562:N1562)=I1562,"✓","⚠ "&amp;SUM(J1562:N1562)&amp;" statt "&amp;I1562))</f>
        <v/>
      </c>
      <c r="P1562" s="21" t="n"/>
      <c r="Q1562" s="21" t="n"/>
      <c r="R1562" s="21" t="n"/>
      <c r="S1562" s="24" t="n"/>
      <c r="T1562" s="24" t="n"/>
      <c r="V1562">
        <f>IF(A1562="","",MONTH(A1562))</f>
        <v/>
      </c>
      <c r="W1562">
        <f>N(W1561)+IF(AND(C1562&lt;&gt;"",T1562&lt;&gt;""),IF(C1562=WOCHE!$B$3,1,0),0)</f>
        <v/>
      </c>
      <c r="X1562">
        <f>N(X1561)+IF(AND(V1562&lt;&gt;"",T1562&lt;&gt;""),IF(V1562=MONAT!$AZ$3,1,0),0)</f>
        <v/>
      </c>
    </row>
    <row r="1563">
      <c r="A1563" s="19" t="n"/>
      <c r="B1563" s="20">
        <f>IF(A1563="","",CHOOSE(WEEKDAY(A1563,2),"Mo","Di","Mi","Do","Fr","Sa","So"))</f>
        <v/>
      </c>
      <c r="C1563" s="20">
        <f>IF(A1563="","",INT((A1563-DATE(YEAR(A1563-WEEKDAY(A1563-1)+4),1,3)+WEEKDAY(DATE(YEAR(A1563-WEEKDAY(A1563-1)+4),1,3))+5)/7))</f>
        <v/>
      </c>
      <c r="D1563" s="21" t="n"/>
      <c r="E1563" s="22" t="n"/>
      <c r="F1563" s="23" t="n"/>
      <c r="G1563" s="23" t="n"/>
      <c r="H1563" s="23" t="n"/>
      <c r="I1563" s="20">
        <f>IF(COUNT(F1563:H1563)=0,"",SUM(F1563:H1563))</f>
        <v/>
      </c>
      <c r="J1563" s="23" t="n"/>
      <c r="K1563" s="23" t="n"/>
      <c r="L1563" s="23" t="n"/>
      <c r="M1563" s="23" t="n"/>
      <c r="N1563" s="23" t="n"/>
      <c r="O1563" s="20">
        <f>IF(OR(I1563="",COUNT(J1563:N1563)=0),"",IF(SUM(J1563:N1563)=I1563,"✓","⚠ "&amp;SUM(J1563:N1563)&amp;" statt "&amp;I1563))</f>
        <v/>
      </c>
      <c r="P1563" s="21" t="n"/>
      <c r="Q1563" s="21" t="n"/>
      <c r="R1563" s="21" t="n"/>
      <c r="S1563" s="24" t="n"/>
      <c r="T1563" s="24" t="n"/>
      <c r="V1563">
        <f>IF(A1563="","",MONTH(A1563))</f>
        <v/>
      </c>
      <c r="W1563">
        <f>N(W1562)+IF(AND(C1563&lt;&gt;"",T1563&lt;&gt;""),IF(C1563=WOCHE!$B$3,1,0),0)</f>
        <v/>
      </c>
      <c r="X1563">
        <f>N(X1562)+IF(AND(V1563&lt;&gt;"",T1563&lt;&gt;""),IF(V1563=MONAT!$AZ$3,1,0),0)</f>
        <v/>
      </c>
    </row>
    <row r="1564">
      <c r="A1564" s="19" t="n"/>
      <c r="B1564" s="20">
        <f>IF(A1564="","",CHOOSE(WEEKDAY(A1564,2),"Mo","Di","Mi","Do","Fr","Sa","So"))</f>
        <v/>
      </c>
      <c r="C1564" s="20">
        <f>IF(A1564="","",INT((A1564-DATE(YEAR(A1564-WEEKDAY(A1564-1)+4),1,3)+WEEKDAY(DATE(YEAR(A1564-WEEKDAY(A1564-1)+4),1,3))+5)/7))</f>
        <v/>
      </c>
      <c r="D1564" s="21" t="n"/>
      <c r="E1564" s="22" t="n"/>
      <c r="F1564" s="23" t="n"/>
      <c r="G1564" s="23" t="n"/>
      <c r="H1564" s="23" t="n"/>
      <c r="I1564" s="20">
        <f>IF(COUNT(F1564:H1564)=0,"",SUM(F1564:H1564))</f>
        <v/>
      </c>
      <c r="J1564" s="23" t="n"/>
      <c r="K1564" s="23" t="n"/>
      <c r="L1564" s="23" t="n"/>
      <c r="M1564" s="23" t="n"/>
      <c r="N1564" s="23" t="n"/>
      <c r="O1564" s="20">
        <f>IF(OR(I1564="",COUNT(J1564:N1564)=0),"",IF(SUM(J1564:N1564)=I1564,"✓","⚠ "&amp;SUM(J1564:N1564)&amp;" statt "&amp;I1564))</f>
        <v/>
      </c>
      <c r="P1564" s="21" t="n"/>
      <c r="Q1564" s="21" t="n"/>
      <c r="R1564" s="21" t="n"/>
      <c r="S1564" s="24" t="n"/>
      <c r="T1564" s="24" t="n"/>
      <c r="V1564">
        <f>IF(A1564="","",MONTH(A1564))</f>
        <v/>
      </c>
      <c r="W1564">
        <f>N(W1563)+IF(AND(C1564&lt;&gt;"",T1564&lt;&gt;""),IF(C1564=WOCHE!$B$3,1,0),0)</f>
        <v/>
      </c>
      <c r="X1564">
        <f>N(X1563)+IF(AND(V1564&lt;&gt;"",T1564&lt;&gt;""),IF(V1564=MONAT!$AZ$3,1,0),0)</f>
        <v/>
      </c>
    </row>
    <row r="1565">
      <c r="A1565" s="19" t="n"/>
      <c r="B1565" s="20">
        <f>IF(A1565="","",CHOOSE(WEEKDAY(A1565,2),"Mo","Di","Mi","Do","Fr","Sa","So"))</f>
        <v/>
      </c>
      <c r="C1565" s="20">
        <f>IF(A1565="","",INT((A1565-DATE(YEAR(A1565-WEEKDAY(A1565-1)+4),1,3)+WEEKDAY(DATE(YEAR(A1565-WEEKDAY(A1565-1)+4),1,3))+5)/7))</f>
        <v/>
      </c>
      <c r="D1565" s="21" t="n"/>
      <c r="E1565" s="22" t="n"/>
      <c r="F1565" s="23" t="n"/>
      <c r="G1565" s="23" t="n"/>
      <c r="H1565" s="23" t="n"/>
      <c r="I1565" s="20">
        <f>IF(COUNT(F1565:H1565)=0,"",SUM(F1565:H1565))</f>
        <v/>
      </c>
      <c r="J1565" s="23" t="n"/>
      <c r="K1565" s="23" t="n"/>
      <c r="L1565" s="23" t="n"/>
      <c r="M1565" s="23" t="n"/>
      <c r="N1565" s="23" t="n"/>
      <c r="O1565" s="20">
        <f>IF(OR(I1565="",COUNT(J1565:N1565)=0),"",IF(SUM(J1565:N1565)=I1565,"✓","⚠ "&amp;SUM(J1565:N1565)&amp;" statt "&amp;I1565))</f>
        <v/>
      </c>
      <c r="P1565" s="21" t="n"/>
      <c r="Q1565" s="21" t="n"/>
      <c r="R1565" s="21" t="n"/>
      <c r="S1565" s="24" t="n"/>
      <c r="T1565" s="24" t="n"/>
      <c r="V1565">
        <f>IF(A1565="","",MONTH(A1565))</f>
        <v/>
      </c>
      <c r="W1565">
        <f>N(W1564)+IF(AND(C1565&lt;&gt;"",T1565&lt;&gt;""),IF(C1565=WOCHE!$B$3,1,0),0)</f>
        <v/>
      </c>
      <c r="X1565">
        <f>N(X1564)+IF(AND(V1565&lt;&gt;"",T1565&lt;&gt;""),IF(V1565=MONAT!$AZ$3,1,0),0)</f>
        <v/>
      </c>
    </row>
    <row r="1566">
      <c r="A1566" s="19" t="n"/>
      <c r="B1566" s="20">
        <f>IF(A1566="","",CHOOSE(WEEKDAY(A1566,2),"Mo","Di","Mi","Do","Fr","Sa","So"))</f>
        <v/>
      </c>
      <c r="C1566" s="20">
        <f>IF(A1566="","",INT((A1566-DATE(YEAR(A1566-WEEKDAY(A1566-1)+4),1,3)+WEEKDAY(DATE(YEAR(A1566-WEEKDAY(A1566-1)+4),1,3))+5)/7))</f>
        <v/>
      </c>
      <c r="D1566" s="21" t="n"/>
      <c r="E1566" s="22" t="n"/>
      <c r="F1566" s="23" t="n"/>
      <c r="G1566" s="23" t="n"/>
      <c r="H1566" s="23" t="n"/>
      <c r="I1566" s="20">
        <f>IF(COUNT(F1566:H1566)=0,"",SUM(F1566:H1566))</f>
        <v/>
      </c>
      <c r="J1566" s="23" t="n"/>
      <c r="K1566" s="23" t="n"/>
      <c r="L1566" s="23" t="n"/>
      <c r="M1566" s="23" t="n"/>
      <c r="N1566" s="23" t="n"/>
      <c r="O1566" s="20">
        <f>IF(OR(I1566="",COUNT(J1566:N1566)=0),"",IF(SUM(J1566:N1566)=I1566,"✓","⚠ "&amp;SUM(J1566:N1566)&amp;" statt "&amp;I1566))</f>
        <v/>
      </c>
      <c r="P1566" s="21" t="n"/>
      <c r="Q1566" s="21" t="n"/>
      <c r="R1566" s="21" t="n"/>
      <c r="S1566" s="24" t="n"/>
      <c r="T1566" s="24" t="n"/>
      <c r="V1566">
        <f>IF(A1566="","",MONTH(A1566))</f>
        <v/>
      </c>
      <c r="W1566">
        <f>N(W1565)+IF(AND(C1566&lt;&gt;"",T1566&lt;&gt;""),IF(C1566=WOCHE!$B$3,1,0),0)</f>
        <v/>
      </c>
      <c r="X1566">
        <f>N(X1565)+IF(AND(V1566&lt;&gt;"",T1566&lt;&gt;""),IF(V1566=MONAT!$AZ$3,1,0),0)</f>
        <v/>
      </c>
    </row>
    <row r="1567">
      <c r="A1567" s="19" t="n"/>
      <c r="B1567" s="20">
        <f>IF(A1567="","",CHOOSE(WEEKDAY(A1567,2),"Mo","Di","Mi","Do","Fr","Sa","So"))</f>
        <v/>
      </c>
      <c r="C1567" s="20">
        <f>IF(A1567="","",INT((A1567-DATE(YEAR(A1567-WEEKDAY(A1567-1)+4),1,3)+WEEKDAY(DATE(YEAR(A1567-WEEKDAY(A1567-1)+4),1,3))+5)/7))</f>
        <v/>
      </c>
      <c r="D1567" s="21" t="n"/>
      <c r="E1567" s="22" t="n"/>
      <c r="F1567" s="23" t="n"/>
      <c r="G1567" s="23" t="n"/>
      <c r="H1567" s="23" t="n"/>
      <c r="I1567" s="20">
        <f>IF(COUNT(F1567:H1567)=0,"",SUM(F1567:H1567))</f>
        <v/>
      </c>
      <c r="J1567" s="23" t="n"/>
      <c r="K1567" s="23" t="n"/>
      <c r="L1567" s="23" t="n"/>
      <c r="M1567" s="23" t="n"/>
      <c r="N1567" s="23" t="n"/>
      <c r="O1567" s="20">
        <f>IF(OR(I1567="",COUNT(J1567:N1567)=0),"",IF(SUM(J1567:N1567)=I1567,"✓","⚠ "&amp;SUM(J1567:N1567)&amp;" statt "&amp;I1567))</f>
        <v/>
      </c>
      <c r="P1567" s="21" t="n"/>
      <c r="Q1567" s="21" t="n"/>
      <c r="R1567" s="21" t="n"/>
      <c r="S1567" s="24" t="n"/>
      <c r="T1567" s="24" t="n"/>
      <c r="V1567">
        <f>IF(A1567="","",MONTH(A1567))</f>
        <v/>
      </c>
      <c r="W1567">
        <f>N(W1566)+IF(AND(C1567&lt;&gt;"",T1567&lt;&gt;""),IF(C1567=WOCHE!$B$3,1,0),0)</f>
        <v/>
      </c>
      <c r="X1567">
        <f>N(X1566)+IF(AND(V1567&lt;&gt;"",T1567&lt;&gt;""),IF(V1567=MONAT!$AZ$3,1,0),0)</f>
        <v/>
      </c>
    </row>
    <row r="1568">
      <c r="A1568" s="19" t="n"/>
      <c r="B1568" s="20">
        <f>IF(A1568="","",CHOOSE(WEEKDAY(A1568,2),"Mo","Di","Mi","Do","Fr","Sa","So"))</f>
        <v/>
      </c>
      <c r="C1568" s="20">
        <f>IF(A1568="","",INT((A1568-DATE(YEAR(A1568-WEEKDAY(A1568-1)+4),1,3)+WEEKDAY(DATE(YEAR(A1568-WEEKDAY(A1568-1)+4),1,3))+5)/7))</f>
        <v/>
      </c>
      <c r="D1568" s="21" t="n"/>
      <c r="E1568" s="22" t="n"/>
      <c r="F1568" s="23" t="n"/>
      <c r="G1568" s="23" t="n"/>
      <c r="H1568" s="23" t="n"/>
      <c r="I1568" s="20">
        <f>IF(COUNT(F1568:H1568)=0,"",SUM(F1568:H1568))</f>
        <v/>
      </c>
      <c r="J1568" s="23" t="n"/>
      <c r="K1568" s="23" t="n"/>
      <c r="L1568" s="23" t="n"/>
      <c r="M1568" s="23" t="n"/>
      <c r="N1568" s="23" t="n"/>
      <c r="O1568" s="20">
        <f>IF(OR(I1568="",COUNT(J1568:N1568)=0),"",IF(SUM(J1568:N1568)=I1568,"✓","⚠ "&amp;SUM(J1568:N1568)&amp;" statt "&amp;I1568))</f>
        <v/>
      </c>
      <c r="P1568" s="21" t="n"/>
      <c r="Q1568" s="21" t="n"/>
      <c r="R1568" s="21" t="n"/>
      <c r="S1568" s="24" t="n"/>
      <c r="T1568" s="24" t="n"/>
      <c r="V1568">
        <f>IF(A1568="","",MONTH(A1568))</f>
        <v/>
      </c>
      <c r="W1568">
        <f>N(W1567)+IF(AND(C1568&lt;&gt;"",T1568&lt;&gt;""),IF(C1568=WOCHE!$B$3,1,0),0)</f>
        <v/>
      </c>
      <c r="X1568">
        <f>N(X1567)+IF(AND(V1568&lt;&gt;"",T1568&lt;&gt;""),IF(V1568=MONAT!$AZ$3,1,0),0)</f>
        <v/>
      </c>
    </row>
    <row r="1569">
      <c r="A1569" s="19" t="n"/>
      <c r="B1569" s="20">
        <f>IF(A1569="","",CHOOSE(WEEKDAY(A1569,2),"Mo","Di","Mi","Do","Fr","Sa","So"))</f>
        <v/>
      </c>
      <c r="C1569" s="20">
        <f>IF(A1569="","",INT((A1569-DATE(YEAR(A1569-WEEKDAY(A1569-1)+4),1,3)+WEEKDAY(DATE(YEAR(A1569-WEEKDAY(A1569-1)+4),1,3))+5)/7))</f>
        <v/>
      </c>
      <c r="D1569" s="21" t="n"/>
      <c r="E1569" s="22" t="n"/>
      <c r="F1569" s="23" t="n"/>
      <c r="G1569" s="23" t="n"/>
      <c r="H1569" s="23" t="n"/>
      <c r="I1569" s="20">
        <f>IF(COUNT(F1569:H1569)=0,"",SUM(F1569:H1569))</f>
        <v/>
      </c>
      <c r="J1569" s="23" t="n"/>
      <c r="K1569" s="23" t="n"/>
      <c r="L1569" s="23" t="n"/>
      <c r="M1569" s="23" t="n"/>
      <c r="N1569" s="23" t="n"/>
      <c r="O1569" s="20">
        <f>IF(OR(I1569="",COUNT(J1569:N1569)=0),"",IF(SUM(J1569:N1569)=I1569,"✓","⚠ "&amp;SUM(J1569:N1569)&amp;" statt "&amp;I1569))</f>
        <v/>
      </c>
      <c r="P1569" s="21" t="n"/>
      <c r="Q1569" s="21" t="n"/>
      <c r="R1569" s="21" t="n"/>
      <c r="S1569" s="24" t="n"/>
      <c r="T1569" s="24" t="n"/>
      <c r="V1569">
        <f>IF(A1569="","",MONTH(A1569))</f>
        <v/>
      </c>
      <c r="W1569">
        <f>N(W1568)+IF(AND(C1569&lt;&gt;"",T1569&lt;&gt;""),IF(C1569=WOCHE!$B$3,1,0),0)</f>
        <v/>
      </c>
      <c r="X1569">
        <f>N(X1568)+IF(AND(V1569&lt;&gt;"",T1569&lt;&gt;""),IF(V1569=MONAT!$AZ$3,1,0),0)</f>
        <v/>
      </c>
    </row>
    <row r="1570">
      <c r="A1570" s="19" t="n"/>
      <c r="B1570" s="20">
        <f>IF(A1570="","",CHOOSE(WEEKDAY(A1570,2),"Mo","Di","Mi","Do","Fr","Sa","So"))</f>
        <v/>
      </c>
      <c r="C1570" s="20">
        <f>IF(A1570="","",INT((A1570-DATE(YEAR(A1570-WEEKDAY(A1570-1)+4),1,3)+WEEKDAY(DATE(YEAR(A1570-WEEKDAY(A1570-1)+4),1,3))+5)/7))</f>
        <v/>
      </c>
      <c r="D1570" s="21" t="n"/>
      <c r="E1570" s="22" t="n"/>
      <c r="F1570" s="23" t="n"/>
      <c r="G1570" s="23" t="n"/>
      <c r="H1570" s="23" t="n"/>
      <c r="I1570" s="20">
        <f>IF(COUNT(F1570:H1570)=0,"",SUM(F1570:H1570))</f>
        <v/>
      </c>
      <c r="J1570" s="23" t="n"/>
      <c r="K1570" s="23" t="n"/>
      <c r="L1570" s="23" t="n"/>
      <c r="M1570" s="23" t="n"/>
      <c r="N1570" s="23" t="n"/>
      <c r="O1570" s="20">
        <f>IF(OR(I1570="",COUNT(J1570:N1570)=0),"",IF(SUM(J1570:N1570)=I1570,"✓","⚠ "&amp;SUM(J1570:N1570)&amp;" statt "&amp;I1570))</f>
        <v/>
      </c>
      <c r="P1570" s="21" t="n"/>
      <c r="Q1570" s="21" t="n"/>
      <c r="R1570" s="21" t="n"/>
      <c r="S1570" s="24" t="n"/>
      <c r="T1570" s="24" t="n"/>
      <c r="V1570">
        <f>IF(A1570="","",MONTH(A1570))</f>
        <v/>
      </c>
      <c r="W1570">
        <f>N(W1569)+IF(AND(C1570&lt;&gt;"",T1570&lt;&gt;""),IF(C1570=WOCHE!$B$3,1,0),0)</f>
        <v/>
      </c>
      <c r="X1570">
        <f>N(X1569)+IF(AND(V1570&lt;&gt;"",T1570&lt;&gt;""),IF(V1570=MONAT!$AZ$3,1,0),0)</f>
        <v/>
      </c>
    </row>
    <row r="1571">
      <c r="A1571" s="19" t="n"/>
      <c r="B1571" s="20">
        <f>IF(A1571="","",CHOOSE(WEEKDAY(A1571,2),"Mo","Di","Mi","Do","Fr","Sa","So"))</f>
        <v/>
      </c>
      <c r="C1571" s="20">
        <f>IF(A1571="","",INT((A1571-DATE(YEAR(A1571-WEEKDAY(A1571-1)+4),1,3)+WEEKDAY(DATE(YEAR(A1571-WEEKDAY(A1571-1)+4),1,3))+5)/7))</f>
        <v/>
      </c>
      <c r="D1571" s="21" t="n"/>
      <c r="E1571" s="22" t="n"/>
      <c r="F1571" s="23" t="n"/>
      <c r="G1571" s="23" t="n"/>
      <c r="H1571" s="23" t="n"/>
      <c r="I1571" s="20">
        <f>IF(COUNT(F1571:H1571)=0,"",SUM(F1571:H1571))</f>
        <v/>
      </c>
      <c r="J1571" s="23" t="n"/>
      <c r="K1571" s="23" t="n"/>
      <c r="L1571" s="23" t="n"/>
      <c r="M1571" s="23" t="n"/>
      <c r="N1571" s="23" t="n"/>
      <c r="O1571" s="20">
        <f>IF(OR(I1571="",COUNT(J1571:N1571)=0),"",IF(SUM(J1571:N1571)=I1571,"✓","⚠ "&amp;SUM(J1571:N1571)&amp;" statt "&amp;I1571))</f>
        <v/>
      </c>
      <c r="P1571" s="21" t="n"/>
      <c r="Q1571" s="21" t="n"/>
      <c r="R1571" s="21" t="n"/>
      <c r="S1571" s="24" t="n"/>
      <c r="T1571" s="24" t="n"/>
      <c r="V1571">
        <f>IF(A1571="","",MONTH(A1571))</f>
        <v/>
      </c>
      <c r="W1571">
        <f>N(W1570)+IF(AND(C1571&lt;&gt;"",T1571&lt;&gt;""),IF(C1571=WOCHE!$B$3,1,0),0)</f>
        <v/>
      </c>
      <c r="X1571">
        <f>N(X1570)+IF(AND(V1571&lt;&gt;"",T1571&lt;&gt;""),IF(V1571=MONAT!$AZ$3,1,0),0)</f>
        <v/>
      </c>
    </row>
    <row r="1572">
      <c r="A1572" s="19" t="n"/>
      <c r="B1572" s="20">
        <f>IF(A1572="","",CHOOSE(WEEKDAY(A1572,2),"Mo","Di","Mi","Do","Fr","Sa","So"))</f>
        <v/>
      </c>
      <c r="C1572" s="20">
        <f>IF(A1572="","",INT((A1572-DATE(YEAR(A1572-WEEKDAY(A1572-1)+4),1,3)+WEEKDAY(DATE(YEAR(A1572-WEEKDAY(A1572-1)+4),1,3))+5)/7))</f>
        <v/>
      </c>
      <c r="D1572" s="21" t="n"/>
      <c r="E1572" s="22" t="n"/>
      <c r="F1572" s="23" t="n"/>
      <c r="G1572" s="23" t="n"/>
      <c r="H1572" s="23" t="n"/>
      <c r="I1572" s="20">
        <f>IF(COUNT(F1572:H1572)=0,"",SUM(F1572:H1572))</f>
        <v/>
      </c>
      <c r="J1572" s="23" t="n"/>
      <c r="K1572" s="23" t="n"/>
      <c r="L1572" s="23" t="n"/>
      <c r="M1572" s="23" t="n"/>
      <c r="N1572" s="23" t="n"/>
      <c r="O1572" s="20">
        <f>IF(OR(I1572="",COUNT(J1572:N1572)=0),"",IF(SUM(J1572:N1572)=I1572,"✓","⚠ "&amp;SUM(J1572:N1572)&amp;" statt "&amp;I1572))</f>
        <v/>
      </c>
      <c r="P1572" s="21" t="n"/>
      <c r="Q1572" s="21" t="n"/>
      <c r="R1572" s="21" t="n"/>
      <c r="S1572" s="24" t="n"/>
      <c r="T1572" s="24" t="n"/>
      <c r="V1572">
        <f>IF(A1572="","",MONTH(A1572))</f>
        <v/>
      </c>
      <c r="W1572">
        <f>N(W1571)+IF(AND(C1572&lt;&gt;"",T1572&lt;&gt;""),IF(C1572=WOCHE!$B$3,1,0),0)</f>
        <v/>
      </c>
      <c r="X1572">
        <f>N(X1571)+IF(AND(V1572&lt;&gt;"",T1572&lt;&gt;""),IF(V1572=MONAT!$AZ$3,1,0),0)</f>
        <v/>
      </c>
    </row>
    <row r="1573">
      <c r="A1573" s="19" t="n"/>
      <c r="B1573" s="20">
        <f>IF(A1573="","",CHOOSE(WEEKDAY(A1573,2),"Mo","Di","Mi","Do","Fr","Sa","So"))</f>
        <v/>
      </c>
      <c r="C1573" s="20">
        <f>IF(A1573="","",INT((A1573-DATE(YEAR(A1573-WEEKDAY(A1573-1)+4),1,3)+WEEKDAY(DATE(YEAR(A1573-WEEKDAY(A1573-1)+4),1,3))+5)/7))</f>
        <v/>
      </c>
      <c r="D1573" s="21" t="n"/>
      <c r="E1573" s="22" t="n"/>
      <c r="F1573" s="23" t="n"/>
      <c r="G1573" s="23" t="n"/>
      <c r="H1573" s="23" t="n"/>
      <c r="I1573" s="20">
        <f>IF(COUNT(F1573:H1573)=0,"",SUM(F1573:H1573))</f>
        <v/>
      </c>
      <c r="J1573" s="23" t="n"/>
      <c r="K1573" s="23" t="n"/>
      <c r="L1573" s="23" t="n"/>
      <c r="M1573" s="23" t="n"/>
      <c r="N1573" s="23" t="n"/>
      <c r="O1573" s="20">
        <f>IF(OR(I1573="",COUNT(J1573:N1573)=0),"",IF(SUM(J1573:N1573)=I1573,"✓","⚠ "&amp;SUM(J1573:N1573)&amp;" statt "&amp;I1573))</f>
        <v/>
      </c>
      <c r="P1573" s="21" t="n"/>
      <c r="Q1573" s="21" t="n"/>
      <c r="R1573" s="21" t="n"/>
      <c r="S1573" s="24" t="n"/>
      <c r="T1573" s="24" t="n"/>
      <c r="V1573">
        <f>IF(A1573="","",MONTH(A1573))</f>
        <v/>
      </c>
      <c r="W1573">
        <f>N(W1572)+IF(AND(C1573&lt;&gt;"",T1573&lt;&gt;""),IF(C1573=WOCHE!$B$3,1,0),0)</f>
        <v/>
      </c>
      <c r="X1573">
        <f>N(X1572)+IF(AND(V1573&lt;&gt;"",T1573&lt;&gt;""),IF(V1573=MONAT!$AZ$3,1,0),0)</f>
        <v/>
      </c>
    </row>
    <row r="1574">
      <c r="A1574" s="19" t="n"/>
      <c r="B1574" s="20">
        <f>IF(A1574="","",CHOOSE(WEEKDAY(A1574,2),"Mo","Di","Mi","Do","Fr","Sa","So"))</f>
        <v/>
      </c>
      <c r="C1574" s="20">
        <f>IF(A1574="","",INT((A1574-DATE(YEAR(A1574-WEEKDAY(A1574-1)+4),1,3)+WEEKDAY(DATE(YEAR(A1574-WEEKDAY(A1574-1)+4),1,3))+5)/7))</f>
        <v/>
      </c>
      <c r="D1574" s="21" t="n"/>
      <c r="E1574" s="22" t="n"/>
      <c r="F1574" s="23" t="n"/>
      <c r="G1574" s="23" t="n"/>
      <c r="H1574" s="23" t="n"/>
      <c r="I1574" s="20">
        <f>IF(COUNT(F1574:H1574)=0,"",SUM(F1574:H1574))</f>
        <v/>
      </c>
      <c r="J1574" s="23" t="n"/>
      <c r="K1574" s="23" t="n"/>
      <c r="L1574" s="23" t="n"/>
      <c r="M1574" s="23" t="n"/>
      <c r="N1574" s="23" t="n"/>
      <c r="O1574" s="20">
        <f>IF(OR(I1574="",COUNT(J1574:N1574)=0),"",IF(SUM(J1574:N1574)=I1574,"✓","⚠ "&amp;SUM(J1574:N1574)&amp;" statt "&amp;I1574))</f>
        <v/>
      </c>
      <c r="P1574" s="21" t="n"/>
      <c r="Q1574" s="21" t="n"/>
      <c r="R1574" s="21" t="n"/>
      <c r="S1574" s="24" t="n"/>
      <c r="T1574" s="24" t="n"/>
      <c r="V1574">
        <f>IF(A1574="","",MONTH(A1574))</f>
        <v/>
      </c>
      <c r="W1574">
        <f>N(W1573)+IF(AND(C1574&lt;&gt;"",T1574&lt;&gt;""),IF(C1574=WOCHE!$B$3,1,0),0)</f>
        <v/>
      </c>
      <c r="X1574">
        <f>N(X1573)+IF(AND(V1574&lt;&gt;"",T1574&lt;&gt;""),IF(V1574=MONAT!$AZ$3,1,0),0)</f>
        <v/>
      </c>
    </row>
    <row r="1575">
      <c r="A1575" s="19" t="n"/>
      <c r="B1575" s="20">
        <f>IF(A1575="","",CHOOSE(WEEKDAY(A1575,2),"Mo","Di","Mi","Do","Fr","Sa","So"))</f>
        <v/>
      </c>
      <c r="C1575" s="20">
        <f>IF(A1575="","",INT((A1575-DATE(YEAR(A1575-WEEKDAY(A1575-1)+4),1,3)+WEEKDAY(DATE(YEAR(A1575-WEEKDAY(A1575-1)+4),1,3))+5)/7))</f>
        <v/>
      </c>
      <c r="D1575" s="21" t="n"/>
      <c r="E1575" s="22" t="n"/>
      <c r="F1575" s="23" t="n"/>
      <c r="G1575" s="23" t="n"/>
      <c r="H1575" s="23" t="n"/>
      <c r="I1575" s="20">
        <f>IF(COUNT(F1575:H1575)=0,"",SUM(F1575:H1575))</f>
        <v/>
      </c>
      <c r="J1575" s="23" t="n"/>
      <c r="K1575" s="23" t="n"/>
      <c r="L1575" s="23" t="n"/>
      <c r="M1575" s="23" t="n"/>
      <c r="N1575" s="23" t="n"/>
      <c r="O1575" s="20">
        <f>IF(OR(I1575="",COUNT(J1575:N1575)=0),"",IF(SUM(J1575:N1575)=I1575,"✓","⚠ "&amp;SUM(J1575:N1575)&amp;" statt "&amp;I1575))</f>
        <v/>
      </c>
      <c r="P1575" s="21" t="n"/>
      <c r="Q1575" s="21" t="n"/>
      <c r="R1575" s="21" t="n"/>
      <c r="S1575" s="24" t="n"/>
      <c r="T1575" s="24" t="n"/>
      <c r="V1575">
        <f>IF(A1575="","",MONTH(A1575))</f>
        <v/>
      </c>
      <c r="W1575">
        <f>N(W1574)+IF(AND(C1575&lt;&gt;"",T1575&lt;&gt;""),IF(C1575=WOCHE!$B$3,1,0),0)</f>
        <v/>
      </c>
      <c r="X1575">
        <f>N(X1574)+IF(AND(V1575&lt;&gt;"",T1575&lt;&gt;""),IF(V1575=MONAT!$AZ$3,1,0),0)</f>
        <v/>
      </c>
    </row>
    <row r="1576">
      <c r="A1576" s="19" t="n"/>
      <c r="B1576" s="20">
        <f>IF(A1576="","",CHOOSE(WEEKDAY(A1576,2),"Mo","Di","Mi","Do","Fr","Sa","So"))</f>
        <v/>
      </c>
      <c r="C1576" s="20">
        <f>IF(A1576="","",INT((A1576-DATE(YEAR(A1576-WEEKDAY(A1576-1)+4),1,3)+WEEKDAY(DATE(YEAR(A1576-WEEKDAY(A1576-1)+4),1,3))+5)/7))</f>
        <v/>
      </c>
      <c r="D1576" s="21" t="n"/>
      <c r="E1576" s="22" t="n"/>
      <c r="F1576" s="23" t="n"/>
      <c r="G1576" s="23" t="n"/>
      <c r="H1576" s="23" t="n"/>
      <c r="I1576" s="20">
        <f>IF(COUNT(F1576:H1576)=0,"",SUM(F1576:H1576))</f>
        <v/>
      </c>
      <c r="J1576" s="23" t="n"/>
      <c r="K1576" s="23" t="n"/>
      <c r="L1576" s="23" t="n"/>
      <c r="M1576" s="23" t="n"/>
      <c r="N1576" s="23" t="n"/>
      <c r="O1576" s="20">
        <f>IF(OR(I1576="",COUNT(J1576:N1576)=0),"",IF(SUM(J1576:N1576)=I1576,"✓","⚠ "&amp;SUM(J1576:N1576)&amp;" statt "&amp;I1576))</f>
        <v/>
      </c>
      <c r="P1576" s="21" t="n"/>
      <c r="Q1576" s="21" t="n"/>
      <c r="R1576" s="21" t="n"/>
      <c r="S1576" s="24" t="n"/>
      <c r="T1576" s="24" t="n"/>
      <c r="V1576">
        <f>IF(A1576="","",MONTH(A1576))</f>
        <v/>
      </c>
      <c r="W1576">
        <f>N(W1575)+IF(AND(C1576&lt;&gt;"",T1576&lt;&gt;""),IF(C1576=WOCHE!$B$3,1,0),0)</f>
        <v/>
      </c>
      <c r="X1576">
        <f>N(X1575)+IF(AND(V1576&lt;&gt;"",T1576&lt;&gt;""),IF(V1576=MONAT!$AZ$3,1,0),0)</f>
        <v/>
      </c>
    </row>
    <row r="1577">
      <c r="A1577" s="19" t="n"/>
      <c r="B1577" s="20">
        <f>IF(A1577="","",CHOOSE(WEEKDAY(A1577,2),"Mo","Di","Mi","Do","Fr","Sa","So"))</f>
        <v/>
      </c>
      <c r="C1577" s="20">
        <f>IF(A1577="","",INT((A1577-DATE(YEAR(A1577-WEEKDAY(A1577-1)+4),1,3)+WEEKDAY(DATE(YEAR(A1577-WEEKDAY(A1577-1)+4),1,3))+5)/7))</f>
        <v/>
      </c>
      <c r="D1577" s="21" t="n"/>
      <c r="E1577" s="22" t="n"/>
      <c r="F1577" s="23" t="n"/>
      <c r="G1577" s="23" t="n"/>
      <c r="H1577" s="23" t="n"/>
      <c r="I1577" s="20">
        <f>IF(COUNT(F1577:H1577)=0,"",SUM(F1577:H1577))</f>
        <v/>
      </c>
      <c r="J1577" s="23" t="n"/>
      <c r="K1577" s="23" t="n"/>
      <c r="L1577" s="23" t="n"/>
      <c r="M1577" s="23" t="n"/>
      <c r="N1577" s="23" t="n"/>
      <c r="O1577" s="20">
        <f>IF(OR(I1577="",COUNT(J1577:N1577)=0),"",IF(SUM(J1577:N1577)=I1577,"✓","⚠ "&amp;SUM(J1577:N1577)&amp;" statt "&amp;I1577))</f>
        <v/>
      </c>
      <c r="P1577" s="21" t="n"/>
      <c r="Q1577" s="21" t="n"/>
      <c r="R1577" s="21" t="n"/>
      <c r="S1577" s="24" t="n"/>
      <c r="T1577" s="24" t="n"/>
      <c r="V1577">
        <f>IF(A1577="","",MONTH(A1577))</f>
        <v/>
      </c>
      <c r="W1577">
        <f>N(W1576)+IF(AND(C1577&lt;&gt;"",T1577&lt;&gt;""),IF(C1577=WOCHE!$B$3,1,0),0)</f>
        <v/>
      </c>
      <c r="X1577">
        <f>N(X1576)+IF(AND(V1577&lt;&gt;"",T1577&lt;&gt;""),IF(V1577=MONAT!$AZ$3,1,0),0)</f>
        <v/>
      </c>
    </row>
    <row r="1578">
      <c r="A1578" s="19" t="n"/>
      <c r="B1578" s="20">
        <f>IF(A1578="","",CHOOSE(WEEKDAY(A1578,2),"Mo","Di","Mi","Do","Fr","Sa","So"))</f>
        <v/>
      </c>
      <c r="C1578" s="20">
        <f>IF(A1578="","",INT((A1578-DATE(YEAR(A1578-WEEKDAY(A1578-1)+4),1,3)+WEEKDAY(DATE(YEAR(A1578-WEEKDAY(A1578-1)+4),1,3))+5)/7))</f>
        <v/>
      </c>
      <c r="D1578" s="21" t="n"/>
      <c r="E1578" s="22" t="n"/>
      <c r="F1578" s="23" t="n"/>
      <c r="G1578" s="23" t="n"/>
      <c r="H1578" s="23" t="n"/>
      <c r="I1578" s="20">
        <f>IF(COUNT(F1578:H1578)=0,"",SUM(F1578:H1578))</f>
        <v/>
      </c>
      <c r="J1578" s="23" t="n"/>
      <c r="K1578" s="23" t="n"/>
      <c r="L1578" s="23" t="n"/>
      <c r="M1578" s="23" t="n"/>
      <c r="N1578" s="23" t="n"/>
      <c r="O1578" s="20">
        <f>IF(OR(I1578="",COUNT(J1578:N1578)=0),"",IF(SUM(J1578:N1578)=I1578,"✓","⚠ "&amp;SUM(J1578:N1578)&amp;" statt "&amp;I1578))</f>
        <v/>
      </c>
      <c r="P1578" s="21" t="n"/>
      <c r="Q1578" s="21" t="n"/>
      <c r="R1578" s="21" t="n"/>
      <c r="S1578" s="24" t="n"/>
      <c r="T1578" s="24" t="n"/>
      <c r="V1578">
        <f>IF(A1578="","",MONTH(A1578))</f>
        <v/>
      </c>
      <c r="W1578">
        <f>N(W1577)+IF(AND(C1578&lt;&gt;"",T1578&lt;&gt;""),IF(C1578=WOCHE!$B$3,1,0),0)</f>
        <v/>
      </c>
      <c r="X1578">
        <f>N(X1577)+IF(AND(V1578&lt;&gt;"",T1578&lt;&gt;""),IF(V1578=MONAT!$AZ$3,1,0),0)</f>
        <v/>
      </c>
    </row>
    <row r="1579">
      <c r="A1579" s="19" t="n"/>
      <c r="B1579" s="20">
        <f>IF(A1579="","",CHOOSE(WEEKDAY(A1579,2),"Mo","Di","Mi","Do","Fr","Sa","So"))</f>
        <v/>
      </c>
      <c r="C1579" s="20">
        <f>IF(A1579="","",INT((A1579-DATE(YEAR(A1579-WEEKDAY(A1579-1)+4),1,3)+WEEKDAY(DATE(YEAR(A1579-WEEKDAY(A1579-1)+4),1,3))+5)/7))</f>
        <v/>
      </c>
      <c r="D1579" s="21" t="n"/>
      <c r="E1579" s="22" t="n"/>
      <c r="F1579" s="23" t="n"/>
      <c r="G1579" s="23" t="n"/>
      <c r="H1579" s="23" t="n"/>
      <c r="I1579" s="20">
        <f>IF(COUNT(F1579:H1579)=0,"",SUM(F1579:H1579))</f>
        <v/>
      </c>
      <c r="J1579" s="23" t="n"/>
      <c r="K1579" s="23" t="n"/>
      <c r="L1579" s="23" t="n"/>
      <c r="M1579" s="23" t="n"/>
      <c r="N1579" s="23" t="n"/>
      <c r="O1579" s="20">
        <f>IF(OR(I1579="",COUNT(J1579:N1579)=0),"",IF(SUM(J1579:N1579)=I1579,"✓","⚠ "&amp;SUM(J1579:N1579)&amp;" statt "&amp;I1579))</f>
        <v/>
      </c>
      <c r="P1579" s="21" t="n"/>
      <c r="Q1579" s="21" t="n"/>
      <c r="R1579" s="21" t="n"/>
      <c r="S1579" s="24" t="n"/>
      <c r="T1579" s="24" t="n"/>
      <c r="V1579">
        <f>IF(A1579="","",MONTH(A1579))</f>
        <v/>
      </c>
      <c r="W1579">
        <f>N(W1578)+IF(AND(C1579&lt;&gt;"",T1579&lt;&gt;""),IF(C1579=WOCHE!$B$3,1,0),0)</f>
        <v/>
      </c>
      <c r="X1579">
        <f>N(X1578)+IF(AND(V1579&lt;&gt;"",T1579&lt;&gt;""),IF(V1579=MONAT!$AZ$3,1,0),0)</f>
        <v/>
      </c>
    </row>
    <row r="1580">
      <c r="A1580" s="19" t="n"/>
      <c r="B1580" s="20">
        <f>IF(A1580="","",CHOOSE(WEEKDAY(A1580,2),"Mo","Di","Mi","Do","Fr","Sa","So"))</f>
        <v/>
      </c>
      <c r="C1580" s="20">
        <f>IF(A1580="","",INT((A1580-DATE(YEAR(A1580-WEEKDAY(A1580-1)+4),1,3)+WEEKDAY(DATE(YEAR(A1580-WEEKDAY(A1580-1)+4),1,3))+5)/7))</f>
        <v/>
      </c>
      <c r="D1580" s="21" t="n"/>
      <c r="E1580" s="22" t="n"/>
      <c r="F1580" s="23" t="n"/>
      <c r="G1580" s="23" t="n"/>
      <c r="H1580" s="23" t="n"/>
      <c r="I1580" s="20">
        <f>IF(COUNT(F1580:H1580)=0,"",SUM(F1580:H1580))</f>
        <v/>
      </c>
      <c r="J1580" s="23" t="n"/>
      <c r="K1580" s="23" t="n"/>
      <c r="L1580" s="23" t="n"/>
      <c r="M1580" s="23" t="n"/>
      <c r="N1580" s="23" t="n"/>
      <c r="O1580" s="20">
        <f>IF(OR(I1580="",COUNT(J1580:N1580)=0),"",IF(SUM(J1580:N1580)=I1580,"✓","⚠ "&amp;SUM(J1580:N1580)&amp;" statt "&amp;I1580))</f>
        <v/>
      </c>
      <c r="P1580" s="21" t="n"/>
      <c r="Q1580" s="21" t="n"/>
      <c r="R1580" s="21" t="n"/>
      <c r="S1580" s="24" t="n"/>
      <c r="T1580" s="24" t="n"/>
      <c r="V1580">
        <f>IF(A1580="","",MONTH(A1580))</f>
        <v/>
      </c>
      <c r="W1580">
        <f>N(W1579)+IF(AND(C1580&lt;&gt;"",T1580&lt;&gt;""),IF(C1580=WOCHE!$B$3,1,0),0)</f>
        <v/>
      </c>
      <c r="X1580">
        <f>N(X1579)+IF(AND(V1580&lt;&gt;"",T1580&lt;&gt;""),IF(V1580=MONAT!$AZ$3,1,0),0)</f>
        <v/>
      </c>
    </row>
    <row r="1581">
      <c r="A1581" s="19" t="n"/>
      <c r="B1581" s="20">
        <f>IF(A1581="","",CHOOSE(WEEKDAY(A1581,2),"Mo","Di","Mi","Do","Fr","Sa","So"))</f>
        <v/>
      </c>
      <c r="C1581" s="20">
        <f>IF(A1581="","",INT((A1581-DATE(YEAR(A1581-WEEKDAY(A1581-1)+4),1,3)+WEEKDAY(DATE(YEAR(A1581-WEEKDAY(A1581-1)+4),1,3))+5)/7))</f>
        <v/>
      </c>
      <c r="D1581" s="21" t="n"/>
      <c r="E1581" s="22" t="n"/>
      <c r="F1581" s="23" t="n"/>
      <c r="G1581" s="23" t="n"/>
      <c r="H1581" s="23" t="n"/>
      <c r="I1581" s="20">
        <f>IF(COUNT(F1581:H1581)=0,"",SUM(F1581:H1581))</f>
        <v/>
      </c>
      <c r="J1581" s="23" t="n"/>
      <c r="K1581" s="23" t="n"/>
      <c r="L1581" s="23" t="n"/>
      <c r="M1581" s="23" t="n"/>
      <c r="N1581" s="23" t="n"/>
      <c r="O1581" s="20">
        <f>IF(OR(I1581="",COUNT(J1581:N1581)=0),"",IF(SUM(J1581:N1581)=I1581,"✓","⚠ "&amp;SUM(J1581:N1581)&amp;" statt "&amp;I1581))</f>
        <v/>
      </c>
      <c r="P1581" s="21" t="n"/>
      <c r="Q1581" s="21" t="n"/>
      <c r="R1581" s="21" t="n"/>
      <c r="S1581" s="24" t="n"/>
      <c r="T1581" s="24" t="n"/>
      <c r="V1581">
        <f>IF(A1581="","",MONTH(A1581))</f>
        <v/>
      </c>
      <c r="W1581">
        <f>N(W1580)+IF(AND(C1581&lt;&gt;"",T1581&lt;&gt;""),IF(C1581=WOCHE!$B$3,1,0),0)</f>
        <v/>
      </c>
      <c r="X1581">
        <f>N(X1580)+IF(AND(V1581&lt;&gt;"",T1581&lt;&gt;""),IF(V1581=MONAT!$AZ$3,1,0),0)</f>
        <v/>
      </c>
    </row>
    <row r="1582">
      <c r="A1582" s="19" t="n"/>
      <c r="B1582" s="20">
        <f>IF(A1582="","",CHOOSE(WEEKDAY(A1582,2),"Mo","Di","Mi","Do","Fr","Sa","So"))</f>
        <v/>
      </c>
      <c r="C1582" s="20">
        <f>IF(A1582="","",INT((A1582-DATE(YEAR(A1582-WEEKDAY(A1582-1)+4),1,3)+WEEKDAY(DATE(YEAR(A1582-WEEKDAY(A1582-1)+4),1,3))+5)/7))</f>
        <v/>
      </c>
      <c r="D1582" s="21" t="n"/>
      <c r="E1582" s="22" t="n"/>
      <c r="F1582" s="23" t="n"/>
      <c r="G1582" s="23" t="n"/>
      <c r="H1582" s="23" t="n"/>
      <c r="I1582" s="20">
        <f>IF(COUNT(F1582:H1582)=0,"",SUM(F1582:H1582))</f>
        <v/>
      </c>
      <c r="J1582" s="23" t="n"/>
      <c r="K1582" s="23" t="n"/>
      <c r="L1582" s="23" t="n"/>
      <c r="M1582" s="23" t="n"/>
      <c r="N1582" s="23" t="n"/>
      <c r="O1582" s="20">
        <f>IF(OR(I1582="",COUNT(J1582:N1582)=0),"",IF(SUM(J1582:N1582)=I1582,"✓","⚠ "&amp;SUM(J1582:N1582)&amp;" statt "&amp;I1582))</f>
        <v/>
      </c>
      <c r="P1582" s="21" t="n"/>
      <c r="Q1582" s="21" t="n"/>
      <c r="R1582" s="21" t="n"/>
      <c r="S1582" s="24" t="n"/>
      <c r="T1582" s="24" t="n"/>
      <c r="V1582">
        <f>IF(A1582="","",MONTH(A1582))</f>
        <v/>
      </c>
      <c r="W1582">
        <f>N(W1581)+IF(AND(C1582&lt;&gt;"",T1582&lt;&gt;""),IF(C1582=WOCHE!$B$3,1,0),0)</f>
        <v/>
      </c>
      <c r="X1582">
        <f>N(X1581)+IF(AND(V1582&lt;&gt;"",T1582&lt;&gt;""),IF(V1582=MONAT!$AZ$3,1,0),0)</f>
        <v/>
      </c>
    </row>
    <row r="1583">
      <c r="A1583" s="19" t="n"/>
      <c r="B1583" s="20">
        <f>IF(A1583="","",CHOOSE(WEEKDAY(A1583,2),"Mo","Di","Mi","Do","Fr","Sa","So"))</f>
        <v/>
      </c>
      <c r="C1583" s="20">
        <f>IF(A1583="","",INT((A1583-DATE(YEAR(A1583-WEEKDAY(A1583-1)+4),1,3)+WEEKDAY(DATE(YEAR(A1583-WEEKDAY(A1583-1)+4),1,3))+5)/7))</f>
        <v/>
      </c>
      <c r="D1583" s="21" t="n"/>
      <c r="E1583" s="22" t="n"/>
      <c r="F1583" s="23" t="n"/>
      <c r="G1583" s="23" t="n"/>
      <c r="H1583" s="23" t="n"/>
      <c r="I1583" s="20">
        <f>IF(COUNT(F1583:H1583)=0,"",SUM(F1583:H1583))</f>
        <v/>
      </c>
      <c r="J1583" s="23" t="n"/>
      <c r="K1583" s="23" t="n"/>
      <c r="L1583" s="23" t="n"/>
      <c r="M1583" s="23" t="n"/>
      <c r="N1583" s="23" t="n"/>
      <c r="O1583" s="20">
        <f>IF(OR(I1583="",COUNT(J1583:N1583)=0),"",IF(SUM(J1583:N1583)=I1583,"✓","⚠ "&amp;SUM(J1583:N1583)&amp;" statt "&amp;I1583))</f>
        <v/>
      </c>
      <c r="P1583" s="21" t="n"/>
      <c r="Q1583" s="21" t="n"/>
      <c r="R1583" s="21" t="n"/>
      <c r="S1583" s="24" t="n"/>
      <c r="T1583" s="24" t="n"/>
      <c r="V1583">
        <f>IF(A1583="","",MONTH(A1583))</f>
        <v/>
      </c>
      <c r="W1583">
        <f>N(W1582)+IF(AND(C1583&lt;&gt;"",T1583&lt;&gt;""),IF(C1583=WOCHE!$B$3,1,0),0)</f>
        <v/>
      </c>
      <c r="X1583">
        <f>N(X1582)+IF(AND(V1583&lt;&gt;"",T1583&lt;&gt;""),IF(V1583=MONAT!$AZ$3,1,0),0)</f>
        <v/>
      </c>
    </row>
    <row r="1584">
      <c r="A1584" s="19" t="n"/>
      <c r="B1584" s="20">
        <f>IF(A1584="","",CHOOSE(WEEKDAY(A1584,2),"Mo","Di","Mi","Do","Fr","Sa","So"))</f>
        <v/>
      </c>
      <c r="C1584" s="20">
        <f>IF(A1584="","",INT((A1584-DATE(YEAR(A1584-WEEKDAY(A1584-1)+4),1,3)+WEEKDAY(DATE(YEAR(A1584-WEEKDAY(A1584-1)+4),1,3))+5)/7))</f>
        <v/>
      </c>
      <c r="D1584" s="21" t="n"/>
      <c r="E1584" s="22" t="n"/>
      <c r="F1584" s="23" t="n"/>
      <c r="G1584" s="23" t="n"/>
      <c r="H1584" s="23" t="n"/>
      <c r="I1584" s="20">
        <f>IF(COUNT(F1584:H1584)=0,"",SUM(F1584:H1584))</f>
        <v/>
      </c>
      <c r="J1584" s="23" t="n"/>
      <c r="K1584" s="23" t="n"/>
      <c r="L1584" s="23" t="n"/>
      <c r="M1584" s="23" t="n"/>
      <c r="N1584" s="23" t="n"/>
      <c r="O1584" s="20">
        <f>IF(OR(I1584="",COUNT(J1584:N1584)=0),"",IF(SUM(J1584:N1584)=I1584,"✓","⚠ "&amp;SUM(J1584:N1584)&amp;" statt "&amp;I1584))</f>
        <v/>
      </c>
      <c r="P1584" s="21" t="n"/>
      <c r="Q1584" s="21" t="n"/>
      <c r="R1584" s="21" t="n"/>
      <c r="S1584" s="24" t="n"/>
      <c r="T1584" s="24" t="n"/>
      <c r="V1584">
        <f>IF(A1584="","",MONTH(A1584))</f>
        <v/>
      </c>
      <c r="W1584">
        <f>N(W1583)+IF(AND(C1584&lt;&gt;"",T1584&lt;&gt;""),IF(C1584=WOCHE!$B$3,1,0),0)</f>
        <v/>
      </c>
      <c r="X1584">
        <f>N(X1583)+IF(AND(V1584&lt;&gt;"",T1584&lt;&gt;""),IF(V1584=MONAT!$AZ$3,1,0),0)</f>
        <v/>
      </c>
    </row>
    <row r="1585">
      <c r="A1585" s="19" t="n"/>
      <c r="B1585" s="20">
        <f>IF(A1585="","",CHOOSE(WEEKDAY(A1585,2),"Mo","Di","Mi","Do","Fr","Sa","So"))</f>
        <v/>
      </c>
      <c r="C1585" s="20">
        <f>IF(A1585="","",INT((A1585-DATE(YEAR(A1585-WEEKDAY(A1585-1)+4),1,3)+WEEKDAY(DATE(YEAR(A1585-WEEKDAY(A1585-1)+4),1,3))+5)/7))</f>
        <v/>
      </c>
      <c r="D1585" s="21" t="n"/>
      <c r="E1585" s="22" t="n"/>
      <c r="F1585" s="23" t="n"/>
      <c r="G1585" s="23" t="n"/>
      <c r="H1585" s="23" t="n"/>
      <c r="I1585" s="20">
        <f>IF(COUNT(F1585:H1585)=0,"",SUM(F1585:H1585))</f>
        <v/>
      </c>
      <c r="J1585" s="23" t="n"/>
      <c r="K1585" s="23" t="n"/>
      <c r="L1585" s="23" t="n"/>
      <c r="M1585" s="23" t="n"/>
      <c r="N1585" s="23" t="n"/>
      <c r="O1585" s="20">
        <f>IF(OR(I1585="",COUNT(J1585:N1585)=0),"",IF(SUM(J1585:N1585)=I1585,"✓","⚠ "&amp;SUM(J1585:N1585)&amp;" statt "&amp;I1585))</f>
        <v/>
      </c>
      <c r="P1585" s="21" t="n"/>
      <c r="Q1585" s="21" t="n"/>
      <c r="R1585" s="21" t="n"/>
      <c r="S1585" s="24" t="n"/>
      <c r="T1585" s="24" t="n"/>
      <c r="V1585">
        <f>IF(A1585="","",MONTH(A1585))</f>
        <v/>
      </c>
      <c r="W1585">
        <f>N(W1584)+IF(AND(C1585&lt;&gt;"",T1585&lt;&gt;""),IF(C1585=WOCHE!$B$3,1,0),0)</f>
        <v/>
      </c>
      <c r="X1585">
        <f>N(X1584)+IF(AND(V1585&lt;&gt;"",T1585&lt;&gt;""),IF(V1585=MONAT!$AZ$3,1,0),0)</f>
        <v/>
      </c>
    </row>
    <row r="1586">
      <c r="A1586" s="19" t="n"/>
      <c r="B1586" s="20">
        <f>IF(A1586="","",CHOOSE(WEEKDAY(A1586,2),"Mo","Di","Mi","Do","Fr","Sa","So"))</f>
        <v/>
      </c>
      <c r="C1586" s="20">
        <f>IF(A1586="","",INT((A1586-DATE(YEAR(A1586-WEEKDAY(A1586-1)+4),1,3)+WEEKDAY(DATE(YEAR(A1586-WEEKDAY(A1586-1)+4),1,3))+5)/7))</f>
        <v/>
      </c>
      <c r="D1586" s="21" t="n"/>
      <c r="E1586" s="22" t="n"/>
      <c r="F1586" s="23" t="n"/>
      <c r="G1586" s="23" t="n"/>
      <c r="H1586" s="23" t="n"/>
      <c r="I1586" s="20">
        <f>IF(COUNT(F1586:H1586)=0,"",SUM(F1586:H1586))</f>
        <v/>
      </c>
      <c r="J1586" s="23" t="n"/>
      <c r="K1586" s="23" t="n"/>
      <c r="L1586" s="23" t="n"/>
      <c r="M1586" s="23" t="n"/>
      <c r="N1586" s="23" t="n"/>
      <c r="O1586" s="20">
        <f>IF(OR(I1586="",COUNT(J1586:N1586)=0),"",IF(SUM(J1586:N1586)=I1586,"✓","⚠ "&amp;SUM(J1586:N1586)&amp;" statt "&amp;I1586))</f>
        <v/>
      </c>
      <c r="P1586" s="21" t="n"/>
      <c r="Q1586" s="21" t="n"/>
      <c r="R1586" s="21" t="n"/>
      <c r="S1586" s="24" t="n"/>
      <c r="T1586" s="24" t="n"/>
      <c r="V1586">
        <f>IF(A1586="","",MONTH(A1586))</f>
        <v/>
      </c>
      <c r="W1586">
        <f>N(W1585)+IF(AND(C1586&lt;&gt;"",T1586&lt;&gt;""),IF(C1586=WOCHE!$B$3,1,0),0)</f>
        <v/>
      </c>
      <c r="X1586">
        <f>N(X1585)+IF(AND(V1586&lt;&gt;"",T1586&lt;&gt;""),IF(V1586=MONAT!$AZ$3,1,0),0)</f>
        <v/>
      </c>
    </row>
    <row r="1587">
      <c r="A1587" s="19" t="n"/>
      <c r="B1587" s="20">
        <f>IF(A1587="","",CHOOSE(WEEKDAY(A1587,2),"Mo","Di","Mi","Do","Fr","Sa","So"))</f>
        <v/>
      </c>
      <c r="C1587" s="20">
        <f>IF(A1587="","",INT((A1587-DATE(YEAR(A1587-WEEKDAY(A1587-1)+4),1,3)+WEEKDAY(DATE(YEAR(A1587-WEEKDAY(A1587-1)+4),1,3))+5)/7))</f>
        <v/>
      </c>
      <c r="D1587" s="21" t="n"/>
      <c r="E1587" s="22" t="n"/>
      <c r="F1587" s="23" t="n"/>
      <c r="G1587" s="23" t="n"/>
      <c r="H1587" s="23" t="n"/>
      <c r="I1587" s="20">
        <f>IF(COUNT(F1587:H1587)=0,"",SUM(F1587:H1587))</f>
        <v/>
      </c>
      <c r="J1587" s="23" t="n"/>
      <c r="K1587" s="23" t="n"/>
      <c r="L1587" s="23" t="n"/>
      <c r="M1587" s="23" t="n"/>
      <c r="N1587" s="23" t="n"/>
      <c r="O1587" s="20">
        <f>IF(OR(I1587="",COUNT(J1587:N1587)=0),"",IF(SUM(J1587:N1587)=I1587,"✓","⚠ "&amp;SUM(J1587:N1587)&amp;" statt "&amp;I1587))</f>
        <v/>
      </c>
      <c r="P1587" s="21" t="n"/>
      <c r="Q1587" s="21" t="n"/>
      <c r="R1587" s="21" t="n"/>
      <c r="S1587" s="24" t="n"/>
      <c r="T1587" s="24" t="n"/>
      <c r="V1587">
        <f>IF(A1587="","",MONTH(A1587))</f>
        <v/>
      </c>
      <c r="W1587">
        <f>N(W1586)+IF(AND(C1587&lt;&gt;"",T1587&lt;&gt;""),IF(C1587=WOCHE!$B$3,1,0),0)</f>
        <v/>
      </c>
      <c r="X1587">
        <f>N(X1586)+IF(AND(V1587&lt;&gt;"",T1587&lt;&gt;""),IF(V1587=MONAT!$AZ$3,1,0),0)</f>
        <v/>
      </c>
    </row>
    <row r="1588">
      <c r="A1588" s="19" t="n"/>
      <c r="B1588" s="20">
        <f>IF(A1588="","",CHOOSE(WEEKDAY(A1588,2),"Mo","Di","Mi","Do","Fr","Sa","So"))</f>
        <v/>
      </c>
      <c r="C1588" s="20">
        <f>IF(A1588="","",INT((A1588-DATE(YEAR(A1588-WEEKDAY(A1588-1)+4),1,3)+WEEKDAY(DATE(YEAR(A1588-WEEKDAY(A1588-1)+4),1,3))+5)/7))</f>
        <v/>
      </c>
      <c r="D1588" s="21" t="n"/>
      <c r="E1588" s="22" t="n"/>
      <c r="F1588" s="23" t="n"/>
      <c r="G1588" s="23" t="n"/>
      <c r="H1588" s="23" t="n"/>
      <c r="I1588" s="20">
        <f>IF(COUNT(F1588:H1588)=0,"",SUM(F1588:H1588))</f>
        <v/>
      </c>
      <c r="J1588" s="23" t="n"/>
      <c r="K1588" s="23" t="n"/>
      <c r="L1588" s="23" t="n"/>
      <c r="M1588" s="23" t="n"/>
      <c r="N1588" s="23" t="n"/>
      <c r="O1588" s="20">
        <f>IF(OR(I1588="",COUNT(J1588:N1588)=0),"",IF(SUM(J1588:N1588)=I1588,"✓","⚠ "&amp;SUM(J1588:N1588)&amp;" statt "&amp;I1588))</f>
        <v/>
      </c>
      <c r="P1588" s="21" t="n"/>
      <c r="Q1588" s="21" t="n"/>
      <c r="R1588" s="21" t="n"/>
      <c r="S1588" s="24" t="n"/>
      <c r="T1588" s="24" t="n"/>
      <c r="V1588">
        <f>IF(A1588="","",MONTH(A1588))</f>
        <v/>
      </c>
      <c r="W1588">
        <f>N(W1587)+IF(AND(C1588&lt;&gt;"",T1588&lt;&gt;""),IF(C1588=WOCHE!$B$3,1,0),0)</f>
        <v/>
      </c>
      <c r="X1588">
        <f>N(X1587)+IF(AND(V1588&lt;&gt;"",T1588&lt;&gt;""),IF(V1588=MONAT!$AZ$3,1,0),0)</f>
        <v/>
      </c>
    </row>
    <row r="1589">
      <c r="A1589" s="19" t="n"/>
      <c r="B1589" s="20">
        <f>IF(A1589="","",CHOOSE(WEEKDAY(A1589,2),"Mo","Di","Mi","Do","Fr","Sa","So"))</f>
        <v/>
      </c>
      <c r="C1589" s="20">
        <f>IF(A1589="","",INT((A1589-DATE(YEAR(A1589-WEEKDAY(A1589-1)+4),1,3)+WEEKDAY(DATE(YEAR(A1589-WEEKDAY(A1589-1)+4),1,3))+5)/7))</f>
        <v/>
      </c>
      <c r="D1589" s="21" t="n"/>
      <c r="E1589" s="22" t="n"/>
      <c r="F1589" s="23" t="n"/>
      <c r="G1589" s="23" t="n"/>
      <c r="H1589" s="23" t="n"/>
      <c r="I1589" s="20">
        <f>IF(COUNT(F1589:H1589)=0,"",SUM(F1589:H1589))</f>
        <v/>
      </c>
      <c r="J1589" s="23" t="n"/>
      <c r="K1589" s="23" t="n"/>
      <c r="L1589" s="23" t="n"/>
      <c r="M1589" s="23" t="n"/>
      <c r="N1589" s="23" t="n"/>
      <c r="O1589" s="20">
        <f>IF(OR(I1589="",COUNT(J1589:N1589)=0),"",IF(SUM(J1589:N1589)=I1589,"✓","⚠ "&amp;SUM(J1589:N1589)&amp;" statt "&amp;I1589))</f>
        <v/>
      </c>
      <c r="P1589" s="21" t="n"/>
      <c r="Q1589" s="21" t="n"/>
      <c r="R1589" s="21" t="n"/>
      <c r="S1589" s="24" t="n"/>
      <c r="T1589" s="24" t="n"/>
      <c r="V1589">
        <f>IF(A1589="","",MONTH(A1589))</f>
        <v/>
      </c>
      <c r="W1589">
        <f>N(W1588)+IF(AND(C1589&lt;&gt;"",T1589&lt;&gt;""),IF(C1589=WOCHE!$B$3,1,0),0)</f>
        <v/>
      </c>
      <c r="X1589">
        <f>N(X1588)+IF(AND(V1589&lt;&gt;"",T1589&lt;&gt;""),IF(V1589=MONAT!$AZ$3,1,0),0)</f>
        <v/>
      </c>
    </row>
    <row r="1590">
      <c r="A1590" s="19" t="n"/>
      <c r="B1590" s="20">
        <f>IF(A1590="","",CHOOSE(WEEKDAY(A1590,2),"Mo","Di","Mi","Do","Fr","Sa","So"))</f>
        <v/>
      </c>
      <c r="C1590" s="20">
        <f>IF(A1590="","",INT((A1590-DATE(YEAR(A1590-WEEKDAY(A1590-1)+4),1,3)+WEEKDAY(DATE(YEAR(A1590-WEEKDAY(A1590-1)+4),1,3))+5)/7))</f>
        <v/>
      </c>
      <c r="D1590" s="21" t="n"/>
      <c r="E1590" s="22" t="n"/>
      <c r="F1590" s="23" t="n"/>
      <c r="G1590" s="23" t="n"/>
      <c r="H1590" s="23" t="n"/>
      <c r="I1590" s="20">
        <f>IF(COUNT(F1590:H1590)=0,"",SUM(F1590:H1590))</f>
        <v/>
      </c>
      <c r="J1590" s="23" t="n"/>
      <c r="K1590" s="23" t="n"/>
      <c r="L1590" s="23" t="n"/>
      <c r="M1590" s="23" t="n"/>
      <c r="N1590" s="23" t="n"/>
      <c r="O1590" s="20">
        <f>IF(OR(I1590="",COUNT(J1590:N1590)=0),"",IF(SUM(J1590:N1590)=I1590,"✓","⚠ "&amp;SUM(J1590:N1590)&amp;" statt "&amp;I1590))</f>
        <v/>
      </c>
      <c r="P1590" s="21" t="n"/>
      <c r="Q1590" s="21" t="n"/>
      <c r="R1590" s="21" t="n"/>
      <c r="S1590" s="24" t="n"/>
      <c r="T1590" s="24" t="n"/>
      <c r="V1590">
        <f>IF(A1590="","",MONTH(A1590))</f>
        <v/>
      </c>
      <c r="W1590">
        <f>N(W1589)+IF(AND(C1590&lt;&gt;"",T1590&lt;&gt;""),IF(C1590=WOCHE!$B$3,1,0),0)</f>
        <v/>
      </c>
      <c r="X1590">
        <f>N(X1589)+IF(AND(V1590&lt;&gt;"",T1590&lt;&gt;""),IF(V1590=MONAT!$AZ$3,1,0),0)</f>
        <v/>
      </c>
    </row>
    <row r="1591">
      <c r="A1591" s="19" t="n"/>
      <c r="B1591" s="20">
        <f>IF(A1591="","",CHOOSE(WEEKDAY(A1591,2),"Mo","Di","Mi","Do","Fr","Sa","So"))</f>
        <v/>
      </c>
      <c r="C1591" s="20">
        <f>IF(A1591="","",INT((A1591-DATE(YEAR(A1591-WEEKDAY(A1591-1)+4),1,3)+WEEKDAY(DATE(YEAR(A1591-WEEKDAY(A1591-1)+4),1,3))+5)/7))</f>
        <v/>
      </c>
      <c r="D1591" s="21" t="n"/>
      <c r="E1591" s="22" t="n"/>
      <c r="F1591" s="23" t="n"/>
      <c r="G1591" s="23" t="n"/>
      <c r="H1591" s="23" t="n"/>
      <c r="I1591" s="20">
        <f>IF(COUNT(F1591:H1591)=0,"",SUM(F1591:H1591))</f>
        <v/>
      </c>
      <c r="J1591" s="23" t="n"/>
      <c r="K1591" s="23" t="n"/>
      <c r="L1591" s="23" t="n"/>
      <c r="M1591" s="23" t="n"/>
      <c r="N1591" s="23" t="n"/>
      <c r="O1591" s="20">
        <f>IF(OR(I1591="",COUNT(J1591:N1591)=0),"",IF(SUM(J1591:N1591)=I1591,"✓","⚠ "&amp;SUM(J1591:N1591)&amp;" statt "&amp;I1591))</f>
        <v/>
      </c>
      <c r="P1591" s="21" t="n"/>
      <c r="Q1591" s="21" t="n"/>
      <c r="R1591" s="21" t="n"/>
      <c r="S1591" s="24" t="n"/>
      <c r="T1591" s="24" t="n"/>
      <c r="V1591">
        <f>IF(A1591="","",MONTH(A1591))</f>
        <v/>
      </c>
      <c r="W1591">
        <f>N(W1590)+IF(AND(C1591&lt;&gt;"",T1591&lt;&gt;""),IF(C1591=WOCHE!$B$3,1,0),0)</f>
        <v/>
      </c>
      <c r="X1591">
        <f>N(X1590)+IF(AND(V1591&lt;&gt;"",T1591&lt;&gt;""),IF(V1591=MONAT!$AZ$3,1,0),0)</f>
        <v/>
      </c>
    </row>
    <row r="1592">
      <c r="A1592" s="19" t="n"/>
      <c r="B1592" s="20">
        <f>IF(A1592="","",CHOOSE(WEEKDAY(A1592,2),"Mo","Di","Mi","Do","Fr","Sa","So"))</f>
        <v/>
      </c>
      <c r="C1592" s="20">
        <f>IF(A1592="","",INT((A1592-DATE(YEAR(A1592-WEEKDAY(A1592-1)+4),1,3)+WEEKDAY(DATE(YEAR(A1592-WEEKDAY(A1592-1)+4),1,3))+5)/7))</f>
        <v/>
      </c>
      <c r="D1592" s="21" t="n"/>
      <c r="E1592" s="22" t="n"/>
      <c r="F1592" s="23" t="n"/>
      <c r="G1592" s="23" t="n"/>
      <c r="H1592" s="23" t="n"/>
      <c r="I1592" s="20">
        <f>IF(COUNT(F1592:H1592)=0,"",SUM(F1592:H1592))</f>
        <v/>
      </c>
      <c r="J1592" s="23" t="n"/>
      <c r="K1592" s="23" t="n"/>
      <c r="L1592" s="23" t="n"/>
      <c r="M1592" s="23" t="n"/>
      <c r="N1592" s="23" t="n"/>
      <c r="O1592" s="20">
        <f>IF(OR(I1592="",COUNT(J1592:N1592)=0),"",IF(SUM(J1592:N1592)=I1592,"✓","⚠ "&amp;SUM(J1592:N1592)&amp;" statt "&amp;I1592))</f>
        <v/>
      </c>
      <c r="P1592" s="21" t="n"/>
      <c r="Q1592" s="21" t="n"/>
      <c r="R1592" s="21" t="n"/>
      <c r="S1592" s="24" t="n"/>
      <c r="T1592" s="24" t="n"/>
      <c r="V1592">
        <f>IF(A1592="","",MONTH(A1592))</f>
        <v/>
      </c>
      <c r="W1592">
        <f>N(W1591)+IF(AND(C1592&lt;&gt;"",T1592&lt;&gt;""),IF(C1592=WOCHE!$B$3,1,0),0)</f>
        <v/>
      </c>
      <c r="X1592">
        <f>N(X1591)+IF(AND(V1592&lt;&gt;"",T1592&lt;&gt;""),IF(V1592=MONAT!$AZ$3,1,0),0)</f>
        <v/>
      </c>
    </row>
    <row r="1593">
      <c r="A1593" s="19" t="n"/>
      <c r="B1593" s="20">
        <f>IF(A1593="","",CHOOSE(WEEKDAY(A1593,2),"Mo","Di","Mi","Do","Fr","Sa","So"))</f>
        <v/>
      </c>
      <c r="C1593" s="20">
        <f>IF(A1593="","",INT((A1593-DATE(YEAR(A1593-WEEKDAY(A1593-1)+4),1,3)+WEEKDAY(DATE(YEAR(A1593-WEEKDAY(A1593-1)+4),1,3))+5)/7))</f>
        <v/>
      </c>
      <c r="D1593" s="21" t="n"/>
      <c r="E1593" s="22" t="n"/>
      <c r="F1593" s="23" t="n"/>
      <c r="G1593" s="23" t="n"/>
      <c r="H1593" s="23" t="n"/>
      <c r="I1593" s="20">
        <f>IF(COUNT(F1593:H1593)=0,"",SUM(F1593:H1593))</f>
        <v/>
      </c>
      <c r="J1593" s="23" t="n"/>
      <c r="K1593" s="23" t="n"/>
      <c r="L1593" s="23" t="n"/>
      <c r="M1593" s="23" t="n"/>
      <c r="N1593" s="23" t="n"/>
      <c r="O1593" s="20">
        <f>IF(OR(I1593="",COUNT(J1593:N1593)=0),"",IF(SUM(J1593:N1593)=I1593,"✓","⚠ "&amp;SUM(J1593:N1593)&amp;" statt "&amp;I1593))</f>
        <v/>
      </c>
      <c r="P1593" s="21" t="n"/>
      <c r="Q1593" s="21" t="n"/>
      <c r="R1593" s="21" t="n"/>
      <c r="S1593" s="24" t="n"/>
      <c r="T1593" s="24" t="n"/>
      <c r="V1593">
        <f>IF(A1593="","",MONTH(A1593))</f>
        <v/>
      </c>
      <c r="W1593">
        <f>N(W1592)+IF(AND(C1593&lt;&gt;"",T1593&lt;&gt;""),IF(C1593=WOCHE!$B$3,1,0),0)</f>
        <v/>
      </c>
      <c r="X1593">
        <f>N(X1592)+IF(AND(V1593&lt;&gt;"",T1593&lt;&gt;""),IF(V1593=MONAT!$AZ$3,1,0),0)</f>
        <v/>
      </c>
    </row>
    <row r="1594">
      <c r="A1594" s="19" t="n"/>
      <c r="B1594" s="20">
        <f>IF(A1594="","",CHOOSE(WEEKDAY(A1594,2),"Mo","Di","Mi","Do","Fr","Sa","So"))</f>
        <v/>
      </c>
      <c r="C1594" s="20">
        <f>IF(A1594="","",INT((A1594-DATE(YEAR(A1594-WEEKDAY(A1594-1)+4),1,3)+WEEKDAY(DATE(YEAR(A1594-WEEKDAY(A1594-1)+4),1,3))+5)/7))</f>
        <v/>
      </c>
      <c r="D1594" s="21" t="n"/>
      <c r="E1594" s="22" t="n"/>
      <c r="F1594" s="23" t="n"/>
      <c r="G1594" s="23" t="n"/>
      <c r="H1594" s="23" t="n"/>
      <c r="I1594" s="20">
        <f>IF(COUNT(F1594:H1594)=0,"",SUM(F1594:H1594))</f>
        <v/>
      </c>
      <c r="J1594" s="23" t="n"/>
      <c r="K1594" s="23" t="n"/>
      <c r="L1594" s="23" t="n"/>
      <c r="M1594" s="23" t="n"/>
      <c r="N1594" s="23" t="n"/>
      <c r="O1594" s="20">
        <f>IF(OR(I1594="",COUNT(J1594:N1594)=0),"",IF(SUM(J1594:N1594)=I1594,"✓","⚠ "&amp;SUM(J1594:N1594)&amp;" statt "&amp;I1594))</f>
        <v/>
      </c>
      <c r="P1594" s="21" t="n"/>
      <c r="Q1594" s="21" t="n"/>
      <c r="R1594" s="21" t="n"/>
      <c r="S1594" s="24" t="n"/>
      <c r="T1594" s="24" t="n"/>
      <c r="V1594">
        <f>IF(A1594="","",MONTH(A1594))</f>
        <v/>
      </c>
      <c r="W1594">
        <f>N(W1593)+IF(AND(C1594&lt;&gt;"",T1594&lt;&gt;""),IF(C1594=WOCHE!$B$3,1,0),0)</f>
        <v/>
      </c>
      <c r="X1594">
        <f>N(X1593)+IF(AND(V1594&lt;&gt;"",T1594&lt;&gt;""),IF(V1594=MONAT!$AZ$3,1,0),0)</f>
        <v/>
      </c>
    </row>
    <row r="1595">
      <c r="A1595" s="19" t="n"/>
      <c r="B1595" s="20">
        <f>IF(A1595="","",CHOOSE(WEEKDAY(A1595,2),"Mo","Di","Mi","Do","Fr","Sa","So"))</f>
        <v/>
      </c>
      <c r="C1595" s="20">
        <f>IF(A1595="","",INT((A1595-DATE(YEAR(A1595-WEEKDAY(A1595-1)+4),1,3)+WEEKDAY(DATE(YEAR(A1595-WEEKDAY(A1595-1)+4),1,3))+5)/7))</f>
        <v/>
      </c>
      <c r="D1595" s="21" t="n"/>
      <c r="E1595" s="22" t="n"/>
      <c r="F1595" s="23" t="n"/>
      <c r="G1595" s="23" t="n"/>
      <c r="H1595" s="23" t="n"/>
      <c r="I1595" s="20">
        <f>IF(COUNT(F1595:H1595)=0,"",SUM(F1595:H1595))</f>
        <v/>
      </c>
      <c r="J1595" s="23" t="n"/>
      <c r="K1595" s="23" t="n"/>
      <c r="L1595" s="23" t="n"/>
      <c r="M1595" s="23" t="n"/>
      <c r="N1595" s="23" t="n"/>
      <c r="O1595" s="20">
        <f>IF(OR(I1595="",COUNT(J1595:N1595)=0),"",IF(SUM(J1595:N1595)=I1595,"✓","⚠ "&amp;SUM(J1595:N1595)&amp;" statt "&amp;I1595))</f>
        <v/>
      </c>
      <c r="P1595" s="21" t="n"/>
      <c r="Q1595" s="21" t="n"/>
      <c r="R1595" s="21" t="n"/>
      <c r="S1595" s="24" t="n"/>
      <c r="T1595" s="24" t="n"/>
      <c r="V1595">
        <f>IF(A1595="","",MONTH(A1595))</f>
        <v/>
      </c>
      <c r="W1595">
        <f>N(W1594)+IF(AND(C1595&lt;&gt;"",T1595&lt;&gt;""),IF(C1595=WOCHE!$B$3,1,0),0)</f>
        <v/>
      </c>
      <c r="X1595">
        <f>N(X1594)+IF(AND(V1595&lt;&gt;"",T1595&lt;&gt;""),IF(V1595=MONAT!$AZ$3,1,0),0)</f>
        <v/>
      </c>
    </row>
    <row r="1596">
      <c r="A1596" s="19" t="n"/>
      <c r="B1596" s="20">
        <f>IF(A1596="","",CHOOSE(WEEKDAY(A1596,2),"Mo","Di","Mi","Do","Fr","Sa","So"))</f>
        <v/>
      </c>
      <c r="C1596" s="20">
        <f>IF(A1596="","",INT((A1596-DATE(YEAR(A1596-WEEKDAY(A1596-1)+4),1,3)+WEEKDAY(DATE(YEAR(A1596-WEEKDAY(A1596-1)+4),1,3))+5)/7))</f>
        <v/>
      </c>
      <c r="D1596" s="21" t="n"/>
      <c r="E1596" s="22" t="n"/>
      <c r="F1596" s="23" t="n"/>
      <c r="G1596" s="23" t="n"/>
      <c r="H1596" s="23" t="n"/>
      <c r="I1596" s="20">
        <f>IF(COUNT(F1596:H1596)=0,"",SUM(F1596:H1596))</f>
        <v/>
      </c>
      <c r="J1596" s="23" t="n"/>
      <c r="K1596" s="23" t="n"/>
      <c r="L1596" s="23" t="n"/>
      <c r="M1596" s="23" t="n"/>
      <c r="N1596" s="23" t="n"/>
      <c r="O1596" s="20">
        <f>IF(OR(I1596="",COUNT(J1596:N1596)=0),"",IF(SUM(J1596:N1596)=I1596,"✓","⚠ "&amp;SUM(J1596:N1596)&amp;" statt "&amp;I1596))</f>
        <v/>
      </c>
      <c r="P1596" s="21" t="n"/>
      <c r="Q1596" s="21" t="n"/>
      <c r="R1596" s="21" t="n"/>
      <c r="S1596" s="24" t="n"/>
      <c r="T1596" s="24" t="n"/>
      <c r="V1596">
        <f>IF(A1596="","",MONTH(A1596))</f>
        <v/>
      </c>
      <c r="W1596">
        <f>N(W1595)+IF(AND(C1596&lt;&gt;"",T1596&lt;&gt;""),IF(C1596=WOCHE!$B$3,1,0),0)</f>
        <v/>
      </c>
      <c r="X1596">
        <f>N(X1595)+IF(AND(V1596&lt;&gt;"",T1596&lt;&gt;""),IF(V1596=MONAT!$AZ$3,1,0),0)</f>
        <v/>
      </c>
    </row>
    <row r="1597">
      <c r="A1597" s="19" t="n"/>
      <c r="B1597" s="20">
        <f>IF(A1597="","",CHOOSE(WEEKDAY(A1597,2),"Mo","Di","Mi","Do","Fr","Sa","So"))</f>
        <v/>
      </c>
      <c r="C1597" s="20">
        <f>IF(A1597="","",INT((A1597-DATE(YEAR(A1597-WEEKDAY(A1597-1)+4),1,3)+WEEKDAY(DATE(YEAR(A1597-WEEKDAY(A1597-1)+4),1,3))+5)/7))</f>
        <v/>
      </c>
      <c r="D1597" s="21" t="n"/>
      <c r="E1597" s="22" t="n"/>
      <c r="F1597" s="23" t="n"/>
      <c r="G1597" s="23" t="n"/>
      <c r="H1597" s="23" t="n"/>
      <c r="I1597" s="20">
        <f>IF(COUNT(F1597:H1597)=0,"",SUM(F1597:H1597))</f>
        <v/>
      </c>
      <c r="J1597" s="23" t="n"/>
      <c r="K1597" s="23" t="n"/>
      <c r="L1597" s="23" t="n"/>
      <c r="M1597" s="23" t="n"/>
      <c r="N1597" s="23" t="n"/>
      <c r="O1597" s="20">
        <f>IF(OR(I1597="",COUNT(J1597:N1597)=0),"",IF(SUM(J1597:N1597)=I1597,"✓","⚠ "&amp;SUM(J1597:N1597)&amp;" statt "&amp;I1597))</f>
        <v/>
      </c>
      <c r="P1597" s="21" t="n"/>
      <c r="Q1597" s="21" t="n"/>
      <c r="R1597" s="21" t="n"/>
      <c r="S1597" s="24" t="n"/>
      <c r="T1597" s="24" t="n"/>
      <c r="V1597">
        <f>IF(A1597="","",MONTH(A1597))</f>
        <v/>
      </c>
      <c r="W1597">
        <f>N(W1596)+IF(AND(C1597&lt;&gt;"",T1597&lt;&gt;""),IF(C1597=WOCHE!$B$3,1,0),0)</f>
        <v/>
      </c>
      <c r="X1597">
        <f>N(X1596)+IF(AND(V1597&lt;&gt;"",T1597&lt;&gt;""),IF(V1597=MONAT!$AZ$3,1,0),0)</f>
        <v/>
      </c>
    </row>
    <row r="1598">
      <c r="A1598" s="19" t="n"/>
      <c r="B1598" s="20">
        <f>IF(A1598="","",CHOOSE(WEEKDAY(A1598,2),"Mo","Di","Mi","Do","Fr","Sa","So"))</f>
        <v/>
      </c>
      <c r="C1598" s="20">
        <f>IF(A1598="","",INT((A1598-DATE(YEAR(A1598-WEEKDAY(A1598-1)+4),1,3)+WEEKDAY(DATE(YEAR(A1598-WEEKDAY(A1598-1)+4),1,3))+5)/7))</f>
        <v/>
      </c>
      <c r="D1598" s="21" t="n"/>
      <c r="E1598" s="22" t="n"/>
      <c r="F1598" s="23" t="n"/>
      <c r="G1598" s="23" t="n"/>
      <c r="H1598" s="23" t="n"/>
      <c r="I1598" s="20">
        <f>IF(COUNT(F1598:H1598)=0,"",SUM(F1598:H1598))</f>
        <v/>
      </c>
      <c r="J1598" s="23" t="n"/>
      <c r="K1598" s="23" t="n"/>
      <c r="L1598" s="23" t="n"/>
      <c r="M1598" s="23" t="n"/>
      <c r="N1598" s="23" t="n"/>
      <c r="O1598" s="20">
        <f>IF(OR(I1598="",COUNT(J1598:N1598)=0),"",IF(SUM(J1598:N1598)=I1598,"✓","⚠ "&amp;SUM(J1598:N1598)&amp;" statt "&amp;I1598))</f>
        <v/>
      </c>
      <c r="P1598" s="21" t="n"/>
      <c r="Q1598" s="21" t="n"/>
      <c r="R1598" s="21" t="n"/>
      <c r="S1598" s="24" t="n"/>
      <c r="T1598" s="24" t="n"/>
      <c r="V1598">
        <f>IF(A1598="","",MONTH(A1598))</f>
        <v/>
      </c>
      <c r="W1598">
        <f>N(W1597)+IF(AND(C1598&lt;&gt;"",T1598&lt;&gt;""),IF(C1598=WOCHE!$B$3,1,0),0)</f>
        <v/>
      </c>
      <c r="X1598">
        <f>N(X1597)+IF(AND(V1598&lt;&gt;"",T1598&lt;&gt;""),IF(V1598=MONAT!$AZ$3,1,0),0)</f>
        <v/>
      </c>
    </row>
    <row r="1599">
      <c r="A1599" s="19" t="n"/>
      <c r="B1599" s="20">
        <f>IF(A1599="","",CHOOSE(WEEKDAY(A1599,2),"Mo","Di","Mi","Do","Fr","Sa","So"))</f>
        <v/>
      </c>
      <c r="C1599" s="20">
        <f>IF(A1599="","",INT((A1599-DATE(YEAR(A1599-WEEKDAY(A1599-1)+4),1,3)+WEEKDAY(DATE(YEAR(A1599-WEEKDAY(A1599-1)+4),1,3))+5)/7))</f>
        <v/>
      </c>
      <c r="D1599" s="21" t="n"/>
      <c r="E1599" s="22" t="n"/>
      <c r="F1599" s="23" t="n"/>
      <c r="G1599" s="23" t="n"/>
      <c r="H1599" s="23" t="n"/>
      <c r="I1599" s="20">
        <f>IF(COUNT(F1599:H1599)=0,"",SUM(F1599:H1599))</f>
        <v/>
      </c>
      <c r="J1599" s="23" t="n"/>
      <c r="K1599" s="23" t="n"/>
      <c r="L1599" s="23" t="n"/>
      <c r="M1599" s="23" t="n"/>
      <c r="N1599" s="23" t="n"/>
      <c r="O1599" s="20">
        <f>IF(OR(I1599="",COUNT(J1599:N1599)=0),"",IF(SUM(J1599:N1599)=I1599,"✓","⚠ "&amp;SUM(J1599:N1599)&amp;" statt "&amp;I1599))</f>
        <v/>
      </c>
      <c r="P1599" s="21" t="n"/>
      <c r="Q1599" s="21" t="n"/>
      <c r="R1599" s="21" t="n"/>
      <c r="S1599" s="24" t="n"/>
      <c r="T1599" s="24" t="n"/>
      <c r="V1599">
        <f>IF(A1599="","",MONTH(A1599))</f>
        <v/>
      </c>
      <c r="W1599">
        <f>N(W1598)+IF(AND(C1599&lt;&gt;"",T1599&lt;&gt;""),IF(C1599=WOCHE!$B$3,1,0),0)</f>
        <v/>
      </c>
      <c r="X1599">
        <f>N(X1598)+IF(AND(V1599&lt;&gt;"",T1599&lt;&gt;""),IF(V1599=MONAT!$AZ$3,1,0),0)</f>
        <v/>
      </c>
    </row>
    <row r="1600">
      <c r="A1600" s="19" t="n"/>
      <c r="B1600" s="20">
        <f>IF(A1600="","",CHOOSE(WEEKDAY(A1600,2),"Mo","Di","Mi","Do","Fr","Sa","So"))</f>
        <v/>
      </c>
      <c r="C1600" s="20">
        <f>IF(A1600="","",INT((A1600-DATE(YEAR(A1600-WEEKDAY(A1600-1)+4),1,3)+WEEKDAY(DATE(YEAR(A1600-WEEKDAY(A1600-1)+4),1,3))+5)/7))</f>
        <v/>
      </c>
      <c r="D1600" s="21" t="n"/>
      <c r="E1600" s="22" t="n"/>
      <c r="F1600" s="23" t="n"/>
      <c r="G1600" s="23" t="n"/>
      <c r="H1600" s="23" t="n"/>
      <c r="I1600" s="20">
        <f>IF(COUNT(F1600:H1600)=0,"",SUM(F1600:H1600))</f>
        <v/>
      </c>
      <c r="J1600" s="23" t="n"/>
      <c r="K1600" s="23" t="n"/>
      <c r="L1600" s="23" t="n"/>
      <c r="M1600" s="23" t="n"/>
      <c r="N1600" s="23" t="n"/>
      <c r="O1600" s="20">
        <f>IF(OR(I1600="",COUNT(J1600:N1600)=0),"",IF(SUM(J1600:N1600)=I1600,"✓","⚠ "&amp;SUM(J1600:N1600)&amp;" statt "&amp;I1600))</f>
        <v/>
      </c>
      <c r="P1600" s="21" t="n"/>
      <c r="Q1600" s="21" t="n"/>
      <c r="R1600" s="21" t="n"/>
      <c r="S1600" s="24" t="n"/>
      <c r="T1600" s="24" t="n"/>
      <c r="V1600">
        <f>IF(A1600="","",MONTH(A1600))</f>
        <v/>
      </c>
      <c r="W1600">
        <f>N(W1599)+IF(AND(C1600&lt;&gt;"",T1600&lt;&gt;""),IF(C1600=WOCHE!$B$3,1,0),0)</f>
        <v/>
      </c>
      <c r="X1600">
        <f>N(X1599)+IF(AND(V1600&lt;&gt;"",T1600&lt;&gt;""),IF(V1600=MONAT!$AZ$3,1,0),0)</f>
        <v/>
      </c>
    </row>
    <row r="1601">
      <c r="A1601" s="19" t="n"/>
      <c r="B1601" s="20">
        <f>IF(A1601="","",CHOOSE(WEEKDAY(A1601,2),"Mo","Di","Mi","Do","Fr","Sa","So"))</f>
        <v/>
      </c>
      <c r="C1601" s="20">
        <f>IF(A1601="","",INT((A1601-DATE(YEAR(A1601-WEEKDAY(A1601-1)+4),1,3)+WEEKDAY(DATE(YEAR(A1601-WEEKDAY(A1601-1)+4),1,3))+5)/7))</f>
        <v/>
      </c>
      <c r="D1601" s="21" t="n"/>
      <c r="E1601" s="22" t="n"/>
      <c r="F1601" s="23" t="n"/>
      <c r="G1601" s="23" t="n"/>
      <c r="H1601" s="23" t="n"/>
      <c r="I1601" s="20">
        <f>IF(COUNT(F1601:H1601)=0,"",SUM(F1601:H1601))</f>
        <v/>
      </c>
      <c r="J1601" s="23" t="n"/>
      <c r="K1601" s="23" t="n"/>
      <c r="L1601" s="23" t="n"/>
      <c r="M1601" s="23" t="n"/>
      <c r="N1601" s="23" t="n"/>
      <c r="O1601" s="20">
        <f>IF(OR(I1601="",COUNT(J1601:N1601)=0),"",IF(SUM(J1601:N1601)=I1601,"✓","⚠ "&amp;SUM(J1601:N1601)&amp;" statt "&amp;I1601))</f>
        <v/>
      </c>
      <c r="P1601" s="21" t="n"/>
      <c r="Q1601" s="21" t="n"/>
      <c r="R1601" s="21" t="n"/>
      <c r="S1601" s="24" t="n"/>
      <c r="T1601" s="24" t="n"/>
      <c r="V1601">
        <f>IF(A1601="","",MONTH(A1601))</f>
        <v/>
      </c>
      <c r="W1601">
        <f>N(W1600)+IF(AND(C1601&lt;&gt;"",T1601&lt;&gt;""),IF(C1601=WOCHE!$B$3,1,0),0)</f>
        <v/>
      </c>
      <c r="X1601">
        <f>N(X1600)+IF(AND(V1601&lt;&gt;"",T1601&lt;&gt;""),IF(V1601=MONAT!$AZ$3,1,0),0)</f>
        <v/>
      </c>
    </row>
    <row r="1602">
      <c r="A1602" s="19" t="n"/>
      <c r="B1602" s="20">
        <f>IF(A1602="","",CHOOSE(WEEKDAY(A1602,2),"Mo","Di","Mi","Do","Fr","Sa","So"))</f>
        <v/>
      </c>
      <c r="C1602" s="20">
        <f>IF(A1602="","",INT((A1602-DATE(YEAR(A1602-WEEKDAY(A1602-1)+4),1,3)+WEEKDAY(DATE(YEAR(A1602-WEEKDAY(A1602-1)+4),1,3))+5)/7))</f>
        <v/>
      </c>
      <c r="D1602" s="21" t="n"/>
      <c r="E1602" s="22" t="n"/>
      <c r="F1602" s="23" t="n"/>
      <c r="G1602" s="23" t="n"/>
      <c r="H1602" s="23" t="n"/>
      <c r="I1602" s="20">
        <f>IF(COUNT(F1602:H1602)=0,"",SUM(F1602:H1602))</f>
        <v/>
      </c>
      <c r="J1602" s="23" t="n"/>
      <c r="K1602" s="23" t="n"/>
      <c r="L1602" s="23" t="n"/>
      <c r="M1602" s="23" t="n"/>
      <c r="N1602" s="23" t="n"/>
      <c r="O1602" s="20">
        <f>IF(OR(I1602="",COUNT(J1602:N1602)=0),"",IF(SUM(J1602:N1602)=I1602,"✓","⚠ "&amp;SUM(J1602:N1602)&amp;" statt "&amp;I1602))</f>
        <v/>
      </c>
      <c r="P1602" s="21" t="n"/>
      <c r="Q1602" s="21" t="n"/>
      <c r="R1602" s="21" t="n"/>
      <c r="S1602" s="24" t="n"/>
      <c r="T1602" s="24" t="n"/>
      <c r="V1602">
        <f>IF(A1602="","",MONTH(A1602))</f>
        <v/>
      </c>
      <c r="W1602">
        <f>N(W1601)+IF(AND(C1602&lt;&gt;"",T1602&lt;&gt;""),IF(C1602=WOCHE!$B$3,1,0),0)</f>
        <v/>
      </c>
      <c r="X1602">
        <f>N(X1601)+IF(AND(V1602&lt;&gt;"",T1602&lt;&gt;""),IF(V1602=MONAT!$AZ$3,1,0),0)</f>
        <v/>
      </c>
    </row>
    <row r="1603">
      <c r="A1603" s="19" t="n"/>
      <c r="B1603" s="20">
        <f>IF(A1603="","",CHOOSE(WEEKDAY(A1603,2),"Mo","Di","Mi","Do","Fr","Sa","So"))</f>
        <v/>
      </c>
      <c r="C1603" s="20">
        <f>IF(A1603="","",INT((A1603-DATE(YEAR(A1603-WEEKDAY(A1603-1)+4),1,3)+WEEKDAY(DATE(YEAR(A1603-WEEKDAY(A1603-1)+4),1,3))+5)/7))</f>
        <v/>
      </c>
      <c r="D1603" s="21" t="n"/>
      <c r="E1603" s="22" t="n"/>
      <c r="F1603" s="23" t="n"/>
      <c r="G1603" s="23" t="n"/>
      <c r="H1603" s="23" t="n"/>
      <c r="I1603" s="20">
        <f>IF(COUNT(F1603:H1603)=0,"",SUM(F1603:H1603))</f>
        <v/>
      </c>
      <c r="J1603" s="23" t="n"/>
      <c r="K1603" s="23" t="n"/>
      <c r="L1603" s="23" t="n"/>
      <c r="M1603" s="23" t="n"/>
      <c r="N1603" s="23" t="n"/>
      <c r="O1603" s="20">
        <f>IF(OR(I1603="",COUNT(J1603:N1603)=0),"",IF(SUM(J1603:N1603)=I1603,"✓","⚠ "&amp;SUM(J1603:N1603)&amp;" statt "&amp;I1603))</f>
        <v/>
      </c>
      <c r="P1603" s="21" t="n"/>
      <c r="Q1603" s="21" t="n"/>
      <c r="R1603" s="21" t="n"/>
      <c r="S1603" s="24" t="n"/>
      <c r="T1603" s="24" t="n"/>
      <c r="V1603">
        <f>IF(A1603="","",MONTH(A1603))</f>
        <v/>
      </c>
      <c r="W1603">
        <f>N(W1602)+IF(AND(C1603&lt;&gt;"",T1603&lt;&gt;""),IF(C1603=WOCHE!$B$3,1,0),0)</f>
        <v/>
      </c>
      <c r="X1603">
        <f>N(X1602)+IF(AND(V1603&lt;&gt;"",T1603&lt;&gt;""),IF(V1603=MONAT!$AZ$3,1,0),0)</f>
        <v/>
      </c>
    </row>
    <row r="1604">
      <c r="A1604" s="19" t="n"/>
      <c r="B1604" s="20">
        <f>IF(A1604="","",CHOOSE(WEEKDAY(A1604,2),"Mo","Di","Mi","Do","Fr","Sa","So"))</f>
        <v/>
      </c>
      <c r="C1604" s="20">
        <f>IF(A1604="","",INT((A1604-DATE(YEAR(A1604-WEEKDAY(A1604-1)+4),1,3)+WEEKDAY(DATE(YEAR(A1604-WEEKDAY(A1604-1)+4),1,3))+5)/7))</f>
        <v/>
      </c>
      <c r="D1604" s="21" t="n"/>
      <c r="E1604" s="22" t="n"/>
      <c r="F1604" s="23" t="n"/>
      <c r="G1604" s="23" t="n"/>
      <c r="H1604" s="23" t="n"/>
      <c r="I1604" s="20">
        <f>IF(COUNT(F1604:H1604)=0,"",SUM(F1604:H1604))</f>
        <v/>
      </c>
      <c r="J1604" s="23" t="n"/>
      <c r="K1604" s="23" t="n"/>
      <c r="L1604" s="23" t="n"/>
      <c r="M1604" s="23" t="n"/>
      <c r="N1604" s="23" t="n"/>
      <c r="O1604" s="20">
        <f>IF(OR(I1604="",COUNT(J1604:N1604)=0),"",IF(SUM(J1604:N1604)=I1604,"✓","⚠ "&amp;SUM(J1604:N1604)&amp;" statt "&amp;I1604))</f>
        <v/>
      </c>
      <c r="P1604" s="21" t="n"/>
      <c r="Q1604" s="21" t="n"/>
      <c r="R1604" s="21" t="n"/>
      <c r="S1604" s="24" t="n"/>
      <c r="T1604" s="24" t="n"/>
      <c r="V1604">
        <f>IF(A1604="","",MONTH(A1604))</f>
        <v/>
      </c>
      <c r="W1604">
        <f>N(W1603)+IF(AND(C1604&lt;&gt;"",T1604&lt;&gt;""),IF(C1604=WOCHE!$B$3,1,0),0)</f>
        <v/>
      </c>
      <c r="X1604">
        <f>N(X1603)+IF(AND(V1604&lt;&gt;"",T1604&lt;&gt;""),IF(V1604=MONAT!$AZ$3,1,0),0)</f>
        <v/>
      </c>
    </row>
    <row r="1605">
      <c r="A1605" s="19" t="n"/>
      <c r="B1605" s="20">
        <f>IF(A1605="","",CHOOSE(WEEKDAY(A1605,2),"Mo","Di","Mi","Do","Fr","Sa","So"))</f>
        <v/>
      </c>
      <c r="C1605" s="20">
        <f>IF(A1605="","",INT((A1605-DATE(YEAR(A1605-WEEKDAY(A1605-1)+4),1,3)+WEEKDAY(DATE(YEAR(A1605-WEEKDAY(A1605-1)+4),1,3))+5)/7))</f>
        <v/>
      </c>
      <c r="D1605" s="21" t="n"/>
      <c r="E1605" s="22" t="n"/>
      <c r="F1605" s="23" t="n"/>
      <c r="G1605" s="23" t="n"/>
      <c r="H1605" s="23" t="n"/>
      <c r="I1605" s="20">
        <f>IF(COUNT(F1605:H1605)=0,"",SUM(F1605:H1605))</f>
        <v/>
      </c>
      <c r="J1605" s="23" t="n"/>
      <c r="K1605" s="23" t="n"/>
      <c r="L1605" s="23" t="n"/>
      <c r="M1605" s="23" t="n"/>
      <c r="N1605" s="23" t="n"/>
      <c r="O1605" s="20">
        <f>IF(OR(I1605="",COUNT(J1605:N1605)=0),"",IF(SUM(J1605:N1605)=I1605,"✓","⚠ "&amp;SUM(J1605:N1605)&amp;" statt "&amp;I1605))</f>
        <v/>
      </c>
      <c r="P1605" s="21" t="n"/>
      <c r="Q1605" s="21" t="n"/>
      <c r="R1605" s="21" t="n"/>
      <c r="S1605" s="24" t="n"/>
      <c r="T1605" s="24" t="n"/>
      <c r="V1605">
        <f>IF(A1605="","",MONTH(A1605))</f>
        <v/>
      </c>
      <c r="W1605">
        <f>N(W1604)+IF(AND(C1605&lt;&gt;"",T1605&lt;&gt;""),IF(C1605=WOCHE!$B$3,1,0),0)</f>
        <v/>
      </c>
      <c r="X1605">
        <f>N(X1604)+IF(AND(V1605&lt;&gt;"",T1605&lt;&gt;""),IF(V1605=MONAT!$AZ$3,1,0),0)</f>
        <v/>
      </c>
    </row>
    <row r="1606">
      <c r="A1606" s="19" t="n"/>
      <c r="B1606" s="20">
        <f>IF(A1606="","",CHOOSE(WEEKDAY(A1606,2),"Mo","Di","Mi","Do","Fr","Sa","So"))</f>
        <v/>
      </c>
      <c r="C1606" s="20">
        <f>IF(A1606="","",INT((A1606-DATE(YEAR(A1606-WEEKDAY(A1606-1)+4),1,3)+WEEKDAY(DATE(YEAR(A1606-WEEKDAY(A1606-1)+4),1,3))+5)/7))</f>
        <v/>
      </c>
      <c r="D1606" s="21" t="n"/>
      <c r="E1606" s="22" t="n"/>
      <c r="F1606" s="23" t="n"/>
      <c r="G1606" s="23" t="n"/>
      <c r="H1606" s="23" t="n"/>
      <c r="I1606" s="20">
        <f>IF(COUNT(F1606:H1606)=0,"",SUM(F1606:H1606))</f>
        <v/>
      </c>
      <c r="J1606" s="23" t="n"/>
      <c r="K1606" s="23" t="n"/>
      <c r="L1606" s="23" t="n"/>
      <c r="M1606" s="23" t="n"/>
      <c r="N1606" s="23" t="n"/>
      <c r="O1606" s="20">
        <f>IF(OR(I1606="",COUNT(J1606:N1606)=0),"",IF(SUM(J1606:N1606)=I1606,"✓","⚠ "&amp;SUM(J1606:N1606)&amp;" statt "&amp;I1606))</f>
        <v/>
      </c>
      <c r="P1606" s="21" t="n"/>
      <c r="Q1606" s="21" t="n"/>
      <c r="R1606" s="21" t="n"/>
      <c r="S1606" s="24" t="n"/>
      <c r="T1606" s="24" t="n"/>
      <c r="V1606">
        <f>IF(A1606="","",MONTH(A1606))</f>
        <v/>
      </c>
      <c r="W1606">
        <f>N(W1605)+IF(AND(C1606&lt;&gt;"",T1606&lt;&gt;""),IF(C1606=WOCHE!$B$3,1,0),0)</f>
        <v/>
      </c>
      <c r="X1606">
        <f>N(X1605)+IF(AND(V1606&lt;&gt;"",T1606&lt;&gt;""),IF(V1606=MONAT!$AZ$3,1,0),0)</f>
        <v/>
      </c>
    </row>
    <row r="1607">
      <c r="A1607" s="19" t="n"/>
      <c r="B1607" s="20">
        <f>IF(A1607="","",CHOOSE(WEEKDAY(A1607,2),"Mo","Di","Mi","Do","Fr","Sa","So"))</f>
        <v/>
      </c>
      <c r="C1607" s="20">
        <f>IF(A1607="","",INT((A1607-DATE(YEAR(A1607-WEEKDAY(A1607-1)+4),1,3)+WEEKDAY(DATE(YEAR(A1607-WEEKDAY(A1607-1)+4),1,3))+5)/7))</f>
        <v/>
      </c>
      <c r="D1607" s="21" t="n"/>
      <c r="E1607" s="22" t="n"/>
      <c r="F1607" s="23" t="n"/>
      <c r="G1607" s="23" t="n"/>
      <c r="H1607" s="23" t="n"/>
      <c r="I1607" s="20">
        <f>IF(COUNT(F1607:H1607)=0,"",SUM(F1607:H1607))</f>
        <v/>
      </c>
      <c r="J1607" s="23" t="n"/>
      <c r="K1607" s="23" t="n"/>
      <c r="L1607" s="23" t="n"/>
      <c r="M1607" s="23" t="n"/>
      <c r="N1607" s="23" t="n"/>
      <c r="O1607" s="20">
        <f>IF(OR(I1607="",COUNT(J1607:N1607)=0),"",IF(SUM(J1607:N1607)=I1607,"✓","⚠ "&amp;SUM(J1607:N1607)&amp;" statt "&amp;I1607))</f>
        <v/>
      </c>
      <c r="P1607" s="21" t="n"/>
      <c r="Q1607" s="21" t="n"/>
      <c r="R1607" s="21" t="n"/>
      <c r="S1607" s="24" t="n"/>
      <c r="T1607" s="24" t="n"/>
      <c r="V1607">
        <f>IF(A1607="","",MONTH(A1607))</f>
        <v/>
      </c>
      <c r="W1607">
        <f>N(W1606)+IF(AND(C1607&lt;&gt;"",T1607&lt;&gt;""),IF(C1607=WOCHE!$B$3,1,0),0)</f>
        <v/>
      </c>
      <c r="X1607">
        <f>N(X1606)+IF(AND(V1607&lt;&gt;"",T1607&lt;&gt;""),IF(V1607=MONAT!$AZ$3,1,0),0)</f>
        <v/>
      </c>
    </row>
    <row r="1608">
      <c r="A1608" s="19" t="n"/>
      <c r="B1608" s="20">
        <f>IF(A1608="","",CHOOSE(WEEKDAY(A1608,2),"Mo","Di","Mi","Do","Fr","Sa","So"))</f>
        <v/>
      </c>
      <c r="C1608" s="20">
        <f>IF(A1608="","",INT((A1608-DATE(YEAR(A1608-WEEKDAY(A1608-1)+4),1,3)+WEEKDAY(DATE(YEAR(A1608-WEEKDAY(A1608-1)+4),1,3))+5)/7))</f>
        <v/>
      </c>
      <c r="D1608" s="21" t="n"/>
      <c r="E1608" s="22" t="n"/>
      <c r="F1608" s="23" t="n"/>
      <c r="G1608" s="23" t="n"/>
      <c r="H1608" s="23" t="n"/>
      <c r="I1608" s="20">
        <f>IF(COUNT(F1608:H1608)=0,"",SUM(F1608:H1608))</f>
        <v/>
      </c>
      <c r="J1608" s="23" t="n"/>
      <c r="K1608" s="23" t="n"/>
      <c r="L1608" s="23" t="n"/>
      <c r="M1608" s="23" t="n"/>
      <c r="N1608" s="23" t="n"/>
      <c r="O1608" s="20">
        <f>IF(OR(I1608="",COUNT(J1608:N1608)=0),"",IF(SUM(J1608:N1608)=I1608,"✓","⚠ "&amp;SUM(J1608:N1608)&amp;" statt "&amp;I1608))</f>
        <v/>
      </c>
      <c r="P1608" s="21" t="n"/>
      <c r="Q1608" s="21" t="n"/>
      <c r="R1608" s="21" t="n"/>
      <c r="S1608" s="24" t="n"/>
      <c r="T1608" s="24" t="n"/>
      <c r="V1608">
        <f>IF(A1608="","",MONTH(A1608))</f>
        <v/>
      </c>
      <c r="W1608">
        <f>N(W1607)+IF(AND(C1608&lt;&gt;"",T1608&lt;&gt;""),IF(C1608=WOCHE!$B$3,1,0),0)</f>
        <v/>
      </c>
      <c r="X1608">
        <f>N(X1607)+IF(AND(V1608&lt;&gt;"",T1608&lt;&gt;""),IF(V1608=MONAT!$AZ$3,1,0),0)</f>
        <v/>
      </c>
    </row>
    <row r="1609">
      <c r="A1609" s="19" t="n"/>
      <c r="B1609" s="20">
        <f>IF(A1609="","",CHOOSE(WEEKDAY(A1609,2),"Mo","Di","Mi","Do","Fr","Sa","So"))</f>
        <v/>
      </c>
      <c r="C1609" s="20">
        <f>IF(A1609="","",INT((A1609-DATE(YEAR(A1609-WEEKDAY(A1609-1)+4),1,3)+WEEKDAY(DATE(YEAR(A1609-WEEKDAY(A1609-1)+4),1,3))+5)/7))</f>
        <v/>
      </c>
      <c r="D1609" s="21" t="n"/>
      <c r="E1609" s="22" t="n"/>
      <c r="F1609" s="23" t="n"/>
      <c r="G1609" s="23" t="n"/>
      <c r="H1609" s="23" t="n"/>
      <c r="I1609" s="20">
        <f>IF(COUNT(F1609:H1609)=0,"",SUM(F1609:H1609))</f>
        <v/>
      </c>
      <c r="J1609" s="23" t="n"/>
      <c r="K1609" s="23" t="n"/>
      <c r="L1609" s="23" t="n"/>
      <c r="M1609" s="23" t="n"/>
      <c r="N1609" s="23" t="n"/>
      <c r="O1609" s="20">
        <f>IF(OR(I1609="",COUNT(J1609:N1609)=0),"",IF(SUM(J1609:N1609)=I1609,"✓","⚠ "&amp;SUM(J1609:N1609)&amp;" statt "&amp;I1609))</f>
        <v/>
      </c>
      <c r="P1609" s="21" t="n"/>
      <c r="Q1609" s="21" t="n"/>
      <c r="R1609" s="21" t="n"/>
      <c r="S1609" s="24" t="n"/>
      <c r="T1609" s="24" t="n"/>
      <c r="V1609">
        <f>IF(A1609="","",MONTH(A1609))</f>
        <v/>
      </c>
      <c r="W1609">
        <f>N(W1608)+IF(AND(C1609&lt;&gt;"",T1609&lt;&gt;""),IF(C1609=WOCHE!$B$3,1,0),0)</f>
        <v/>
      </c>
      <c r="X1609">
        <f>N(X1608)+IF(AND(V1609&lt;&gt;"",T1609&lt;&gt;""),IF(V1609=MONAT!$AZ$3,1,0),0)</f>
        <v/>
      </c>
    </row>
    <row r="1610">
      <c r="A1610" s="19" t="n"/>
      <c r="B1610" s="20">
        <f>IF(A1610="","",CHOOSE(WEEKDAY(A1610,2),"Mo","Di","Mi","Do","Fr","Sa","So"))</f>
        <v/>
      </c>
      <c r="C1610" s="20">
        <f>IF(A1610="","",INT((A1610-DATE(YEAR(A1610-WEEKDAY(A1610-1)+4),1,3)+WEEKDAY(DATE(YEAR(A1610-WEEKDAY(A1610-1)+4),1,3))+5)/7))</f>
        <v/>
      </c>
      <c r="D1610" s="21" t="n"/>
      <c r="E1610" s="22" t="n"/>
      <c r="F1610" s="23" t="n"/>
      <c r="G1610" s="23" t="n"/>
      <c r="H1610" s="23" t="n"/>
      <c r="I1610" s="20">
        <f>IF(COUNT(F1610:H1610)=0,"",SUM(F1610:H1610))</f>
        <v/>
      </c>
      <c r="J1610" s="23" t="n"/>
      <c r="K1610" s="23" t="n"/>
      <c r="L1610" s="23" t="n"/>
      <c r="M1610" s="23" t="n"/>
      <c r="N1610" s="23" t="n"/>
      <c r="O1610" s="20">
        <f>IF(OR(I1610="",COUNT(J1610:N1610)=0),"",IF(SUM(J1610:N1610)=I1610,"✓","⚠ "&amp;SUM(J1610:N1610)&amp;" statt "&amp;I1610))</f>
        <v/>
      </c>
      <c r="P1610" s="21" t="n"/>
      <c r="Q1610" s="21" t="n"/>
      <c r="R1610" s="21" t="n"/>
      <c r="S1610" s="24" t="n"/>
      <c r="T1610" s="24" t="n"/>
      <c r="V1610">
        <f>IF(A1610="","",MONTH(A1610))</f>
        <v/>
      </c>
      <c r="W1610">
        <f>N(W1609)+IF(AND(C1610&lt;&gt;"",T1610&lt;&gt;""),IF(C1610=WOCHE!$B$3,1,0),0)</f>
        <v/>
      </c>
      <c r="X1610">
        <f>N(X1609)+IF(AND(V1610&lt;&gt;"",T1610&lt;&gt;""),IF(V1610=MONAT!$AZ$3,1,0),0)</f>
        <v/>
      </c>
    </row>
    <row r="1611">
      <c r="A1611" s="19" t="n"/>
      <c r="B1611" s="20">
        <f>IF(A1611="","",CHOOSE(WEEKDAY(A1611,2),"Mo","Di","Mi","Do","Fr","Sa","So"))</f>
        <v/>
      </c>
      <c r="C1611" s="20">
        <f>IF(A1611="","",INT((A1611-DATE(YEAR(A1611-WEEKDAY(A1611-1)+4),1,3)+WEEKDAY(DATE(YEAR(A1611-WEEKDAY(A1611-1)+4),1,3))+5)/7))</f>
        <v/>
      </c>
      <c r="D1611" s="21" t="n"/>
      <c r="E1611" s="22" t="n"/>
      <c r="F1611" s="23" t="n"/>
      <c r="G1611" s="23" t="n"/>
      <c r="H1611" s="23" t="n"/>
      <c r="I1611" s="20">
        <f>IF(COUNT(F1611:H1611)=0,"",SUM(F1611:H1611))</f>
        <v/>
      </c>
      <c r="J1611" s="23" t="n"/>
      <c r="K1611" s="23" t="n"/>
      <c r="L1611" s="23" t="n"/>
      <c r="M1611" s="23" t="n"/>
      <c r="N1611" s="23" t="n"/>
      <c r="O1611" s="20">
        <f>IF(OR(I1611="",COUNT(J1611:N1611)=0),"",IF(SUM(J1611:N1611)=I1611,"✓","⚠ "&amp;SUM(J1611:N1611)&amp;" statt "&amp;I1611))</f>
        <v/>
      </c>
      <c r="P1611" s="21" t="n"/>
      <c r="Q1611" s="21" t="n"/>
      <c r="R1611" s="21" t="n"/>
      <c r="S1611" s="24" t="n"/>
      <c r="T1611" s="24" t="n"/>
      <c r="V1611">
        <f>IF(A1611="","",MONTH(A1611))</f>
        <v/>
      </c>
      <c r="W1611">
        <f>N(W1610)+IF(AND(C1611&lt;&gt;"",T1611&lt;&gt;""),IF(C1611=WOCHE!$B$3,1,0),0)</f>
        <v/>
      </c>
      <c r="X1611">
        <f>N(X1610)+IF(AND(V1611&lt;&gt;"",T1611&lt;&gt;""),IF(V1611=MONAT!$AZ$3,1,0),0)</f>
        <v/>
      </c>
    </row>
    <row r="1612">
      <c r="A1612" s="19" t="n"/>
      <c r="B1612" s="20">
        <f>IF(A1612="","",CHOOSE(WEEKDAY(A1612,2),"Mo","Di","Mi","Do","Fr","Sa","So"))</f>
        <v/>
      </c>
      <c r="C1612" s="20">
        <f>IF(A1612="","",INT((A1612-DATE(YEAR(A1612-WEEKDAY(A1612-1)+4),1,3)+WEEKDAY(DATE(YEAR(A1612-WEEKDAY(A1612-1)+4),1,3))+5)/7))</f>
        <v/>
      </c>
      <c r="D1612" s="21" t="n"/>
      <c r="E1612" s="22" t="n"/>
      <c r="F1612" s="23" t="n"/>
      <c r="G1612" s="23" t="n"/>
      <c r="H1612" s="23" t="n"/>
      <c r="I1612" s="20">
        <f>IF(COUNT(F1612:H1612)=0,"",SUM(F1612:H1612))</f>
        <v/>
      </c>
      <c r="J1612" s="23" t="n"/>
      <c r="K1612" s="23" t="n"/>
      <c r="L1612" s="23" t="n"/>
      <c r="M1612" s="23" t="n"/>
      <c r="N1612" s="23" t="n"/>
      <c r="O1612" s="20">
        <f>IF(OR(I1612="",COUNT(J1612:N1612)=0),"",IF(SUM(J1612:N1612)=I1612,"✓","⚠ "&amp;SUM(J1612:N1612)&amp;" statt "&amp;I1612))</f>
        <v/>
      </c>
      <c r="P1612" s="21" t="n"/>
      <c r="Q1612" s="21" t="n"/>
      <c r="R1612" s="21" t="n"/>
      <c r="S1612" s="24" t="n"/>
      <c r="T1612" s="24" t="n"/>
      <c r="V1612">
        <f>IF(A1612="","",MONTH(A1612))</f>
        <v/>
      </c>
      <c r="W1612">
        <f>N(W1611)+IF(AND(C1612&lt;&gt;"",T1612&lt;&gt;""),IF(C1612=WOCHE!$B$3,1,0),0)</f>
        <v/>
      </c>
      <c r="X1612">
        <f>N(X1611)+IF(AND(V1612&lt;&gt;"",T1612&lt;&gt;""),IF(V1612=MONAT!$AZ$3,1,0),0)</f>
        <v/>
      </c>
    </row>
    <row r="1613">
      <c r="A1613" s="19" t="n"/>
      <c r="B1613" s="20">
        <f>IF(A1613="","",CHOOSE(WEEKDAY(A1613,2),"Mo","Di","Mi","Do","Fr","Sa","So"))</f>
        <v/>
      </c>
      <c r="C1613" s="20">
        <f>IF(A1613="","",INT((A1613-DATE(YEAR(A1613-WEEKDAY(A1613-1)+4),1,3)+WEEKDAY(DATE(YEAR(A1613-WEEKDAY(A1613-1)+4),1,3))+5)/7))</f>
        <v/>
      </c>
      <c r="D1613" s="21" t="n"/>
      <c r="E1613" s="22" t="n"/>
      <c r="F1613" s="23" t="n"/>
      <c r="G1613" s="23" t="n"/>
      <c r="H1613" s="23" t="n"/>
      <c r="I1613" s="20">
        <f>IF(COUNT(F1613:H1613)=0,"",SUM(F1613:H1613))</f>
        <v/>
      </c>
      <c r="J1613" s="23" t="n"/>
      <c r="K1613" s="23" t="n"/>
      <c r="L1613" s="23" t="n"/>
      <c r="M1613" s="23" t="n"/>
      <c r="N1613" s="23" t="n"/>
      <c r="O1613" s="20">
        <f>IF(OR(I1613="",COUNT(J1613:N1613)=0),"",IF(SUM(J1613:N1613)=I1613,"✓","⚠ "&amp;SUM(J1613:N1613)&amp;" statt "&amp;I1613))</f>
        <v/>
      </c>
      <c r="P1613" s="21" t="n"/>
      <c r="Q1613" s="21" t="n"/>
      <c r="R1613" s="21" t="n"/>
      <c r="S1613" s="24" t="n"/>
      <c r="T1613" s="24" t="n"/>
      <c r="V1613">
        <f>IF(A1613="","",MONTH(A1613))</f>
        <v/>
      </c>
      <c r="W1613">
        <f>N(W1612)+IF(AND(C1613&lt;&gt;"",T1613&lt;&gt;""),IF(C1613=WOCHE!$B$3,1,0),0)</f>
        <v/>
      </c>
      <c r="X1613">
        <f>N(X1612)+IF(AND(V1613&lt;&gt;"",T1613&lt;&gt;""),IF(V1613=MONAT!$AZ$3,1,0),0)</f>
        <v/>
      </c>
    </row>
    <row r="1614">
      <c r="A1614" s="19" t="n"/>
      <c r="B1614" s="20">
        <f>IF(A1614="","",CHOOSE(WEEKDAY(A1614,2),"Mo","Di","Mi","Do","Fr","Sa","So"))</f>
        <v/>
      </c>
      <c r="C1614" s="20">
        <f>IF(A1614="","",INT((A1614-DATE(YEAR(A1614-WEEKDAY(A1614-1)+4),1,3)+WEEKDAY(DATE(YEAR(A1614-WEEKDAY(A1614-1)+4),1,3))+5)/7))</f>
        <v/>
      </c>
      <c r="D1614" s="21" t="n"/>
      <c r="E1614" s="22" t="n"/>
      <c r="F1614" s="23" t="n"/>
      <c r="G1614" s="23" t="n"/>
      <c r="H1614" s="23" t="n"/>
      <c r="I1614" s="20">
        <f>IF(COUNT(F1614:H1614)=0,"",SUM(F1614:H1614))</f>
        <v/>
      </c>
      <c r="J1614" s="23" t="n"/>
      <c r="K1614" s="23" t="n"/>
      <c r="L1614" s="23" t="n"/>
      <c r="M1614" s="23" t="n"/>
      <c r="N1614" s="23" t="n"/>
      <c r="O1614" s="20">
        <f>IF(OR(I1614="",COUNT(J1614:N1614)=0),"",IF(SUM(J1614:N1614)=I1614,"✓","⚠ "&amp;SUM(J1614:N1614)&amp;" statt "&amp;I1614))</f>
        <v/>
      </c>
      <c r="P1614" s="21" t="n"/>
      <c r="Q1614" s="21" t="n"/>
      <c r="R1614" s="21" t="n"/>
      <c r="S1614" s="24" t="n"/>
      <c r="T1614" s="24" t="n"/>
      <c r="V1614">
        <f>IF(A1614="","",MONTH(A1614))</f>
        <v/>
      </c>
      <c r="W1614">
        <f>N(W1613)+IF(AND(C1614&lt;&gt;"",T1614&lt;&gt;""),IF(C1614=WOCHE!$B$3,1,0),0)</f>
        <v/>
      </c>
      <c r="X1614">
        <f>N(X1613)+IF(AND(V1614&lt;&gt;"",T1614&lt;&gt;""),IF(V1614=MONAT!$AZ$3,1,0),0)</f>
        <v/>
      </c>
    </row>
    <row r="1615">
      <c r="A1615" s="19" t="n"/>
      <c r="B1615" s="20">
        <f>IF(A1615="","",CHOOSE(WEEKDAY(A1615,2),"Mo","Di","Mi","Do","Fr","Sa","So"))</f>
        <v/>
      </c>
      <c r="C1615" s="20">
        <f>IF(A1615="","",INT((A1615-DATE(YEAR(A1615-WEEKDAY(A1615-1)+4),1,3)+WEEKDAY(DATE(YEAR(A1615-WEEKDAY(A1615-1)+4),1,3))+5)/7))</f>
        <v/>
      </c>
      <c r="D1615" s="21" t="n"/>
      <c r="E1615" s="22" t="n"/>
      <c r="F1615" s="23" t="n"/>
      <c r="G1615" s="23" t="n"/>
      <c r="H1615" s="23" t="n"/>
      <c r="I1615" s="20">
        <f>IF(COUNT(F1615:H1615)=0,"",SUM(F1615:H1615))</f>
        <v/>
      </c>
      <c r="J1615" s="23" t="n"/>
      <c r="K1615" s="23" t="n"/>
      <c r="L1615" s="23" t="n"/>
      <c r="M1615" s="23" t="n"/>
      <c r="N1615" s="23" t="n"/>
      <c r="O1615" s="20">
        <f>IF(OR(I1615="",COUNT(J1615:N1615)=0),"",IF(SUM(J1615:N1615)=I1615,"✓","⚠ "&amp;SUM(J1615:N1615)&amp;" statt "&amp;I1615))</f>
        <v/>
      </c>
      <c r="P1615" s="21" t="n"/>
      <c r="Q1615" s="21" t="n"/>
      <c r="R1615" s="21" t="n"/>
      <c r="S1615" s="24" t="n"/>
      <c r="T1615" s="24" t="n"/>
      <c r="V1615">
        <f>IF(A1615="","",MONTH(A1615))</f>
        <v/>
      </c>
      <c r="W1615">
        <f>N(W1614)+IF(AND(C1615&lt;&gt;"",T1615&lt;&gt;""),IF(C1615=WOCHE!$B$3,1,0),0)</f>
        <v/>
      </c>
      <c r="X1615">
        <f>N(X1614)+IF(AND(V1615&lt;&gt;"",T1615&lt;&gt;""),IF(V1615=MONAT!$AZ$3,1,0),0)</f>
        <v/>
      </c>
    </row>
    <row r="1616">
      <c r="A1616" s="19" t="n"/>
      <c r="B1616" s="20">
        <f>IF(A1616="","",CHOOSE(WEEKDAY(A1616,2),"Mo","Di","Mi","Do","Fr","Sa","So"))</f>
        <v/>
      </c>
      <c r="C1616" s="20">
        <f>IF(A1616="","",INT((A1616-DATE(YEAR(A1616-WEEKDAY(A1616-1)+4),1,3)+WEEKDAY(DATE(YEAR(A1616-WEEKDAY(A1616-1)+4),1,3))+5)/7))</f>
        <v/>
      </c>
      <c r="D1616" s="21" t="n"/>
      <c r="E1616" s="22" t="n"/>
      <c r="F1616" s="23" t="n"/>
      <c r="G1616" s="23" t="n"/>
      <c r="H1616" s="23" t="n"/>
      <c r="I1616" s="20">
        <f>IF(COUNT(F1616:H1616)=0,"",SUM(F1616:H1616))</f>
        <v/>
      </c>
      <c r="J1616" s="23" t="n"/>
      <c r="K1616" s="23" t="n"/>
      <c r="L1616" s="23" t="n"/>
      <c r="M1616" s="23" t="n"/>
      <c r="N1616" s="23" t="n"/>
      <c r="O1616" s="20">
        <f>IF(OR(I1616="",COUNT(J1616:N1616)=0),"",IF(SUM(J1616:N1616)=I1616,"✓","⚠ "&amp;SUM(J1616:N1616)&amp;" statt "&amp;I1616))</f>
        <v/>
      </c>
      <c r="P1616" s="21" t="n"/>
      <c r="Q1616" s="21" t="n"/>
      <c r="R1616" s="21" t="n"/>
      <c r="S1616" s="24" t="n"/>
      <c r="T1616" s="24" t="n"/>
      <c r="V1616">
        <f>IF(A1616="","",MONTH(A1616))</f>
        <v/>
      </c>
      <c r="W1616">
        <f>N(W1615)+IF(AND(C1616&lt;&gt;"",T1616&lt;&gt;""),IF(C1616=WOCHE!$B$3,1,0),0)</f>
        <v/>
      </c>
      <c r="X1616">
        <f>N(X1615)+IF(AND(V1616&lt;&gt;"",T1616&lt;&gt;""),IF(V1616=MONAT!$AZ$3,1,0),0)</f>
        <v/>
      </c>
    </row>
    <row r="1617">
      <c r="A1617" s="19" t="n"/>
      <c r="B1617" s="20">
        <f>IF(A1617="","",CHOOSE(WEEKDAY(A1617,2),"Mo","Di","Mi","Do","Fr","Sa","So"))</f>
        <v/>
      </c>
      <c r="C1617" s="20">
        <f>IF(A1617="","",INT((A1617-DATE(YEAR(A1617-WEEKDAY(A1617-1)+4),1,3)+WEEKDAY(DATE(YEAR(A1617-WEEKDAY(A1617-1)+4),1,3))+5)/7))</f>
        <v/>
      </c>
      <c r="D1617" s="21" t="n"/>
      <c r="E1617" s="22" t="n"/>
      <c r="F1617" s="23" t="n"/>
      <c r="G1617" s="23" t="n"/>
      <c r="H1617" s="23" t="n"/>
      <c r="I1617" s="20">
        <f>IF(COUNT(F1617:H1617)=0,"",SUM(F1617:H1617))</f>
        <v/>
      </c>
      <c r="J1617" s="23" t="n"/>
      <c r="K1617" s="23" t="n"/>
      <c r="L1617" s="23" t="n"/>
      <c r="M1617" s="23" t="n"/>
      <c r="N1617" s="23" t="n"/>
      <c r="O1617" s="20">
        <f>IF(OR(I1617="",COUNT(J1617:N1617)=0),"",IF(SUM(J1617:N1617)=I1617,"✓","⚠ "&amp;SUM(J1617:N1617)&amp;" statt "&amp;I1617))</f>
        <v/>
      </c>
      <c r="P1617" s="21" t="n"/>
      <c r="Q1617" s="21" t="n"/>
      <c r="R1617" s="21" t="n"/>
      <c r="S1617" s="24" t="n"/>
      <c r="T1617" s="24" t="n"/>
      <c r="V1617">
        <f>IF(A1617="","",MONTH(A1617))</f>
        <v/>
      </c>
      <c r="W1617">
        <f>N(W1616)+IF(AND(C1617&lt;&gt;"",T1617&lt;&gt;""),IF(C1617=WOCHE!$B$3,1,0),0)</f>
        <v/>
      </c>
      <c r="X1617">
        <f>N(X1616)+IF(AND(V1617&lt;&gt;"",T1617&lt;&gt;""),IF(V1617=MONAT!$AZ$3,1,0),0)</f>
        <v/>
      </c>
    </row>
    <row r="1618">
      <c r="A1618" s="19" t="n"/>
      <c r="B1618" s="20">
        <f>IF(A1618="","",CHOOSE(WEEKDAY(A1618,2),"Mo","Di","Mi","Do","Fr","Sa","So"))</f>
        <v/>
      </c>
      <c r="C1618" s="20">
        <f>IF(A1618="","",INT((A1618-DATE(YEAR(A1618-WEEKDAY(A1618-1)+4),1,3)+WEEKDAY(DATE(YEAR(A1618-WEEKDAY(A1618-1)+4),1,3))+5)/7))</f>
        <v/>
      </c>
      <c r="D1618" s="21" t="n"/>
      <c r="E1618" s="22" t="n"/>
      <c r="F1618" s="23" t="n"/>
      <c r="G1618" s="23" t="n"/>
      <c r="H1618" s="23" t="n"/>
      <c r="I1618" s="20">
        <f>IF(COUNT(F1618:H1618)=0,"",SUM(F1618:H1618))</f>
        <v/>
      </c>
      <c r="J1618" s="23" t="n"/>
      <c r="K1618" s="23" t="n"/>
      <c r="L1618" s="23" t="n"/>
      <c r="M1618" s="23" t="n"/>
      <c r="N1618" s="23" t="n"/>
      <c r="O1618" s="20">
        <f>IF(OR(I1618="",COUNT(J1618:N1618)=0),"",IF(SUM(J1618:N1618)=I1618,"✓","⚠ "&amp;SUM(J1618:N1618)&amp;" statt "&amp;I1618))</f>
        <v/>
      </c>
      <c r="P1618" s="21" t="n"/>
      <c r="Q1618" s="21" t="n"/>
      <c r="R1618" s="21" t="n"/>
      <c r="S1618" s="24" t="n"/>
      <c r="T1618" s="24" t="n"/>
      <c r="V1618">
        <f>IF(A1618="","",MONTH(A1618))</f>
        <v/>
      </c>
      <c r="W1618">
        <f>N(W1617)+IF(AND(C1618&lt;&gt;"",T1618&lt;&gt;""),IF(C1618=WOCHE!$B$3,1,0),0)</f>
        <v/>
      </c>
      <c r="X1618">
        <f>N(X1617)+IF(AND(V1618&lt;&gt;"",T1618&lt;&gt;""),IF(V1618=MONAT!$AZ$3,1,0),0)</f>
        <v/>
      </c>
    </row>
    <row r="1619">
      <c r="A1619" s="19" t="n"/>
      <c r="B1619" s="20">
        <f>IF(A1619="","",CHOOSE(WEEKDAY(A1619,2),"Mo","Di","Mi","Do","Fr","Sa","So"))</f>
        <v/>
      </c>
      <c r="C1619" s="20">
        <f>IF(A1619="","",INT((A1619-DATE(YEAR(A1619-WEEKDAY(A1619-1)+4),1,3)+WEEKDAY(DATE(YEAR(A1619-WEEKDAY(A1619-1)+4),1,3))+5)/7))</f>
        <v/>
      </c>
      <c r="D1619" s="21" t="n"/>
      <c r="E1619" s="22" t="n"/>
      <c r="F1619" s="23" t="n"/>
      <c r="G1619" s="23" t="n"/>
      <c r="H1619" s="23" t="n"/>
      <c r="I1619" s="20">
        <f>IF(COUNT(F1619:H1619)=0,"",SUM(F1619:H1619))</f>
        <v/>
      </c>
      <c r="J1619" s="23" t="n"/>
      <c r="K1619" s="23" t="n"/>
      <c r="L1619" s="23" t="n"/>
      <c r="M1619" s="23" t="n"/>
      <c r="N1619" s="23" t="n"/>
      <c r="O1619" s="20">
        <f>IF(OR(I1619="",COUNT(J1619:N1619)=0),"",IF(SUM(J1619:N1619)=I1619,"✓","⚠ "&amp;SUM(J1619:N1619)&amp;" statt "&amp;I1619))</f>
        <v/>
      </c>
      <c r="P1619" s="21" t="n"/>
      <c r="Q1619" s="21" t="n"/>
      <c r="R1619" s="21" t="n"/>
      <c r="S1619" s="24" t="n"/>
      <c r="T1619" s="24" t="n"/>
      <c r="V1619">
        <f>IF(A1619="","",MONTH(A1619))</f>
        <v/>
      </c>
      <c r="W1619">
        <f>N(W1618)+IF(AND(C1619&lt;&gt;"",T1619&lt;&gt;""),IF(C1619=WOCHE!$B$3,1,0),0)</f>
        <v/>
      </c>
      <c r="X1619">
        <f>N(X1618)+IF(AND(V1619&lt;&gt;"",T1619&lt;&gt;""),IF(V1619=MONAT!$AZ$3,1,0),0)</f>
        <v/>
      </c>
    </row>
    <row r="1620">
      <c r="A1620" s="19" t="n"/>
      <c r="B1620" s="20">
        <f>IF(A1620="","",CHOOSE(WEEKDAY(A1620,2),"Mo","Di","Mi","Do","Fr","Sa","So"))</f>
        <v/>
      </c>
      <c r="C1620" s="20">
        <f>IF(A1620="","",INT((A1620-DATE(YEAR(A1620-WEEKDAY(A1620-1)+4),1,3)+WEEKDAY(DATE(YEAR(A1620-WEEKDAY(A1620-1)+4),1,3))+5)/7))</f>
        <v/>
      </c>
      <c r="D1620" s="21" t="n"/>
      <c r="E1620" s="22" t="n"/>
      <c r="F1620" s="23" t="n"/>
      <c r="G1620" s="23" t="n"/>
      <c r="H1620" s="23" t="n"/>
      <c r="I1620" s="20">
        <f>IF(COUNT(F1620:H1620)=0,"",SUM(F1620:H1620))</f>
        <v/>
      </c>
      <c r="J1620" s="23" t="n"/>
      <c r="K1620" s="23" t="n"/>
      <c r="L1620" s="23" t="n"/>
      <c r="M1620" s="23" t="n"/>
      <c r="N1620" s="23" t="n"/>
      <c r="O1620" s="20">
        <f>IF(OR(I1620="",COUNT(J1620:N1620)=0),"",IF(SUM(J1620:N1620)=I1620,"✓","⚠ "&amp;SUM(J1620:N1620)&amp;" statt "&amp;I1620))</f>
        <v/>
      </c>
      <c r="P1620" s="21" t="n"/>
      <c r="Q1620" s="21" t="n"/>
      <c r="R1620" s="21" t="n"/>
      <c r="S1620" s="24" t="n"/>
      <c r="T1620" s="24" t="n"/>
      <c r="V1620">
        <f>IF(A1620="","",MONTH(A1620))</f>
        <v/>
      </c>
      <c r="W1620">
        <f>N(W1619)+IF(AND(C1620&lt;&gt;"",T1620&lt;&gt;""),IF(C1620=WOCHE!$B$3,1,0),0)</f>
        <v/>
      </c>
      <c r="X1620">
        <f>N(X1619)+IF(AND(V1620&lt;&gt;"",T1620&lt;&gt;""),IF(V1620=MONAT!$AZ$3,1,0),0)</f>
        <v/>
      </c>
    </row>
    <row r="1621">
      <c r="A1621" s="19" t="n"/>
      <c r="B1621" s="20">
        <f>IF(A1621="","",CHOOSE(WEEKDAY(A1621,2),"Mo","Di","Mi","Do","Fr","Sa","So"))</f>
        <v/>
      </c>
      <c r="C1621" s="20">
        <f>IF(A1621="","",INT((A1621-DATE(YEAR(A1621-WEEKDAY(A1621-1)+4),1,3)+WEEKDAY(DATE(YEAR(A1621-WEEKDAY(A1621-1)+4),1,3))+5)/7))</f>
        <v/>
      </c>
      <c r="D1621" s="21" t="n"/>
      <c r="E1621" s="22" t="n"/>
      <c r="F1621" s="23" t="n"/>
      <c r="G1621" s="23" t="n"/>
      <c r="H1621" s="23" t="n"/>
      <c r="I1621" s="20">
        <f>IF(COUNT(F1621:H1621)=0,"",SUM(F1621:H1621))</f>
        <v/>
      </c>
      <c r="J1621" s="23" t="n"/>
      <c r="K1621" s="23" t="n"/>
      <c r="L1621" s="23" t="n"/>
      <c r="M1621" s="23" t="n"/>
      <c r="N1621" s="23" t="n"/>
      <c r="O1621" s="20">
        <f>IF(OR(I1621="",COUNT(J1621:N1621)=0),"",IF(SUM(J1621:N1621)=I1621,"✓","⚠ "&amp;SUM(J1621:N1621)&amp;" statt "&amp;I1621))</f>
        <v/>
      </c>
      <c r="P1621" s="21" t="n"/>
      <c r="Q1621" s="21" t="n"/>
      <c r="R1621" s="21" t="n"/>
      <c r="S1621" s="24" t="n"/>
      <c r="T1621" s="24" t="n"/>
      <c r="V1621">
        <f>IF(A1621="","",MONTH(A1621))</f>
        <v/>
      </c>
      <c r="W1621">
        <f>N(W1620)+IF(AND(C1621&lt;&gt;"",T1621&lt;&gt;""),IF(C1621=WOCHE!$B$3,1,0),0)</f>
        <v/>
      </c>
      <c r="X1621">
        <f>N(X1620)+IF(AND(V1621&lt;&gt;"",T1621&lt;&gt;""),IF(V1621=MONAT!$AZ$3,1,0),0)</f>
        <v/>
      </c>
    </row>
    <row r="1622">
      <c r="A1622" s="19" t="n"/>
      <c r="B1622" s="20">
        <f>IF(A1622="","",CHOOSE(WEEKDAY(A1622,2),"Mo","Di","Mi","Do","Fr","Sa","So"))</f>
        <v/>
      </c>
      <c r="C1622" s="20">
        <f>IF(A1622="","",INT((A1622-DATE(YEAR(A1622-WEEKDAY(A1622-1)+4),1,3)+WEEKDAY(DATE(YEAR(A1622-WEEKDAY(A1622-1)+4),1,3))+5)/7))</f>
        <v/>
      </c>
      <c r="D1622" s="21" t="n"/>
      <c r="E1622" s="22" t="n"/>
      <c r="F1622" s="23" t="n"/>
      <c r="G1622" s="23" t="n"/>
      <c r="H1622" s="23" t="n"/>
      <c r="I1622" s="20">
        <f>IF(COUNT(F1622:H1622)=0,"",SUM(F1622:H1622))</f>
        <v/>
      </c>
      <c r="J1622" s="23" t="n"/>
      <c r="K1622" s="23" t="n"/>
      <c r="L1622" s="23" t="n"/>
      <c r="M1622" s="23" t="n"/>
      <c r="N1622" s="23" t="n"/>
      <c r="O1622" s="20">
        <f>IF(OR(I1622="",COUNT(J1622:N1622)=0),"",IF(SUM(J1622:N1622)=I1622,"✓","⚠ "&amp;SUM(J1622:N1622)&amp;" statt "&amp;I1622))</f>
        <v/>
      </c>
      <c r="P1622" s="21" t="n"/>
      <c r="Q1622" s="21" t="n"/>
      <c r="R1622" s="21" t="n"/>
      <c r="S1622" s="24" t="n"/>
      <c r="T1622" s="24" t="n"/>
      <c r="V1622">
        <f>IF(A1622="","",MONTH(A1622))</f>
        <v/>
      </c>
      <c r="W1622">
        <f>N(W1621)+IF(AND(C1622&lt;&gt;"",T1622&lt;&gt;""),IF(C1622=WOCHE!$B$3,1,0),0)</f>
        <v/>
      </c>
      <c r="X1622">
        <f>N(X1621)+IF(AND(V1622&lt;&gt;"",T1622&lt;&gt;""),IF(V1622=MONAT!$AZ$3,1,0),0)</f>
        <v/>
      </c>
    </row>
    <row r="1623">
      <c r="A1623" s="19" t="n"/>
      <c r="B1623" s="20">
        <f>IF(A1623="","",CHOOSE(WEEKDAY(A1623,2),"Mo","Di","Mi","Do","Fr","Sa","So"))</f>
        <v/>
      </c>
      <c r="C1623" s="20">
        <f>IF(A1623="","",INT((A1623-DATE(YEAR(A1623-WEEKDAY(A1623-1)+4),1,3)+WEEKDAY(DATE(YEAR(A1623-WEEKDAY(A1623-1)+4),1,3))+5)/7))</f>
        <v/>
      </c>
      <c r="D1623" s="21" t="n"/>
      <c r="E1623" s="22" t="n"/>
      <c r="F1623" s="23" t="n"/>
      <c r="G1623" s="23" t="n"/>
      <c r="H1623" s="23" t="n"/>
      <c r="I1623" s="20">
        <f>IF(COUNT(F1623:H1623)=0,"",SUM(F1623:H1623))</f>
        <v/>
      </c>
      <c r="J1623" s="23" t="n"/>
      <c r="K1623" s="23" t="n"/>
      <c r="L1623" s="23" t="n"/>
      <c r="M1623" s="23" t="n"/>
      <c r="N1623" s="23" t="n"/>
      <c r="O1623" s="20">
        <f>IF(OR(I1623="",COUNT(J1623:N1623)=0),"",IF(SUM(J1623:N1623)=I1623,"✓","⚠ "&amp;SUM(J1623:N1623)&amp;" statt "&amp;I1623))</f>
        <v/>
      </c>
      <c r="P1623" s="21" t="n"/>
      <c r="Q1623" s="21" t="n"/>
      <c r="R1623" s="21" t="n"/>
      <c r="S1623" s="24" t="n"/>
      <c r="T1623" s="24" t="n"/>
      <c r="V1623">
        <f>IF(A1623="","",MONTH(A1623))</f>
        <v/>
      </c>
      <c r="W1623">
        <f>N(W1622)+IF(AND(C1623&lt;&gt;"",T1623&lt;&gt;""),IF(C1623=WOCHE!$B$3,1,0),0)</f>
        <v/>
      </c>
      <c r="X1623">
        <f>N(X1622)+IF(AND(V1623&lt;&gt;"",T1623&lt;&gt;""),IF(V1623=MONAT!$AZ$3,1,0),0)</f>
        <v/>
      </c>
    </row>
    <row r="1624">
      <c r="A1624" s="19" t="n"/>
      <c r="B1624" s="20">
        <f>IF(A1624="","",CHOOSE(WEEKDAY(A1624,2),"Mo","Di","Mi","Do","Fr","Sa","So"))</f>
        <v/>
      </c>
      <c r="C1624" s="20">
        <f>IF(A1624="","",INT((A1624-DATE(YEAR(A1624-WEEKDAY(A1624-1)+4),1,3)+WEEKDAY(DATE(YEAR(A1624-WEEKDAY(A1624-1)+4),1,3))+5)/7))</f>
        <v/>
      </c>
      <c r="D1624" s="21" t="n"/>
      <c r="E1624" s="22" t="n"/>
      <c r="F1624" s="23" t="n"/>
      <c r="G1624" s="23" t="n"/>
      <c r="H1624" s="23" t="n"/>
      <c r="I1624" s="20">
        <f>IF(COUNT(F1624:H1624)=0,"",SUM(F1624:H1624))</f>
        <v/>
      </c>
      <c r="J1624" s="23" t="n"/>
      <c r="K1624" s="23" t="n"/>
      <c r="L1624" s="23" t="n"/>
      <c r="M1624" s="23" t="n"/>
      <c r="N1624" s="23" t="n"/>
      <c r="O1624" s="20">
        <f>IF(OR(I1624="",COUNT(J1624:N1624)=0),"",IF(SUM(J1624:N1624)=I1624,"✓","⚠ "&amp;SUM(J1624:N1624)&amp;" statt "&amp;I1624))</f>
        <v/>
      </c>
      <c r="P1624" s="21" t="n"/>
      <c r="Q1624" s="21" t="n"/>
      <c r="R1624" s="21" t="n"/>
      <c r="S1624" s="24" t="n"/>
      <c r="T1624" s="24" t="n"/>
      <c r="V1624">
        <f>IF(A1624="","",MONTH(A1624))</f>
        <v/>
      </c>
      <c r="W1624">
        <f>N(W1623)+IF(AND(C1624&lt;&gt;"",T1624&lt;&gt;""),IF(C1624=WOCHE!$B$3,1,0),0)</f>
        <v/>
      </c>
      <c r="X1624">
        <f>N(X1623)+IF(AND(V1624&lt;&gt;"",T1624&lt;&gt;""),IF(V1624=MONAT!$AZ$3,1,0),0)</f>
        <v/>
      </c>
    </row>
    <row r="1625">
      <c r="A1625" s="19" t="n"/>
      <c r="B1625" s="20">
        <f>IF(A1625="","",CHOOSE(WEEKDAY(A1625,2),"Mo","Di","Mi","Do","Fr","Sa","So"))</f>
        <v/>
      </c>
      <c r="C1625" s="20">
        <f>IF(A1625="","",INT((A1625-DATE(YEAR(A1625-WEEKDAY(A1625-1)+4),1,3)+WEEKDAY(DATE(YEAR(A1625-WEEKDAY(A1625-1)+4),1,3))+5)/7))</f>
        <v/>
      </c>
      <c r="D1625" s="21" t="n"/>
      <c r="E1625" s="22" t="n"/>
      <c r="F1625" s="23" t="n"/>
      <c r="G1625" s="23" t="n"/>
      <c r="H1625" s="23" t="n"/>
      <c r="I1625" s="20">
        <f>IF(COUNT(F1625:H1625)=0,"",SUM(F1625:H1625))</f>
        <v/>
      </c>
      <c r="J1625" s="23" t="n"/>
      <c r="K1625" s="23" t="n"/>
      <c r="L1625" s="23" t="n"/>
      <c r="M1625" s="23" t="n"/>
      <c r="N1625" s="23" t="n"/>
      <c r="O1625" s="20">
        <f>IF(OR(I1625="",COUNT(J1625:N1625)=0),"",IF(SUM(J1625:N1625)=I1625,"✓","⚠ "&amp;SUM(J1625:N1625)&amp;" statt "&amp;I1625))</f>
        <v/>
      </c>
      <c r="P1625" s="21" t="n"/>
      <c r="Q1625" s="21" t="n"/>
      <c r="R1625" s="21" t="n"/>
      <c r="S1625" s="24" t="n"/>
      <c r="T1625" s="24" t="n"/>
      <c r="V1625">
        <f>IF(A1625="","",MONTH(A1625))</f>
        <v/>
      </c>
      <c r="W1625">
        <f>N(W1624)+IF(AND(C1625&lt;&gt;"",T1625&lt;&gt;""),IF(C1625=WOCHE!$B$3,1,0),0)</f>
        <v/>
      </c>
      <c r="X1625">
        <f>N(X1624)+IF(AND(V1625&lt;&gt;"",T1625&lt;&gt;""),IF(V1625=MONAT!$AZ$3,1,0),0)</f>
        <v/>
      </c>
    </row>
    <row r="1626">
      <c r="A1626" s="19" t="n"/>
      <c r="B1626" s="20">
        <f>IF(A1626="","",CHOOSE(WEEKDAY(A1626,2),"Mo","Di","Mi","Do","Fr","Sa","So"))</f>
        <v/>
      </c>
      <c r="C1626" s="20">
        <f>IF(A1626="","",INT((A1626-DATE(YEAR(A1626-WEEKDAY(A1626-1)+4),1,3)+WEEKDAY(DATE(YEAR(A1626-WEEKDAY(A1626-1)+4),1,3))+5)/7))</f>
        <v/>
      </c>
      <c r="D1626" s="21" t="n"/>
      <c r="E1626" s="22" t="n"/>
      <c r="F1626" s="23" t="n"/>
      <c r="G1626" s="23" t="n"/>
      <c r="H1626" s="23" t="n"/>
      <c r="I1626" s="20">
        <f>IF(COUNT(F1626:H1626)=0,"",SUM(F1626:H1626))</f>
        <v/>
      </c>
      <c r="J1626" s="23" t="n"/>
      <c r="K1626" s="23" t="n"/>
      <c r="L1626" s="23" t="n"/>
      <c r="M1626" s="23" t="n"/>
      <c r="N1626" s="23" t="n"/>
      <c r="O1626" s="20">
        <f>IF(OR(I1626="",COUNT(J1626:N1626)=0),"",IF(SUM(J1626:N1626)=I1626,"✓","⚠ "&amp;SUM(J1626:N1626)&amp;" statt "&amp;I1626))</f>
        <v/>
      </c>
      <c r="P1626" s="21" t="n"/>
      <c r="Q1626" s="21" t="n"/>
      <c r="R1626" s="21" t="n"/>
      <c r="S1626" s="24" t="n"/>
      <c r="T1626" s="24" t="n"/>
      <c r="V1626">
        <f>IF(A1626="","",MONTH(A1626))</f>
        <v/>
      </c>
      <c r="W1626">
        <f>N(W1625)+IF(AND(C1626&lt;&gt;"",T1626&lt;&gt;""),IF(C1626=WOCHE!$B$3,1,0),0)</f>
        <v/>
      </c>
      <c r="X1626">
        <f>N(X1625)+IF(AND(V1626&lt;&gt;"",T1626&lt;&gt;""),IF(V1626=MONAT!$AZ$3,1,0),0)</f>
        <v/>
      </c>
    </row>
    <row r="1627">
      <c r="A1627" s="19" t="n"/>
      <c r="B1627" s="20">
        <f>IF(A1627="","",CHOOSE(WEEKDAY(A1627,2),"Mo","Di","Mi","Do","Fr","Sa","So"))</f>
        <v/>
      </c>
      <c r="C1627" s="20">
        <f>IF(A1627="","",INT((A1627-DATE(YEAR(A1627-WEEKDAY(A1627-1)+4),1,3)+WEEKDAY(DATE(YEAR(A1627-WEEKDAY(A1627-1)+4),1,3))+5)/7))</f>
        <v/>
      </c>
      <c r="D1627" s="21" t="n"/>
      <c r="E1627" s="22" t="n"/>
      <c r="F1627" s="23" t="n"/>
      <c r="G1627" s="23" t="n"/>
      <c r="H1627" s="23" t="n"/>
      <c r="I1627" s="20">
        <f>IF(COUNT(F1627:H1627)=0,"",SUM(F1627:H1627))</f>
        <v/>
      </c>
      <c r="J1627" s="23" t="n"/>
      <c r="K1627" s="23" t="n"/>
      <c r="L1627" s="23" t="n"/>
      <c r="M1627" s="23" t="n"/>
      <c r="N1627" s="23" t="n"/>
      <c r="O1627" s="20">
        <f>IF(OR(I1627="",COUNT(J1627:N1627)=0),"",IF(SUM(J1627:N1627)=I1627,"✓","⚠ "&amp;SUM(J1627:N1627)&amp;" statt "&amp;I1627))</f>
        <v/>
      </c>
      <c r="P1627" s="21" t="n"/>
      <c r="Q1627" s="21" t="n"/>
      <c r="R1627" s="21" t="n"/>
      <c r="S1627" s="24" t="n"/>
      <c r="T1627" s="24" t="n"/>
      <c r="V1627">
        <f>IF(A1627="","",MONTH(A1627))</f>
        <v/>
      </c>
      <c r="W1627">
        <f>N(W1626)+IF(AND(C1627&lt;&gt;"",T1627&lt;&gt;""),IF(C1627=WOCHE!$B$3,1,0),0)</f>
        <v/>
      </c>
      <c r="X1627">
        <f>N(X1626)+IF(AND(V1627&lt;&gt;"",T1627&lt;&gt;""),IF(V1627=MONAT!$AZ$3,1,0),0)</f>
        <v/>
      </c>
    </row>
    <row r="1628">
      <c r="A1628" s="19" t="n"/>
      <c r="B1628" s="20">
        <f>IF(A1628="","",CHOOSE(WEEKDAY(A1628,2),"Mo","Di","Mi","Do","Fr","Sa","So"))</f>
        <v/>
      </c>
      <c r="C1628" s="20">
        <f>IF(A1628="","",INT((A1628-DATE(YEAR(A1628-WEEKDAY(A1628-1)+4),1,3)+WEEKDAY(DATE(YEAR(A1628-WEEKDAY(A1628-1)+4),1,3))+5)/7))</f>
        <v/>
      </c>
      <c r="D1628" s="21" t="n"/>
      <c r="E1628" s="22" t="n"/>
      <c r="F1628" s="23" t="n"/>
      <c r="G1628" s="23" t="n"/>
      <c r="H1628" s="23" t="n"/>
      <c r="I1628" s="20">
        <f>IF(COUNT(F1628:H1628)=0,"",SUM(F1628:H1628))</f>
        <v/>
      </c>
      <c r="J1628" s="23" t="n"/>
      <c r="K1628" s="23" t="n"/>
      <c r="L1628" s="23" t="n"/>
      <c r="M1628" s="23" t="n"/>
      <c r="N1628" s="23" t="n"/>
      <c r="O1628" s="20">
        <f>IF(OR(I1628="",COUNT(J1628:N1628)=0),"",IF(SUM(J1628:N1628)=I1628,"✓","⚠ "&amp;SUM(J1628:N1628)&amp;" statt "&amp;I1628))</f>
        <v/>
      </c>
      <c r="P1628" s="21" t="n"/>
      <c r="Q1628" s="21" t="n"/>
      <c r="R1628" s="21" t="n"/>
      <c r="S1628" s="24" t="n"/>
      <c r="T1628" s="24" t="n"/>
      <c r="V1628">
        <f>IF(A1628="","",MONTH(A1628))</f>
        <v/>
      </c>
      <c r="W1628">
        <f>N(W1627)+IF(AND(C1628&lt;&gt;"",T1628&lt;&gt;""),IF(C1628=WOCHE!$B$3,1,0),0)</f>
        <v/>
      </c>
      <c r="X1628">
        <f>N(X1627)+IF(AND(V1628&lt;&gt;"",T1628&lt;&gt;""),IF(V1628=MONAT!$AZ$3,1,0),0)</f>
        <v/>
      </c>
    </row>
    <row r="1629">
      <c r="A1629" s="19" t="n"/>
      <c r="B1629" s="20">
        <f>IF(A1629="","",CHOOSE(WEEKDAY(A1629,2),"Mo","Di","Mi","Do","Fr","Sa","So"))</f>
        <v/>
      </c>
      <c r="C1629" s="20">
        <f>IF(A1629="","",INT((A1629-DATE(YEAR(A1629-WEEKDAY(A1629-1)+4),1,3)+WEEKDAY(DATE(YEAR(A1629-WEEKDAY(A1629-1)+4),1,3))+5)/7))</f>
        <v/>
      </c>
      <c r="D1629" s="21" t="n"/>
      <c r="E1629" s="22" t="n"/>
      <c r="F1629" s="23" t="n"/>
      <c r="G1629" s="23" t="n"/>
      <c r="H1629" s="23" t="n"/>
      <c r="I1629" s="20">
        <f>IF(COUNT(F1629:H1629)=0,"",SUM(F1629:H1629))</f>
        <v/>
      </c>
      <c r="J1629" s="23" t="n"/>
      <c r="K1629" s="23" t="n"/>
      <c r="L1629" s="23" t="n"/>
      <c r="M1629" s="23" t="n"/>
      <c r="N1629" s="23" t="n"/>
      <c r="O1629" s="20">
        <f>IF(OR(I1629="",COUNT(J1629:N1629)=0),"",IF(SUM(J1629:N1629)=I1629,"✓","⚠ "&amp;SUM(J1629:N1629)&amp;" statt "&amp;I1629))</f>
        <v/>
      </c>
      <c r="P1629" s="21" t="n"/>
      <c r="Q1629" s="21" t="n"/>
      <c r="R1629" s="21" t="n"/>
      <c r="S1629" s="24" t="n"/>
      <c r="T1629" s="24" t="n"/>
      <c r="V1629">
        <f>IF(A1629="","",MONTH(A1629))</f>
        <v/>
      </c>
      <c r="W1629">
        <f>N(W1628)+IF(AND(C1629&lt;&gt;"",T1629&lt;&gt;""),IF(C1629=WOCHE!$B$3,1,0),0)</f>
        <v/>
      </c>
      <c r="X1629">
        <f>N(X1628)+IF(AND(V1629&lt;&gt;"",T1629&lt;&gt;""),IF(V1629=MONAT!$AZ$3,1,0),0)</f>
        <v/>
      </c>
    </row>
    <row r="1630">
      <c r="A1630" s="19" t="n"/>
      <c r="B1630" s="20">
        <f>IF(A1630="","",CHOOSE(WEEKDAY(A1630,2),"Mo","Di","Mi","Do","Fr","Sa","So"))</f>
        <v/>
      </c>
      <c r="C1630" s="20">
        <f>IF(A1630="","",INT((A1630-DATE(YEAR(A1630-WEEKDAY(A1630-1)+4),1,3)+WEEKDAY(DATE(YEAR(A1630-WEEKDAY(A1630-1)+4),1,3))+5)/7))</f>
        <v/>
      </c>
      <c r="D1630" s="21" t="n"/>
      <c r="E1630" s="22" t="n"/>
      <c r="F1630" s="23" t="n"/>
      <c r="G1630" s="23" t="n"/>
      <c r="H1630" s="23" t="n"/>
      <c r="I1630" s="20">
        <f>IF(COUNT(F1630:H1630)=0,"",SUM(F1630:H1630))</f>
        <v/>
      </c>
      <c r="J1630" s="23" t="n"/>
      <c r="K1630" s="23" t="n"/>
      <c r="L1630" s="23" t="n"/>
      <c r="M1630" s="23" t="n"/>
      <c r="N1630" s="23" t="n"/>
      <c r="O1630" s="20">
        <f>IF(OR(I1630="",COUNT(J1630:N1630)=0),"",IF(SUM(J1630:N1630)=I1630,"✓","⚠ "&amp;SUM(J1630:N1630)&amp;" statt "&amp;I1630))</f>
        <v/>
      </c>
      <c r="P1630" s="21" t="n"/>
      <c r="Q1630" s="21" t="n"/>
      <c r="R1630" s="21" t="n"/>
      <c r="S1630" s="24" t="n"/>
      <c r="T1630" s="24" t="n"/>
      <c r="V1630">
        <f>IF(A1630="","",MONTH(A1630))</f>
        <v/>
      </c>
      <c r="W1630">
        <f>N(W1629)+IF(AND(C1630&lt;&gt;"",T1630&lt;&gt;""),IF(C1630=WOCHE!$B$3,1,0),0)</f>
        <v/>
      </c>
      <c r="X1630">
        <f>N(X1629)+IF(AND(V1630&lt;&gt;"",T1630&lt;&gt;""),IF(V1630=MONAT!$AZ$3,1,0),0)</f>
        <v/>
      </c>
    </row>
    <row r="1631">
      <c r="A1631" s="19" t="n"/>
      <c r="B1631" s="20">
        <f>IF(A1631="","",CHOOSE(WEEKDAY(A1631,2),"Mo","Di","Mi","Do","Fr","Sa","So"))</f>
        <v/>
      </c>
      <c r="C1631" s="20">
        <f>IF(A1631="","",INT((A1631-DATE(YEAR(A1631-WEEKDAY(A1631-1)+4),1,3)+WEEKDAY(DATE(YEAR(A1631-WEEKDAY(A1631-1)+4),1,3))+5)/7))</f>
        <v/>
      </c>
      <c r="D1631" s="21" t="n"/>
      <c r="E1631" s="22" t="n"/>
      <c r="F1631" s="23" t="n"/>
      <c r="G1631" s="23" t="n"/>
      <c r="H1631" s="23" t="n"/>
      <c r="I1631" s="20">
        <f>IF(COUNT(F1631:H1631)=0,"",SUM(F1631:H1631))</f>
        <v/>
      </c>
      <c r="J1631" s="23" t="n"/>
      <c r="K1631" s="23" t="n"/>
      <c r="L1631" s="23" t="n"/>
      <c r="M1631" s="23" t="n"/>
      <c r="N1631" s="23" t="n"/>
      <c r="O1631" s="20">
        <f>IF(OR(I1631="",COUNT(J1631:N1631)=0),"",IF(SUM(J1631:N1631)=I1631,"✓","⚠ "&amp;SUM(J1631:N1631)&amp;" statt "&amp;I1631))</f>
        <v/>
      </c>
      <c r="P1631" s="21" t="n"/>
      <c r="Q1631" s="21" t="n"/>
      <c r="R1631" s="21" t="n"/>
      <c r="S1631" s="24" t="n"/>
      <c r="T1631" s="24" t="n"/>
      <c r="V1631">
        <f>IF(A1631="","",MONTH(A1631))</f>
        <v/>
      </c>
      <c r="W1631">
        <f>N(W1630)+IF(AND(C1631&lt;&gt;"",T1631&lt;&gt;""),IF(C1631=WOCHE!$B$3,1,0),0)</f>
        <v/>
      </c>
      <c r="X1631">
        <f>N(X1630)+IF(AND(V1631&lt;&gt;"",T1631&lt;&gt;""),IF(V1631=MONAT!$AZ$3,1,0),0)</f>
        <v/>
      </c>
    </row>
    <row r="1632">
      <c r="A1632" s="19" t="n"/>
      <c r="B1632" s="20">
        <f>IF(A1632="","",CHOOSE(WEEKDAY(A1632,2),"Mo","Di","Mi","Do","Fr","Sa","So"))</f>
        <v/>
      </c>
      <c r="C1632" s="20">
        <f>IF(A1632="","",INT((A1632-DATE(YEAR(A1632-WEEKDAY(A1632-1)+4),1,3)+WEEKDAY(DATE(YEAR(A1632-WEEKDAY(A1632-1)+4),1,3))+5)/7))</f>
        <v/>
      </c>
      <c r="D1632" s="21" t="n"/>
      <c r="E1632" s="22" t="n"/>
      <c r="F1632" s="23" t="n"/>
      <c r="G1632" s="23" t="n"/>
      <c r="H1632" s="23" t="n"/>
      <c r="I1632" s="20">
        <f>IF(COUNT(F1632:H1632)=0,"",SUM(F1632:H1632))</f>
        <v/>
      </c>
      <c r="J1632" s="23" t="n"/>
      <c r="K1632" s="23" t="n"/>
      <c r="L1632" s="23" t="n"/>
      <c r="M1632" s="23" t="n"/>
      <c r="N1632" s="23" t="n"/>
      <c r="O1632" s="20">
        <f>IF(OR(I1632="",COUNT(J1632:N1632)=0),"",IF(SUM(J1632:N1632)=I1632,"✓","⚠ "&amp;SUM(J1632:N1632)&amp;" statt "&amp;I1632))</f>
        <v/>
      </c>
      <c r="P1632" s="21" t="n"/>
      <c r="Q1632" s="21" t="n"/>
      <c r="R1632" s="21" t="n"/>
      <c r="S1632" s="24" t="n"/>
      <c r="T1632" s="24" t="n"/>
      <c r="V1632">
        <f>IF(A1632="","",MONTH(A1632))</f>
        <v/>
      </c>
      <c r="W1632">
        <f>N(W1631)+IF(AND(C1632&lt;&gt;"",T1632&lt;&gt;""),IF(C1632=WOCHE!$B$3,1,0),0)</f>
        <v/>
      </c>
      <c r="X1632">
        <f>N(X1631)+IF(AND(V1632&lt;&gt;"",T1632&lt;&gt;""),IF(V1632=MONAT!$AZ$3,1,0),0)</f>
        <v/>
      </c>
    </row>
    <row r="1633">
      <c r="A1633" s="19" t="n"/>
      <c r="B1633" s="20">
        <f>IF(A1633="","",CHOOSE(WEEKDAY(A1633,2),"Mo","Di","Mi","Do","Fr","Sa","So"))</f>
        <v/>
      </c>
      <c r="C1633" s="20">
        <f>IF(A1633="","",INT((A1633-DATE(YEAR(A1633-WEEKDAY(A1633-1)+4),1,3)+WEEKDAY(DATE(YEAR(A1633-WEEKDAY(A1633-1)+4),1,3))+5)/7))</f>
        <v/>
      </c>
      <c r="D1633" s="21" t="n"/>
      <c r="E1633" s="22" t="n"/>
      <c r="F1633" s="23" t="n"/>
      <c r="G1633" s="23" t="n"/>
      <c r="H1633" s="23" t="n"/>
      <c r="I1633" s="20">
        <f>IF(COUNT(F1633:H1633)=0,"",SUM(F1633:H1633))</f>
        <v/>
      </c>
      <c r="J1633" s="23" t="n"/>
      <c r="K1633" s="23" t="n"/>
      <c r="L1633" s="23" t="n"/>
      <c r="M1633" s="23" t="n"/>
      <c r="N1633" s="23" t="n"/>
      <c r="O1633" s="20">
        <f>IF(OR(I1633="",COUNT(J1633:N1633)=0),"",IF(SUM(J1633:N1633)=I1633,"✓","⚠ "&amp;SUM(J1633:N1633)&amp;" statt "&amp;I1633))</f>
        <v/>
      </c>
      <c r="P1633" s="21" t="n"/>
      <c r="Q1633" s="21" t="n"/>
      <c r="R1633" s="21" t="n"/>
      <c r="S1633" s="24" t="n"/>
      <c r="T1633" s="24" t="n"/>
      <c r="V1633">
        <f>IF(A1633="","",MONTH(A1633))</f>
        <v/>
      </c>
      <c r="W1633">
        <f>N(W1632)+IF(AND(C1633&lt;&gt;"",T1633&lt;&gt;""),IF(C1633=WOCHE!$B$3,1,0),0)</f>
        <v/>
      </c>
      <c r="X1633">
        <f>N(X1632)+IF(AND(V1633&lt;&gt;"",T1633&lt;&gt;""),IF(V1633=MONAT!$AZ$3,1,0),0)</f>
        <v/>
      </c>
    </row>
    <row r="1634">
      <c r="A1634" s="19" t="n"/>
      <c r="B1634" s="20">
        <f>IF(A1634="","",CHOOSE(WEEKDAY(A1634,2),"Mo","Di","Mi","Do","Fr","Sa","So"))</f>
        <v/>
      </c>
      <c r="C1634" s="20">
        <f>IF(A1634="","",INT((A1634-DATE(YEAR(A1634-WEEKDAY(A1634-1)+4),1,3)+WEEKDAY(DATE(YEAR(A1634-WEEKDAY(A1634-1)+4),1,3))+5)/7))</f>
        <v/>
      </c>
      <c r="D1634" s="21" t="n"/>
      <c r="E1634" s="22" t="n"/>
      <c r="F1634" s="23" t="n"/>
      <c r="G1634" s="23" t="n"/>
      <c r="H1634" s="23" t="n"/>
      <c r="I1634" s="20">
        <f>IF(COUNT(F1634:H1634)=0,"",SUM(F1634:H1634))</f>
        <v/>
      </c>
      <c r="J1634" s="23" t="n"/>
      <c r="K1634" s="23" t="n"/>
      <c r="L1634" s="23" t="n"/>
      <c r="M1634" s="23" t="n"/>
      <c r="N1634" s="23" t="n"/>
      <c r="O1634" s="20">
        <f>IF(OR(I1634="",COUNT(J1634:N1634)=0),"",IF(SUM(J1634:N1634)=I1634,"✓","⚠ "&amp;SUM(J1634:N1634)&amp;" statt "&amp;I1634))</f>
        <v/>
      </c>
      <c r="P1634" s="21" t="n"/>
      <c r="Q1634" s="21" t="n"/>
      <c r="R1634" s="21" t="n"/>
      <c r="S1634" s="24" t="n"/>
      <c r="T1634" s="24" t="n"/>
      <c r="V1634">
        <f>IF(A1634="","",MONTH(A1634))</f>
        <v/>
      </c>
      <c r="W1634">
        <f>N(W1633)+IF(AND(C1634&lt;&gt;"",T1634&lt;&gt;""),IF(C1634=WOCHE!$B$3,1,0),0)</f>
        <v/>
      </c>
      <c r="X1634">
        <f>N(X1633)+IF(AND(V1634&lt;&gt;"",T1634&lt;&gt;""),IF(V1634=MONAT!$AZ$3,1,0),0)</f>
        <v/>
      </c>
    </row>
    <row r="1635">
      <c r="A1635" s="19" t="n"/>
      <c r="B1635" s="20">
        <f>IF(A1635="","",CHOOSE(WEEKDAY(A1635,2),"Mo","Di","Mi","Do","Fr","Sa","So"))</f>
        <v/>
      </c>
      <c r="C1635" s="20">
        <f>IF(A1635="","",INT((A1635-DATE(YEAR(A1635-WEEKDAY(A1635-1)+4),1,3)+WEEKDAY(DATE(YEAR(A1635-WEEKDAY(A1635-1)+4),1,3))+5)/7))</f>
        <v/>
      </c>
      <c r="D1635" s="21" t="n"/>
      <c r="E1635" s="22" t="n"/>
      <c r="F1635" s="23" t="n"/>
      <c r="G1635" s="23" t="n"/>
      <c r="H1635" s="23" t="n"/>
      <c r="I1635" s="20">
        <f>IF(COUNT(F1635:H1635)=0,"",SUM(F1635:H1635))</f>
        <v/>
      </c>
      <c r="J1635" s="23" t="n"/>
      <c r="K1635" s="23" t="n"/>
      <c r="L1635" s="23" t="n"/>
      <c r="M1635" s="23" t="n"/>
      <c r="N1635" s="23" t="n"/>
      <c r="O1635" s="20">
        <f>IF(OR(I1635="",COUNT(J1635:N1635)=0),"",IF(SUM(J1635:N1635)=I1635,"✓","⚠ "&amp;SUM(J1635:N1635)&amp;" statt "&amp;I1635))</f>
        <v/>
      </c>
      <c r="P1635" s="21" t="n"/>
      <c r="Q1635" s="21" t="n"/>
      <c r="R1635" s="21" t="n"/>
      <c r="S1635" s="24" t="n"/>
      <c r="T1635" s="24" t="n"/>
      <c r="V1635">
        <f>IF(A1635="","",MONTH(A1635))</f>
        <v/>
      </c>
      <c r="W1635">
        <f>N(W1634)+IF(AND(C1635&lt;&gt;"",T1635&lt;&gt;""),IF(C1635=WOCHE!$B$3,1,0),0)</f>
        <v/>
      </c>
      <c r="X1635">
        <f>N(X1634)+IF(AND(V1635&lt;&gt;"",T1635&lt;&gt;""),IF(V1635=MONAT!$AZ$3,1,0),0)</f>
        <v/>
      </c>
    </row>
    <row r="1636">
      <c r="A1636" s="19" t="n"/>
      <c r="B1636" s="20">
        <f>IF(A1636="","",CHOOSE(WEEKDAY(A1636,2),"Mo","Di","Mi","Do","Fr","Sa","So"))</f>
        <v/>
      </c>
      <c r="C1636" s="20">
        <f>IF(A1636="","",INT((A1636-DATE(YEAR(A1636-WEEKDAY(A1636-1)+4),1,3)+WEEKDAY(DATE(YEAR(A1636-WEEKDAY(A1636-1)+4),1,3))+5)/7))</f>
        <v/>
      </c>
      <c r="D1636" s="21" t="n"/>
      <c r="E1636" s="22" t="n"/>
      <c r="F1636" s="23" t="n"/>
      <c r="G1636" s="23" t="n"/>
      <c r="H1636" s="23" t="n"/>
      <c r="I1636" s="20">
        <f>IF(COUNT(F1636:H1636)=0,"",SUM(F1636:H1636))</f>
        <v/>
      </c>
      <c r="J1636" s="23" t="n"/>
      <c r="K1636" s="23" t="n"/>
      <c r="L1636" s="23" t="n"/>
      <c r="M1636" s="23" t="n"/>
      <c r="N1636" s="23" t="n"/>
      <c r="O1636" s="20">
        <f>IF(OR(I1636="",COUNT(J1636:N1636)=0),"",IF(SUM(J1636:N1636)=I1636,"✓","⚠ "&amp;SUM(J1636:N1636)&amp;" statt "&amp;I1636))</f>
        <v/>
      </c>
      <c r="P1636" s="21" t="n"/>
      <c r="Q1636" s="21" t="n"/>
      <c r="R1636" s="21" t="n"/>
      <c r="S1636" s="24" t="n"/>
      <c r="T1636" s="24" t="n"/>
      <c r="V1636">
        <f>IF(A1636="","",MONTH(A1636))</f>
        <v/>
      </c>
      <c r="W1636">
        <f>N(W1635)+IF(AND(C1636&lt;&gt;"",T1636&lt;&gt;""),IF(C1636=WOCHE!$B$3,1,0),0)</f>
        <v/>
      </c>
      <c r="X1636">
        <f>N(X1635)+IF(AND(V1636&lt;&gt;"",T1636&lt;&gt;""),IF(V1636=MONAT!$AZ$3,1,0),0)</f>
        <v/>
      </c>
    </row>
    <row r="1637">
      <c r="A1637" s="19" t="n"/>
      <c r="B1637" s="20">
        <f>IF(A1637="","",CHOOSE(WEEKDAY(A1637,2),"Mo","Di","Mi","Do","Fr","Sa","So"))</f>
        <v/>
      </c>
      <c r="C1637" s="20">
        <f>IF(A1637="","",INT((A1637-DATE(YEAR(A1637-WEEKDAY(A1637-1)+4),1,3)+WEEKDAY(DATE(YEAR(A1637-WEEKDAY(A1637-1)+4),1,3))+5)/7))</f>
        <v/>
      </c>
      <c r="D1637" s="21" t="n"/>
      <c r="E1637" s="22" t="n"/>
      <c r="F1637" s="23" t="n"/>
      <c r="G1637" s="23" t="n"/>
      <c r="H1637" s="23" t="n"/>
      <c r="I1637" s="20">
        <f>IF(COUNT(F1637:H1637)=0,"",SUM(F1637:H1637))</f>
        <v/>
      </c>
      <c r="J1637" s="23" t="n"/>
      <c r="K1637" s="23" t="n"/>
      <c r="L1637" s="23" t="n"/>
      <c r="M1637" s="23" t="n"/>
      <c r="N1637" s="23" t="n"/>
      <c r="O1637" s="20">
        <f>IF(OR(I1637="",COUNT(J1637:N1637)=0),"",IF(SUM(J1637:N1637)=I1637,"✓","⚠ "&amp;SUM(J1637:N1637)&amp;" statt "&amp;I1637))</f>
        <v/>
      </c>
      <c r="P1637" s="21" t="n"/>
      <c r="Q1637" s="21" t="n"/>
      <c r="R1637" s="21" t="n"/>
      <c r="S1637" s="24" t="n"/>
      <c r="T1637" s="24" t="n"/>
      <c r="V1637">
        <f>IF(A1637="","",MONTH(A1637))</f>
        <v/>
      </c>
      <c r="W1637">
        <f>N(W1636)+IF(AND(C1637&lt;&gt;"",T1637&lt;&gt;""),IF(C1637=WOCHE!$B$3,1,0),0)</f>
        <v/>
      </c>
      <c r="X1637">
        <f>N(X1636)+IF(AND(V1637&lt;&gt;"",T1637&lt;&gt;""),IF(V1637=MONAT!$AZ$3,1,0),0)</f>
        <v/>
      </c>
    </row>
    <row r="1638">
      <c r="A1638" s="19" t="n"/>
      <c r="B1638" s="20">
        <f>IF(A1638="","",CHOOSE(WEEKDAY(A1638,2),"Mo","Di","Mi","Do","Fr","Sa","So"))</f>
        <v/>
      </c>
      <c r="C1638" s="20">
        <f>IF(A1638="","",INT((A1638-DATE(YEAR(A1638-WEEKDAY(A1638-1)+4),1,3)+WEEKDAY(DATE(YEAR(A1638-WEEKDAY(A1638-1)+4),1,3))+5)/7))</f>
        <v/>
      </c>
      <c r="D1638" s="21" t="n"/>
      <c r="E1638" s="22" t="n"/>
      <c r="F1638" s="23" t="n"/>
      <c r="G1638" s="23" t="n"/>
      <c r="H1638" s="23" t="n"/>
      <c r="I1638" s="20">
        <f>IF(COUNT(F1638:H1638)=0,"",SUM(F1638:H1638))</f>
        <v/>
      </c>
      <c r="J1638" s="23" t="n"/>
      <c r="K1638" s="23" t="n"/>
      <c r="L1638" s="23" t="n"/>
      <c r="M1638" s="23" t="n"/>
      <c r="N1638" s="23" t="n"/>
      <c r="O1638" s="20">
        <f>IF(OR(I1638="",COUNT(J1638:N1638)=0),"",IF(SUM(J1638:N1638)=I1638,"✓","⚠ "&amp;SUM(J1638:N1638)&amp;" statt "&amp;I1638))</f>
        <v/>
      </c>
      <c r="P1638" s="21" t="n"/>
      <c r="Q1638" s="21" t="n"/>
      <c r="R1638" s="21" t="n"/>
      <c r="S1638" s="24" t="n"/>
      <c r="T1638" s="24" t="n"/>
      <c r="V1638">
        <f>IF(A1638="","",MONTH(A1638))</f>
        <v/>
      </c>
      <c r="W1638">
        <f>N(W1637)+IF(AND(C1638&lt;&gt;"",T1638&lt;&gt;""),IF(C1638=WOCHE!$B$3,1,0),0)</f>
        <v/>
      </c>
      <c r="X1638">
        <f>N(X1637)+IF(AND(V1638&lt;&gt;"",T1638&lt;&gt;""),IF(V1638=MONAT!$AZ$3,1,0),0)</f>
        <v/>
      </c>
    </row>
    <row r="1639">
      <c r="A1639" s="19" t="n"/>
      <c r="B1639" s="20">
        <f>IF(A1639="","",CHOOSE(WEEKDAY(A1639,2),"Mo","Di","Mi","Do","Fr","Sa","So"))</f>
        <v/>
      </c>
      <c r="C1639" s="20">
        <f>IF(A1639="","",INT((A1639-DATE(YEAR(A1639-WEEKDAY(A1639-1)+4),1,3)+WEEKDAY(DATE(YEAR(A1639-WEEKDAY(A1639-1)+4),1,3))+5)/7))</f>
        <v/>
      </c>
      <c r="D1639" s="21" t="n"/>
      <c r="E1639" s="22" t="n"/>
      <c r="F1639" s="23" t="n"/>
      <c r="G1639" s="23" t="n"/>
      <c r="H1639" s="23" t="n"/>
      <c r="I1639" s="20">
        <f>IF(COUNT(F1639:H1639)=0,"",SUM(F1639:H1639))</f>
        <v/>
      </c>
      <c r="J1639" s="23" t="n"/>
      <c r="K1639" s="23" t="n"/>
      <c r="L1639" s="23" t="n"/>
      <c r="M1639" s="23" t="n"/>
      <c r="N1639" s="23" t="n"/>
      <c r="O1639" s="20">
        <f>IF(OR(I1639="",COUNT(J1639:N1639)=0),"",IF(SUM(J1639:N1639)=I1639,"✓","⚠ "&amp;SUM(J1639:N1639)&amp;" statt "&amp;I1639))</f>
        <v/>
      </c>
      <c r="P1639" s="21" t="n"/>
      <c r="Q1639" s="21" t="n"/>
      <c r="R1639" s="21" t="n"/>
      <c r="S1639" s="24" t="n"/>
      <c r="T1639" s="24" t="n"/>
      <c r="V1639">
        <f>IF(A1639="","",MONTH(A1639))</f>
        <v/>
      </c>
      <c r="W1639">
        <f>N(W1638)+IF(AND(C1639&lt;&gt;"",T1639&lt;&gt;""),IF(C1639=WOCHE!$B$3,1,0),0)</f>
        <v/>
      </c>
      <c r="X1639">
        <f>N(X1638)+IF(AND(V1639&lt;&gt;"",T1639&lt;&gt;""),IF(V1639=MONAT!$AZ$3,1,0),0)</f>
        <v/>
      </c>
    </row>
    <row r="1640">
      <c r="A1640" s="19" t="n"/>
      <c r="B1640" s="20">
        <f>IF(A1640="","",CHOOSE(WEEKDAY(A1640,2),"Mo","Di","Mi","Do","Fr","Sa","So"))</f>
        <v/>
      </c>
      <c r="C1640" s="20">
        <f>IF(A1640="","",INT((A1640-DATE(YEAR(A1640-WEEKDAY(A1640-1)+4),1,3)+WEEKDAY(DATE(YEAR(A1640-WEEKDAY(A1640-1)+4),1,3))+5)/7))</f>
        <v/>
      </c>
      <c r="D1640" s="21" t="n"/>
      <c r="E1640" s="22" t="n"/>
      <c r="F1640" s="23" t="n"/>
      <c r="G1640" s="23" t="n"/>
      <c r="H1640" s="23" t="n"/>
      <c r="I1640" s="20">
        <f>IF(COUNT(F1640:H1640)=0,"",SUM(F1640:H1640))</f>
        <v/>
      </c>
      <c r="J1640" s="23" t="n"/>
      <c r="K1640" s="23" t="n"/>
      <c r="L1640" s="23" t="n"/>
      <c r="M1640" s="23" t="n"/>
      <c r="N1640" s="23" t="n"/>
      <c r="O1640" s="20">
        <f>IF(OR(I1640="",COUNT(J1640:N1640)=0),"",IF(SUM(J1640:N1640)=I1640,"✓","⚠ "&amp;SUM(J1640:N1640)&amp;" statt "&amp;I1640))</f>
        <v/>
      </c>
      <c r="P1640" s="21" t="n"/>
      <c r="Q1640" s="21" t="n"/>
      <c r="R1640" s="21" t="n"/>
      <c r="S1640" s="24" t="n"/>
      <c r="T1640" s="24" t="n"/>
      <c r="V1640">
        <f>IF(A1640="","",MONTH(A1640))</f>
        <v/>
      </c>
      <c r="W1640">
        <f>N(W1639)+IF(AND(C1640&lt;&gt;"",T1640&lt;&gt;""),IF(C1640=WOCHE!$B$3,1,0),0)</f>
        <v/>
      </c>
      <c r="X1640">
        <f>N(X1639)+IF(AND(V1640&lt;&gt;"",T1640&lt;&gt;""),IF(V1640=MONAT!$AZ$3,1,0),0)</f>
        <v/>
      </c>
    </row>
    <row r="1641">
      <c r="A1641" s="19" t="n"/>
      <c r="B1641" s="20">
        <f>IF(A1641="","",CHOOSE(WEEKDAY(A1641,2),"Mo","Di","Mi","Do","Fr","Sa","So"))</f>
        <v/>
      </c>
      <c r="C1641" s="20">
        <f>IF(A1641="","",INT((A1641-DATE(YEAR(A1641-WEEKDAY(A1641-1)+4),1,3)+WEEKDAY(DATE(YEAR(A1641-WEEKDAY(A1641-1)+4),1,3))+5)/7))</f>
        <v/>
      </c>
      <c r="D1641" s="21" t="n"/>
      <c r="E1641" s="22" t="n"/>
      <c r="F1641" s="23" t="n"/>
      <c r="G1641" s="23" t="n"/>
      <c r="H1641" s="23" t="n"/>
      <c r="I1641" s="20">
        <f>IF(COUNT(F1641:H1641)=0,"",SUM(F1641:H1641))</f>
        <v/>
      </c>
      <c r="J1641" s="23" t="n"/>
      <c r="K1641" s="23" t="n"/>
      <c r="L1641" s="23" t="n"/>
      <c r="M1641" s="23" t="n"/>
      <c r="N1641" s="23" t="n"/>
      <c r="O1641" s="20">
        <f>IF(OR(I1641="",COUNT(J1641:N1641)=0),"",IF(SUM(J1641:N1641)=I1641,"✓","⚠ "&amp;SUM(J1641:N1641)&amp;" statt "&amp;I1641))</f>
        <v/>
      </c>
      <c r="P1641" s="21" t="n"/>
      <c r="Q1641" s="21" t="n"/>
      <c r="R1641" s="21" t="n"/>
      <c r="S1641" s="24" t="n"/>
      <c r="T1641" s="24" t="n"/>
      <c r="V1641">
        <f>IF(A1641="","",MONTH(A1641))</f>
        <v/>
      </c>
      <c r="W1641">
        <f>N(W1640)+IF(AND(C1641&lt;&gt;"",T1641&lt;&gt;""),IF(C1641=WOCHE!$B$3,1,0),0)</f>
        <v/>
      </c>
      <c r="X1641">
        <f>N(X1640)+IF(AND(V1641&lt;&gt;"",T1641&lt;&gt;""),IF(V1641=MONAT!$AZ$3,1,0),0)</f>
        <v/>
      </c>
    </row>
    <row r="1642">
      <c r="A1642" s="19" t="n"/>
      <c r="B1642" s="20">
        <f>IF(A1642="","",CHOOSE(WEEKDAY(A1642,2),"Mo","Di","Mi","Do","Fr","Sa","So"))</f>
        <v/>
      </c>
      <c r="C1642" s="20">
        <f>IF(A1642="","",INT((A1642-DATE(YEAR(A1642-WEEKDAY(A1642-1)+4),1,3)+WEEKDAY(DATE(YEAR(A1642-WEEKDAY(A1642-1)+4),1,3))+5)/7))</f>
        <v/>
      </c>
      <c r="D1642" s="21" t="n"/>
      <c r="E1642" s="22" t="n"/>
      <c r="F1642" s="23" t="n"/>
      <c r="G1642" s="23" t="n"/>
      <c r="H1642" s="23" t="n"/>
      <c r="I1642" s="20">
        <f>IF(COUNT(F1642:H1642)=0,"",SUM(F1642:H1642))</f>
        <v/>
      </c>
      <c r="J1642" s="23" t="n"/>
      <c r="K1642" s="23" t="n"/>
      <c r="L1642" s="23" t="n"/>
      <c r="M1642" s="23" t="n"/>
      <c r="N1642" s="23" t="n"/>
      <c r="O1642" s="20">
        <f>IF(OR(I1642="",COUNT(J1642:N1642)=0),"",IF(SUM(J1642:N1642)=I1642,"✓","⚠ "&amp;SUM(J1642:N1642)&amp;" statt "&amp;I1642))</f>
        <v/>
      </c>
      <c r="P1642" s="21" t="n"/>
      <c r="Q1642" s="21" t="n"/>
      <c r="R1642" s="21" t="n"/>
      <c r="S1642" s="24" t="n"/>
      <c r="T1642" s="24" t="n"/>
      <c r="V1642">
        <f>IF(A1642="","",MONTH(A1642))</f>
        <v/>
      </c>
      <c r="W1642">
        <f>N(W1641)+IF(AND(C1642&lt;&gt;"",T1642&lt;&gt;""),IF(C1642=WOCHE!$B$3,1,0),0)</f>
        <v/>
      </c>
      <c r="X1642">
        <f>N(X1641)+IF(AND(V1642&lt;&gt;"",T1642&lt;&gt;""),IF(V1642=MONAT!$AZ$3,1,0),0)</f>
        <v/>
      </c>
    </row>
    <row r="1643">
      <c r="A1643" s="19" t="n"/>
      <c r="B1643" s="20">
        <f>IF(A1643="","",CHOOSE(WEEKDAY(A1643,2),"Mo","Di","Mi","Do","Fr","Sa","So"))</f>
        <v/>
      </c>
      <c r="C1643" s="20">
        <f>IF(A1643="","",INT((A1643-DATE(YEAR(A1643-WEEKDAY(A1643-1)+4),1,3)+WEEKDAY(DATE(YEAR(A1643-WEEKDAY(A1643-1)+4),1,3))+5)/7))</f>
        <v/>
      </c>
      <c r="D1643" s="21" t="n"/>
      <c r="E1643" s="22" t="n"/>
      <c r="F1643" s="23" t="n"/>
      <c r="G1643" s="23" t="n"/>
      <c r="H1643" s="23" t="n"/>
      <c r="I1643" s="20">
        <f>IF(COUNT(F1643:H1643)=0,"",SUM(F1643:H1643))</f>
        <v/>
      </c>
      <c r="J1643" s="23" t="n"/>
      <c r="K1643" s="23" t="n"/>
      <c r="L1643" s="23" t="n"/>
      <c r="M1643" s="23" t="n"/>
      <c r="N1643" s="23" t="n"/>
      <c r="O1643" s="20">
        <f>IF(OR(I1643="",COUNT(J1643:N1643)=0),"",IF(SUM(J1643:N1643)=I1643,"✓","⚠ "&amp;SUM(J1643:N1643)&amp;" statt "&amp;I1643))</f>
        <v/>
      </c>
      <c r="P1643" s="21" t="n"/>
      <c r="Q1643" s="21" t="n"/>
      <c r="R1643" s="21" t="n"/>
      <c r="S1643" s="24" t="n"/>
      <c r="T1643" s="24" t="n"/>
      <c r="V1643">
        <f>IF(A1643="","",MONTH(A1643))</f>
        <v/>
      </c>
      <c r="W1643">
        <f>N(W1642)+IF(AND(C1643&lt;&gt;"",T1643&lt;&gt;""),IF(C1643=WOCHE!$B$3,1,0),0)</f>
        <v/>
      </c>
      <c r="X1643">
        <f>N(X1642)+IF(AND(V1643&lt;&gt;"",T1643&lt;&gt;""),IF(V1643=MONAT!$AZ$3,1,0),0)</f>
        <v/>
      </c>
    </row>
    <row r="1644">
      <c r="A1644" s="19" t="n"/>
      <c r="B1644" s="20">
        <f>IF(A1644="","",CHOOSE(WEEKDAY(A1644,2),"Mo","Di","Mi","Do","Fr","Sa","So"))</f>
        <v/>
      </c>
      <c r="C1644" s="20">
        <f>IF(A1644="","",INT((A1644-DATE(YEAR(A1644-WEEKDAY(A1644-1)+4),1,3)+WEEKDAY(DATE(YEAR(A1644-WEEKDAY(A1644-1)+4),1,3))+5)/7))</f>
        <v/>
      </c>
      <c r="D1644" s="21" t="n"/>
      <c r="E1644" s="22" t="n"/>
      <c r="F1644" s="23" t="n"/>
      <c r="G1644" s="23" t="n"/>
      <c r="H1644" s="23" t="n"/>
      <c r="I1644" s="20">
        <f>IF(COUNT(F1644:H1644)=0,"",SUM(F1644:H1644))</f>
        <v/>
      </c>
      <c r="J1644" s="23" t="n"/>
      <c r="K1644" s="23" t="n"/>
      <c r="L1644" s="23" t="n"/>
      <c r="M1644" s="23" t="n"/>
      <c r="N1644" s="23" t="n"/>
      <c r="O1644" s="20">
        <f>IF(OR(I1644="",COUNT(J1644:N1644)=0),"",IF(SUM(J1644:N1644)=I1644,"✓","⚠ "&amp;SUM(J1644:N1644)&amp;" statt "&amp;I1644))</f>
        <v/>
      </c>
      <c r="P1644" s="21" t="n"/>
      <c r="Q1644" s="21" t="n"/>
      <c r="R1644" s="21" t="n"/>
      <c r="S1644" s="24" t="n"/>
      <c r="T1644" s="24" t="n"/>
      <c r="V1644">
        <f>IF(A1644="","",MONTH(A1644))</f>
        <v/>
      </c>
      <c r="W1644">
        <f>N(W1643)+IF(AND(C1644&lt;&gt;"",T1644&lt;&gt;""),IF(C1644=WOCHE!$B$3,1,0),0)</f>
        <v/>
      </c>
      <c r="X1644">
        <f>N(X1643)+IF(AND(V1644&lt;&gt;"",T1644&lt;&gt;""),IF(V1644=MONAT!$AZ$3,1,0),0)</f>
        <v/>
      </c>
    </row>
    <row r="1645">
      <c r="A1645" s="19" t="n"/>
      <c r="B1645" s="20">
        <f>IF(A1645="","",CHOOSE(WEEKDAY(A1645,2),"Mo","Di","Mi","Do","Fr","Sa","So"))</f>
        <v/>
      </c>
      <c r="C1645" s="20">
        <f>IF(A1645="","",INT((A1645-DATE(YEAR(A1645-WEEKDAY(A1645-1)+4),1,3)+WEEKDAY(DATE(YEAR(A1645-WEEKDAY(A1645-1)+4),1,3))+5)/7))</f>
        <v/>
      </c>
      <c r="D1645" s="21" t="n"/>
      <c r="E1645" s="22" t="n"/>
      <c r="F1645" s="23" t="n"/>
      <c r="G1645" s="23" t="n"/>
      <c r="H1645" s="23" t="n"/>
      <c r="I1645" s="20">
        <f>IF(COUNT(F1645:H1645)=0,"",SUM(F1645:H1645))</f>
        <v/>
      </c>
      <c r="J1645" s="23" t="n"/>
      <c r="K1645" s="23" t="n"/>
      <c r="L1645" s="23" t="n"/>
      <c r="M1645" s="23" t="n"/>
      <c r="N1645" s="23" t="n"/>
      <c r="O1645" s="20">
        <f>IF(OR(I1645="",COUNT(J1645:N1645)=0),"",IF(SUM(J1645:N1645)=I1645,"✓","⚠ "&amp;SUM(J1645:N1645)&amp;" statt "&amp;I1645))</f>
        <v/>
      </c>
      <c r="P1645" s="21" t="n"/>
      <c r="Q1645" s="21" t="n"/>
      <c r="R1645" s="21" t="n"/>
      <c r="S1645" s="24" t="n"/>
      <c r="T1645" s="24" t="n"/>
      <c r="V1645">
        <f>IF(A1645="","",MONTH(A1645))</f>
        <v/>
      </c>
      <c r="W1645">
        <f>N(W1644)+IF(AND(C1645&lt;&gt;"",T1645&lt;&gt;""),IF(C1645=WOCHE!$B$3,1,0),0)</f>
        <v/>
      </c>
      <c r="X1645">
        <f>N(X1644)+IF(AND(V1645&lt;&gt;"",T1645&lt;&gt;""),IF(V1645=MONAT!$AZ$3,1,0),0)</f>
        <v/>
      </c>
    </row>
    <row r="1646">
      <c r="A1646" s="19" t="n"/>
      <c r="B1646" s="20">
        <f>IF(A1646="","",CHOOSE(WEEKDAY(A1646,2),"Mo","Di","Mi","Do","Fr","Sa","So"))</f>
        <v/>
      </c>
      <c r="C1646" s="20">
        <f>IF(A1646="","",INT((A1646-DATE(YEAR(A1646-WEEKDAY(A1646-1)+4),1,3)+WEEKDAY(DATE(YEAR(A1646-WEEKDAY(A1646-1)+4),1,3))+5)/7))</f>
        <v/>
      </c>
      <c r="D1646" s="21" t="n"/>
      <c r="E1646" s="22" t="n"/>
      <c r="F1646" s="23" t="n"/>
      <c r="G1646" s="23" t="n"/>
      <c r="H1646" s="23" t="n"/>
      <c r="I1646" s="20">
        <f>IF(COUNT(F1646:H1646)=0,"",SUM(F1646:H1646))</f>
        <v/>
      </c>
      <c r="J1646" s="23" t="n"/>
      <c r="K1646" s="23" t="n"/>
      <c r="L1646" s="23" t="n"/>
      <c r="M1646" s="23" t="n"/>
      <c r="N1646" s="23" t="n"/>
      <c r="O1646" s="20">
        <f>IF(OR(I1646="",COUNT(J1646:N1646)=0),"",IF(SUM(J1646:N1646)=I1646,"✓","⚠ "&amp;SUM(J1646:N1646)&amp;" statt "&amp;I1646))</f>
        <v/>
      </c>
      <c r="P1646" s="21" t="n"/>
      <c r="Q1646" s="21" t="n"/>
      <c r="R1646" s="21" t="n"/>
      <c r="S1646" s="24" t="n"/>
      <c r="T1646" s="24" t="n"/>
      <c r="V1646">
        <f>IF(A1646="","",MONTH(A1646))</f>
        <v/>
      </c>
      <c r="W1646">
        <f>N(W1645)+IF(AND(C1646&lt;&gt;"",T1646&lt;&gt;""),IF(C1646=WOCHE!$B$3,1,0),0)</f>
        <v/>
      </c>
      <c r="X1646">
        <f>N(X1645)+IF(AND(V1646&lt;&gt;"",T1646&lt;&gt;""),IF(V1646=MONAT!$AZ$3,1,0),0)</f>
        <v/>
      </c>
    </row>
    <row r="1647">
      <c r="A1647" s="19" t="n"/>
      <c r="B1647" s="20">
        <f>IF(A1647="","",CHOOSE(WEEKDAY(A1647,2),"Mo","Di","Mi","Do","Fr","Sa","So"))</f>
        <v/>
      </c>
      <c r="C1647" s="20">
        <f>IF(A1647="","",INT((A1647-DATE(YEAR(A1647-WEEKDAY(A1647-1)+4),1,3)+WEEKDAY(DATE(YEAR(A1647-WEEKDAY(A1647-1)+4),1,3))+5)/7))</f>
        <v/>
      </c>
      <c r="D1647" s="21" t="n"/>
      <c r="E1647" s="22" t="n"/>
      <c r="F1647" s="23" t="n"/>
      <c r="G1647" s="23" t="n"/>
      <c r="H1647" s="23" t="n"/>
      <c r="I1647" s="20">
        <f>IF(COUNT(F1647:H1647)=0,"",SUM(F1647:H1647))</f>
        <v/>
      </c>
      <c r="J1647" s="23" t="n"/>
      <c r="K1647" s="23" t="n"/>
      <c r="L1647" s="23" t="n"/>
      <c r="M1647" s="23" t="n"/>
      <c r="N1647" s="23" t="n"/>
      <c r="O1647" s="20">
        <f>IF(OR(I1647="",COUNT(J1647:N1647)=0),"",IF(SUM(J1647:N1647)=I1647,"✓","⚠ "&amp;SUM(J1647:N1647)&amp;" statt "&amp;I1647))</f>
        <v/>
      </c>
      <c r="P1647" s="21" t="n"/>
      <c r="Q1647" s="21" t="n"/>
      <c r="R1647" s="21" t="n"/>
      <c r="S1647" s="24" t="n"/>
      <c r="T1647" s="24" t="n"/>
      <c r="V1647">
        <f>IF(A1647="","",MONTH(A1647))</f>
        <v/>
      </c>
      <c r="W1647">
        <f>N(W1646)+IF(AND(C1647&lt;&gt;"",T1647&lt;&gt;""),IF(C1647=WOCHE!$B$3,1,0),0)</f>
        <v/>
      </c>
      <c r="X1647">
        <f>N(X1646)+IF(AND(V1647&lt;&gt;"",T1647&lt;&gt;""),IF(V1647=MONAT!$AZ$3,1,0),0)</f>
        <v/>
      </c>
    </row>
    <row r="1648">
      <c r="A1648" s="19" t="n"/>
      <c r="B1648" s="20">
        <f>IF(A1648="","",CHOOSE(WEEKDAY(A1648,2),"Mo","Di","Mi","Do","Fr","Sa","So"))</f>
        <v/>
      </c>
      <c r="C1648" s="20">
        <f>IF(A1648="","",INT((A1648-DATE(YEAR(A1648-WEEKDAY(A1648-1)+4),1,3)+WEEKDAY(DATE(YEAR(A1648-WEEKDAY(A1648-1)+4),1,3))+5)/7))</f>
        <v/>
      </c>
      <c r="D1648" s="21" t="n"/>
      <c r="E1648" s="22" t="n"/>
      <c r="F1648" s="23" t="n"/>
      <c r="G1648" s="23" t="n"/>
      <c r="H1648" s="23" t="n"/>
      <c r="I1648" s="20">
        <f>IF(COUNT(F1648:H1648)=0,"",SUM(F1648:H1648))</f>
        <v/>
      </c>
      <c r="J1648" s="23" t="n"/>
      <c r="K1648" s="23" t="n"/>
      <c r="L1648" s="23" t="n"/>
      <c r="M1648" s="23" t="n"/>
      <c r="N1648" s="23" t="n"/>
      <c r="O1648" s="20">
        <f>IF(OR(I1648="",COUNT(J1648:N1648)=0),"",IF(SUM(J1648:N1648)=I1648,"✓","⚠ "&amp;SUM(J1648:N1648)&amp;" statt "&amp;I1648))</f>
        <v/>
      </c>
      <c r="P1648" s="21" t="n"/>
      <c r="Q1648" s="21" t="n"/>
      <c r="R1648" s="21" t="n"/>
      <c r="S1648" s="24" t="n"/>
      <c r="T1648" s="24" t="n"/>
      <c r="V1648">
        <f>IF(A1648="","",MONTH(A1648))</f>
        <v/>
      </c>
      <c r="W1648">
        <f>N(W1647)+IF(AND(C1648&lt;&gt;"",T1648&lt;&gt;""),IF(C1648=WOCHE!$B$3,1,0),0)</f>
        <v/>
      </c>
      <c r="X1648">
        <f>N(X1647)+IF(AND(V1648&lt;&gt;"",T1648&lt;&gt;""),IF(V1648=MONAT!$AZ$3,1,0),0)</f>
        <v/>
      </c>
    </row>
    <row r="1649">
      <c r="A1649" s="19" t="n"/>
      <c r="B1649" s="20">
        <f>IF(A1649="","",CHOOSE(WEEKDAY(A1649,2),"Mo","Di","Mi","Do","Fr","Sa","So"))</f>
        <v/>
      </c>
      <c r="C1649" s="20">
        <f>IF(A1649="","",INT((A1649-DATE(YEAR(A1649-WEEKDAY(A1649-1)+4),1,3)+WEEKDAY(DATE(YEAR(A1649-WEEKDAY(A1649-1)+4),1,3))+5)/7))</f>
        <v/>
      </c>
      <c r="D1649" s="21" t="n"/>
      <c r="E1649" s="22" t="n"/>
      <c r="F1649" s="23" t="n"/>
      <c r="G1649" s="23" t="n"/>
      <c r="H1649" s="23" t="n"/>
      <c r="I1649" s="20">
        <f>IF(COUNT(F1649:H1649)=0,"",SUM(F1649:H1649))</f>
        <v/>
      </c>
      <c r="J1649" s="23" t="n"/>
      <c r="K1649" s="23" t="n"/>
      <c r="L1649" s="23" t="n"/>
      <c r="M1649" s="23" t="n"/>
      <c r="N1649" s="23" t="n"/>
      <c r="O1649" s="20">
        <f>IF(OR(I1649="",COUNT(J1649:N1649)=0),"",IF(SUM(J1649:N1649)=I1649,"✓","⚠ "&amp;SUM(J1649:N1649)&amp;" statt "&amp;I1649))</f>
        <v/>
      </c>
      <c r="P1649" s="21" t="n"/>
      <c r="Q1649" s="21" t="n"/>
      <c r="R1649" s="21" t="n"/>
      <c r="S1649" s="24" t="n"/>
      <c r="T1649" s="24" t="n"/>
      <c r="V1649">
        <f>IF(A1649="","",MONTH(A1649))</f>
        <v/>
      </c>
      <c r="W1649">
        <f>N(W1648)+IF(AND(C1649&lt;&gt;"",T1649&lt;&gt;""),IF(C1649=WOCHE!$B$3,1,0),0)</f>
        <v/>
      </c>
      <c r="X1649">
        <f>N(X1648)+IF(AND(V1649&lt;&gt;"",T1649&lt;&gt;""),IF(V1649=MONAT!$AZ$3,1,0),0)</f>
        <v/>
      </c>
    </row>
    <row r="1650">
      <c r="A1650" s="19" t="n"/>
      <c r="B1650" s="20">
        <f>IF(A1650="","",CHOOSE(WEEKDAY(A1650,2),"Mo","Di","Mi","Do","Fr","Sa","So"))</f>
        <v/>
      </c>
      <c r="C1650" s="20">
        <f>IF(A1650="","",INT((A1650-DATE(YEAR(A1650-WEEKDAY(A1650-1)+4),1,3)+WEEKDAY(DATE(YEAR(A1650-WEEKDAY(A1650-1)+4),1,3))+5)/7))</f>
        <v/>
      </c>
      <c r="D1650" s="21" t="n"/>
      <c r="E1650" s="22" t="n"/>
      <c r="F1650" s="23" t="n"/>
      <c r="G1650" s="23" t="n"/>
      <c r="H1650" s="23" t="n"/>
      <c r="I1650" s="20">
        <f>IF(COUNT(F1650:H1650)=0,"",SUM(F1650:H1650))</f>
        <v/>
      </c>
      <c r="J1650" s="23" t="n"/>
      <c r="K1650" s="23" t="n"/>
      <c r="L1650" s="23" t="n"/>
      <c r="M1650" s="23" t="n"/>
      <c r="N1650" s="23" t="n"/>
      <c r="O1650" s="20">
        <f>IF(OR(I1650="",COUNT(J1650:N1650)=0),"",IF(SUM(J1650:N1650)=I1650,"✓","⚠ "&amp;SUM(J1650:N1650)&amp;" statt "&amp;I1650))</f>
        <v/>
      </c>
      <c r="P1650" s="21" t="n"/>
      <c r="Q1650" s="21" t="n"/>
      <c r="R1650" s="21" t="n"/>
      <c r="S1650" s="24" t="n"/>
      <c r="T1650" s="24" t="n"/>
      <c r="V1650">
        <f>IF(A1650="","",MONTH(A1650))</f>
        <v/>
      </c>
      <c r="W1650">
        <f>N(W1649)+IF(AND(C1650&lt;&gt;"",T1650&lt;&gt;""),IF(C1650=WOCHE!$B$3,1,0),0)</f>
        <v/>
      </c>
      <c r="X1650">
        <f>N(X1649)+IF(AND(V1650&lt;&gt;"",T1650&lt;&gt;""),IF(V1650=MONAT!$AZ$3,1,0),0)</f>
        <v/>
      </c>
    </row>
    <row r="1651">
      <c r="A1651" s="19" t="n"/>
      <c r="B1651" s="20">
        <f>IF(A1651="","",CHOOSE(WEEKDAY(A1651,2),"Mo","Di","Mi","Do","Fr","Sa","So"))</f>
        <v/>
      </c>
      <c r="C1651" s="20">
        <f>IF(A1651="","",INT((A1651-DATE(YEAR(A1651-WEEKDAY(A1651-1)+4),1,3)+WEEKDAY(DATE(YEAR(A1651-WEEKDAY(A1651-1)+4),1,3))+5)/7))</f>
        <v/>
      </c>
      <c r="D1651" s="21" t="n"/>
      <c r="E1651" s="22" t="n"/>
      <c r="F1651" s="23" t="n"/>
      <c r="G1651" s="23" t="n"/>
      <c r="H1651" s="23" t="n"/>
      <c r="I1651" s="20">
        <f>IF(COUNT(F1651:H1651)=0,"",SUM(F1651:H1651))</f>
        <v/>
      </c>
      <c r="J1651" s="23" t="n"/>
      <c r="K1651" s="23" t="n"/>
      <c r="L1651" s="23" t="n"/>
      <c r="M1651" s="23" t="n"/>
      <c r="N1651" s="23" t="n"/>
      <c r="O1651" s="20">
        <f>IF(OR(I1651="",COUNT(J1651:N1651)=0),"",IF(SUM(J1651:N1651)=I1651,"✓","⚠ "&amp;SUM(J1651:N1651)&amp;" statt "&amp;I1651))</f>
        <v/>
      </c>
      <c r="P1651" s="21" t="n"/>
      <c r="Q1651" s="21" t="n"/>
      <c r="R1651" s="21" t="n"/>
      <c r="S1651" s="24" t="n"/>
      <c r="T1651" s="24" t="n"/>
      <c r="V1651">
        <f>IF(A1651="","",MONTH(A1651))</f>
        <v/>
      </c>
      <c r="W1651">
        <f>N(W1650)+IF(AND(C1651&lt;&gt;"",T1651&lt;&gt;""),IF(C1651=WOCHE!$B$3,1,0),0)</f>
        <v/>
      </c>
      <c r="X1651">
        <f>N(X1650)+IF(AND(V1651&lt;&gt;"",T1651&lt;&gt;""),IF(V1651=MONAT!$AZ$3,1,0),0)</f>
        <v/>
      </c>
    </row>
    <row r="1652">
      <c r="A1652" s="19" t="n"/>
      <c r="B1652" s="20">
        <f>IF(A1652="","",CHOOSE(WEEKDAY(A1652,2),"Mo","Di","Mi","Do","Fr","Sa","So"))</f>
        <v/>
      </c>
      <c r="C1652" s="20">
        <f>IF(A1652="","",INT((A1652-DATE(YEAR(A1652-WEEKDAY(A1652-1)+4),1,3)+WEEKDAY(DATE(YEAR(A1652-WEEKDAY(A1652-1)+4),1,3))+5)/7))</f>
        <v/>
      </c>
      <c r="D1652" s="21" t="n"/>
      <c r="E1652" s="22" t="n"/>
      <c r="F1652" s="23" t="n"/>
      <c r="G1652" s="23" t="n"/>
      <c r="H1652" s="23" t="n"/>
      <c r="I1652" s="20">
        <f>IF(COUNT(F1652:H1652)=0,"",SUM(F1652:H1652))</f>
        <v/>
      </c>
      <c r="J1652" s="23" t="n"/>
      <c r="K1652" s="23" t="n"/>
      <c r="L1652" s="23" t="n"/>
      <c r="M1652" s="23" t="n"/>
      <c r="N1652" s="23" t="n"/>
      <c r="O1652" s="20">
        <f>IF(OR(I1652="",COUNT(J1652:N1652)=0),"",IF(SUM(J1652:N1652)=I1652,"✓","⚠ "&amp;SUM(J1652:N1652)&amp;" statt "&amp;I1652))</f>
        <v/>
      </c>
      <c r="P1652" s="21" t="n"/>
      <c r="Q1652" s="21" t="n"/>
      <c r="R1652" s="21" t="n"/>
      <c r="S1652" s="24" t="n"/>
      <c r="T1652" s="24" t="n"/>
      <c r="V1652">
        <f>IF(A1652="","",MONTH(A1652))</f>
        <v/>
      </c>
      <c r="W1652">
        <f>N(W1651)+IF(AND(C1652&lt;&gt;"",T1652&lt;&gt;""),IF(C1652=WOCHE!$B$3,1,0),0)</f>
        <v/>
      </c>
      <c r="X1652">
        <f>N(X1651)+IF(AND(V1652&lt;&gt;"",T1652&lt;&gt;""),IF(V1652=MONAT!$AZ$3,1,0),0)</f>
        <v/>
      </c>
    </row>
    <row r="1653">
      <c r="A1653" s="19" t="n"/>
      <c r="B1653" s="20">
        <f>IF(A1653="","",CHOOSE(WEEKDAY(A1653,2),"Mo","Di","Mi","Do","Fr","Sa","So"))</f>
        <v/>
      </c>
      <c r="C1653" s="20">
        <f>IF(A1653="","",INT((A1653-DATE(YEAR(A1653-WEEKDAY(A1653-1)+4),1,3)+WEEKDAY(DATE(YEAR(A1653-WEEKDAY(A1653-1)+4),1,3))+5)/7))</f>
        <v/>
      </c>
      <c r="D1653" s="21" t="n"/>
      <c r="E1653" s="22" t="n"/>
      <c r="F1653" s="23" t="n"/>
      <c r="G1653" s="23" t="n"/>
      <c r="H1653" s="23" t="n"/>
      <c r="I1653" s="20">
        <f>IF(COUNT(F1653:H1653)=0,"",SUM(F1653:H1653))</f>
        <v/>
      </c>
      <c r="J1653" s="23" t="n"/>
      <c r="K1653" s="23" t="n"/>
      <c r="L1653" s="23" t="n"/>
      <c r="M1653" s="23" t="n"/>
      <c r="N1653" s="23" t="n"/>
      <c r="O1653" s="20">
        <f>IF(OR(I1653="",COUNT(J1653:N1653)=0),"",IF(SUM(J1653:N1653)=I1653,"✓","⚠ "&amp;SUM(J1653:N1653)&amp;" statt "&amp;I1653))</f>
        <v/>
      </c>
      <c r="P1653" s="21" t="n"/>
      <c r="Q1653" s="21" t="n"/>
      <c r="R1653" s="21" t="n"/>
      <c r="S1653" s="24" t="n"/>
      <c r="T1653" s="24" t="n"/>
      <c r="V1653">
        <f>IF(A1653="","",MONTH(A1653))</f>
        <v/>
      </c>
      <c r="W1653">
        <f>N(W1652)+IF(AND(C1653&lt;&gt;"",T1653&lt;&gt;""),IF(C1653=WOCHE!$B$3,1,0),0)</f>
        <v/>
      </c>
      <c r="X1653">
        <f>N(X1652)+IF(AND(V1653&lt;&gt;"",T1653&lt;&gt;""),IF(V1653=MONAT!$AZ$3,1,0),0)</f>
        <v/>
      </c>
    </row>
    <row r="1654">
      <c r="A1654" s="19" t="n"/>
      <c r="B1654" s="20">
        <f>IF(A1654="","",CHOOSE(WEEKDAY(A1654,2),"Mo","Di","Mi","Do","Fr","Sa","So"))</f>
        <v/>
      </c>
      <c r="C1654" s="20">
        <f>IF(A1654="","",INT((A1654-DATE(YEAR(A1654-WEEKDAY(A1654-1)+4),1,3)+WEEKDAY(DATE(YEAR(A1654-WEEKDAY(A1654-1)+4),1,3))+5)/7))</f>
        <v/>
      </c>
      <c r="D1654" s="21" t="n"/>
      <c r="E1654" s="22" t="n"/>
      <c r="F1654" s="23" t="n"/>
      <c r="G1654" s="23" t="n"/>
      <c r="H1654" s="23" t="n"/>
      <c r="I1654" s="20">
        <f>IF(COUNT(F1654:H1654)=0,"",SUM(F1654:H1654))</f>
        <v/>
      </c>
      <c r="J1654" s="23" t="n"/>
      <c r="K1654" s="23" t="n"/>
      <c r="L1654" s="23" t="n"/>
      <c r="M1654" s="23" t="n"/>
      <c r="N1654" s="23" t="n"/>
      <c r="O1654" s="20">
        <f>IF(OR(I1654="",COUNT(J1654:N1654)=0),"",IF(SUM(J1654:N1654)=I1654,"✓","⚠ "&amp;SUM(J1654:N1654)&amp;" statt "&amp;I1654))</f>
        <v/>
      </c>
      <c r="P1654" s="21" t="n"/>
      <c r="Q1654" s="21" t="n"/>
      <c r="R1654" s="21" t="n"/>
      <c r="S1654" s="24" t="n"/>
      <c r="T1654" s="24" t="n"/>
      <c r="V1654">
        <f>IF(A1654="","",MONTH(A1654))</f>
        <v/>
      </c>
      <c r="W1654">
        <f>N(W1653)+IF(AND(C1654&lt;&gt;"",T1654&lt;&gt;""),IF(C1654=WOCHE!$B$3,1,0),0)</f>
        <v/>
      </c>
      <c r="X1654">
        <f>N(X1653)+IF(AND(V1654&lt;&gt;"",T1654&lt;&gt;""),IF(V1654=MONAT!$AZ$3,1,0),0)</f>
        <v/>
      </c>
    </row>
    <row r="1655">
      <c r="A1655" s="19" t="n"/>
      <c r="B1655" s="20">
        <f>IF(A1655="","",CHOOSE(WEEKDAY(A1655,2),"Mo","Di","Mi","Do","Fr","Sa","So"))</f>
        <v/>
      </c>
      <c r="C1655" s="20">
        <f>IF(A1655="","",INT((A1655-DATE(YEAR(A1655-WEEKDAY(A1655-1)+4),1,3)+WEEKDAY(DATE(YEAR(A1655-WEEKDAY(A1655-1)+4),1,3))+5)/7))</f>
        <v/>
      </c>
      <c r="D1655" s="21" t="n"/>
      <c r="E1655" s="22" t="n"/>
      <c r="F1655" s="23" t="n"/>
      <c r="G1655" s="23" t="n"/>
      <c r="H1655" s="23" t="n"/>
      <c r="I1655" s="20">
        <f>IF(COUNT(F1655:H1655)=0,"",SUM(F1655:H1655))</f>
        <v/>
      </c>
      <c r="J1655" s="23" t="n"/>
      <c r="K1655" s="23" t="n"/>
      <c r="L1655" s="23" t="n"/>
      <c r="M1655" s="23" t="n"/>
      <c r="N1655" s="23" t="n"/>
      <c r="O1655" s="20">
        <f>IF(OR(I1655="",COUNT(J1655:N1655)=0),"",IF(SUM(J1655:N1655)=I1655,"✓","⚠ "&amp;SUM(J1655:N1655)&amp;" statt "&amp;I1655))</f>
        <v/>
      </c>
      <c r="P1655" s="21" t="n"/>
      <c r="Q1655" s="21" t="n"/>
      <c r="R1655" s="21" t="n"/>
      <c r="S1655" s="24" t="n"/>
      <c r="T1655" s="24" t="n"/>
      <c r="V1655">
        <f>IF(A1655="","",MONTH(A1655))</f>
        <v/>
      </c>
      <c r="W1655">
        <f>N(W1654)+IF(AND(C1655&lt;&gt;"",T1655&lt;&gt;""),IF(C1655=WOCHE!$B$3,1,0),0)</f>
        <v/>
      </c>
      <c r="X1655">
        <f>N(X1654)+IF(AND(V1655&lt;&gt;"",T1655&lt;&gt;""),IF(V1655=MONAT!$AZ$3,1,0),0)</f>
        <v/>
      </c>
    </row>
    <row r="1656">
      <c r="A1656" s="19" t="n"/>
      <c r="B1656" s="20">
        <f>IF(A1656="","",CHOOSE(WEEKDAY(A1656,2),"Mo","Di","Mi","Do","Fr","Sa","So"))</f>
        <v/>
      </c>
      <c r="C1656" s="20">
        <f>IF(A1656="","",INT((A1656-DATE(YEAR(A1656-WEEKDAY(A1656-1)+4),1,3)+WEEKDAY(DATE(YEAR(A1656-WEEKDAY(A1656-1)+4),1,3))+5)/7))</f>
        <v/>
      </c>
      <c r="D1656" s="21" t="n"/>
      <c r="E1656" s="22" t="n"/>
      <c r="F1656" s="23" t="n"/>
      <c r="G1656" s="23" t="n"/>
      <c r="H1656" s="23" t="n"/>
      <c r="I1656" s="20">
        <f>IF(COUNT(F1656:H1656)=0,"",SUM(F1656:H1656))</f>
        <v/>
      </c>
      <c r="J1656" s="23" t="n"/>
      <c r="K1656" s="23" t="n"/>
      <c r="L1656" s="23" t="n"/>
      <c r="M1656" s="23" t="n"/>
      <c r="N1656" s="23" t="n"/>
      <c r="O1656" s="20">
        <f>IF(OR(I1656="",COUNT(J1656:N1656)=0),"",IF(SUM(J1656:N1656)=I1656,"✓","⚠ "&amp;SUM(J1656:N1656)&amp;" statt "&amp;I1656))</f>
        <v/>
      </c>
      <c r="P1656" s="21" t="n"/>
      <c r="Q1656" s="21" t="n"/>
      <c r="R1656" s="21" t="n"/>
      <c r="S1656" s="24" t="n"/>
      <c r="T1656" s="24" t="n"/>
      <c r="V1656">
        <f>IF(A1656="","",MONTH(A1656))</f>
        <v/>
      </c>
      <c r="W1656">
        <f>N(W1655)+IF(AND(C1656&lt;&gt;"",T1656&lt;&gt;""),IF(C1656=WOCHE!$B$3,1,0),0)</f>
        <v/>
      </c>
      <c r="X1656">
        <f>N(X1655)+IF(AND(V1656&lt;&gt;"",T1656&lt;&gt;""),IF(V1656=MONAT!$AZ$3,1,0),0)</f>
        <v/>
      </c>
    </row>
    <row r="1657">
      <c r="A1657" s="19" t="n"/>
      <c r="B1657" s="20">
        <f>IF(A1657="","",CHOOSE(WEEKDAY(A1657,2),"Mo","Di","Mi","Do","Fr","Sa","So"))</f>
        <v/>
      </c>
      <c r="C1657" s="20">
        <f>IF(A1657="","",INT((A1657-DATE(YEAR(A1657-WEEKDAY(A1657-1)+4),1,3)+WEEKDAY(DATE(YEAR(A1657-WEEKDAY(A1657-1)+4),1,3))+5)/7))</f>
        <v/>
      </c>
      <c r="D1657" s="21" t="n"/>
      <c r="E1657" s="22" t="n"/>
      <c r="F1657" s="23" t="n"/>
      <c r="G1657" s="23" t="n"/>
      <c r="H1657" s="23" t="n"/>
      <c r="I1657" s="20">
        <f>IF(COUNT(F1657:H1657)=0,"",SUM(F1657:H1657))</f>
        <v/>
      </c>
      <c r="J1657" s="23" t="n"/>
      <c r="K1657" s="23" t="n"/>
      <c r="L1657" s="23" t="n"/>
      <c r="M1657" s="23" t="n"/>
      <c r="N1657" s="23" t="n"/>
      <c r="O1657" s="20">
        <f>IF(OR(I1657="",COUNT(J1657:N1657)=0),"",IF(SUM(J1657:N1657)=I1657,"✓","⚠ "&amp;SUM(J1657:N1657)&amp;" statt "&amp;I1657))</f>
        <v/>
      </c>
      <c r="P1657" s="21" t="n"/>
      <c r="Q1657" s="21" t="n"/>
      <c r="R1657" s="21" t="n"/>
      <c r="S1657" s="24" t="n"/>
      <c r="T1657" s="24" t="n"/>
      <c r="V1657">
        <f>IF(A1657="","",MONTH(A1657))</f>
        <v/>
      </c>
      <c r="W1657">
        <f>N(W1656)+IF(AND(C1657&lt;&gt;"",T1657&lt;&gt;""),IF(C1657=WOCHE!$B$3,1,0),0)</f>
        <v/>
      </c>
      <c r="X1657">
        <f>N(X1656)+IF(AND(V1657&lt;&gt;"",T1657&lt;&gt;""),IF(V1657=MONAT!$AZ$3,1,0),0)</f>
        <v/>
      </c>
    </row>
    <row r="1658">
      <c r="A1658" s="19" t="n"/>
      <c r="B1658" s="20">
        <f>IF(A1658="","",CHOOSE(WEEKDAY(A1658,2),"Mo","Di","Mi","Do","Fr","Sa","So"))</f>
        <v/>
      </c>
      <c r="C1658" s="20">
        <f>IF(A1658="","",INT((A1658-DATE(YEAR(A1658-WEEKDAY(A1658-1)+4),1,3)+WEEKDAY(DATE(YEAR(A1658-WEEKDAY(A1658-1)+4),1,3))+5)/7))</f>
        <v/>
      </c>
      <c r="D1658" s="21" t="n"/>
      <c r="E1658" s="22" t="n"/>
      <c r="F1658" s="23" t="n"/>
      <c r="G1658" s="23" t="n"/>
      <c r="H1658" s="23" t="n"/>
      <c r="I1658" s="20">
        <f>IF(COUNT(F1658:H1658)=0,"",SUM(F1658:H1658))</f>
        <v/>
      </c>
      <c r="J1658" s="23" t="n"/>
      <c r="K1658" s="23" t="n"/>
      <c r="L1658" s="23" t="n"/>
      <c r="M1658" s="23" t="n"/>
      <c r="N1658" s="23" t="n"/>
      <c r="O1658" s="20">
        <f>IF(OR(I1658="",COUNT(J1658:N1658)=0),"",IF(SUM(J1658:N1658)=I1658,"✓","⚠ "&amp;SUM(J1658:N1658)&amp;" statt "&amp;I1658))</f>
        <v/>
      </c>
      <c r="P1658" s="21" t="n"/>
      <c r="Q1658" s="21" t="n"/>
      <c r="R1658" s="21" t="n"/>
      <c r="S1658" s="24" t="n"/>
      <c r="T1658" s="24" t="n"/>
      <c r="V1658">
        <f>IF(A1658="","",MONTH(A1658))</f>
        <v/>
      </c>
      <c r="W1658">
        <f>N(W1657)+IF(AND(C1658&lt;&gt;"",T1658&lt;&gt;""),IF(C1658=WOCHE!$B$3,1,0),0)</f>
        <v/>
      </c>
      <c r="X1658">
        <f>N(X1657)+IF(AND(V1658&lt;&gt;"",T1658&lt;&gt;""),IF(V1658=MONAT!$AZ$3,1,0),0)</f>
        <v/>
      </c>
    </row>
    <row r="1659">
      <c r="A1659" s="19" t="n"/>
      <c r="B1659" s="20">
        <f>IF(A1659="","",CHOOSE(WEEKDAY(A1659,2),"Mo","Di","Mi","Do","Fr","Sa","So"))</f>
        <v/>
      </c>
      <c r="C1659" s="20">
        <f>IF(A1659="","",INT((A1659-DATE(YEAR(A1659-WEEKDAY(A1659-1)+4),1,3)+WEEKDAY(DATE(YEAR(A1659-WEEKDAY(A1659-1)+4),1,3))+5)/7))</f>
        <v/>
      </c>
      <c r="D1659" s="21" t="n"/>
      <c r="E1659" s="22" t="n"/>
      <c r="F1659" s="23" t="n"/>
      <c r="G1659" s="23" t="n"/>
      <c r="H1659" s="23" t="n"/>
      <c r="I1659" s="20">
        <f>IF(COUNT(F1659:H1659)=0,"",SUM(F1659:H1659))</f>
        <v/>
      </c>
      <c r="J1659" s="23" t="n"/>
      <c r="K1659" s="23" t="n"/>
      <c r="L1659" s="23" t="n"/>
      <c r="M1659" s="23" t="n"/>
      <c r="N1659" s="23" t="n"/>
      <c r="O1659" s="20">
        <f>IF(OR(I1659="",COUNT(J1659:N1659)=0),"",IF(SUM(J1659:N1659)=I1659,"✓","⚠ "&amp;SUM(J1659:N1659)&amp;" statt "&amp;I1659))</f>
        <v/>
      </c>
      <c r="P1659" s="21" t="n"/>
      <c r="Q1659" s="21" t="n"/>
      <c r="R1659" s="21" t="n"/>
      <c r="S1659" s="24" t="n"/>
      <c r="T1659" s="24" t="n"/>
      <c r="V1659">
        <f>IF(A1659="","",MONTH(A1659))</f>
        <v/>
      </c>
      <c r="W1659">
        <f>N(W1658)+IF(AND(C1659&lt;&gt;"",T1659&lt;&gt;""),IF(C1659=WOCHE!$B$3,1,0),0)</f>
        <v/>
      </c>
      <c r="X1659">
        <f>N(X1658)+IF(AND(V1659&lt;&gt;"",T1659&lt;&gt;""),IF(V1659=MONAT!$AZ$3,1,0),0)</f>
        <v/>
      </c>
    </row>
    <row r="1660">
      <c r="A1660" s="19" t="n"/>
      <c r="B1660" s="20">
        <f>IF(A1660="","",CHOOSE(WEEKDAY(A1660,2),"Mo","Di","Mi","Do","Fr","Sa","So"))</f>
        <v/>
      </c>
      <c r="C1660" s="20">
        <f>IF(A1660="","",INT((A1660-DATE(YEAR(A1660-WEEKDAY(A1660-1)+4),1,3)+WEEKDAY(DATE(YEAR(A1660-WEEKDAY(A1660-1)+4),1,3))+5)/7))</f>
        <v/>
      </c>
      <c r="D1660" s="21" t="n"/>
      <c r="E1660" s="22" t="n"/>
      <c r="F1660" s="23" t="n"/>
      <c r="G1660" s="23" t="n"/>
      <c r="H1660" s="23" t="n"/>
      <c r="I1660" s="20">
        <f>IF(COUNT(F1660:H1660)=0,"",SUM(F1660:H1660))</f>
        <v/>
      </c>
      <c r="J1660" s="23" t="n"/>
      <c r="K1660" s="23" t="n"/>
      <c r="L1660" s="23" t="n"/>
      <c r="M1660" s="23" t="n"/>
      <c r="N1660" s="23" t="n"/>
      <c r="O1660" s="20">
        <f>IF(OR(I1660="",COUNT(J1660:N1660)=0),"",IF(SUM(J1660:N1660)=I1660,"✓","⚠ "&amp;SUM(J1660:N1660)&amp;" statt "&amp;I1660))</f>
        <v/>
      </c>
      <c r="P1660" s="21" t="n"/>
      <c r="Q1660" s="21" t="n"/>
      <c r="R1660" s="21" t="n"/>
      <c r="S1660" s="24" t="n"/>
      <c r="T1660" s="24" t="n"/>
      <c r="V1660">
        <f>IF(A1660="","",MONTH(A1660))</f>
        <v/>
      </c>
      <c r="W1660">
        <f>N(W1659)+IF(AND(C1660&lt;&gt;"",T1660&lt;&gt;""),IF(C1660=WOCHE!$B$3,1,0),0)</f>
        <v/>
      </c>
      <c r="X1660">
        <f>N(X1659)+IF(AND(V1660&lt;&gt;"",T1660&lt;&gt;""),IF(V1660=MONAT!$AZ$3,1,0),0)</f>
        <v/>
      </c>
    </row>
    <row r="1661">
      <c r="A1661" s="19" t="n"/>
      <c r="B1661" s="20">
        <f>IF(A1661="","",CHOOSE(WEEKDAY(A1661,2),"Mo","Di","Mi","Do","Fr","Sa","So"))</f>
        <v/>
      </c>
      <c r="C1661" s="20">
        <f>IF(A1661="","",INT((A1661-DATE(YEAR(A1661-WEEKDAY(A1661-1)+4),1,3)+WEEKDAY(DATE(YEAR(A1661-WEEKDAY(A1661-1)+4),1,3))+5)/7))</f>
        <v/>
      </c>
      <c r="D1661" s="21" t="n"/>
      <c r="E1661" s="22" t="n"/>
      <c r="F1661" s="23" t="n"/>
      <c r="G1661" s="23" t="n"/>
      <c r="H1661" s="23" t="n"/>
      <c r="I1661" s="20">
        <f>IF(COUNT(F1661:H1661)=0,"",SUM(F1661:H1661))</f>
        <v/>
      </c>
      <c r="J1661" s="23" t="n"/>
      <c r="K1661" s="23" t="n"/>
      <c r="L1661" s="23" t="n"/>
      <c r="M1661" s="23" t="n"/>
      <c r="N1661" s="23" t="n"/>
      <c r="O1661" s="20">
        <f>IF(OR(I1661="",COUNT(J1661:N1661)=0),"",IF(SUM(J1661:N1661)=I1661,"✓","⚠ "&amp;SUM(J1661:N1661)&amp;" statt "&amp;I1661))</f>
        <v/>
      </c>
      <c r="P1661" s="21" t="n"/>
      <c r="Q1661" s="21" t="n"/>
      <c r="R1661" s="21" t="n"/>
      <c r="S1661" s="24" t="n"/>
      <c r="T1661" s="24" t="n"/>
      <c r="V1661">
        <f>IF(A1661="","",MONTH(A1661))</f>
        <v/>
      </c>
      <c r="W1661">
        <f>N(W1660)+IF(AND(C1661&lt;&gt;"",T1661&lt;&gt;""),IF(C1661=WOCHE!$B$3,1,0),0)</f>
        <v/>
      </c>
      <c r="X1661">
        <f>N(X1660)+IF(AND(V1661&lt;&gt;"",T1661&lt;&gt;""),IF(V1661=MONAT!$AZ$3,1,0),0)</f>
        <v/>
      </c>
    </row>
    <row r="1662">
      <c r="A1662" s="19" t="n"/>
      <c r="B1662" s="20">
        <f>IF(A1662="","",CHOOSE(WEEKDAY(A1662,2),"Mo","Di","Mi","Do","Fr","Sa","So"))</f>
        <v/>
      </c>
      <c r="C1662" s="20">
        <f>IF(A1662="","",INT((A1662-DATE(YEAR(A1662-WEEKDAY(A1662-1)+4),1,3)+WEEKDAY(DATE(YEAR(A1662-WEEKDAY(A1662-1)+4),1,3))+5)/7))</f>
        <v/>
      </c>
      <c r="D1662" s="21" t="n"/>
      <c r="E1662" s="22" t="n"/>
      <c r="F1662" s="23" t="n"/>
      <c r="G1662" s="23" t="n"/>
      <c r="H1662" s="23" t="n"/>
      <c r="I1662" s="20">
        <f>IF(COUNT(F1662:H1662)=0,"",SUM(F1662:H1662))</f>
        <v/>
      </c>
      <c r="J1662" s="23" t="n"/>
      <c r="K1662" s="23" t="n"/>
      <c r="L1662" s="23" t="n"/>
      <c r="M1662" s="23" t="n"/>
      <c r="N1662" s="23" t="n"/>
      <c r="O1662" s="20">
        <f>IF(OR(I1662="",COUNT(J1662:N1662)=0),"",IF(SUM(J1662:N1662)=I1662,"✓","⚠ "&amp;SUM(J1662:N1662)&amp;" statt "&amp;I1662))</f>
        <v/>
      </c>
      <c r="P1662" s="21" t="n"/>
      <c r="Q1662" s="21" t="n"/>
      <c r="R1662" s="21" t="n"/>
      <c r="S1662" s="24" t="n"/>
      <c r="T1662" s="24" t="n"/>
      <c r="V1662">
        <f>IF(A1662="","",MONTH(A1662))</f>
        <v/>
      </c>
      <c r="W1662">
        <f>N(W1661)+IF(AND(C1662&lt;&gt;"",T1662&lt;&gt;""),IF(C1662=WOCHE!$B$3,1,0),0)</f>
        <v/>
      </c>
      <c r="X1662">
        <f>N(X1661)+IF(AND(V1662&lt;&gt;"",T1662&lt;&gt;""),IF(V1662=MONAT!$AZ$3,1,0),0)</f>
        <v/>
      </c>
    </row>
    <row r="1663">
      <c r="A1663" s="19" t="n"/>
      <c r="B1663" s="20">
        <f>IF(A1663="","",CHOOSE(WEEKDAY(A1663,2),"Mo","Di","Mi","Do","Fr","Sa","So"))</f>
        <v/>
      </c>
      <c r="C1663" s="20">
        <f>IF(A1663="","",INT((A1663-DATE(YEAR(A1663-WEEKDAY(A1663-1)+4),1,3)+WEEKDAY(DATE(YEAR(A1663-WEEKDAY(A1663-1)+4),1,3))+5)/7))</f>
        <v/>
      </c>
      <c r="D1663" s="21" t="n"/>
      <c r="E1663" s="22" t="n"/>
      <c r="F1663" s="23" t="n"/>
      <c r="G1663" s="23" t="n"/>
      <c r="H1663" s="23" t="n"/>
      <c r="I1663" s="20">
        <f>IF(COUNT(F1663:H1663)=0,"",SUM(F1663:H1663))</f>
        <v/>
      </c>
      <c r="J1663" s="23" t="n"/>
      <c r="K1663" s="23" t="n"/>
      <c r="L1663" s="23" t="n"/>
      <c r="M1663" s="23" t="n"/>
      <c r="N1663" s="23" t="n"/>
      <c r="O1663" s="20">
        <f>IF(OR(I1663="",COUNT(J1663:N1663)=0),"",IF(SUM(J1663:N1663)=I1663,"✓","⚠ "&amp;SUM(J1663:N1663)&amp;" statt "&amp;I1663))</f>
        <v/>
      </c>
      <c r="P1663" s="21" t="n"/>
      <c r="Q1663" s="21" t="n"/>
      <c r="R1663" s="21" t="n"/>
      <c r="S1663" s="24" t="n"/>
      <c r="T1663" s="24" t="n"/>
      <c r="V1663">
        <f>IF(A1663="","",MONTH(A1663))</f>
        <v/>
      </c>
      <c r="W1663">
        <f>N(W1662)+IF(AND(C1663&lt;&gt;"",T1663&lt;&gt;""),IF(C1663=WOCHE!$B$3,1,0),0)</f>
        <v/>
      </c>
      <c r="X1663">
        <f>N(X1662)+IF(AND(V1663&lt;&gt;"",T1663&lt;&gt;""),IF(V1663=MONAT!$AZ$3,1,0),0)</f>
        <v/>
      </c>
    </row>
    <row r="1664">
      <c r="A1664" s="19" t="n"/>
      <c r="B1664" s="20">
        <f>IF(A1664="","",CHOOSE(WEEKDAY(A1664,2),"Mo","Di","Mi","Do","Fr","Sa","So"))</f>
        <v/>
      </c>
      <c r="C1664" s="20">
        <f>IF(A1664="","",INT((A1664-DATE(YEAR(A1664-WEEKDAY(A1664-1)+4),1,3)+WEEKDAY(DATE(YEAR(A1664-WEEKDAY(A1664-1)+4),1,3))+5)/7))</f>
        <v/>
      </c>
      <c r="D1664" s="21" t="n"/>
      <c r="E1664" s="22" t="n"/>
      <c r="F1664" s="23" t="n"/>
      <c r="G1664" s="23" t="n"/>
      <c r="H1664" s="23" t="n"/>
      <c r="I1664" s="20">
        <f>IF(COUNT(F1664:H1664)=0,"",SUM(F1664:H1664))</f>
        <v/>
      </c>
      <c r="J1664" s="23" t="n"/>
      <c r="K1664" s="23" t="n"/>
      <c r="L1664" s="23" t="n"/>
      <c r="M1664" s="23" t="n"/>
      <c r="N1664" s="23" t="n"/>
      <c r="O1664" s="20">
        <f>IF(OR(I1664="",COUNT(J1664:N1664)=0),"",IF(SUM(J1664:N1664)=I1664,"✓","⚠ "&amp;SUM(J1664:N1664)&amp;" statt "&amp;I1664))</f>
        <v/>
      </c>
      <c r="P1664" s="21" t="n"/>
      <c r="Q1664" s="21" t="n"/>
      <c r="R1664" s="21" t="n"/>
      <c r="S1664" s="24" t="n"/>
      <c r="T1664" s="24" t="n"/>
      <c r="V1664">
        <f>IF(A1664="","",MONTH(A1664))</f>
        <v/>
      </c>
      <c r="W1664">
        <f>N(W1663)+IF(AND(C1664&lt;&gt;"",T1664&lt;&gt;""),IF(C1664=WOCHE!$B$3,1,0),0)</f>
        <v/>
      </c>
      <c r="X1664">
        <f>N(X1663)+IF(AND(V1664&lt;&gt;"",T1664&lt;&gt;""),IF(V1664=MONAT!$AZ$3,1,0),0)</f>
        <v/>
      </c>
    </row>
    <row r="1665">
      <c r="A1665" s="19" t="n"/>
      <c r="B1665" s="20">
        <f>IF(A1665="","",CHOOSE(WEEKDAY(A1665,2),"Mo","Di","Mi","Do","Fr","Sa","So"))</f>
        <v/>
      </c>
      <c r="C1665" s="20">
        <f>IF(A1665="","",INT((A1665-DATE(YEAR(A1665-WEEKDAY(A1665-1)+4),1,3)+WEEKDAY(DATE(YEAR(A1665-WEEKDAY(A1665-1)+4),1,3))+5)/7))</f>
        <v/>
      </c>
      <c r="D1665" s="21" t="n"/>
      <c r="E1665" s="22" t="n"/>
      <c r="F1665" s="23" t="n"/>
      <c r="G1665" s="23" t="n"/>
      <c r="H1665" s="23" t="n"/>
      <c r="I1665" s="20">
        <f>IF(COUNT(F1665:H1665)=0,"",SUM(F1665:H1665))</f>
        <v/>
      </c>
      <c r="J1665" s="23" t="n"/>
      <c r="K1665" s="23" t="n"/>
      <c r="L1665" s="23" t="n"/>
      <c r="M1665" s="23" t="n"/>
      <c r="N1665" s="23" t="n"/>
      <c r="O1665" s="20">
        <f>IF(OR(I1665="",COUNT(J1665:N1665)=0),"",IF(SUM(J1665:N1665)=I1665,"✓","⚠ "&amp;SUM(J1665:N1665)&amp;" statt "&amp;I1665))</f>
        <v/>
      </c>
      <c r="P1665" s="21" t="n"/>
      <c r="Q1665" s="21" t="n"/>
      <c r="R1665" s="21" t="n"/>
      <c r="S1665" s="24" t="n"/>
      <c r="T1665" s="24" t="n"/>
      <c r="V1665">
        <f>IF(A1665="","",MONTH(A1665))</f>
        <v/>
      </c>
      <c r="W1665">
        <f>N(W1664)+IF(AND(C1665&lt;&gt;"",T1665&lt;&gt;""),IF(C1665=WOCHE!$B$3,1,0),0)</f>
        <v/>
      </c>
      <c r="X1665">
        <f>N(X1664)+IF(AND(V1665&lt;&gt;"",T1665&lt;&gt;""),IF(V1665=MONAT!$AZ$3,1,0),0)</f>
        <v/>
      </c>
    </row>
    <row r="1666">
      <c r="A1666" s="19" t="n"/>
      <c r="B1666" s="20">
        <f>IF(A1666="","",CHOOSE(WEEKDAY(A1666,2),"Mo","Di","Mi","Do","Fr","Sa","So"))</f>
        <v/>
      </c>
      <c r="C1666" s="20">
        <f>IF(A1666="","",INT((A1666-DATE(YEAR(A1666-WEEKDAY(A1666-1)+4),1,3)+WEEKDAY(DATE(YEAR(A1666-WEEKDAY(A1666-1)+4),1,3))+5)/7))</f>
        <v/>
      </c>
      <c r="D1666" s="21" t="n"/>
      <c r="E1666" s="22" t="n"/>
      <c r="F1666" s="23" t="n"/>
      <c r="G1666" s="23" t="n"/>
      <c r="H1666" s="23" t="n"/>
      <c r="I1666" s="20">
        <f>IF(COUNT(F1666:H1666)=0,"",SUM(F1666:H1666))</f>
        <v/>
      </c>
      <c r="J1666" s="23" t="n"/>
      <c r="K1666" s="23" t="n"/>
      <c r="L1666" s="23" t="n"/>
      <c r="M1666" s="23" t="n"/>
      <c r="N1666" s="23" t="n"/>
      <c r="O1666" s="20">
        <f>IF(OR(I1666="",COUNT(J1666:N1666)=0),"",IF(SUM(J1666:N1666)=I1666,"✓","⚠ "&amp;SUM(J1666:N1666)&amp;" statt "&amp;I1666))</f>
        <v/>
      </c>
      <c r="P1666" s="21" t="n"/>
      <c r="Q1666" s="21" t="n"/>
      <c r="R1666" s="21" t="n"/>
      <c r="S1666" s="24" t="n"/>
      <c r="T1666" s="24" t="n"/>
      <c r="V1666">
        <f>IF(A1666="","",MONTH(A1666))</f>
        <v/>
      </c>
      <c r="W1666">
        <f>N(W1665)+IF(AND(C1666&lt;&gt;"",T1666&lt;&gt;""),IF(C1666=WOCHE!$B$3,1,0),0)</f>
        <v/>
      </c>
      <c r="X1666">
        <f>N(X1665)+IF(AND(V1666&lt;&gt;"",T1666&lt;&gt;""),IF(V1666=MONAT!$AZ$3,1,0),0)</f>
        <v/>
      </c>
    </row>
    <row r="1667">
      <c r="A1667" s="19" t="n"/>
      <c r="B1667" s="20">
        <f>IF(A1667="","",CHOOSE(WEEKDAY(A1667,2),"Mo","Di","Mi","Do","Fr","Sa","So"))</f>
        <v/>
      </c>
      <c r="C1667" s="20">
        <f>IF(A1667="","",INT((A1667-DATE(YEAR(A1667-WEEKDAY(A1667-1)+4),1,3)+WEEKDAY(DATE(YEAR(A1667-WEEKDAY(A1667-1)+4),1,3))+5)/7))</f>
        <v/>
      </c>
      <c r="D1667" s="21" t="n"/>
      <c r="E1667" s="22" t="n"/>
      <c r="F1667" s="23" t="n"/>
      <c r="G1667" s="23" t="n"/>
      <c r="H1667" s="23" t="n"/>
      <c r="I1667" s="20">
        <f>IF(COUNT(F1667:H1667)=0,"",SUM(F1667:H1667))</f>
        <v/>
      </c>
      <c r="J1667" s="23" t="n"/>
      <c r="K1667" s="23" t="n"/>
      <c r="L1667" s="23" t="n"/>
      <c r="M1667" s="23" t="n"/>
      <c r="N1667" s="23" t="n"/>
      <c r="O1667" s="20">
        <f>IF(OR(I1667="",COUNT(J1667:N1667)=0),"",IF(SUM(J1667:N1667)=I1667,"✓","⚠ "&amp;SUM(J1667:N1667)&amp;" statt "&amp;I1667))</f>
        <v/>
      </c>
      <c r="P1667" s="21" t="n"/>
      <c r="Q1667" s="21" t="n"/>
      <c r="R1667" s="21" t="n"/>
      <c r="S1667" s="24" t="n"/>
      <c r="T1667" s="24" t="n"/>
      <c r="V1667">
        <f>IF(A1667="","",MONTH(A1667))</f>
        <v/>
      </c>
      <c r="W1667">
        <f>N(W1666)+IF(AND(C1667&lt;&gt;"",T1667&lt;&gt;""),IF(C1667=WOCHE!$B$3,1,0),0)</f>
        <v/>
      </c>
      <c r="X1667">
        <f>N(X1666)+IF(AND(V1667&lt;&gt;"",T1667&lt;&gt;""),IF(V1667=MONAT!$AZ$3,1,0),0)</f>
        <v/>
      </c>
    </row>
    <row r="1668">
      <c r="A1668" s="19" t="n"/>
      <c r="B1668" s="20">
        <f>IF(A1668="","",CHOOSE(WEEKDAY(A1668,2),"Mo","Di","Mi","Do","Fr","Sa","So"))</f>
        <v/>
      </c>
      <c r="C1668" s="20">
        <f>IF(A1668="","",INT((A1668-DATE(YEAR(A1668-WEEKDAY(A1668-1)+4),1,3)+WEEKDAY(DATE(YEAR(A1668-WEEKDAY(A1668-1)+4),1,3))+5)/7))</f>
        <v/>
      </c>
      <c r="D1668" s="21" t="n"/>
      <c r="E1668" s="22" t="n"/>
      <c r="F1668" s="23" t="n"/>
      <c r="G1668" s="23" t="n"/>
      <c r="H1668" s="23" t="n"/>
      <c r="I1668" s="20">
        <f>IF(COUNT(F1668:H1668)=0,"",SUM(F1668:H1668))</f>
        <v/>
      </c>
      <c r="J1668" s="23" t="n"/>
      <c r="K1668" s="23" t="n"/>
      <c r="L1668" s="23" t="n"/>
      <c r="M1668" s="23" t="n"/>
      <c r="N1668" s="23" t="n"/>
      <c r="O1668" s="20">
        <f>IF(OR(I1668="",COUNT(J1668:N1668)=0),"",IF(SUM(J1668:N1668)=I1668,"✓","⚠ "&amp;SUM(J1668:N1668)&amp;" statt "&amp;I1668))</f>
        <v/>
      </c>
      <c r="P1668" s="21" t="n"/>
      <c r="Q1668" s="21" t="n"/>
      <c r="R1668" s="21" t="n"/>
      <c r="S1668" s="24" t="n"/>
      <c r="T1668" s="24" t="n"/>
      <c r="V1668">
        <f>IF(A1668="","",MONTH(A1668))</f>
        <v/>
      </c>
      <c r="W1668">
        <f>N(W1667)+IF(AND(C1668&lt;&gt;"",T1668&lt;&gt;""),IF(C1668=WOCHE!$B$3,1,0),0)</f>
        <v/>
      </c>
      <c r="X1668">
        <f>N(X1667)+IF(AND(V1668&lt;&gt;"",T1668&lt;&gt;""),IF(V1668=MONAT!$AZ$3,1,0),0)</f>
        <v/>
      </c>
    </row>
    <row r="1669">
      <c r="A1669" s="19" t="n"/>
      <c r="B1669" s="20">
        <f>IF(A1669="","",CHOOSE(WEEKDAY(A1669,2),"Mo","Di","Mi","Do","Fr","Sa","So"))</f>
        <v/>
      </c>
      <c r="C1669" s="20">
        <f>IF(A1669="","",INT((A1669-DATE(YEAR(A1669-WEEKDAY(A1669-1)+4),1,3)+WEEKDAY(DATE(YEAR(A1669-WEEKDAY(A1669-1)+4),1,3))+5)/7))</f>
        <v/>
      </c>
      <c r="D1669" s="21" t="n"/>
      <c r="E1669" s="22" t="n"/>
      <c r="F1669" s="23" t="n"/>
      <c r="G1669" s="23" t="n"/>
      <c r="H1669" s="23" t="n"/>
      <c r="I1669" s="20">
        <f>IF(COUNT(F1669:H1669)=0,"",SUM(F1669:H1669))</f>
        <v/>
      </c>
      <c r="J1669" s="23" t="n"/>
      <c r="K1669" s="23" t="n"/>
      <c r="L1669" s="23" t="n"/>
      <c r="M1669" s="23" t="n"/>
      <c r="N1669" s="23" t="n"/>
      <c r="O1669" s="20">
        <f>IF(OR(I1669="",COUNT(J1669:N1669)=0),"",IF(SUM(J1669:N1669)=I1669,"✓","⚠ "&amp;SUM(J1669:N1669)&amp;" statt "&amp;I1669))</f>
        <v/>
      </c>
      <c r="P1669" s="21" t="n"/>
      <c r="Q1669" s="21" t="n"/>
      <c r="R1669" s="21" t="n"/>
      <c r="S1669" s="24" t="n"/>
      <c r="T1669" s="24" t="n"/>
      <c r="V1669">
        <f>IF(A1669="","",MONTH(A1669))</f>
        <v/>
      </c>
      <c r="W1669">
        <f>N(W1668)+IF(AND(C1669&lt;&gt;"",T1669&lt;&gt;""),IF(C1669=WOCHE!$B$3,1,0),0)</f>
        <v/>
      </c>
      <c r="X1669">
        <f>N(X1668)+IF(AND(V1669&lt;&gt;"",T1669&lt;&gt;""),IF(V1669=MONAT!$AZ$3,1,0),0)</f>
        <v/>
      </c>
    </row>
    <row r="1670">
      <c r="A1670" s="19" t="n"/>
      <c r="B1670" s="20">
        <f>IF(A1670="","",CHOOSE(WEEKDAY(A1670,2),"Mo","Di","Mi","Do","Fr","Sa","So"))</f>
        <v/>
      </c>
      <c r="C1670" s="20">
        <f>IF(A1670="","",INT((A1670-DATE(YEAR(A1670-WEEKDAY(A1670-1)+4),1,3)+WEEKDAY(DATE(YEAR(A1670-WEEKDAY(A1670-1)+4),1,3))+5)/7))</f>
        <v/>
      </c>
      <c r="D1670" s="21" t="n"/>
      <c r="E1670" s="22" t="n"/>
      <c r="F1670" s="23" t="n"/>
      <c r="G1670" s="23" t="n"/>
      <c r="H1670" s="23" t="n"/>
      <c r="I1670" s="20">
        <f>IF(COUNT(F1670:H1670)=0,"",SUM(F1670:H1670))</f>
        <v/>
      </c>
      <c r="J1670" s="23" t="n"/>
      <c r="K1670" s="23" t="n"/>
      <c r="L1670" s="23" t="n"/>
      <c r="M1670" s="23" t="n"/>
      <c r="N1670" s="23" t="n"/>
      <c r="O1670" s="20">
        <f>IF(OR(I1670="",COUNT(J1670:N1670)=0),"",IF(SUM(J1670:N1670)=I1670,"✓","⚠ "&amp;SUM(J1670:N1670)&amp;" statt "&amp;I1670))</f>
        <v/>
      </c>
      <c r="P1670" s="21" t="n"/>
      <c r="Q1670" s="21" t="n"/>
      <c r="R1670" s="21" t="n"/>
      <c r="S1670" s="24" t="n"/>
      <c r="T1670" s="24" t="n"/>
      <c r="V1670">
        <f>IF(A1670="","",MONTH(A1670))</f>
        <v/>
      </c>
      <c r="W1670">
        <f>N(W1669)+IF(AND(C1670&lt;&gt;"",T1670&lt;&gt;""),IF(C1670=WOCHE!$B$3,1,0),0)</f>
        <v/>
      </c>
      <c r="X1670">
        <f>N(X1669)+IF(AND(V1670&lt;&gt;"",T1670&lt;&gt;""),IF(V1670=MONAT!$AZ$3,1,0),0)</f>
        <v/>
      </c>
    </row>
    <row r="1671">
      <c r="A1671" s="19" t="n"/>
      <c r="B1671" s="20">
        <f>IF(A1671="","",CHOOSE(WEEKDAY(A1671,2),"Mo","Di","Mi","Do","Fr","Sa","So"))</f>
        <v/>
      </c>
      <c r="C1671" s="20">
        <f>IF(A1671="","",INT((A1671-DATE(YEAR(A1671-WEEKDAY(A1671-1)+4),1,3)+WEEKDAY(DATE(YEAR(A1671-WEEKDAY(A1671-1)+4),1,3))+5)/7))</f>
        <v/>
      </c>
      <c r="D1671" s="21" t="n"/>
      <c r="E1671" s="22" t="n"/>
      <c r="F1671" s="23" t="n"/>
      <c r="G1671" s="23" t="n"/>
      <c r="H1671" s="23" t="n"/>
      <c r="I1671" s="20">
        <f>IF(COUNT(F1671:H1671)=0,"",SUM(F1671:H1671))</f>
        <v/>
      </c>
      <c r="J1671" s="23" t="n"/>
      <c r="K1671" s="23" t="n"/>
      <c r="L1671" s="23" t="n"/>
      <c r="M1671" s="23" t="n"/>
      <c r="N1671" s="23" t="n"/>
      <c r="O1671" s="20">
        <f>IF(OR(I1671="",COUNT(J1671:N1671)=0),"",IF(SUM(J1671:N1671)=I1671,"✓","⚠ "&amp;SUM(J1671:N1671)&amp;" statt "&amp;I1671))</f>
        <v/>
      </c>
      <c r="P1671" s="21" t="n"/>
      <c r="Q1671" s="21" t="n"/>
      <c r="R1671" s="21" t="n"/>
      <c r="S1671" s="24" t="n"/>
      <c r="T1671" s="24" t="n"/>
      <c r="V1671">
        <f>IF(A1671="","",MONTH(A1671))</f>
        <v/>
      </c>
      <c r="W1671">
        <f>N(W1670)+IF(AND(C1671&lt;&gt;"",T1671&lt;&gt;""),IF(C1671=WOCHE!$B$3,1,0),0)</f>
        <v/>
      </c>
      <c r="X1671">
        <f>N(X1670)+IF(AND(V1671&lt;&gt;"",T1671&lt;&gt;""),IF(V1671=MONAT!$AZ$3,1,0),0)</f>
        <v/>
      </c>
    </row>
    <row r="1672">
      <c r="A1672" s="19" t="n"/>
      <c r="B1672" s="20">
        <f>IF(A1672="","",CHOOSE(WEEKDAY(A1672,2),"Mo","Di","Mi","Do","Fr","Sa","So"))</f>
        <v/>
      </c>
      <c r="C1672" s="20">
        <f>IF(A1672="","",INT((A1672-DATE(YEAR(A1672-WEEKDAY(A1672-1)+4),1,3)+WEEKDAY(DATE(YEAR(A1672-WEEKDAY(A1672-1)+4),1,3))+5)/7))</f>
        <v/>
      </c>
      <c r="D1672" s="21" t="n"/>
      <c r="E1672" s="22" t="n"/>
      <c r="F1672" s="23" t="n"/>
      <c r="G1672" s="23" t="n"/>
      <c r="H1672" s="23" t="n"/>
      <c r="I1672" s="20">
        <f>IF(COUNT(F1672:H1672)=0,"",SUM(F1672:H1672))</f>
        <v/>
      </c>
      <c r="J1672" s="23" t="n"/>
      <c r="K1672" s="23" t="n"/>
      <c r="L1672" s="23" t="n"/>
      <c r="M1672" s="23" t="n"/>
      <c r="N1672" s="23" t="n"/>
      <c r="O1672" s="20">
        <f>IF(OR(I1672="",COUNT(J1672:N1672)=0),"",IF(SUM(J1672:N1672)=I1672,"✓","⚠ "&amp;SUM(J1672:N1672)&amp;" statt "&amp;I1672))</f>
        <v/>
      </c>
      <c r="P1672" s="21" t="n"/>
      <c r="Q1672" s="21" t="n"/>
      <c r="R1672" s="21" t="n"/>
      <c r="S1672" s="24" t="n"/>
      <c r="T1672" s="24" t="n"/>
      <c r="V1672">
        <f>IF(A1672="","",MONTH(A1672))</f>
        <v/>
      </c>
      <c r="W1672">
        <f>N(W1671)+IF(AND(C1672&lt;&gt;"",T1672&lt;&gt;""),IF(C1672=WOCHE!$B$3,1,0),0)</f>
        <v/>
      </c>
      <c r="X1672">
        <f>N(X1671)+IF(AND(V1672&lt;&gt;"",T1672&lt;&gt;""),IF(V1672=MONAT!$AZ$3,1,0),0)</f>
        <v/>
      </c>
    </row>
    <row r="1673">
      <c r="A1673" s="19" t="n"/>
      <c r="B1673" s="20">
        <f>IF(A1673="","",CHOOSE(WEEKDAY(A1673,2),"Mo","Di","Mi","Do","Fr","Sa","So"))</f>
        <v/>
      </c>
      <c r="C1673" s="20">
        <f>IF(A1673="","",INT((A1673-DATE(YEAR(A1673-WEEKDAY(A1673-1)+4),1,3)+WEEKDAY(DATE(YEAR(A1673-WEEKDAY(A1673-1)+4),1,3))+5)/7))</f>
        <v/>
      </c>
      <c r="D1673" s="21" t="n"/>
      <c r="E1673" s="22" t="n"/>
      <c r="F1673" s="23" t="n"/>
      <c r="G1673" s="23" t="n"/>
      <c r="H1673" s="23" t="n"/>
      <c r="I1673" s="20">
        <f>IF(COUNT(F1673:H1673)=0,"",SUM(F1673:H1673))</f>
        <v/>
      </c>
      <c r="J1673" s="23" t="n"/>
      <c r="K1673" s="23" t="n"/>
      <c r="L1673" s="23" t="n"/>
      <c r="M1673" s="23" t="n"/>
      <c r="N1673" s="23" t="n"/>
      <c r="O1673" s="20">
        <f>IF(OR(I1673="",COUNT(J1673:N1673)=0),"",IF(SUM(J1673:N1673)=I1673,"✓","⚠ "&amp;SUM(J1673:N1673)&amp;" statt "&amp;I1673))</f>
        <v/>
      </c>
      <c r="P1673" s="21" t="n"/>
      <c r="Q1673" s="21" t="n"/>
      <c r="R1673" s="21" t="n"/>
      <c r="S1673" s="24" t="n"/>
      <c r="T1673" s="24" t="n"/>
      <c r="V1673">
        <f>IF(A1673="","",MONTH(A1673))</f>
        <v/>
      </c>
      <c r="W1673">
        <f>N(W1672)+IF(AND(C1673&lt;&gt;"",T1673&lt;&gt;""),IF(C1673=WOCHE!$B$3,1,0),0)</f>
        <v/>
      </c>
      <c r="X1673">
        <f>N(X1672)+IF(AND(V1673&lt;&gt;"",T1673&lt;&gt;""),IF(V1673=MONAT!$AZ$3,1,0),0)</f>
        <v/>
      </c>
    </row>
    <row r="1674">
      <c r="A1674" s="19" t="n"/>
      <c r="B1674" s="20">
        <f>IF(A1674="","",CHOOSE(WEEKDAY(A1674,2),"Mo","Di","Mi","Do","Fr","Sa","So"))</f>
        <v/>
      </c>
      <c r="C1674" s="20">
        <f>IF(A1674="","",INT((A1674-DATE(YEAR(A1674-WEEKDAY(A1674-1)+4),1,3)+WEEKDAY(DATE(YEAR(A1674-WEEKDAY(A1674-1)+4),1,3))+5)/7))</f>
        <v/>
      </c>
      <c r="D1674" s="21" t="n"/>
      <c r="E1674" s="22" t="n"/>
      <c r="F1674" s="23" t="n"/>
      <c r="G1674" s="23" t="n"/>
      <c r="H1674" s="23" t="n"/>
      <c r="I1674" s="20">
        <f>IF(COUNT(F1674:H1674)=0,"",SUM(F1674:H1674))</f>
        <v/>
      </c>
      <c r="J1674" s="23" t="n"/>
      <c r="K1674" s="23" t="n"/>
      <c r="L1674" s="23" t="n"/>
      <c r="M1674" s="23" t="n"/>
      <c r="N1674" s="23" t="n"/>
      <c r="O1674" s="20">
        <f>IF(OR(I1674="",COUNT(J1674:N1674)=0),"",IF(SUM(J1674:N1674)=I1674,"✓","⚠ "&amp;SUM(J1674:N1674)&amp;" statt "&amp;I1674))</f>
        <v/>
      </c>
      <c r="P1674" s="21" t="n"/>
      <c r="Q1674" s="21" t="n"/>
      <c r="R1674" s="21" t="n"/>
      <c r="S1674" s="24" t="n"/>
      <c r="T1674" s="24" t="n"/>
      <c r="V1674">
        <f>IF(A1674="","",MONTH(A1674))</f>
        <v/>
      </c>
      <c r="W1674">
        <f>N(W1673)+IF(AND(C1674&lt;&gt;"",T1674&lt;&gt;""),IF(C1674=WOCHE!$B$3,1,0),0)</f>
        <v/>
      </c>
      <c r="X1674">
        <f>N(X1673)+IF(AND(V1674&lt;&gt;"",T1674&lt;&gt;""),IF(V1674=MONAT!$AZ$3,1,0),0)</f>
        <v/>
      </c>
    </row>
    <row r="1675">
      <c r="A1675" s="19" t="n"/>
      <c r="B1675" s="20">
        <f>IF(A1675="","",CHOOSE(WEEKDAY(A1675,2),"Mo","Di","Mi","Do","Fr","Sa","So"))</f>
        <v/>
      </c>
      <c r="C1675" s="20">
        <f>IF(A1675="","",INT((A1675-DATE(YEAR(A1675-WEEKDAY(A1675-1)+4),1,3)+WEEKDAY(DATE(YEAR(A1675-WEEKDAY(A1675-1)+4),1,3))+5)/7))</f>
        <v/>
      </c>
      <c r="D1675" s="21" t="n"/>
      <c r="E1675" s="22" t="n"/>
      <c r="F1675" s="23" t="n"/>
      <c r="G1675" s="23" t="n"/>
      <c r="H1675" s="23" t="n"/>
      <c r="I1675" s="20">
        <f>IF(COUNT(F1675:H1675)=0,"",SUM(F1675:H1675))</f>
        <v/>
      </c>
      <c r="J1675" s="23" t="n"/>
      <c r="K1675" s="23" t="n"/>
      <c r="L1675" s="23" t="n"/>
      <c r="M1675" s="23" t="n"/>
      <c r="N1675" s="23" t="n"/>
      <c r="O1675" s="20">
        <f>IF(OR(I1675="",COUNT(J1675:N1675)=0),"",IF(SUM(J1675:N1675)=I1675,"✓","⚠ "&amp;SUM(J1675:N1675)&amp;" statt "&amp;I1675))</f>
        <v/>
      </c>
      <c r="P1675" s="21" t="n"/>
      <c r="Q1675" s="21" t="n"/>
      <c r="R1675" s="21" t="n"/>
      <c r="S1675" s="24" t="n"/>
      <c r="T1675" s="24" t="n"/>
      <c r="V1675">
        <f>IF(A1675="","",MONTH(A1675))</f>
        <v/>
      </c>
      <c r="W1675">
        <f>N(W1674)+IF(AND(C1675&lt;&gt;"",T1675&lt;&gt;""),IF(C1675=WOCHE!$B$3,1,0),0)</f>
        <v/>
      </c>
      <c r="X1675">
        <f>N(X1674)+IF(AND(V1675&lt;&gt;"",T1675&lt;&gt;""),IF(V1675=MONAT!$AZ$3,1,0),0)</f>
        <v/>
      </c>
    </row>
    <row r="1676">
      <c r="A1676" s="19" t="n"/>
      <c r="B1676" s="20">
        <f>IF(A1676="","",CHOOSE(WEEKDAY(A1676,2),"Mo","Di","Mi","Do","Fr","Sa","So"))</f>
        <v/>
      </c>
      <c r="C1676" s="20">
        <f>IF(A1676="","",INT((A1676-DATE(YEAR(A1676-WEEKDAY(A1676-1)+4),1,3)+WEEKDAY(DATE(YEAR(A1676-WEEKDAY(A1676-1)+4),1,3))+5)/7))</f>
        <v/>
      </c>
      <c r="D1676" s="21" t="n"/>
      <c r="E1676" s="22" t="n"/>
      <c r="F1676" s="23" t="n"/>
      <c r="G1676" s="23" t="n"/>
      <c r="H1676" s="23" t="n"/>
      <c r="I1676" s="20">
        <f>IF(COUNT(F1676:H1676)=0,"",SUM(F1676:H1676))</f>
        <v/>
      </c>
      <c r="J1676" s="23" t="n"/>
      <c r="K1676" s="23" t="n"/>
      <c r="L1676" s="23" t="n"/>
      <c r="M1676" s="23" t="n"/>
      <c r="N1676" s="23" t="n"/>
      <c r="O1676" s="20">
        <f>IF(OR(I1676="",COUNT(J1676:N1676)=0),"",IF(SUM(J1676:N1676)=I1676,"✓","⚠ "&amp;SUM(J1676:N1676)&amp;" statt "&amp;I1676))</f>
        <v/>
      </c>
      <c r="P1676" s="21" t="n"/>
      <c r="Q1676" s="21" t="n"/>
      <c r="R1676" s="21" t="n"/>
      <c r="S1676" s="24" t="n"/>
      <c r="T1676" s="24" t="n"/>
      <c r="V1676">
        <f>IF(A1676="","",MONTH(A1676))</f>
        <v/>
      </c>
      <c r="W1676">
        <f>N(W1675)+IF(AND(C1676&lt;&gt;"",T1676&lt;&gt;""),IF(C1676=WOCHE!$B$3,1,0),0)</f>
        <v/>
      </c>
      <c r="X1676">
        <f>N(X1675)+IF(AND(V1676&lt;&gt;"",T1676&lt;&gt;""),IF(V1676=MONAT!$AZ$3,1,0),0)</f>
        <v/>
      </c>
    </row>
    <row r="1677">
      <c r="A1677" s="19" t="n"/>
      <c r="B1677" s="20">
        <f>IF(A1677="","",CHOOSE(WEEKDAY(A1677,2),"Mo","Di","Mi","Do","Fr","Sa","So"))</f>
        <v/>
      </c>
      <c r="C1677" s="20">
        <f>IF(A1677="","",INT((A1677-DATE(YEAR(A1677-WEEKDAY(A1677-1)+4),1,3)+WEEKDAY(DATE(YEAR(A1677-WEEKDAY(A1677-1)+4),1,3))+5)/7))</f>
        <v/>
      </c>
      <c r="D1677" s="21" t="n"/>
      <c r="E1677" s="22" t="n"/>
      <c r="F1677" s="23" t="n"/>
      <c r="G1677" s="23" t="n"/>
      <c r="H1677" s="23" t="n"/>
      <c r="I1677" s="20">
        <f>IF(COUNT(F1677:H1677)=0,"",SUM(F1677:H1677))</f>
        <v/>
      </c>
      <c r="J1677" s="23" t="n"/>
      <c r="K1677" s="23" t="n"/>
      <c r="L1677" s="23" t="n"/>
      <c r="M1677" s="23" t="n"/>
      <c r="N1677" s="23" t="n"/>
      <c r="O1677" s="20">
        <f>IF(OR(I1677="",COUNT(J1677:N1677)=0),"",IF(SUM(J1677:N1677)=I1677,"✓","⚠ "&amp;SUM(J1677:N1677)&amp;" statt "&amp;I1677))</f>
        <v/>
      </c>
      <c r="P1677" s="21" t="n"/>
      <c r="Q1677" s="21" t="n"/>
      <c r="R1677" s="21" t="n"/>
      <c r="S1677" s="24" t="n"/>
      <c r="T1677" s="24" t="n"/>
      <c r="V1677">
        <f>IF(A1677="","",MONTH(A1677))</f>
        <v/>
      </c>
      <c r="W1677">
        <f>N(W1676)+IF(AND(C1677&lt;&gt;"",T1677&lt;&gt;""),IF(C1677=WOCHE!$B$3,1,0),0)</f>
        <v/>
      </c>
      <c r="X1677">
        <f>N(X1676)+IF(AND(V1677&lt;&gt;"",T1677&lt;&gt;""),IF(V1677=MONAT!$AZ$3,1,0),0)</f>
        <v/>
      </c>
    </row>
    <row r="1678">
      <c r="A1678" s="19" t="n"/>
      <c r="B1678" s="20">
        <f>IF(A1678="","",CHOOSE(WEEKDAY(A1678,2),"Mo","Di","Mi","Do","Fr","Sa","So"))</f>
        <v/>
      </c>
      <c r="C1678" s="20">
        <f>IF(A1678="","",INT((A1678-DATE(YEAR(A1678-WEEKDAY(A1678-1)+4),1,3)+WEEKDAY(DATE(YEAR(A1678-WEEKDAY(A1678-1)+4),1,3))+5)/7))</f>
        <v/>
      </c>
      <c r="D1678" s="21" t="n"/>
      <c r="E1678" s="22" t="n"/>
      <c r="F1678" s="23" t="n"/>
      <c r="G1678" s="23" t="n"/>
      <c r="H1678" s="23" t="n"/>
      <c r="I1678" s="20">
        <f>IF(COUNT(F1678:H1678)=0,"",SUM(F1678:H1678))</f>
        <v/>
      </c>
      <c r="J1678" s="23" t="n"/>
      <c r="K1678" s="23" t="n"/>
      <c r="L1678" s="23" t="n"/>
      <c r="M1678" s="23" t="n"/>
      <c r="N1678" s="23" t="n"/>
      <c r="O1678" s="20">
        <f>IF(OR(I1678="",COUNT(J1678:N1678)=0),"",IF(SUM(J1678:N1678)=I1678,"✓","⚠ "&amp;SUM(J1678:N1678)&amp;" statt "&amp;I1678))</f>
        <v/>
      </c>
      <c r="P1678" s="21" t="n"/>
      <c r="Q1678" s="21" t="n"/>
      <c r="R1678" s="21" t="n"/>
      <c r="S1678" s="24" t="n"/>
      <c r="T1678" s="24" t="n"/>
      <c r="V1678">
        <f>IF(A1678="","",MONTH(A1678))</f>
        <v/>
      </c>
      <c r="W1678">
        <f>N(W1677)+IF(AND(C1678&lt;&gt;"",T1678&lt;&gt;""),IF(C1678=WOCHE!$B$3,1,0),0)</f>
        <v/>
      </c>
      <c r="X1678">
        <f>N(X1677)+IF(AND(V1678&lt;&gt;"",T1678&lt;&gt;""),IF(V1678=MONAT!$AZ$3,1,0),0)</f>
        <v/>
      </c>
    </row>
    <row r="1679">
      <c r="A1679" s="19" t="n"/>
      <c r="B1679" s="20">
        <f>IF(A1679="","",CHOOSE(WEEKDAY(A1679,2),"Mo","Di","Mi","Do","Fr","Sa","So"))</f>
        <v/>
      </c>
      <c r="C1679" s="20">
        <f>IF(A1679="","",INT((A1679-DATE(YEAR(A1679-WEEKDAY(A1679-1)+4),1,3)+WEEKDAY(DATE(YEAR(A1679-WEEKDAY(A1679-1)+4),1,3))+5)/7))</f>
        <v/>
      </c>
      <c r="D1679" s="21" t="n"/>
      <c r="E1679" s="22" t="n"/>
      <c r="F1679" s="23" t="n"/>
      <c r="G1679" s="23" t="n"/>
      <c r="H1679" s="23" t="n"/>
      <c r="I1679" s="20">
        <f>IF(COUNT(F1679:H1679)=0,"",SUM(F1679:H1679))</f>
        <v/>
      </c>
      <c r="J1679" s="23" t="n"/>
      <c r="K1679" s="23" t="n"/>
      <c r="L1679" s="23" t="n"/>
      <c r="M1679" s="23" t="n"/>
      <c r="N1679" s="23" t="n"/>
      <c r="O1679" s="20">
        <f>IF(OR(I1679="",COUNT(J1679:N1679)=0),"",IF(SUM(J1679:N1679)=I1679,"✓","⚠ "&amp;SUM(J1679:N1679)&amp;" statt "&amp;I1679))</f>
        <v/>
      </c>
      <c r="P1679" s="21" t="n"/>
      <c r="Q1679" s="21" t="n"/>
      <c r="R1679" s="21" t="n"/>
      <c r="S1679" s="24" t="n"/>
      <c r="T1679" s="24" t="n"/>
      <c r="V1679">
        <f>IF(A1679="","",MONTH(A1679))</f>
        <v/>
      </c>
      <c r="W1679">
        <f>N(W1678)+IF(AND(C1679&lt;&gt;"",T1679&lt;&gt;""),IF(C1679=WOCHE!$B$3,1,0),0)</f>
        <v/>
      </c>
      <c r="X1679">
        <f>N(X1678)+IF(AND(V1679&lt;&gt;"",T1679&lt;&gt;""),IF(V1679=MONAT!$AZ$3,1,0),0)</f>
        <v/>
      </c>
    </row>
    <row r="1680">
      <c r="A1680" s="19" t="n"/>
      <c r="B1680" s="20">
        <f>IF(A1680="","",CHOOSE(WEEKDAY(A1680,2),"Mo","Di","Mi","Do","Fr","Sa","So"))</f>
        <v/>
      </c>
      <c r="C1680" s="20">
        <f>IF(A1680="","",INT((A1680-DATE(YEAR(A1680-WEEKDAY(A1680-1)+4),1,3)+WEEKDAY(DATE(YEAR(A1680-WEEKDAY(A1680-1)+4),1,3))+5)/7))</f>
        <v/>
      </c>
      <c r="D1680" s="21" t="n"/>
      <c r="E1680" s="22" t="n"/>
      <c r="F1680" s="23" t="n"/>
      <c r="G1680" s="23" t="n"/>
      <c r="H1680" s="23" t="n"/>
      <c r="I1680" s="20">
        <f>IF(COUNT(F1680:H1680)=0,"",SUM(F1680:H1680))</f>
        <v/>
      </c>
      <c r="J1680" s="23" t="n"/>
      <c r="K1680" s="23" t="n"/>
      <c r="L1680" s="23" t="n"/>
      <c r="M1680" s="23" t="n"/>
      <c r="N1680" s="23" t="n"/>
      <c r="O1680" s="20">
        <f>IF(OR(I1680="",COUNT(J1680:N1680)=0),"",IF(SUM(J1680:N1680)=I1680,"✓","⚠ "&amp;SUM(J1680:N1680)&amp;" statt "&amp;I1680))</f>
        <v/>
      </c>
      <c r="P1680" s="21" t="n"/>
      <c r="Q1680" s="21" t="n"/>
      <c r="R1680" s="21" t="n"/>
      <c r="S1680" s="24" t="n"/>
      <c r="T1680" s="24" t="n"/>
      <c r="V1680">
        <f>IF(A1680="","",MONTH(A1680))</f>
        <v/>
      </c>
      <c r="W1680">
        <f>N(W1679)+IF(AND(C1680&lt;&gt;"",T1680&lt;&gt;""),IF(C1680=WOCHE!$B$3,1,0),0)</f>
        <v/>
      </c>
      <c r="X1680">
        <f>N(X1679)+IF(AND(V1680&lt;&gt;"",T1680&lt;&gt;""),IF(V1680=MONAT!$AZ$3,1,0),0)</f>
        <v/>
      </c>
    </row>
    <row r="1681">
      <c r="A1681" s="19" t="n"/>
      <c r="B1681" s="20">
        <f>IF(A1681="","",CHOOSE(WEEKDAY(A1681,2),"Mo","Di","Mi","Do","Fr","Sa","So"))</f>
        <v/>
      </c>
      <c r="C1681" s="20">
        <f>IF(A1681="","",INT((A1681-DATE(YEAR(A1681-WEEKDAY(A1681-1)+4),1,3)+WEEKDAY(DATE(YEAR(A1681-WEEKDAY(A1681-1)+4),1,3))+5)/7))</f>
        <v/>
      </c>
      <c r="D1681" s="21" t="n"/>
      <c r="E1681" s="22" t="n"/>
      <c r="F1681" s="23" t="n"/>
      <c r="G1681" s="23" t="n"/>
      <c r="H1681" s="23" t="n"/>
      <c r="I1681" s="20">
        <f>IF(COUNT(F1681:H1681)=0,"",SUM(F1681:H1681))</f>
        <v/>
      </c>
      <c r="J1681" s="23" t="n"/>
      <c r="K1681" s="23" t="n"/>
      <c r="L1681" s="23" t="n"/>
      <c r="M1681" s="23" t="n"/>
      <c r="N1681" s="23" t="n"/>
      <c r="O1681" s="20">
        <f>IF(OR(I1681="",COUNT(J1681:N1681)=0),"",IF(SUM(J1681:N1681)=I1681,"✓","⚠ "&amp;SUM(J1681:N1681)&amp;" statt "&amp;I1681))</f>
        <v/>
      </c>
      <c r="P1681" s="21" t="n"/>
      <c r="Q1681" s="21" t="n"/>
      <c r="R1681" s="21" t="n"/>
      <c r="S1681" s="24" t="n"/>
      <c r="T1681" s="24" t="n"/>
      <c r="V1681">
        <f>IF(A1681="","",MONTH(A1681))</f>
        <v/>
      </c>
      <c r="W1681">
        <f>N(W1680)+IF(AND(C1681&lt;&gt;"",T1681&lt;&gt;""),IF(C1681=WOCHE!$B$3,1,0),0)</f>
        <v/>
      </c>
      <c r="X1681">
        <f>N(X1680)+IF(AND(V1681&lt;&gt;"",T1681&lt;&gt;""),IF(V1681=MONAT!$AZ$3,1,0),0)</f>
        <v/>
      </c>
    </row>
    <row r="1682">
      <c r="A1682" s="19" t="n"/>
      <c r="B1682" s="20">
        <f>IF(A1682="","",CHOOSE(WEEKDAY(A1682,2),"Mo","Di","Mi","Do","Fr","Sa","So"))</f>
        <v/>
      </c>
      <c r="C1682" s="20">
        <f>IF(A1682="","",INT((A1682-DATE(YEAR(A1682-WEEKDAY(A1682-1)+4),1,3)+WEEKDAY(DATE(YEAR(A1682-WEEKDAY(A1682-1)+4),1,3))+5)/7))</f>
        <v/>
      </c>
      <c r="D1682" s="21" t="n"/>
      <c r="E1682" s="22" t="n"/>
      <c r="F1682" s="23" t="n"/>
      <c r="G1682" s="23" t="n"/>
      <c r="H1682" s="23" t="n"/>
      <c r="I1682" s="20">
        <f>IF(COUNT(F1682:H1682)=0,"",SUM(F1682:H1682))</f>
        <v/>
      </c>
      <c r="J1682" s="23" t="n"/>
      <c r="K1682" s="23" t="n"/>
      <c r="L1682" s="23" t="n"/>
      <c r="M1682" s="23" t="n"/>
      <c r="N1682" s="23" t="n"/>
      <c r="O1682" s="20">
        <f>IF(OR(I1682="",COUNT(J1682:N1682)=0),"",IF(SUM(J1682:N1682)=I1682,"✓","⚠ "&amp;SUM(J1682:N1682)&amp;" statt "&amp;I1682))</f>
        <v/>
      </c>
      <c r="P1682" s="21" t="n"/>
      <c r="Q1682" s="21" t="n"/>
      <c r="R1682" s="21" t="n"/>
      <c r="S1682" s="24" t="n"/>
      <c r="T1682" s="24" t="n"/>
      <c r="V1682">
        <f>IF(A1682="","",MONTH(A1682))</f>
        <v/>
      </c>
      <c r="W1682">
        <f>N(W1681)+IF(AND(C1682&lt;&gt;"",T1682&lt;&gt;""),IF(C1682=WOCHE!$B$3,1,0),0)</f>
        <v/>
      </c>
      <c r="X1682">
        <f>N(X1681)+IF(AND(V1682&lt;&gt;"",T1682&lt;&gt;""),IF(V1682=MONAT!$AZ$3,1,0),0)</f>
        <v/>
      </c>
    </row>
    <row r="1683">
      <c r="A1683" s="19" t="n"/>
      <c r="B1683" s="20">
        <f>IF(A1683="","",CHOOSE(WEEKDAY(A1683,2),"Mo","Di","Mi","Do","Fr","Sa","So"))</f>
        <v/>
      </c>
      <c r="C1683" s="20">
        <f>IF(A1683="","",INT((A1683-DATE(YEAR(A1683-WEEKDAY(A1683-1)+4),1,3)+WEEKDAY(DATE(YEAR(A1683-WEEKDAY(A1683-1)+4),1,3))+5)/7))</f>
        <v/>
      </c>
      <c r="D1683" s="21" t="n"/>
      <c r="E1683" s="22" t="n"/>
      <c r="F1683" s="23" t="n"/>
      <c r="G1683" s="23" t="n"/>
      <c r="H1683" s="23" t="n"/>
      <c r="I1683" s="20">
        <f>IF(COUNT(F1683:H1683)=0,"",SUM(F1683:H1683))</f>
        <v/>
      </c>
      <c r="J1683" s="23" t="n"/>
      <c r="K1683" s="23" t="n"/>
      <c r="L1683" s="23" t="n"/>
      <c r="M1683" s="23" t="n"/>
      <c r="N1683" s="23" t="n"/>
      <c r="O1683" s="20">
        <f>IF(OR(I1683="",COUNT(J1683:N1683)=0),"",IF(SUM(J1683:N1683)=I1683,"✓","⚠ "&amp;SUM(J1683:N1683)&amp;" statt "&amp;I1683))</f>
        <v/>
      </c>
      <c r="P1683" s="21" t="n"/>
      <c r="Q1683" s="21" t="n"/>
      <c r="R1683" s="21" t="n"/>
      <c r="S1683" s="24" t="n"/>
      <c r="T1683" s="24" t="n"/>
      <c r="V1683">
        <f>IF(A1683="","",MONTH(A1683))</f>
        <v/>
      </c>
      <c r="W1683">
        <f>N(W1682)+IF(AND(C1683&lt;&gt;"",T1683&lt;&gt;""),IF(C1683=WOCHE!$B$3,1,0),0)</f>
        <v/>
      </c>
      <c r="X1683">
        <f>N(X1682)+IF(AND(V1683&lt;&gt;"",T1683&lt;&gt;""),IF(V1683=MONAT!$AZ$3,1,0),0)</f>
        <v/>
      </c>
    </row>
    <row r="1684">
      <c r="A1684" s="19" t="n"/>
      <c r="B1684" s="20">
        <f>IF(A1684="","",CHOOSE(WEEKDAY(A1684,2),"Mo","Di","Mi","Do","Fr","Sa","So"))</f>
        <v/>
      </c>
      <c r="C1684" s="20">
        <f>IF(A1684="","",INT((A1684-DATE(YEAR(A1684-WEEKDAY(A1684-1)+4),1,3)+WEEKDAY(DATE(YEAR(A1684-WEEKDAY(A1684-1)+4),1,3))+5)/7))</f>
        <v/>
      </c>
      <c r="D1684" s="21" t="n"/>
      <c r="E1684" s="22" t="n"/>
      <c r="F1684" s="23" t="n"/>
      <c r="G1684" s="23" t="n"/>
      <c r="H1684" s="23" t="n"/>
      <c r="I1684" s="20">
        <f>IF(COUNT(F1684:H1684)=0,"",SUM(F1684:H1684))</f>
        <v/>
      </c>
      <c r="J1684" s="23" t="n"/>
      <c r="K1684" s="23" t="n"/>
      <c r="L1684" s="23" t="n"/>
      <c r="M1684" s="23" t="n"/>
      <c r="N1684" s="23" t="n"/>
      <c r="O1684" s="20">
        <f>IF(OR(I1684="",COUNT(J1684:N1684)=0),"",IF(SUM(J1684:N1684)=I1684,"✓","⚠ "&amp;SUM(J1684:N1684)&amp;" statt "&amp;I1684))</f>
        <v/>
      </c>
      <c r="P1684" s="21" t="n"/>
      <c r="Q1684" s="21" t="n"/>
      <c r="R1684" s="21" t="n"/>
      <c r="S1684" s="24" t="n"/>
      <c r="T1684" s="24" t="n"/>
      <c r="V1684">
        <f>IF(A1684="","",MONTH(A1684))</f>
        <v/>
      </c>
      <c r="W1684">
        <f>N(W1683)+IF(AND(C1684&lt;&gt;"",T1684&lt;&gt;""),IF(C1684=WOCHE!$B$3,1,0),0)</f>
        <v/>
      </c>
      <c r="X1684">
        <f>N(X1683)+IF(AND(V1684&lt;&gt;"",T1684&lt;&gt;""),IF(V1684=MONAT!$AZ$3,1,0),0)</f>
        <v/>
      </c>
    </row>
    <row r="1685">
      <c r="A1685" s="19" t="n"/>
      <c r="B1685" s="20">
        <f>IF(A1685="","",CHOOSE(WEEKDAY(A1685,2),"Mo","Di","Mi","Do","Fr","Sa","So"))</f>
        <v/>
      </c>
      <c r="C1685" s="20">
        <f>IF(A1685="","",INT((A1685-DATE(YEAR(A1685-WEEKDAY(A1685-1)+4),1,3)+WEEKDAY(DATE(YEAR(A1685-WEEKDAY(A1685-1)+4),1,3))+5)/7))</f>
        <v/>
      </c>
      <c r="D1685" s="21" t="n"/>
      <c r="E1685" s="22" t="n"/>
      <c r="F1685" s="23" t="n"/>
      <c r="G1685" s="23" t="n"/>
      <c r="H1685" s="23" t="n"/>
      <c r="I1685" s="20">
        <f>IF(COUNT(F1685:H1685)=0,"",SUM(F1685:H1685))</f>
        <v/>
      </c>
      <c r="J1685" s="23" t="n"/>
      <c r="K1685" s="23" t="n"/>
      <c r="L1685" s="23" t="n"/>
      <c r="M1685" s="23" t="n"/>
      <c r="N1685" s="23" t="n"/>
      <c r="O1685" s="20">
        <f>IF(OR(I1685="",COUNT(J1685:N1685)=0),"",IF(SUM(J1685:N1685)=I1685,"✓","⚠ "&amp;SUM(J1685:N1685)&amp;" statt "&amp;I1685))</f>
        <v/>
      </c>
      <c r="P1685" s="21" t="n"/>
      <c r="Q1685" s="21" t="n"/>
      <c r="R1685" s="21" t="n"/>
      <c r="S1685" s="24" t="n"/>
      <c r="T1685" s="24" t="n"/>
      <c r="V1685">
        <f>IF(A1685="","",MONTH(A1685))</f>
        <v/>
      </c>
      <c r="W1685">
        <f>N(W1684)+IF(AND(C1685&lt;&gt;"",T1685&lt;&gt;""),IF(C1685=WOCHE!$B$3,1,0),0)</f>
        <v/>
      </c>
      <c r="X1685">
        <f>N(X1684)+IF(AND(V1685&lt;&gt;"",T1685&lt;&gt;""),IF(V1685=MONAT!$AZ$3,1,0),0)</f>
        <v/>
      </c>
    </row>
    <row r="1686">
      <c r="A1686" s="19" t="n"/>
      <c r="B1686" s="20">
        <f>IF(A1686="","",CHOOSE(WEEKDAY(A1686,2),"Mo","Di","Mi","Do","Fr","Sa","So"))</f>
        <v/>
      </c>
      <c r="C1686" s="20">
        <f>IF(A1686="","",INT((A1686-DATE(YEAR(A1686-WEEKDAY(A1686-1)+4),1,3)+WEEKDAY(DATE(YEAR(A1686-WEEKDAY(A1686-1)+4),1,3))+5)/7))</f>
        <v/>
      </c>
      <c r="D1686" s="21" t="n"/>
      <c r="E1686" s="22" t="n"/>
      <c r="F1686" s="23" t="n"/>
      <c r="G1686" s="23" t="n"/>
      <c r="H1686" s="23" t="n"/>
      <c r="I1686" s="20">
        <f>IF(COUNT(F1686:H1686)=0,"",SUM(F1686:H1686))</f>
        <v/>
      </c>
      <c r="J1686" s="23" t="n"/>
      <c r="K1686" s="23" t="n"/>
      <c r="L1686" s="23" t="n"/>
      <c r="M1686" s="23" t="n"/>
      <c r="N1686" s="23" t="n"/>
      <c r="O1686" s="20">
        <f>IF(OR(I1686="",COUNT(J1686:N1686)=0),"",IF(SUM(J1686:N1686)=I1686,"✓","⚠ "&amp;SUM(J1686:N1686)&amp;" statt "&amp;I1686))</f>
        <v/>
      </c>
      <c r="P1686" s="21" t="n"/>
      <c r="Q1686" s="21" t="n"/>
      <c r="R1686" s="21" t="n"/>
      <c r="S1686" s="24" t="n"/>
      <c r="T1686" s="24" t="n"/>
      <c r="V1686">
        <f>IF(A1686="","",MONTH(A1686))</f>
        <v/>
      </c>
      <c r="W1686">
        <f>N(W1685)+IF(AND(C1686&lt;&gt;"",T1686&lt;&gt;""),IF(C1686=WOCHE!$B$3,1,0),0)</f>
        <v/>
      </c>
      <c r="X1686">
        <f>N(X1685)+IF(AND(V1686&lt;&gt;"",T1686&lt;&gt;""),IF(V1686=MONAT!$AZ$3,1,0),0)</f>
        <v/>
      </c>
    </row>
    <row r="1687">
      <c r="A1687" s="19" t="n"/>
      <c r="B1687" s="20">
        <f>IF(A1687="","",CHOOSE(WEEKDAY(A1687,2),"Mo","Di","Mi","Do","Fr","Sa","So"))</f>
        <v/>
      </c>
      <c r="C1687" s="20">
        <f>IF(A1687="","",INT((A1687-DATE(YEAR(A1687-WEEKDAY(A1687-1)+4),1,3)+WEEKDAY(DATE(YEAR(A1687-WEEKDAY(A1687-1)+4),1,3))+5)/7))</f>
        <v/>
      </c>
      <c r="D1687" s="21" t="n"/>
      <c r="E1687" s="22" t="n"/>
      <c r="F1687" s="23" t="n"/>
      <c r="G1687" s="23" t="n"/>
      <c r="H1687" s="23" t="n"/>
      <c r="I1687" s="20">
        <f>IF(COUNT(F1687:H1687)=0,"",SUM(F1687:H1687))</f>
        <v/>
      </c>
      <c r="J1687" s="23" t="n"/>
      <c r="K1687" s="23" t="n"/>
      <c r="L1687" s="23" t="n"/>
      <c r="M1687" s="23" t="n"/>
      <c r="N1687" s="23" t="n"/>
      <c r="O1687" s="20">
        <f>IF(OR(I1687="",COUNT(J1687:N1687)=0),"",IF(SUM(J1687:N1687)=I1687,"✓","⚠ "&amp;SUM(J1687:N1687)&amp;" statt "&amp;I1687))</f>
        <v/>
      </c>
      <c r="P1687" s="21" t="n"/>
      <c r="Q1687" s="21" t="n"/>
      <c r="R1687" s="21" t="n"/>
      <c r="S1687" s="24" t="n"/>
      <c r="T1687" s="24" t="n"/>
      <c r="V1687">
        <f>IF(A1687="","",MONTH(A1687))</f>
        <v/>
      </c>
      <c r="W1687">
        <f>N(W1686)+IF(AND(C1687&lt;&gt;"",T1687&lt;&gt;""),IF(C1687=WOCHE!$B$3,1,0),0)</f>
        <v/>
      </c>
      <c r="X1687">
        <f>N(X1686)+IF(AND(V1687&lt;&gt;"",T1687&lt;&gt;""),IF(V1687=MONAT!$AZ$3,1,0),0)</f>
        <v/>
      </c>
    </row>
    <row r="1688">
      <c r="A1688" s="19" t="n"/>
      <c r="B1688" s="20">
        <f>IF(A1688="","",CHOOSE(WEEKDAY(A1688,2),"Mo","Di","Mi","Do","Fr","Sa","So"))</f>
        <v/>
      </c>
      <c r="C1688" s="20">
        <f>IF(A1688="","",INT((A1688-DATE(YEAR(A1688-WEEKDAY(A1688-1)+4),1,3)+WEEKDAY(DATE(YEAR(A1688-WEEKDAY(A1688-1)+4),1,3))+5)/7))</f>
        <v/>
      </c>
      <c r="D1688" s="21" t="n"/>
      <c r="E1688" s="22" t="n"/>
      <c r="F1688" s="23" t="n"/>
      <c r="G1688" s="23" t="n"/>
      <c r="H1688" s="23" t="n"/>
      <c r="I1688" s="20">
        <f>IF(COUNT(F1688:H1688)=0,"",SUM(F1688:H1688))</f>
        <v/>
      </c>
      <c r="J1688" s="23" t="n"/>
      <c r="K1688" s="23" t="n"/>
      <c r="L1688" s="23" t="n"/>
      <c r="M1688" s="23" t="n"/>
      <c r="N1688" s="23" t="n"/>
      <c r="O1688" s="20">
        <f>IF(OR(I1688="",COUNT(J1688:N1688)=0),"",IF(SUM(J1688:N1688)=I1688,"✓","⚠ "&amp;SUM(J1688:N1688)&amp;" statt "&amp;I1688))</f>
        <v/>
      </c>
      <c r="P1688" s="21" t="n"/>
      <c r="Q1688" s="21" t="n"/>
      <c r="R1688" s="21" t="n"/>
      <c r="S1688" s="24" t="n"/>
      <c r="T1688" s="24" t="n"/>
      <c r="V1688">
        <f>IF(A1688="","",MONTH(A1688))</f>
        <v/>
      </c>
      <c r="W1688">
        <f>N(W1687)+IF(AND(C1688&lt;&gt;"",T1688&lt;&gt;""),IF(C1688=WOCHE!$B$3,1,0),0)</f>
        <v/>
      </c>
      <c r="X1688">
        <f>N(X1687)+IF(AND(V1688&lt;&gt;"",T1688&lt;&gt;""),IF(V1688=MONAT!$AZ$3,1,0),0)</f>
        <v/>
      </c>
    </row>
    <row r="1689">
      <c r="A1689" s="19" t="n"/>
      <c r="B1689" s="20">
        <f>IF(A1689="","",CHOOSE(WEEKDAY(A1689,2),"Mo","Di","Mi","Do","Fr","Sa","So"))</f>
        <v/>
      </c>
      <c r="C1689" s="20">
        <f>IF(A1689="","",INT((A1689-DATE(YEAR(A1689-WEEKDAY(A1689-1)+4),1,3)+WEEKDAY(DATE(YEAR(A1689-WEEKDAY(A1689-1)+4),1,3))+5)/7))</f>
        <v/>
      </c>
      <c r="D1689" s="21" t="n"/>
      <c r="E1689" s="22" t="n"/>
      <c r="F1689" s="23" t="n"/>
      <c r="G1689" s="23" t="n"/>
      <c r="H1689" s="23" t="n"/>
      <c r="I1689" s="20">
        <f>IF(COUNT(F1689:H1689)=0,"",SUM(F1689:H1689))</f>
        <v/>
      </c>
      <c r="J1689" s="23" t="n"/>
      <c r="K1689" s="23" t="n"/>
      <c r="L1689" s="23" t="n"/>
      <c r="M1689" s="23" t="n"/>
      <c r="N1689" s="23" t="n"/>
      <c r="O1689" s="20">
        <f>IF(OR(I1689="",COUNT(J1689:N1689)=0),"",IF(SUM(J1689:N1689)=I1689,"✓","⚠ "&amp;SUM(J1689:N1689)&amp;" statt "&amp;I1689))</f>
        <v/>
      </c>
      <c r="P1689" s="21" t="n"/>
      <c r="Q1689" s="21" t="n"/>
      <c r="R1689" s="21" t="n"/>
      <c r="S1689" s="24" t="n"/>
      <c r="T1689" s="24" t="n"/>
      <c r="V1689">
        <f>IF(A1689="","",MONTH(A1689))</f>
        <v/>
      </c>
      <c r="W1689">
        <f>N(W1688)+IF(AND(C1689&lt;&gt;"",T1689&lt;&gt;""),IF(C1689=WOCHE!$B$3,1,0),0)</f>
        <v/>
      </c>
      <c r="X1689">
        <f>N(X1688)+IF(AND(V1689&lt;&gt;"",T1689&lt;&gt;""),IF(V1689=MONAT!$AZ$3,1,0),0)</f>
        <v/>
      </c>
    </row>
    <row r="1690">
      <c r="A1690" s="19" t="n"/>
      <c r="B1690" s="20">
        <f>IF(A1690="","",CHOOSE(WEEKDAY(A1690,2),"Mo","Di","Mi","Do","Fr","Sa","So"))</f>
        <v/>
      </c>
      <c r="C1690" s="20">
        <f>IF(A1690="","",INT((A1690-DATE(YEAR(A1690-WEEKDAY(A1690-1)+4),1,3)+WEEKDAY(DATE(YEAR(A1690-WEEKDAY(A1690-1)+4),1,3))+5)/7))</f>
        <v/>
      </c>
      <c r="D1690" s="21" t="n"/>
      <c r="E1690" s="22" t="n"/>
      <c r="F1690" s="23" t="n"/>
      <c r="G1690" s="23" t="n"/>
      <c r="H1690" s="23" t="n"/>
      <c r="I1690" s="20">
        <f>IF(COUNT(F1690:H1690)=0,"",SUM(F1690:H1690))</f>
        <v/>
      </c>
      <c r="J1690" s="23" t="n"/>
      <c r="K1690" s="23" t="n"/>
      <c r="L1690" s="23" t="n"/>
      <c r="M1690" s="23" t="n"/>
      <c r="N1690" s="23" t="n"/>
      <c r="O1690" s="20">
        <f>IF(OR(I1690="",COUNT(J1690:N1690)=0),"",IF(SUM(J1690:N1690)=I1690,"✓","⚠ "&amp;SUM(J1690:N1690)&amp;" statt "&amp;I1690))</f>
        <v/>
      </c>
      <c r="P1690" s="21" t="n"/>
      <c r="Q1690" s="21" t="n"/>
      <c r="R1690" s="21" t="n"/>
      <c r="S1690" s="24" t="n"/>
      <c r="T1690" s="24" t="n"/>
      <c r="V1690">
        <f>IF(A1690="","",MONTH(A1690))</f>
        <v/>
      </c>
      <c r="W1690">
        <f>N(W1689)+IF(AND(C1690&lt;&gt;"",T1690&lt;&gt;""),IF(C1690=WOCHE!$B$3,1,0),0)</f>
        <v/>
      </c>
      <c r="X1690">
        <f>N(X1689)+IF(AND(V1690&lt;&gt;"",T1690&lt;&gt;""),IF(V1690=MONAT!$AZ$3,1,0),0)</f>
        <v/>
      </c>
    </row>
    <row r="1691">
      <c r="A1691" s="19" t="n"/>
      <c r="B1691" s="20">
        <f>IF(A1691="","",CHOOSE(WEEKDAY(A1691,2),"Mo","Di","Mi","Do","Fr","Sa","So"))</f>
        <v/>
      </c>
      <c r="C1691" s="20">
        <f>IF(A1691="","",INT((A1691-DATE(YEAR(A1691-WEEKDAY(A1691-1)+4),1,3)+WEEKDAY(DATE(YEAR(A1691-WEEKDAY(A1691-1)+4),1,3))+5)/7))</f>
        <v/>
      </c>
      <c r="D1691" s="21" t="n"/>
      <c r="E1691" s="22" t="n"/>
      <c r="F1691" s="23" t="n"/>
      <c r="G1691" s="23" t="n"/>
      <c r="H1691" s="23" t="n"/>
      <c r="I1691" s="20">
        <f>IF(COUNT(F1691:H1691)=0,"",SUM(F1691:H1691))</f>
        <v/>
      </c>
      <c r="J1691" s="23" t="n"/>
      <c r="K1691" s="23" t="n"/>
      <c r="L1691" s="23" t="n"/>
      <c r="M1691" s="23" t="n"/>
      <c r="N1691" s="23" t="n"/>
      <c r="O1691" s="20">
        <f>IF(OR(I1691="",COUNT(J1691:N1691)=0),"",IF(SUM(J1691:N1691)=I1691,"✓","⚠ "&amp;SUM(J1691:N1691)&amp;" statt "&amp;I1691))</f>
        <v/>
      </c>
      <c r="P1691" s="21" t="n"/>
      <c r="Q1691" s="21" t="n"/>
      <c r="R1691" s="21" t="n"/>
      <c r="S1691" s="24" t="n"/>
      <c r="T1691" s="24" t="n"/>
      <c r="V1691">
        <f>IF(A1691="","",MONTH(A1691))</f>
        <v/>
      </c>
      <c r="W1691">
        <f>N(W1690)+IF(AND(C1691&lt;&gt;"",T1691&lt;&gt;""),IF(C1691=WOCHE!$B$3,1,0),0)</f>
        <v/>
      </c>
      <c r="X1691">
        <f>N(X1690)+IF(AND(V1691&lt;&gt;"",T1691&lt;&gt;""),IF(V1691=MONAT!$AZ$3,1,0),0)</f>
        <v/>
      </c>
    </row>
    <row r="1692">
      <c r="A1692" s="19" t="n"/>
      <c r="B1692" s="20">
        <f>IF(A1692="","",CHOOSE(WEEKDAY(A1692,2),"Mo","Di","Mi","Do","Fr","Sa","So"))</f>
        <v/>
      </c>
      <c r="C1692" s="20">
        <f>IF(A1692="","",INT((A1692-DATE(YEAR(A1692-WEEKDAY(A1692-1)+4),1,3)+WEEKDAY(DATE(YEAR(A1692-WEEKDAY(A1692-1)+4),1,3))+5)/7))</f>
        <v/>
      </c>
      <c r="D1692" s="21" t="n"/>
      <c r="E1692" s="22" t="n"/>
      <c r="F1692" s="23" t="n"/>
      <c r="G1692" s="23" t="n"/>
      <c r="H1692" s="23" t="n"/>
      <c r="I1692" s="20">
        <f>IF(COUNT(F1692:H1692)=0,"",SUM(F1692:H1692))</f>
        <v/>
      </c>
      <c r="J1692" s="23" t="n"/>
      <c r="K1692" s="23" t="n"/>
      <c r="L1692" s="23" t="n"/>
      <c r="M1692" s="23" t="n"/>
      <c r="N1692" s="23" t="n"/>
      <c r="O1692" s="20">
        <f>IF(OR(I1692="",COUNT(J1692:N1692)=0),"",IF(SUM(J1692:N1692)=I1692,"✓","⚠ "&amp;SUM(J1692:N1692)&amp;" statt "&amp;I1692))</f>
        <v/>
      </c>
      <c r="P1692" s="21" t="n"/>
      <c r="Q1692" s="21" t="n"/>
      <c r="R1692" s="21" t="n"/>
      <c r="S1692" s="24" t="n"/>
      <c r="T1692" s="24" t="n"/>
      <c r="V1692">
        <f>IF(A1692="","",MONTH(A1692))</f>
        <v/>
      </c>
      <c r="W1692">
        <f>N(W1691)+IF(AND(C1692&lt;&gt;"",T1692&lt;&gt;""),IF(C1692=WOCHE!$B$3,1,0),0)</f>
        <v/>
      </c>
      <c r="X1692">
        <f>N(X1691)+IF(AND(V1692&lt;&gt;"",T1692&lt;&gt;""),IF(V1692=MONAT!$AZ$3,1,0),0)</f>
        <v/>
      </c>
    </row>
    <row r="1693">
      <c r="A1693" s="19" t="n"/>
      <c r="B1693" s="20">
        <f>IF(A1693="","",CHOOSE(WEEKDAY(A1693,2),"Mo","Di","Mi","Do","Fr","Sa","So"))</f>
        <v/>
      </c>
      <c r="C1693" s="20">
        <f>IF(A1693="","",INT((A1693-DATE(YEAR(A1693-WEEKDAY(A1693-1)+4),1,3)+WEEKDAY(DATE(YEAR(A1693-WEEKDAY(A1693-1)+4),1,3))+5)/7))</f>
        <v/>
      </c>
      <c r="D1693" s="21" t="n"/>
      <c r="E1693" s="22" t="n"/>
      <c r="F1693" s="23" t="n"/>
      <c r="G1693" s="23" t="n"/>
      <c r="H1693" s="23" t="n"/>
      <c r="I1693" s="20">
        <f>IF(COUNT(F1693:H1693)=0,"",SUM(F1693:H1693))</f>
        <v/>
      </c>
      <c r="J1693" s="23" t="n"/>
      <c r="K1693" s="23" t="n"/>
      <c r="L1693" s="23" t="n"/>
      <c r="M1693" s="23" t="n"/>
      <c r="N1693" s="23" t="n"/>
      <c r="O1693" s="20">
        <f>IF(OR(I1693="",COUNT(J1693:N1693)=0),"",IF(SUM(J1693:N1693)=I1693,"✓","⚠ "&amp;SUM(J1693:N1693)&amp;" statt "&amp;I1693))</f>
        <v/>
      </c>
      <c r="P1693" s="21" t="n"/>
      <c r="Q1693" s="21" t="n"/>
      <c r="R1693" s="21" t="n"/>
      <c r="S1693" s="24" t="n"/>
      <c r="T1693" s="24" t="n"/>
      <c r="V1693">
        <f>IF(A1693="","",MONTH(A1693))</f>
        <v/>
      </c>
      <c r="W1693">
        <f>N(W1692)+IF(AND(C1693&lt;&gt;"",T1693&lt;&gt;""),IF(C1693=WOCHE!$B$3,1,0),0)</f>
        <v/>
      </c>
      <c r="X1693">
        <f>N(X1692)+IF(AND(V1693&lt;&gt;"",T1693&lt;&gt;""),IF(V1693=MONAT!$AZ$3,1,0),0)</f>
        <v/>
      </c>
    </row>
    <row r="1694">
      <c r="A1694" s="19" t="n"/>
      <c r="B1694" s="20">
        <f>IF(A1694="","",CHOOSE(WEEKDAY(A1694,2),"Mo","Di","Mi","Do","Fr","Sa","So"))</f>
        <v/>
      </c>
      <c r="C1694" s="20">
        <f>IF(A1694="","",INT((A1694-DATE(YEAR(A1694-WEEKDAY(A1694-1)+4),1,3)+WEEKDAY(DATE(YEAR(A1694-WEEKDAY(A1694-1)+4),1,3))+5)/7))</f>
        <v/>
      </c>
      <c r="D1694" s="21" t="n"/>
      <c r="E1694" s="22" t="n"/>
      <c r="F1694" s="23" t="n"/>
      <c r="G1694" s="23" t="n"/>
      <c r="H1694" s="23" t="n"/>
      <c r="I1694" s="20">
        <f>IF(COUNT(F1694:H1694)=0,"",SUM(F1694:H1694))</f>
        <v/>
      </c>
      <c r="J1694" s="23" t="n"/>
      <c r="K1694" s="23" t="n"/>
      <c r="L1694" s="23" t="n"/>
      <c r="M1694" s="23" t="n"/>
      <c r="N1694" s="23" t="n"/>
      <c r="O1694" s="20">
        <f>IF(OR(I1694="",COUNT(J1694:N1694)=0),"",IF(SUM(J1694:N1694)=I1694,"✓","⚠ "&amp;SUM(J1694:N1694)&amp;" statt "&amp;I1694))</f>
        <v/>
      </c>
      <c r="P1694" s="21" t="n"/>
      <c r="Q1694" s="21" t="n"/>
      <c r="R1694" s="21" t="n"/>
      <c r="S1694" s="24" t="n"/>
      <c r="T1694" s="24" t="n"/>
      <c r="V1694">
        <f>IF(A1694="","",MONTH(A1694))</f>
        <v/>
      </c>
      <c r="W1694">
        <f>N(W1693)+IF(AND(C1694&lt;&gt;"",T1694&lt;&gt;""),IF(C1694=WOCHE!$B$3,1,0),0)</f>
        <v/>
      </c>
      <c r="X1694">
        <f>N(X1693)+IF(AND(V1694&lt;&gt;"",T1694&lt;&gt;""),IF(V1694=MONAT!$AZ$3,1,0),0)</f>
        <v/>
      </c>
    </row>
    <row r="1695">
      <c r="A1695" s="19" t="n"/>
      <c r="B1695" s="20">
        <f>IF(A1695="","",CHOOSE(WEEKDAY(A1695,2),"Mo","Di","Mi","Do","Fr","Sa","So"))</f>
        <v/>
      </c>
      <c r="C1695" s="20">
        <f>IF(A1695="","",INT((A1695-DATE(YEAR(A1695-WEEKDAY(A1695-1)+4),1,3)+WEEKDAY(DATE(YEAR(A1695-WEEKDAY(A1695-1)+4),1,3))+5)/7))</f>
        <v/>
      </c>
      <c r="D1695" s="21" t="n"/>
      <c r="E1695" s="22" t="n"/>
      <c r="F1695" s="23" t="n"/>
      <c r="G1695" s="23" t="n"/>
      <c r="H1695" s="23" t="n"/>
      <c r="I1695" s="20">
        <f>IF(COUNT(F1695:H1695)=0,"",SUM(F1695:H1695))</f>
        <v/>
      </c>
      <c r="J1695" s="23" t="n"/>
      <c r="K1695" s="23" t="n"/>
      <c r="L1695" s="23" t="n"/>
      <c r="M1695" s="23" t="n"/>
      <c r="N1695" s="23" t="n"/>
      <c r="O1695" s="20">
        <f>IF(OR(I1695="",COUNT(J1695:N1695)=0),"",IF(SUM(J1695:N1695)=I1695,"✓","⚠ "&amp;SUM(J1695:N1695)&amp;" statt "&amp;I1695))</f>
        <v/>
      </c>
      <c r="P1695" s="21" t="n"/>
      <c r="Q1695" s="21" t="n"/>
      <c r="R1695" s="21" t="n"/>
      <c r="S1695" s="24" t="n"/>
      <c r="T1695" s="24" t="n"/>
      <c r="V1695">
        <f>IF(A1695="","",MONTH(A1695))</f>
        <v/>
      </c>
      <c r="W1695">
        <f>N(W1694)+IF(AND(C1695&lt;&gt;"",T1695&lt;&gt;""),IF(C1695=WOCHE!$B$3,1,0),0)</f>
        <v/>
      </c>
      <c r="X1695">
        <f>N(X1694)+IF(AND(V1695&lt;&gt;"",T1695&lt;&gt;""),IF(V1695=MONAT!$AZ$3,1,0),0)</f>
        <v/>
      </c>
    </row>
    <row r="1696">
      <c r="A1696" s="19" t="n"/>
      <c r="B1696" s="20">
        <f>IF(A1696="","",CHOOSE(WEEKDAY(A1696,2),"Mo","Di","Mi","Do","Fr","Sa","So"))</f>
        <v/>
      </c>
      <c r="C1696" s="20">
        <f>IF(A1696="","",INT((A1696-DATE(YEAR(A1696-WEEKDAY(A1696-1)+4),1,3)+WEEKDAY(DATE(YEAR(A1696-WEEKDAY(A1696-1)+4),1,3))+5)/7))</f>
        <v/>
      </c>
      <c r="D1696" s="21" t="n"/>
      <c r="E1696" s="22" t="n"/>
      <c r="F1696" s="23" t="n"/>
      <c r="G1696" s="23" t="n"/>
      <c r="H1696" s="23" t="n"/>
      <c r="I1696" s="20">
        <f>IF(COUNT(F1696:H1696)=0,"",SUM(F1696:H1696))</f>
        <v/>
      </c>
      <c r="J1696" s="23" t="n"/>
      <c r="K1696" s="23" t="n"/>
      <c r="L1696" s="23" t="n"/>
      <c r="M1696" s="23" t="n"/>
      <c r="N1696" s="23" t="n"/>
      <c r="O1696" s="20">
        <f>IF(OR(I1696="",COUNT(J1696:N1696)=0),"",IF(SUM(J1696:N1696)=I1696,"✓","⚠ "&amp;SUM(J1696:N1696)&amp;" statt "&amp;I1696))</f>
        <v/>
      </c>
      <c r="P1696" s="21" t="n"/>
      <c r="Q1696" s="21" t="n"/>
      <c r="R1696" s="21" t="n"/>
      <c r="S1696" s="24" t="n"/>
      <c r="T1696" s="24" t="n"/>
      <c r="V1696">
        <f>IF(A1696="","",MONTH(A1696))</f>
        <v/>
      </c>
      <c r="W1696">
        <f>N(W1695)+IF(AND(C1696&lt;&gt;"",T1696&lt;&gt;""),IF(C1696=WOCHE!$B$3,1,0),0)</f>
        <v/>
      </c>
      <c r="X1696">
        <f>N(X1695)+IF(AND(V1696&lt;&gt;"",T1696&lt;&gt;""),IF(V1696=MONAT!$AZ$3,1,0),0)</f>
        <v/>
      </c>
    </row>
    <row r="1697">
      <c r="A1697" s="19" t="n"/>
      <c r="B1697" s="20">
        <f>IF(A1697="","",CHOOSE(WEEKDAY(A1697,2),"Mo","Di","Mi","Do","Fr","Sa","So"))</f>
        <v/>
      </c>
      <c r="C1697" s="20">
        <f>IF(A1697="","",INT((A1697-DATE(YEAR(A1697-WEEKDAY(A1697-1)+4),1,3)+WEEKDAY(DATE(YEAR(A1697-WEEKDAY(A1697-1)+4),1,3))+5)/7))</f>
        <v/>
      </c>
      <c r="D1697" s="21" t="n"/>
      <c r="E1697" s="22" t="n"/>
      <c r="F1697" s="23" t="n"/>
      <c r="G1697" s="23" t="n"/>
      <c r="H1697" s="23" t="n"/>
      <c r="I1697" s="20">
        <f>IF(COUNT(F1697:H1697)=0,"",SUM(F1697:H1697))</f>
        <v/>
      </c>
      <c r="J1697" s="23" t="n"/>
      <c r="K1697" s="23" t="n"/>
      <c r="L1697" s="23" t="n"/>
      <c r="M1697" s="23" t="n"/>
      <c r="N1697" s="23" t="n"/>
      <c r="O1697" s="20">
        <f>IF(OR(I1697="",COUNT(J1697:N1697)=0),"",IF(SUM(J1697:N1697)=I1697,"✓","⚠ "&amp;SUM(J1697:N1697)&amp;" statt "&amp;I1697))</f>
        <v/>
      </c>
      <c r="P1697" s="21" t="n"/>
      <c r="Q1697" s="21" t="n"/>
      <c r="R1697" s="21" t="n"/>
      <c r="S1697" s="24" t="n"/>
      <c r="T1697" s="24" t="n"/>
      <c r="V1697">
        <f>IF(A1697="","",MONTH(A1697))</f>
        <v/>
      </c>
      <c r="W1697">
        <f>N(W1696)+IF(AND(C1697&lt;&gt;"",T1697&lt;&gt;""),IF(C1697=WOCHE!$B$3,1,0),0)</f>
        <v/>
      </c>
      <c r="X1697">
        <f>N(X1696)+IF(AND(V1697&lt;&gt;"",T1697&lt;&gt;""),IF(V1697=MONAT!$AZ$3,1,0),0)</f>
        <v/>
      </c>
    </row>
    <row r="1698">
      <c r="A1698" s="19" t="n"/>
      <c r="B1698" s="20">
        <f>IF(A1698="","",CHOOSE(WEEKDAY(A1698,2),"Mo","Di","Mi","Do","Fr","Sa","So"))</f>
        <v/>
      </c>
      <c r="C1698" s="20">
        <f>IF(A1698="","",INT((A1698-DATE(YEAR(A1698-WEEKDAY(A1698-1)+4),1,3)+WEEKDAY(DATE(YEAR(A1698-WEEKDAY(A1698-1)+4),1,3))+5)/7))</f>
        <v/>
      </c>
      <c r="D1698" s="21" t="n"/>
      <c r="E1698" s="22" t="n"/>
      <c r="F1698" s="23" t="n"/>
      <c r="G1698" s="23" t="n"/>
      <c r="H1698" s="23" t="n"/>
      <c r="I1698" s="20">
        <f>IF(COUNT(F1698:H1698)=0,"",SUM(F1698:H1698))</f>
        <v/>
      </c>
      <c r="J1698" s="23" t="n"/>
      <c r="K1698" s="23" t="n"/>
      <c r="L1698" s="23" t="n"/>
      <c r="M1698" s="23" t="n"/>
      <c r="N1698" s="23" t="n"/>
      <c r="O1698" s="20">
        <f>IF(OR(I1698="",COUNT(J1698:N1698)=0),"",IF(SUM(J1698:N1698)=I1698,"✓","⚠ "&amp;SUM(J1698:N1698)&amp;" statt "&amp;I1698))</f>
        <v/>
      </c>
      <c r="P1698" s="21" t="n"/>
      <c r="Q1698" s="21" t="n"/>
      <c r="R1698" s="21" t="n"/>
      <c r="S1698" s="24" t="n"/>
      <c r="T1698" s="24" t="n"/>
      <c r="V1698">
        <f>IF(A1698="","",MONTH(A1698))</f>
        <v/>
      </c>
      <c r="W1698">
        <f>N(W1697)+IF(AND(C1698&lt;&gt;"",T1698&lt;&gt;""),IF(C1698=WOCHE!$B$3,1,0),0)</f>
        <v/>
      </c>
      <c r="X1698">
        <f>N(X1697)+IF(AND(V1698&lt;&gt;"",T1698&lt;&gt;""),IF(V1698=MONAT!$AZ$3,1,0),0)</f>
        <v/>
      </c>
    </row>
    <row r="1699">
      <c r="A1699" s="19" t="n"/>
      <c r="B1699" s="20">
        <f>IF(A1699="","",CHOOSE(WEEKDAY(A1699,2),"Mo","Di","Mi","Do","Fr","Sa","So"))</f>
        <v/>
      </c>
      <c r="C1699" s="20">
        <f>IF(A1699="","",INT((A1699-DATE(YEAR(A1699-WEEKDAY(A1699-1)+4),1,3)+WEEKDAY(DATE(YEAR(A1699-WEEKDAY(A1699-1)+4),1,3))+5)/7))</f>
        <v/>
      </c>
      <c r="D1699" s="21" t="n"/>
      <c r="E1699" s="22" t="n"/>
      <c r="F1699" s="23" t="n"/>
      <c r="G1699" s="23" t="n"/>
      <c r="H1699" s="23" t="n"/>
      <c r="I1699" s="20">
        <f>IF(COUNT(F1699:H1699)=0,"",SUM(F1699:H1699))</f>
        <v/>
      </c>
      <c r="J1699" s="23" t="n"/>
      <c r="K1699" s="23" t="n"/>
      <c r="L1699" s="23" t="n"/>
      <c r="M1699" s="23" t="n"/>
      <c r="N1699" s="23" t="n"/>
      <c r="O1699" s="20">
        <f>IF(OR(I1699="",COUNT(J1699:N1699)=0),"",IF(SUM(J1699:N1699)=I1699,"✓","⚠ "&amp;SUM(J1699:N1699)&amp;" statt "&amp;I1699))</f>
        <v/>
      </c>
      <c r="P1699" s="21" t="n"/>
      <c r="Q1699" s="21" t="n"/>
      <c r="R1699" s="21" t="n"/>
      <c r="S1699" s="24" t="n"/>
      <c r="T1699" s="24" t="n"/>
      <c r="V1699">
        <f>IF(A1699="","",MONTH(A1699))</f>
        <v/>
      </c>
      <c r="W1699">
        <f>N(W1698)+IF(AND(C1699&lt;&gt;"",T1699&lt;&gt;""),IF(C1699=WOCHE!$B$3,1,0),0)</f>
        <v/>
      </c>
      <c r="X1699">
        <f>N(X1698)+IF(AND(V1699&lt;&gt;"",T1699&lt;&gt;""),IF(V1699=MONAT!$AZ$3,1,0),0)</f>
        <v/>
      </c>
    </row>
    <row r="1700">
      <c r="A1700" s="19" t="n"/>
      <c r="B1700" s="20">
        <f>IF(A1700="","",CHOOSE(WEEKDAY(A1700,2),"Mo","Di","Mi","Do","Fr","Sa","So"))</f>
        <v/>
      </c>
      <c r="C1700" s="20">
        <f>IF(A1700="","",INT((A1700-DATE(YEAR(A1700-WEEKDAY(A1700-1)+4),1,3)+WEEKDAY(DATE(YEAR(A1700-WEEKDAY(A1700-1)+4),1,3))+5)/7))</f>
        <v/>
      </c>
      <c r="D1700" s="21" t="n"/>
      <c r="E1700" s="22" t="n"/>
      <c r="F1700" s="23" t="n"/>
      <c r="G1700" s="23" t="n"/>
      <c r="H1700" s="23" t="n"/>
      <c r="I1700" s="20">
        <f>IF(COUNT(F1700:H1700)=0,"",SUM(F1700:H1700))</f>
        <v/>
      </c>
      <c r="J1700" s="23" t="n"/>
      <c r="K1700" s="23" t="n"/>
      <c r="L1700" s="23" t="n"/>
      <c r="M1700" s="23" t="n"/>
      <c r="N1700" s="23" t="n"/>
      <c r="O1700" s="20">
        <f>IF(OR(I1700="",COUNT(J1700:N1700)=0),"",IF(SUM(J1700:N1700)=I1700,"✓","⚠ "&amp;SUM(J1700:N1700)&amp;" statt "&amp;I1700))</f>
        <v/>
      </c>
      <c r="P1700" s="21" t="n"/>
      <c r="Q1700" s="21" t="n"/>
      <c r="R1700" s="21" t="n"/>
      <c r="S1700" s="24" t="n"/>
      <c r="T1700" s="24" t="n"/>
      <c r="V1700">
        <f>IF(A1700="","",MONTH(A1700))</f>
        <v/>
      </c>
      <c r="W1700">
        <f>N(W1699)+IF(AND(C1700&lt;&gt;"",T1700&lt;&gt;""),IF(C1700=WOCHE!$B$3,1,0),0)</f>
        <v/>
      </c>
      <c r="X1700">
        <f>N(X1699)+IF(AND(V1700&lt;&gt;"",T1700&lt;&gt;""),IF(V1700=MONAT!$AZ$3,1,0),0)</f>
        <v/>
      </c>
    </row>
    <row r="1701">
      <c r="A1701" s="19" t="n"/>
      <c r="B1701" s="20">
        <f>IF(A1701="","",CHOOSE(WEEKDAY(A1701,2),"Mo","Di","Mi","Do","Fr","Sa","So"))</f>
        <v/>
      </c>
      <c r="C1701" s="20">
        <f>IF(A1701="","",INT((A1701-DATE(YEAR(A1701-WEEKDAY(A1701-1)+4),1,3)+WEEKDAY(DATE(YEAR(A1701-WEEKDAY(A1701-1)+4),1,3))+5)/7))</f>
        <v/>
      </c>
      <c r="D1701" s="21" t="n"/>
      <c r="E1701" s="22" t="n"/>
      <c r="F1701" s="23" t="n"/>
      <c r="G1701" s="23" t="n"/>
      <c r="H1701" s="23" t="n"/>
      <c r="I1701" s="20">
        <f>IF(COUNT(F1701:H1701)=0,"",SUM(F1701:H1701))</f>
        <v/>
      </c>
      <c r="J1701" s="23" t="n"/>
      <c r="K1701" s="23" t="n"/>
      <c r="L1701" s="23" t="n"/>
      <c r="M1701" s="23" t="n"/>
      <c r="N1701" s="23" t="n"/>
      <c r="O1701" s="20">
        <f>IF(OR(I1701="",COUNT(J1701:N1701)=0),"",IF(SUM(J1701:N1701)=I1701,"✓","⚠ "&amp;SUM(J1701:N1701)&amp;" statt "&amp;I1701))</f>
        <v/>
      </c>
      <c r="P1701" s="21" t="n"/>
      <c r="Q1701" s="21" t="n"/>
      <c r="R1701" s="21" t="n"/>
      <c r="S1701" s="24" t="n"/>
      <c r="T1701" s="24" t="n"/>
      <c r="V1701">
        <f>IF(A1701="","",MONTH(A1701))</f>
        <v/>
      </c>
      <c r="W1701">
        <f>N(W1700)+IF(AND(C1701&lt;&gt;"",T1701&lt;&gt;""),IF(C1701=WOCHE!$B$3,1,0),0)</f>
        <v/>
      </c>
      <c r="X1701">
        <f>N(X1700)+IF(AND(V1701&lt;&gt;"",T1701&lt;&gt;""),IF(V1701=MONAT!$AZ$3,1,0),0)</f>
        <v/>
      </c>
    </row>
    <row r="1702">
      <c r="A1702" s="19" t="n"/>
      <c r="B1702" s="20">
        <f>IF(A1702="","",CHOOSE(WEEKDAY(A1702,2),"Mo","Di","Mi","Do","Fr","Sa","So"))</f>
        <v/>
      </c>
      <c r="C1702" s="20">
        <f>IF(A1702="","",INT((A1702-DATE(YEAR(A1702-WEEKDAY(A1702-1)+4),1,3)+WEEKDAY(DATE(YEAR(A1702-WEEKDAY(A1702-1)+4),1,3))+5)/7))</f>
        <v/>
      </c>
      <c r="D1702" s="21" t="n"/>
      <c r="E1702" s="22" t="n"/>
      <c r="F1702" s="23" t="n"/>
      <c r="G1702" s="23" t="n"/>
      <c r="H1702" s="23" t="n"/>
      <c r="I1702" s="20">
        <f>IF(COUNT(F1702:H1702)=0,"",SUM(F1702:H1702))</f>
        <v/>
      </c>
      <c r="J1702" s="23" t="n"/>
      <c r="K1702" s="23" t="n"/>
      <c r="L1702" s="23" t="n"/>
      <c r="M1702" s="23" t="n"/>
      <c r="N1702" s="23" t="n"/>
      <c r="O1702" s="20">
        <f>IF(OR(I1702="",COUNT(J1702:N1702)=0),"",IF(SUM(J1702:N1702)=I1702,"✓","⚠ "&amp;SUM(J1702:N1702)&amp;" statt "&amp;I1702))</f>
        <v/>
      </c>
      <c r="P1702" s="21" t="n"/>
      <c r="Q1702" s="21" t="n"/>
      <c r="R1702" s="21" t="n"/>
      <c r="S1702" s="24" t="n"/>
      <c r="T1702" s="24" t="n"/>
      <c r="V1702">
        <f>IF(A1702="","",MONTH(A1702))</f>
        <v/>
      </c>
      <c r="W1702">
        <f>N(W1701)+IF(AND(C1702&lt;&gt;"",T1702&lt;&gt;""),IF(C1702=WOCHE!$B$3,1,0),0)</f>
        <v/>
      </c>
      <c r="X1702">
        <f>N(X1701)+IF(AND(V1702&lt;&gt;"",T1702&lt;&gt;""),IF(V1702=MONAT!$AZ$3,1,0),0)</f>
        <v/>
      </c>
    </row>
    <row r="1703">
      <c r="A1703" s="19" t="n"/>
      <c r="B1703" s="20">
        <f>IF(A1703="","",CHOOSE(WEEKDAY(A1703,2),"Mo","Di","Mi","Do","Fr","Sa","So"))</f>
        <v/>
      </c>
      <c r="C1703" s="20">
        <f>IF(A1703="","",INT((A1703-DATE(YEAR(A1703-WEEKDAY(A1703-1)+4),1,3)+WEEKDAY(DATE(YEAR(A1703-WEEKDAY(A1703-1)+4),1,3))+5)/7))</f>
        <v/>
      </c>
      <c r="D1703" s="21" t="n"/>
      <c r="E1703" s="22" t="n"/>
      <c r="F1703" s="23" t="n"/>
      <c r="G1703" s="23" t="n"/>
      <c r="H1703" s="23" t="n"/>
      <c r="I1703" s="20">
        <f>IF(COUNT(F1703:H1703)=0,"",SUM(F1703:H1703))</f>
        <v/>
      </c>
      <c r="J1703" s="23" t="n"/>
      <c r="K1703" s="23" t="n"/>
      <c r="L1703" s="23" t="n"/>
      <c r="M1703" s="23" t="n"/>
      <c r="N1703" s="23" t="n"/>
      <c r="O1703" s="20">
        <f>IF(OR(I1703="",COUNT(J1703:N1703)=0),"",IF(SUM(J1703:N1703)=I1703,"✓","⚠ "&amp;SUM(J1703:N1703)&amp;" statt "&amp;I1703))</f>
        <v/>
      </c>
      <c r="P1703" s="21" t="n"/>
      <c r="Q1703" s="21" t="n"/>
      <c r="R1703" s="21" t="n"/>
      <c r="S1703" s="24" t="n"/>
      <c r="T1703" s="24" t="n"/>
      <c r="V1703">
        <f>IF(A1703="","",MONTH(A1703))</f>
        <v/>
      </c>
      <c r="W1703">
        <f>N(W1702)+IF(AND(C1703&lt;&gt;"",T1703&lt;&gt;""),IF(C1703=WOCHE!$B$3,1,0),0)</f>
        <v/>
      </c>
      <c r="X1703">
        <f>N(X1702)+IF(AND(V1703&lt;&gt;"",T1703&lt;&gt;""),IF(V1703=MONAT!$AZ$3,1,0),0)</f>
        <v/>
      </c>
    </row>
    <row r="1704">
      <c r="A1704" s="19" t="n"/>
      <c r="B1704" s="20">
        <f>IF(A1704="","",CHOOSE(WEEKDAY(A1704,2),"Mo","Di","Mi","Do","Fr","Sa","So"))</f>
        <v/>
      </c>
      <c r="C1704" s="20">
        <f>IF(A1704="","",INT((A1704-DATE(YEAR(A1704-WEEKDAY(A1704-1)+4),1,3)+WEEKDAY(DATE(YEAR(A1704-WEEKDAY(A1704-1)+4),1,3))+5)/7))</f>
        <v/>
      </c>
      <c r="D1704" s="21" t="n"/>
      <c r="E1704" s="22" t="n"/>
      <c r="F1704" s="23" t="n"/>
      <c r="G1704" s="23" t="n"/>
      <c r="H1704" s="23" t="n"/>
      <c r="I1704" s="20">
        <f>IF(COUNT(F1704:H1704)=0,"",SUM(F1704:H1704))</f>
        <v/>
      </c>
      <c r="J1704" s="23" t="n"/>
      <c r="K1704" s="23" t="n"/>
      <c r="L1704" s="23" t="n"/>
      <c r="M1704" s="23" t="n"/>
      <c r="N1704" s="23" t="n"/>
      <c r="O1704" s="20">
        <f>IF(OR(I1704="",COUNT(J1704:N1704)=0),"",IF(SUM(J1704:N1704)=I1704,"✓","⚠ "&amp;SUM(J1704:N1704)&amp;" statt "&amp;I1704))</f>
        <v/>
      </c>
      <c r="P1704" s="21" t="n"/>
      <c r="Q1704" s="21" t="n"/>
      <c r="R1704" s="21" t="n"/>
      <c r="S1704" s="24" t="n"/>
      <c r="T1704" s="24" t="n"/>
      <c r="V1704">
        <f>IF(A1704="","",MONTH(A1704))</f>
        <v/>
      </c>
      <c r="W1704">
        <f>N(W1703)+IF(AND(C1704&lt;&gt;"",T1704&lt;&gt;""),IF(C1704=WOCHE!$B$3,1,0),0)</f>
        <v/>
      </c>
      <c r="X1704">
        <f>N(X1703)+IF(AND(V1704&lt;&gt;"",T1704&lt;&gt;""),IF(V1704=MONAT!$AZ$3,1,0),0)</f>
        <v/>
      </c>
    </row>
    <row r="1705">
      <c r="A1705" s="19" t="n"/>
      <c r="B1705" s="20">
        <f>IF(A1705="","",CHOOSE(WEEKDAY(A1705,2),"Mo","Di","Mi","Do","Fr","Sa","So"))</f>
        <v/>
      </c>
      <c r="C1705" s="20">
        <f>IF(A1705="","",INT((A1705-DATE(YEAR(A1705-WEEKDAY(A1705-1)+4),1,3)+WEEKDAY(DATE(YEAR(A1705-WEEKDAY(A1705-1)+4),1,3))+5)/7))</f>
        <v/>
      </c>
      <c r="D1705" s="21" t="n"/>
      <c r="E1705" s="22" t="n"/>
      <c r="F1705" s="23" t="n"/>
      <c r="G1705" s="23" t="n"/>
      <c r="H1705" s="23" t="n"/>
      <c r="I1705" s="20">
        <f>IF(COUNT(F1705:H1705)=0,"",SUM(F1705:H1705))</f>
        <v/>
      </c>
      <c r="J1705" s="23" t="n"/>
      <c r="K1705" s="23" t="n"/>
      <c r="L1705" s="23" t="n"/>
      <c r="M1705" s="23" t="n"/>
      <c r="N1705" s="23" t="n"/>
      <c r="O1705" s="20">
        <f>IF(OR(I1705="",COUNT(J1705:N1705)=0),"",IF(SUM(J1705:N1705)=I1705,"✓","⚠ "&amp;SUM(J1705:N1705)&amp;" statt "&amp;I1705))</f>
        <v/>
      </c>
      <c r="P1705" s="21" t="n"/>
      <c r="Q1705" s="21" t="n"/>
      <c r="R1705" s="21" t="n"/>
      <c r="S1705" s="24" t="n"/>
      <c r="T1705" s="24" t="n"/>
      <c r="V1705">
        <f>IF(A1705="","",MONTH(A1705))</f>
        <v/>
      </c>
      <c r="W1705">
        <f>N(W1704)+IF(AND(C1705&lt;&gt;"",T1705&lt;&gt;""),IF(C1705=WOCHE!$B$3,1,0),0)</f>
        <v/>
      </c>
      <c r="X1705">
        <f>N(X1704)+IF(AND(V1705&lt;&gt;"",T1705&lt;&gt;""),IF(V1705=MONAT!$AZ$3,1,0),0)</f>
        <v/>
      </c>
    </row>
    <row r="1706">
      <c r="A1706" s="19" t="n"/>
      <c r="B1706" s="20">
        <f>IF(A1706="","",CHOOSE(WEEKDAY(A1706,2),"Mo","Di","Mi","Do","Fr","Sa","So"))</f>
        <v/>
      </c>
      <c r="C1706" s="20">
        <f>IF(A1706="","",INT((A1706-DATE(YEAR(A1706-WEEKDAY(A1706-1)+4),1,3)+WEEKDAY(DATE(YEAR(A1706-WEEKDAY(A1706-1)+4),1,3))+5)/7))</f>
        <v/>
      </c>
      <c r="D1706" s="21" t="n"/>
      <c r="E1706" s="22" t="n"/>
      <c r="F1706" s="23" t="n"/>
      <c r="G1706" s="23" t="n"/>
      <c r="H1706" s="23" t="n"/>
      <c r="I1706" s="20">
        <f>IF(COUNT(F1706:H1706)=0,"",SUM(F1706:H1706))</f>
        <v/>
      </c>
      <c r="J1706" s="23" t="n"/>
      <c r="K1706" s="23" t="n"/>
      <c r="L1706" s="23" t="n"/>
      <c r="M1706" s="23" t="n"/>
      <c r="N1706" s="23" t="n"/>
      <c r="O1706" s="20">
        <f>IF(OR(I1706="",COUNT(J1706:N1706)=0),"",IF(SUM(J1706:N1706)=I1706,"✓","⚠ "&amp;SUM(J1706:N1706)&amp;" statt "&amp;I1706))</f>
        <v/>
      </c>
      <c r="P1706" s="21" t="n"/>
      <c r="Q1706" s="21" t="n"/>
      <c r="R1706" s="21" t="n"/>
      <c r="S1706" s="24" t="n"/>
      <c r="T1706" s="24" t="n"/>
      <c r="V1706">
        <f>IF(A1706="","",MONTH(A1706))</f>
        <v/>
      </c>
      <c r="W1706">
        <f>N(W1705)+IF(AND(C1706&lt;&gt;"",T1706&lt;&gt;""),IF(C1706=WOCHE!$B$3,1,0),0)</f>
        <v/>
      </c>
      <c r="X1706">
        <f>N(X1705)+IF(AND(V1706&lt;&gt;"",T1706&lt;&gt;""),IF(V1706=MONAT!$AZ$3,1,0),0)</f>
        <v/>
      </c>
    </row>
    <row r="1707">
      <c r="A1707" s="19" t="n"/>
      <c r="B1707" s="20">
        <f>IF(A1707="","",CHOOSE(WEEKDAY(A1707,2),"Mo","Di","Mi","Do","Fr","Sa","So"))</f>
        <v/>
      </c>
      <c r="C1707" s="20">
        <f>IF(A1707="","",INT((A1707-DATE(YEAR(A1707-WEEKDAY(A1707-1)+4),1,3)+WEEKDAY(DATE(YEAR(A1707-WEEKDAY(A1707-1)+4),1,3))+5)/7))</f>
        <v/>
      </c>
      <c r="D1707" s="21" t="n"/>
      <c r="E1707" s="22" t="n"/>
      <c r="F1707" s="23" t="n"/>
      <c r="G1707" s="23" t="n"/>
      <c r="H1707" s="23" t="n"/>
      <c r="I1707" s="20">
        <f>IF(COUNT(F1707:H1707)=0,"",SUM(F1707:H1707))</f>
        <v/>
      </c>
      <c r="J1707" s="23" t="n"/>
      <c r="K1707" s="23" t="n"/>
      <c r="L1707" s="23" t="n"/>
      <c r="M1707" s="23" t="n"/>
      <c r="N1707" s="23" t="n"/>
      <c r="O1707" s="20">
        <f>IF(OR(I1707="",COUNT(J1707:N1707)=0),"",IF(SUM(J1707:N1707)=I1707,"✓","⚠ "&amp;SUM(J1707:N1707)&amp;" statt "&amp;I1707))</f>
        <v/>
      </c>
      <c r="P1707" s="21" t="n"/>
      <c r="Q1707" s="21" t="n"/>
      <c r="R1707" s="21" t="n"/>
      <c r="S1707" s="24" t="n"/>
      <c r="T1707" s="24" t="n"/>
      <c r="V1707">
        <f>IF(A1707="","",MONTH(A1707))</f>
        <v/>
      </c>
      <c r="W1707">
        <f>N(W1706)+IF(AND(C1707&lt;&gt;"",T1707&lt;&gt;""),IF(C1707=WOCHE!$B$3,1,0),0)</f>
        <v/>
      </c>
      <c r="X1707">
        <f>N(X1706)+IF(AND(V1707&lt;&gt;"",T1707&lt;&gt;""),IF(V1707=MONAT!$AZ$3,1,0),0)</f>
        <v/>
      </c>
    </row>
    <row r="1708">
      <c r="A1708" s="19" t="n"/>
      <c r="B1708" s="20">
        <f>IF(A1708="","",CHOOSE(WEEKDAY(A1708,2),"Mo","Di","Mi","Do","Fr","Sa","So"))</f>
        <v/>
      </c>
      <c r="C1708" s="20">
        <f>IF(A1708="","",INT((A1708-DATE(YEAR(A1708-WEEKDAY(A1708-1)+4),1,3)+WEEKDAY(DATE(YEAR(A1708-WEEKDAY(A1708-1)+4),1,3))+5)/7))</f>
        <v/>
      </c>
      <c r="D1708" s="21" t="n"/>
      <c r="E1708" s="22" t="n"/>
      <c r="F1708" s="23" t="n"/>
      <c r="G1708" s="23" t="n"/>
      <c r="H1708" s="23" t="n"/>
      <c r="I1708" s="20">
        <f>IF(COUNT(F1708:H1708)=0,"",SUM(F1708:H1708))</f>
        <v/>
      </c>
      <c r="J1708" s="23" t="n"/>
      <c r="K1708" s="23" t="n"/>
      <c r="L1708" s="23" t="n"/>
      <c r="M1708" s="23" t="n"/>
      <c r="N1708" s="23" t="n"/>
      <c r="O1708" s="20">
        <f>IF(OR(I1708="",COUNT(J1708:N1708)=0),"",IF(SUM(J1708:N1708)=I1708,"✓","⚠ "&amp;SUM(J1708:N1708)&amp;" statt "&amp;I1708))</f>
        <v/>
      </c>
      <c r="P1708" s="21" t="n"/>
      <c r="Q1708" s="21" t="n"/>
      <c r="R1708" s="21" t="n"/>
      <c r="S1708" s="24" t="n"/>
      <c r="T1708" s="24" t="n"/>
      <c r="V1708">
        <f>IF(A1708="","",MONTH(A1708))</f>
        <v/>
      </c>
      <c r="W1708">
        <f>N(W1707)+IF(AND(C1708&lt;&gt;"",T1708&lt;&gt;""),IF(C1708=WOCHE!$B$3,1,0),0)</f>
        <v/>
      </c>
      <c r="X1708">
        <f>N(X1707)+IF(AND(V1708&lt;&gt;"",T1708&lt;&gt;""),IF(V1708=MONAT!$AZ$3,1,0),0)</f>
        <v/>
      </c>
    </row>
    <row r="1709">
      <c r="A1709" s="19" t="n"/>
      <c r="B1709" s="20">
        <f>IF(A1709="","",CHOOSE(WEEKDAY(A1709,2),"Mo","Di","Mi","Do","Fr","Sa","So"))</f>
        <v/>
      </c>
      <c r="C1709" s="20">
        <f>IF(A1709="","",INT((A1709-DATE(YEAR(A1709-WEEKDAY(A1709-1)+4),1,3)+WEEKDAY(DATE(YEAR(A1709-WEEKDAY(A1709-1)+4),1,3))+5)/7))</f>
        <v/>
      </c>
      <c r="D1709" s="21" t="n"/>
      <c r="E1709" s="22" t="n"/>
      <c r="F1709" s="23" t="n"/>
      <c r="G1709" s="23" t="n"/>
      <c r="H1709" s="23" t="n"/>
      <c r="I1709" s="20">
        <f>IF(COUNT(F1709:H1709)=0,"",SUM(F1709:H1709))</f>
        <v/>
      </c>
      <c r="J1709" s="23" t="n"/>
      <c r="K1709" s="23" t="n"/>
      <c r="L1709" s="23" t="n"/>
      <c r="M1709" s="23" t="n"/>
      <c r="N1709" s="23" t="n"/>
      <c r="O1709" s="20">
        <f>IF(OR(I1709="",COUNT(J1709:N1709)=0),"",IF(SUM(J1709:N1709)=I1709,"✓","⚠ "&amp;SUM(J1709:N1709)&amp;" statt "&amp;I1709))</f>
        <v/>
      </c>
      <c r="P1709" s="21" t="n"/>
      <c r="Q1709" s="21" t="n"/>
      <c r="R1709" s="21" t="n"/>
      <c r="S1709" s="24" t="n"/>
      <c r="T1709" s="24" t="n"/>
      <c r="V1709">
        <f>IF(A1709="","",MONTH(A1709))</f>
        <v/>
      </c>
      <c r="W1709">
        <f>N(W1708)+IF(AND(C1709&lt;&gt;"",T1709&lt;&gt;""),IF(C1709=WOCHE!$B$3,1,0),0)</f>
        <v/>
      </c>
      <c r="X1709">
        <f>N(X1708)+IF(AND(V1709&lt;&gt;"",T1709&lt;&gt;""),IF(V1709=MONAT!$AZ$3,1,0),0)</f>
        <v/>
      </c>
    </row>
    <row r="1710">
      <c r="A1710" s="19" t="n"/>
      <c r="B1710" s="20">
        <f>IF(A1710="","",CHOOSE(WEEKDAY(A1710,2),"Mo","Di","Mi","Do","Fr","Sa","So"))</f>
        <v/>
      </c>
      <c r="C1710" s="20">
        <f>IF(A1710="","",INT((A1710-DATE(YEAR(A1710-WEEKDAY(A1710-1)+4),1,3)+WEEKDAY(DATE(YEAR(A1710-WEEKDAY(A1710-1)+4),1,3))+5)/7))</f>
        <v/>
      </c>
      <c r="D1710" s="21" t="n"/>
      <c r="E1710" s="22" t="n"/>
      <c r="F1710" s="23" t="n"/>
      <c r="G1710" s="23" t="n"/>
      <c r="H1710" s="23" t="n"/>
      <c r="I1710" s="20">
        <f>IF(COUNT(F1710:H1710)=0,"",SUM(F1710:H1710))</f>
        <v/>
      </c>
      <c r="J1710" s="23" t="n"/>
      <c r="K1710" s="23" t="n"/>
      <c r="L1710" s="23" t="n"/>
      <c r="M1710" s="23" t="n"/>
      <c r="N1710" s="23" t="n"/>
      <c r="O1710" s="20">
        <f>IF(OR(I1710="",COUNT(J1710:N1710)=0),"",IF(SUM(J1710:N1710)=I1710,"✓","⚠ "&amp;SUM(J1710:N1710)&amp;" statt "&amp;I1710))</f>
        <v/>
      </c>
      <c r="P1710" s="21" t="n"/>
      <c r="Q1710" s="21" t="n"/>
      <c r="R1710" s="21" t="n"/>
      <c r="S1710" s="24" t="n"/>
      <c r="T1710" s="24" t="n"/>
      <c r="V1710">
        <f>IF(A1710="","",MONTH(A1710))</f>
        <v/>
      </c>
      <c r="W1710">
        <f>N(W1709)+IF(AND(C1710&lt;&gt;"",T1710&lt;&gt;""),IF(C1710=WOCHE!$B$3,1,0),0)</f>
        <v/>
      </c>
      <c r="X1710">
        <f>N(X1709)+IF(AND(V1710&lt;&gt;"",T1710&lt;&gt;""),IF(V1710=MONAT!$AZ$3,1,0),0)</f>
        <v/>
      </c>
    </row>
    <row r="1711">
      <c r="A1711" s="19" t="n"/>
      <c r="B1711" s="20">
        <f>IF(A1711="","",CHOOSE(WEEKDAY(A1711,2),"Mo","Di","Mi","Do","Fr","Sa","So"))</f>
        <v/>
      </c>
      <c r="C1711" s="20">
        <f>IF(A1711="","",INT((A1711-DATE(YEAR(A1711-WEEKDAY(A1711-1)+4),1,3)+WEEKDAY(DATE(YEAR(A1711-WEEKDAY(A1711-1)+4),1,3))+5)/7))</f>
        <v/>
      </c>
      <c r="D1711" s="21" t="n"/>
      <c r="E1711" s="22" t="n"/>
      <c r="F1711" s="23" t="n"/>
      <c r="G1711" s="23" t="n"/>
      <c r="H1711" s="23" t="n"/>
      <c r="I1711" s="20">
        <f>IF(COUNT(F1711:H1711)=0,"",SUM(F1711:H1711))</f>
        <v/>
      </c>
      <c r="J1711" s="23" t="n"/>
      <c r="K1711" s="23" t="n"/>
      <c r="L1711" s="23" t="n"/>
      <c r="M1711" s="23" t="n"/>
      <c r="N1711" s="23" t="n"/>
      <c r="O1711" s="20">
        <f>IF(OR(I1711="",COUNT(J1711:N1711)=0),"",IF(SUM(J1711:N1711)=I1711,"✓","⚠ "&amp;SUM(J1711:N1711)&amp;" statt "&amp;I1711))</f>
        <v/>
      </c>
      <c r="P1711" s="21" t="n"/>
      <c r="Q1711" s="21" t="n"/>
      <c r="R1711" s="21" t="n"/>
      <c r="S1711" s="24" t="n"/>
      <c r="T1711" s="24" t="n"/>
      <c r="V1711">
        <f>IF(A1711="","",MONTH(A1711))</f>
        <v/>
      </c>
      <c r="W1711">
        <f>N(W1710)+IF(AND(C1711&lt;&gt;"",T1711&lt;&gt;""),IF(C1711=WOCHE!$B$3,1,0),0)</f>
        <v/>
      </c>
      <c r="X1711">
        <f>N(X1710)+IF(AND(V1711&lt;&gt;"",T1711&lt;&gt;""),IF(V1711=MONAT!$AZ$3,1,0),0)</f>
        <v/>
      </c>
    </row>
    <row r="1712">
      <c r="A1712" s="19" t="n"/>
      <c r="B1712" s="20">
        <f>IF(A1712="","",CHOOSE(WEEKDAY(A1712,2),"Mo","Di","Mi","Do","Fr","Sa","So"))</f>
        <v/>
      </c>
      <c r="C1712" s="20">
        <f>IF(A1712="","",INT((A1712-DATE(YEAR(A1712-WEEKDAY(A1712-1)+4),1,3)+WEEKDAY(DATE(YEAR(A1712-WEEKDAY(A1712-1)+4),1,3))+5)/7))</f>
        <v/>
      </c>
      <c r="D1712" s="21" t="n"/>
      <c r="E1712" s="22" t="n"/>
      <c r="F1712" s="23" t="n"/>
      <c r="G1712" s="23" t="n"/>
      <c r="H1712" s="23" t="n"/>
      <c r="I1712" s="20">
        <f>IF(COUNT(F1712:H1712)=0,"",SUM(F1712:H1712))</f>
        <v/>
      </c>
      <c r="J1712" s="23" t="n"/>
      <c r="K1712" s="23" t="n"/>
      <c r="L1712" s="23" t="n"/>
      <c r="M1712" s="23" t="n"/>
      <c r="N1712" s="23" t="n"/>
      <c r="O1712" s="20">
        <f>IF(OR(I1712="",COUNT(J1712:N1712)=0),"",IF(SUM(J1712:N1712)=I1712,"✓","⚠ "&amp;SUM(J1712:N1712)&amp;" statt "&amp;I1712))</f>
        <v/>
      </c>
      <c r="P1712" s="21" t="n"/>
      <c r="Q1712" s="21" t="n"/>
      <c r="R1712" s="21" t="n"/>
      <c r="S1712" s="24" t="n"/>
      <c r="T1712" s="24" t="n"/>
      <c r="V1712">
        <f>IF(A1712="","",MONTH(A1712))</f>
        <v/>
      </c>
      <c r="W1712">
        <f>N(W1711)+IF(AND(C1712&lt;&gt;"",T1712&lt;&gt;""),IF(C1712=WOCHE!$B$3,1,0),0)</f>
        <v/>
      </c>
      <c r="X1712">
        <f>N(X1711)+IF(AND(V1712&lt;&gt;"",T1712&lt;&gt;""),IF(V1712=MONAT!$AZ$3,1,0),0)</f>
        <v/>
      </c>
    </row>
    <row r="1713">
      <c r="A1713" s="19" t="n"/>
      <c r="B1713" s="20">
        <f>IF(A1713="","",CHOOSE(WEEKDAY(A1713,2),"Mo","Di","Mi","Do","Fr","Sa","So"))</f>
        <v/>
      </c>
      <c r="C1713" s="20">
        <f>IF(A1713="","",INT((A1713-DATE(YEAR(A1713-WEEKDAY(A1713-1)+4),1,3)+WEEKDAY(DATE(YEAR(A1713-WEEKDAY(A1713-1)+4),1,3))+5)/7))</f>
        <v/>
      </c>
      <c r="D1713" s="21" t="n"/>
      <c r="E1713" s="22" t="n"/>
      <c r="F1713" s="23" t="n"/>
      <c r="G1713" s="23" t="n"/>
      <c r="H1713" s="23" t="n"/>
      <c r="I1713" s="20">
        <f>IF(COUNT(F1713:H1713)=0,"",SUM(F1713:H1713))</f>
        <v/>
      </c>
      <c r="J1713" s="23" t="n"/>
      <c r="K1713" s="23" t="n"/>
      <c r="L1713" s="23" t="n"/>
      <c r="M1713" s="23" t="n"/>
      <c r="N1713" s="23" t="n"/>
      <c r="O1713" s="20">
        <f>IF(OR(I1713="",COUNT(J1713:N1713)=0),"",IF(SUM(J1713:N1713)=I1713,"✓","⚠ "&amp;SUM(J1713:N1713)&amp;" statt "&amp;I1713))</f>
        <v/>
      </c>
      <c r="P1713" s="21" t="n"/>
      <c r="Q1713" s="21" t="n"/>
      <c r="R1713" s="21" t="n"/>
      <c r="S1713" s="24" t="n"/>
      <c r="T1713" s="24" t="n"/>
      <c r="V1713">
        <f>IF(A1713="","",MONTH(A1713))</f>
        <v/>
      </c>
      <c r="W1713">
        <f>N(W1712)+IF(AND(C1713&lt;&gt;"",T1713&lt;&gt;""),IF(C1713=WOCHE!$B$3,1,0),0)</f>
        <v/>
      </c>
      <c r="X1713">
        <f>N(X1712)+IF(AND(V1713&lt;&gt;"",T1713&lt;&gt;""),IF(V1713=MONAT!$AZ$3,1,0),0)</f>
        <v/>
      </c>
    </row>
    <row r="1714">
      <c r="A1714" s="19" t="n"/>
      <c r="B1714" s="20">
        <f>IF(A1714="","",CHOOSE(WEEKDAY(A1714,2),"Mo","Di","Mi","Do","Fr","Sa","So"))</f>
        <v/>
      </c>
      <c r="C1714" s="20">
        <f>IF(A1714="","",INT((A1714-DATE(YEAR(A1714-WEEKDAY(A1714-1)+4),1,3)+WEEKDAY(DATE(YEAR(A1714-WEEKDAY(A1714-1)+4),1,3))+5)/7))</f>
        <v/>
      </c>
      <c r="D1714" s="21" t="n"/>
      <c r="E1714" s="22" t="n"/>
      <c r="F1714" s="23" t="n"/>
      <c r="G1714" s="23" t="n"/>
      <c r="H1714" s="23" t="n"/>
      <c r="I1714" s="20">
        <f>IF(COUNT(F1714:H1714)=0,"",SUM(F1714:H1714))</f>
        <v/>
      </c>
      <c r="J1714" s="23" t="n"/>
      <c r="K1714" s="23" t="n"/>
      <c r="L1714" s="23" t="n"/>
      <c r="M1714" s="23" t="n"/>
      <c r="N1714" s="23" t="n"/>
      <c r="O1714" s="20">
        <f>IF(OR(I1714="",COUNT(J1714:N1714)=0),"",IF(SUM(J1714:N1714)=I1714,"✓","⚠ "&amp;SUM(J1714:N1714)&amp;" statt "&amp;I1714))</f>
        <v/>
      </c>
      <c r="P1714" s="21" t="n"/>
      <c r="Q1714" s="21" t="n"/>
      <c r="R1714" s="21" t="n"/>
      <c r="S1714" s="24" t="n"/>
      <c r="T1714" s="24" t="n"/>
      <c r="V1714">
        <f>IF(A1714="","",MONTH(A1714))</f>
        <v/>
      </c>
      <c r="W1714">
        <f>N(W1713)+IF(AND(C1714&lt;&gt;"",T1714&lt;&gt;""),IF(C1714=WOCHE!$B$3,1,0),0)</f>
        <v/>
      </c>
      <c r="X1714">
        <f>N(X1713)+IF(AND(V1714&lt;&gt;"",T1714&lt;&gt;""),IF(V1714=MONAT!$AZ$3,1,0),0)</f>
        <v/>
      </c>
    </row>
    <row r="1715">
      <c r="A1715" s="19" t="n"/>
      <c r="B1715" s="20">
        <f>IF(A1715="","",CHOOSE(WEEKDAY(A1715,2),"Mo","Di","Mi","Do","Fr","Sa","So"))</f>
        <v/>
      </c>
      <c r="C1715" s="20">
        <f>IF(A1715="","",INT((A1715-DATE(YEAR(A1715-WEEKDAY(A1715-1)+4),1,3)+WEEKDAY(DATE(YEAR(A1715-WEEKDAY(A1715-1)+4),1,3))+5)/7))</f>
        <v/>
      </c>
      <c r="D1715" s="21" t="n"/>
      <c r="E1715" s="22" t="n"/>
      <c r="F1715" s="23" t="n"/>
      <c r="G1715" s="23" t="n"/>
      <c r="H1715" s="23" t="n"/>
      <c r="I1715" s="20">
        <f>IF(COUNT(F1715:H1715)=0,"",SUM(F1715:H1715))</f>
        <v/>
      </c>
      <c r="J1715" s="23" t="n"/>
      <c r="K1715" s="23" t="n"/>
      <c r="L1715" s="23" t="n"/>
      <c r="M1715" s="23" t="n"/>
      <c r="N1715" s="23" t="n"/>
      <c r="O1715" s="20">
        <f>IF(OR(I1715="",COUNT(J1715:N1715)=0),"",IF(SUM(J1715:N1715)=I1715,"✓","⚠ "&amp;SUM(J1715:N1715)&amp;" statt "&amp;I1715))</f>
        <v/>
      </c>
      <c r="P1715" s="21" t="n"/>
      <c r="Q1715" s="21" t="n"/>
      <c r="R1715" s="21" t="n"/>
      <c r="S1715" s="24" t="n"/>
      <c r="T1715" s="24" t="n"/>
      <c r="V1715">
        <f>IF(A1715="","",MONTH(A1715))</f>
        <v/>
      </c>
      <c r="W1715">
        <f>N(W1714)+IF(AND(C1715&lt;&gt;"",T1715&lt;&gt;""),IF(C1715=WOCHE!$B$3,1,0),0)</f>
        <v/>
      </c>
      <c r="X1715">
        <f>N(X1714)+IF(AND(V1715&lt;&gt;"",T1715&lt;&gt;""),IF(V1715=MONAT!$AZ$3,1,0),0)</f>
        <v/>
      </c>
    </row>
    <row r="1716">
      <c r="A1716" s="19" t="n"/>
      <c r="B1716" s="20">
        <f>IF(A1716="","",CHOOSE(WEEKDAY(A1716,2),"Mo","Di","Mi","Do","Fr","Sa","So"))</f>
        <v/>
      </c>
      <c r="C1716" s="20">
        <f>IF(A1716="","",INT((A1716-DATE(YEAR(A1716-WEEKDAY(A1716-1)+4),1,3)+WEEKDAY(DATE(YEAR(A1716-WEEKDAY(A1716-1)+4),1,3))+5)/7))</f>
        <v/>
      </c>
      <c r="D1716" s="21" t="n"/>
      <c r="E1716" s="22" t="n"/>
      <c r="F1716" s="23" t="n"/>
      <c r="G1716" s="23" t="n"/>
      <c r="H1716" s="23" t="n"/>
      <c r="I1716" s="20">
        <f>IF(COUNT(F1716:H1716)=0,"",SUM(F1716:H1716))</f>
        <v/>
      </c>
      <c r="J1716" s="23" t="n"/>
      <c r="K1716" s="23" t="n"/>
      <c r="L1716" s="23" t="n"/>
      <c r="M1716" s="23" t="n"/>
      <c r="N1716" s="23" t="n"/>
      <c r="O1716" s="20">
        <f>IF(OR(I1716="",COUNT(J1716:N1716)=0),"",IF(SUM(J1716:N1716)=I1716,"✓","⚠ "&amp;SUM(J1716:N1716)&amp;" statt "&amp;I1716))</f>
        <v/>
      </c>
      <c r="P1716" s="21" t="n"/>
      <c r="Q1716" s="21" t="n"/>
      <c r="R1716" s="21" t="n"/>
      <c r="S1716" s="24" t="n"/>
      <c r="T1716" s="24" t="n"/>
      <c r="V1716">
        <f>IF(A1716="","",MONTH(A1716))</f>
        <v/>
      </c>
      <c r="W1716">
        <f>N(W1715)+IF(AND(C1716&lt;&gt;"",T1716&lt;&gt;""),IF(C1716=WOCHE!$B$3,1,0),0)</f>
        <v/>
      </c>
      <c r="X1716">
        <f>N(X1715)+IF(AND(V1716&lt;&gt;"",T1716&lt;&gt;""),IF(V1716=MONAT!$AZ$3,1,0),0)</f>
        <v/>
      </c>
    </row>
    <row r="1717">
      <c r="A1717" s="19" t="n"/>
      <c r="B1717" s="20">
        <f>IF(A1717="","",CHOOSE(WEEKDAY(A1717,2),"Mo","Di","Mi","Do","Fr","Sa","So"))</f>
        <v/>
      </c>
      <c r="C1717" s="20">
        <f>IF(A1717="","",INT((A1717-DATE(YEAR(A1717-WEEKDAY(A1717-1)+4),1,3)+WEEKDAY(DATE(YEAR(A1717-WEEKDAY(A1717-1)+4),1,3))+5)/7))</f>
        <v/>
      </c>
      <c r="D1717" s="21" t="n"/>
      <c r="E1717" s="22" t="n"/>
      <c r="F1717" s="23" t="n"/>
      <c r="G1717" s="23" t="n"/>
      <c r="H1717" s="23" t="n"/>
      <c r="I1717" s="20">
        <f>IF(COUNT(F1717:H1717)=0,"",SUM(F1717:H1717))</f>
        <v/>
      </c>
      <c r="J1717" s="23" t="n"/>
      <c r="K1717" s="23" t="n"/>
      <c r="L1717" s="23" t="n"/>
      <c r="M1717" s="23" t="n"/>
      <c r="N1717" s="23" t="n"/>
      <c r="O1717" s="20">
        <f>IF(OR(I1717="",COUNT(J1717:N1717)=0),"",IF(SUM(J1717:N1717)=I1717,"✓","⚠ "&amp;SUM(J1717:N1717)&amp;" statt "&amp;I1717))</f>
        <v/>
      </c>
      <c r="P1717" s="21" t="n"/>
      <c r="Q1717" s="21" t="n"/>
      <c r="R1717" s="21" t="n"/>
      <c r="S1717" s="24" t="n"/>
      <c r="T1717" s="24" t="n"/>
      <c r="V1717">
        <f>IF(A1717="","",MONTH(A1717))</f>
        <v/>
      </c>
      <c r="W1717">
        <f>N(W1716)+IF(AND(C1717&lt;&gt;"",T1717&lt;&gt;""),IF(C1717=WOCHE!$B$3,1,0),0)</f>
        <v/>
      </c>
      <c r="X1717">
        <f>N(X1716)+IF(AND(V1717&lt;&gt;"",T1717&lt;&gt;""),IF(V1717=MONAT!$AZ$3,1,0),0)</f>
        <v/>
      </c>
    </row>
    <row r="1718">
      <c r="A1718" s="19" t="n"/>
      <c r="B1718" s="20">
        <f>IF(A1718="","",CHOOSE(WEEKDAY(A1718,2),"Mo","Di","Mi","Do","Fr","Sa","So"))</f>
        <v/>
      </c>
      <c r="C1718" s="20">
        <f>IF(A1718="","",INT((A1718-DATE(YEAR(A1718-WEEKDAY(A1718-1)+4),1,3)+WEEKDAY(DATE(YEAR(A1718-WEEKDAY(A1718-1)+4),1,3))+5)/7))</f>
        <v/>
      </c>
      <c r="D1718" s="21" t="n"/>
      <c r="E1718" s="22" t="n"/>
      <c r="F1718" s="23" t="n"/>
      <c r="G1718" s="23" t="n"/>
      <c r="H1718" s="23" t="n"/>
      <c r="I1718" s="20">
        <f>IF(COUNT(F1718:H1718)=0,"",SUM(F1718:H1718))</f>
        <v/>
      </c>
      <c r="J1718" s="23" t="n"/>
      <c r="K1718" s="23" t="n"/>
      <c r="L1718" s="23" t="n"/>
      <c r="M1718" s="23" t="n"/>
      <c r="N1718" s="23" t="n"/>
      <c r="O1718" s="20">
        <f>IF(OR(I1718="",COUNT(J1718:N1718)=0),"",IF(SUM(J1718:N1718)=I1718,"✓","⚠ "&amp;SUM(J1718:N1718)&amp;" statt "&amp;I1718))</f>
        <v/>
      </c>
      <c r="P1718" s="21" t="n"/>
      <c r="Q1718" s="21" t="n"/>
      <c r="R1718" s="21" t="n"/>
      <c r="S1718" s="24" t="n"/>
      <c r="T1718" s="24" t="n"/>
      <c r="V1718">
        <f>IF(A1718="","",MONTH(A1718))</f>
        <v/>
      </c>
      <c r="W1718">
        <f>N(W1717)+IF(AND(C1718&lt;&gt;"",T1718&lt;&gt;""),IF(C1718=WOCHE!$B$3,1,0),0)</f>
        <v/>
      </c>
      <c r="X1718">
        <f>N(X1717)+IF(AND(V1718&lt;&gt;"",T1718&lt;&gt;""),IF(V1718=MONAT!$AZ$3,1,0),0)</f>
        <v/>
      </c>
    </row>
    <row r="1719">
      <c r="A1719" s="19" t="n"/>
      <c r="B1719" s="20">
        <f>IF(A1719="","",CHOOSE(WEEKDAY(A1719,2),"Mo","Di","Mi","Do","Fr","Sa","So"))</f>
        <v/>
      </c>
      <c r="C1719" s="20">
        <f>IF(A1719="","",INT((A1719-DATE(YEAR(A1719-WEEKDAY(A1719-1)+4),1,3)+WEEKDAY(DATE(YEAR(A1719-WEEKDAY(A1719-1)+4),1,3))+5)/7))</f>
        <v/>
      </c>
      <c r="D1719" s="21" t="n"/>
      <c r="E1719" s="22" t="n"/>
      <c r="F1719" s="23" t="n"/>
      <c r="G1719" s="23" t="n"/>
      <c r="H1719" s="23" t="n"/>
      <c r="I1719" s="20">
        <f>IF(COUNT(F1719:H1719)=0,"",SUM(F1719:H1719))</f>
        <v/>
      </c>
      <c r="J1719" s="23" t="n"/>
      <c r="K1719" s="23" t="n"/>
      <c r="L1719" s="23" t="n"/>
      <c r="M1719" s="23" t="n"/>
      <c r="N1719" s="23" t="n"/>
      <c r="O1719" s="20">
        <f>IF(OR(I1719="",COUNT(J1719:N1719)=0),"",IF(SUM(J1719:N1719)=I1719,"✓","⚠ "&amp;SUM(J1719:N1719)&amp;" statt "&amp;I1719))</f>
        <v/>
      </c>
      <c r="P1719" s="21" t="n"/>
      <c r="Q1719" s="21" t="n"/>
      <c r="R1719" s="21" t="n"/>
      <c r="S1719" s="24" t="n"/>
      <c r="T1719" s="24" t="n"/>
      <c r="V1719">
        <f>IF(A1719="","",MONTH(A1719))</f>
        <v/>
      </c>
      <c r="W1719">
        <f>N(W1718)+IF(AND(C1719&lt;&gt;"",T1719&lt;&gt;""),IF(C1719=WOCHE!$B$3,1,0),0)</f>
        <v/>
      </c>
      <c r="X1719">
        <f>N(X1718)+IF(AND(V1719&lt;&gt;"",T1719&lt;&gt;""),IF(V1719=MONAT!$AZ$3,1,0),0)</f>
        <v/>
      </c>
    </row>
    <row r="1720">
      <c r="A1720" s="19" t="n"/>
      <c r="B1720" s="20">
        <f>IF(A1720="","",CHOOSE(WEEKDAY(A1720,2),"Mo","Di","Mi","Do","Fr","Sa","So"))</f>
        <v/>
      </c>
      <c r="C1720" s="20">
        <f>IF(A1720="","",INT((A1720-DATE(YEAR(A1720-WEEKDAY(A1720-1)+4),1,3)+WEEKDAY(DATE(YEAR(A1720-WEEKDAY(A1720-1)+4),1,3))+5)/7))</f>
        <v/>
      </c>
      <c r="D1720" s="21" t="n"/>
      <c r="E1720" s="22" t="n"/>
      <c r="F1720" s="23" t="n"/>
      <c r="G1720" s="23" t="n"/>
      <c r="H1720" s="23" t="n"/>
      <c r="I1720" s="20">
        <f>IF(COUNT(F1720:H1720)=0,"",SUM(F1720:H1720))</f>
        <v/>
      </c>
      <c r="J1720" s="23" t="n"/>
      <c r="K1720" s="23" t="n"/>
      <c r="L1720" s="23" t="n"/>
      <c r="M1720" s="23" t="n"/>
      <c r="N1720" s="23" t="n"/>
      <c r="O1720" s="20">
        <f>IF(OR(I1720="",COUNT(J1720:N1720)=0),"",IF(SUM(J1720:N1720)=I1720,"✓","⚠ "&amp;SUM(J1720:N1720)&amp;" statt "&amp;I1720))</f>
        <v/>
      </c>
      <c r="P1720" s="21" t="n"/>
      <c r="Q1720" s="21" t="n"/>
      <c r="R1720" s="21" t="n"/>
      <c r="S1720" s="24" t="n"/>
      <c r="T1720" s="24" t="n"/>
      <c r="V1720">
        <f>IF(A1720="","",MONTH(A1720))</f>
        <v/>
      </c>
      <c r="W1720">
        <f>N(W1719)+IF(AND(C1720&lt;&gt;"",T1720&lt;&gt;""),IF(C1720=WOCHE!$B$3,1,0),0)</f>
        <v/>
      </c>
      <c r="X1720">
        <f>N(X1719)+IF(AND(V1720&lt;&gt;"",T1720&lt;&gt;""),IF(V1720=MONAT!$AZ$3,1,0),0)</f>
        <v/>
      </c>
    </row>
    <row r="1721">
      <c r="A1721" s="19" t="n"/>
      <c r="B1721" s="20">
        <f>IF(A1721="","",CHOOSE(WEEKDAY(A1721,2),"Mo","Di","Mi","Do","Fr","Sa","So"))</f>
        <v/>
      </c>
      <c r="C1721" s="20">
        <f>IF(A1721="","",INT((A1721-DATE(YEAR(A1721-WEEKDAY(A1721-1)+4),1,3)+WEEKDAY(DATE(YEAR(A1721-WEEKDAY(A1721-1)+4),1,3))+5)/7))</f>
        <v/>
      </c>
      <c r="D1721" s="21" t="n"/>
      <c r="E1721" s="22" t="n"/>
      <c r="F1721" s="23" t="n"/>
      <c r="G1721" s="23" t="n"/>
      <c r="H1721" s="23" t="n"/>
      <c r="I1721" s="20">
        <f>IF(COUNT(F1721:H1721)=0,"",SUM(F1721:H1721))</f>
        <v/>
      </c>
      <c r="J1721" s="23" t="n"/>
      <c r="K1721" s="23" t="n"/>
      <c r="L1721" s="23" t="n"/>
      <c r="M1721" s="23" t="n"/>
      <c r="N1721" s="23" t="n"/>
      <c r="O1721" s="20">
        <f>IF(OR(I1721="",COUNT(J1721:N1721)=0),"",IF(SUM(J1721:N1721)=I1721,"✓","⚠ "&amp;SUM(J1721:N1721)&amp;" statt "&amp;I1721))</f>
        <v/>
      </c>
      <c r="P1721" s="21" t="n"/>
      <c r="Q1721" s="21" t="n"/>
      <c r="R1721" s="21" t="n"/>
      <c r="S1721" s="24" t="n"/>
      <c r="T1721" s="24" t="n"/>
      <c r="V1721">
        <f>IF(A1721="","",MONTH(A1721))</f>
        <v/>
      </c>
      <c r="W1721">
        <f>N(W1720)+IF(AND(C1721&lt;&gt;"",T1721&lt;&gt;""),IF(C1721=WOCHE!$B$3,1,0),0)</f>
        <v/>
      </c>
      <c r="X1721">
        <f>N(X1720)+IF(AND(V1721&lt;&gt;"",T1721&lt;&gt;""),IF(V1721=MONAT!$AZ$3,1,0),0)</f>
        <v/>
      </c>
    </row>
    <row r="1722">
      <c r="A1722" s="19" t="n"/>
      <c r="B1722" s="20">
        <f>IF(A1722="","",CHOOSE(WEEKDAY(A1722,2),"Mo","Di","Mi","Do","Fr","Sa","So"))</f>
        <v/>
      </c>
      <c r="C1722" s="20">
        <f>IF(A1722="","",INT((A1722-DATE(YEAR(A1722-WEEKDAY(A1722-1)+4),1,3)+WEEKDAY(DATE(YEAR(A1722-WEEKDAY(A1722-1)+4),1,3))+5)/7))</f>
        <v/>
      </c>
      <c r="D1722" s="21" t="n"/>
      <c r="E1722" s="22" t="n"/>
      <c r="F1722" s="23" t="n"/>
      <c r="G1722" s="23" t="n"/>
      <c r="H1722" s="23" t="n"/>
      <c r="I1722" s="20">
        <f>IF(COUNT(F1722:H1722)=0,"",SUM(F1722:H1722))</f>
        <v/>
      </c>
      <c r="J1722" s="23" t="n"/>
      <c r="K1722" s="23" t="n"/>
      <c r="L1722" s="23" t="n"/>
      <c r="M1722" s="23" t="n"/>
      <c r="N1722" s="23" t="n"/>
      <c r="O1722" s="20">
        <f>IF(OR(I1722="",COUNT(J1722:N1722)=0),"",IF(SUM(J1722:N1722)=I1722,"✓","⚠ "&amp;SUM(J1722:N1722)&amp;" statt "&amp;I1722))</f>
        <v/>
      </c>
      <c r="P1722" s="21" t="n"/>
      <c r="Q1722" s="21" t="n"/>
      <c r="R1722" s="21" t="n"/>
      <c r="S1722" s="24" t="n"/>
      <c r="T1722" s="24" t="n"/>
      <c r="V1722">
        <f>IF(A1722="","",MONTH(A1722))</f>
        <v/>
      </c>
      <c r="W1722">
        <f>N(W1721)+IF(AND(C1722&lt;&gt;"",T1722&lt;&gt;""),IF(C1722=WOCHE!$B$3,1,0),0)</f>
        <v/>
      </c>
      <c r="X1722">
        <f>N(X1721)+IF(AND(V1722&lt;&gt;"",T1722&lt;&gt;""),IF(V1722=MONAT!$AZ$3,1,0),0)</f>
        <v/>
      </c>
    </row>
    <row r="1723">
      <c r="A1723" s="19" t="n"/>
      <c r="B1723" s="20">
        <f>IF(A1723="","",CHOOSE(WEEKDAY(A1723,2),"Mo","Di","Mi","Do","Fr","Sa","So"))</f>
        <v/>
      </c>
      <c r="C1723" s="20">
        <f>IF(A1723="","",INT((A1723-DATE(YEAR(A1723-WEEKDAY(A1723-1)+4),1,3)+WEEKDAY(DATE(YEAR(A1723-WEEKDAY(A1723-1)+4),1,3))+5)/7))</f>
        <v/>
      </c>
      <c r="D1723" s="21" t="n"/>
      <c r="E1723" s="22" t="n"/>
      <c r="F1723" s="23" t="n"/>
      <c r="G1723" s="23" t="n"/>
      <c r="H1723" s="23" t="n"/>
      <c r="I1723" s="20">
        <f>IF(COUNT(F1723:H1723)=0,"",SUM(F1723:H1723))</f>
        <v/>
      </c>
      <c r="J1723" s="23" t="n"/>
      <c r="K1723" s="23" t="n"/>
      <c r="L1723" s="23" t="n"/>
      <c r="M1723" s="23" t="n"/>
      <c r="N1723" s="23" t="n"/>
      <c r="O1723" s="20">
        <f>IF(OR(I1723="",COUNT(J1723:N1723)=0),"",IF(SUM(J1723:N1723)=I1723,"✓","⚠ "&amp;SUM(J1723:N1723)&amp;" statt "&amp;I1723))</f>
        <v/>
      </c>
      <c r="P1723" s="21" t="n"/>
      <c r="Q1723" s="21" t="n"/>
      <c r="R1723" s="21" t="n"/>
      <c r="S1723" s="24" t="n"/>
      <c r="T1723" s="24" t="n"/>
      <c r="V1723">
        <f>IF(A1723="","",MONTH(A1723))</f>
        <v/>
      </c>
      <c r="W1723">
        <f>N(W1722)+IF(AND(C1723&lt;&gt;"",T1723&lt;&gt;""),IF(C1723=WOCHE!$B$3,1,0),0)</f>
        <v/>
      </c>
      <c r="X1723">
        <f>N(X1722)+IF(AND(V1723&lt;&gt;"",T1723&lt;&gt;""),IF(V1723=MONAT!$AZ$3,1,0),0)</f>
        <v/>
      </c>
    </row>
    <row r="1724">
      <c r="A1724" s="19" t="n"/>
      <c r="B1724" s="20">
        <f>IF(A1724="","",CHOOSE(WEEKDAY(A1724,2),"Mo","Di","Mi","Do","Fr","Sa","So"))</f>
        <v/>
      </c>
      <c r="C1724" s="20">
        <f>IF(A1724="","",INT((A1724-DATE(YEAR(A1724-WEEKDAY(A1724-1)+4),1,3)+WEEKDAY(DATE(YEAR(A1724-WEEKDAY(A1724-1)+4),1,3))+5)/7))</f>
        <v/>
      </c>
      <c r="D1724" s="21" t="n"/>
      <c r="E1724" s="22" t="n"/>
      <c r="F1724" s="23" t="n"/>
      <c r="G1724" s="23" t="n"/>
      <c r="H1724" s="23" t="n"/>
      <c r="I1724" s="20">
        <f>IF(COUNT(F1724:H1724)=0,"",SUM(F1724:H1724))</f>
        <v/>
      </c>
      <c r="J1724" s="23" t="n"/>
      <c r="K1724" s="23" t="n"/>
      <c r="L1724" s="23" t="n"/>
      <c r="M1724" s="23" t="n"/>
      <c r="N1724" s="23" t="n"/>
      <c r="O1724" s="20">
        <f>IF(OR(I1724="",COUNT(J1724:N1724)=0),"",IF(SUM(J1724:N1724)=I1724,"✓","⚠ "&amp;SUM(J1724:N1724)&amp;" statt "&amp;I1724))</f>
        <v/>
      </c>
      <c r="P1724" s="21" t="n"/>
      <c r="Q1724" s="21" t="n"/>
      <c r="R1724" s="21" t="n"/>
      <c r="S1724" s="24" t="n"/>
      <c r="T1724" s="24" t="n"/>
      <c r="V1724">
        <f>IF(A1724="","",MONTH(A1724))</f>
        <v/>
      </c>
      <c r="W1724">
        <f>N(W1723)+IF(AND(C1724&lt;&gt;"",T1724&lt;&gt;""),IF(C1724=WOCHE!$B$3,1,0),0)</f>
        <v/>
      </c>
      <c r="X1724">
        <f>N(X1723)+IF(AND(V1724&lt;&gt;"",T1724&lt;&gt;""),IF(V1724=MONAT!$AZ$3,1,0),0)</f>
        <v/>
      </c>
    </row>
    <row r="1725">
      <c r="A1725" s="19" t="n"/>
      <c r="B1725" s="20">
        <f>IF(A1725="","",CHOOSE(WEEKDAY(A1725,2),"Mo","Di","Mi","Do","Fr","Sa","So"))</f>
        <v/>
      </c>
      <c r="C1725" s="20">
        <f>IF(A1725="","",INT((A1725-DATE(YEAR(A1725-WEEKDAY(A1725-1)+4),1,3)+WEEKDAY(DATE(YEAR(A1725-WEEKDAY(A1725-1)+4),1,3))+5)/7))</f>
        <v/>
      </c>
      <c r="D1725" s="21" t="n"/>
      <c r="E1725" s="22" t="n"/>
      <c r="F1725" s="23" t="n"/>
      <c r="G1725" s="23" t="n"/>
      <c r="H1725" s="23" t="n"/>
      <c r="I1725" s="20">
        <f>IF(COUNT(F1725:H1725)=0,"",SUM(F1725:H1725))</f>
        <v/>
      </c>
      <c r="J1725" s="23" t="n"/>
      <c r="K1725" s="23" t="n"/>
      <c r="L1725" s="23" t="n"/>
      <c r="M1725" s="23" t="n"/>
      <c r="N1725" s="23" t="n"/>
      <c r="O1725" s="20">
        <f>IF(OR(I1725="",COUNT(J1725:N1725)=0),"",IF(SUM(J1725:N1725)=I1725,"✓","⚠ "&amp;SUM(J1725:N1725)&amp;" statt "&amp;I1725))</f>
        <v/>
      </c>
      <c r="P1725" s="21" t="n"/>
      <c r="Q1725" s="21" t="n"/>
      <c r="R1725" s="21" t="n"/>
      <c r="S1725" s="24" t="n"/>
      <c r="T1725" s="24" t="n"/>
      <c r="V1725">
        <f>IF(A1725="","",MONTH(A1725))</f>
        <v/>
      </c>
      <c r="W1725">
        <f>N(W1724)+IF(AND(C1725&lt;&gt;"",T1725&lt;&gt;""),IF(C1725=WOCHE!$B$3,1,0),0)</f>
        <v/>
      </c>
      <c r="X1725">
        <f>N(X1724)+IF(AND(V1725&lt;&gt;"",T1725&lt;&gt;""),IF(V1725=MONAT!$AZ$3,1,0),0)</f>
        <v/>
      </c>
    </row>
    <row r="1726">
      <c r="A1726" s="19" t="n"/>
      <c r="B1726" s="20">
        <f>IF(A1726="","",CHOOSE(WEEKDAY(A1726,2),"Mo","Di","Mi","Do","Fr","Sa","So"))</f>
        <v/>
      </c>
      <c r="C1726" s="20">
        <f>IF(A1726="","",INT((A1726-DATE(YEAR(A1726-WEEKDAY(A1726-1)+4),1,3)+WEEKDAY(DATE(YEAR(A1726-WEEKDAY(A1726-1)+4),1,3))+5)/7))</f>
        <v/>
      </c>
      <c r="D1726" s="21" t="n"/>
      <c r="E1726" s="22" t="n"/>
      <c r="F1726" s="23" t="n"/>
      <c r="G1726" s="23" t="n"/>
      <c r="H1726" s="23" t="n"/>
      <c r="I1726" s="20">
        <f>IF(COUNT(F1726:H1726)=0,"",SUM(F1726:H1726))</f>
        <v/>
      </c>
      <c r="J1726" s="23" t="n"/>
      <c r="K1726" s="23" t="n"/>
      <c r="L1726" s="23" t="n"/>
      <c r="M1726" s="23" t="n"/>
      <c r="N1726" s="23" t="n"/>
      <c r="O1726" s="20">
        <f>IF(OR(I1726="",COUNT(J1726:N1726)=0),"",IF(SUM(J1726:N1726)=I1726,"✓","⚠ "&amp;SUM(J1726:N1726)&amp;" statt "&amp;I1726))</f>
        <v/>
      </c>
      <c r="P1726" s="21" t="n"/>
      <c r="Q1726" s="21" t="n"/>
      <c r="R1726" s="21" t="n"/>
      <c r="S1726" s="24" t="n"/>
      <c r="T1726" s="24" t="n"/>
      <c r="V1726">
        <f>IF(A1726="","",MONTH(A1726))</f>
        <v/>
      </c>
      <c r="W1726">
        <f>N(W1725)+IF(AND(C1726&lt;&gt;"",T1726&lt;&gt;""),IF(C1726=WOCHE!$B$3,1,0),0)</f>
        <v/>
      </c>
      <c r="X1726">
        <f>N(X1725)+IF(AND(V1726&lt;&gt;"",T1726&lt;&gt;""),IF(V1726=MONAT!$AZ$3,1,0),0)</f>
        <v/>
      </c>
    </row>
    <row r="1727">
      <c r="A1727" s="19" t="n"/>
      <c r="B1727" s="20">
        <f>IF(A1727="","",CHOOSE(WEEKDAY(A1727,2),"Mo","Di","Mi","Do","Fr","Sa","So"))</f>
        <v/>
      </c>
      <c r="C1727" s="20">
        <f>IF(A1727="","",INT((A1727-DATE(YEAR(A1727-WEEKDAY(A1727-1)+4),1,3)+WEEKDAY(DATE(YEAR(A1727-WEEKDAY(A1727-1)+4),1,3))+5)/7))</f>
        <v/>
      </c>
      <c r="D1727" s="21" t="n"/>
      <c r="E1727" s="22" t="n"/>
      <c r="F1727" s="23" t="n"/>
      <c r="G1727" s="23" t="n"/>
      <c r="H1727" s="23" t="n"/>
      <c r="I1727" s="20">
        <f>IF(COUNT(F1727:H1727)=0,"",SUM(F1727:H1727))</f>
        <v/>
      </c>
      <c r="J1727" s="23" t="n"/>
      <c r="K1727" s="23" t="n"/>
      <c r="L1727" s="23" t="n"/>
      <c r="M1727" s="23" t="n"/>
      <c r="N1727" s="23" t="n"/>
      <c r="O1727" s="20">
        <f>IF(OR(I1727="",COUNT(J1727:N1727)=0),"",IF(SUM(J1727:N1727)=I1727,"✓","⚠ "&amp;SUM(J1727:N1727)&amp;" statt "&amp;I1727))</f>
        <v/>
      </c>
      <c r="P1727" s="21" t="n"/>
      <c r="Q1727" s="21" t="n"/>
      <c r="R1727" s="21" t="n"/>
      <c r="S1727" s="24" t="n"/>
      <c r="T1727" s="24" t="n"/>
      <c r="V1727">
        <f>IF(A1727="","",MONTH(A1727))</f>
        <v/>
      </c>
      <c r="W1727">
        <f>N(W1726)+IF(AND(C1727&lt;&gt;"",T1727&lt;&gt;""),IF(C1727=WOCHE!$B$3,1,0),0)</f>
        <v/>
      </c>
      <c r="X1727">
        <f>N(X1726)+IF(AND(V1727&lt;&gt;"",T1727&lt;&gt;""),IF(V1727=MONAT!$AZ$3,1,0),0)</f>
        <v/>
      </c>
    </row>
    <row r="1728">
      <c r="A1728" s="19" t="n"/>
      <c r="B1728" s="20">
        <f>IF(A1728="","",CHOOSE(WEEKDAY(A1728,2),"Mo","Di","Mi","Do","Fr","Sa","So"))</f>
        <v/>
      </c>
      <c r="C1728" s="20">
        <f>IF(A1728="","",INT((A1728-DATE(YEAR(A1728-WEEKDAY(A1728-1)+4),1,3)+WEEKDAY(DATE(YEAR(A1728-WEEKDAY(A1728-1)+4),1,3))+5)/7))</f>
        <v/>
      </c>
      <c r="D1728" s="21" t="n"/>
      <c r="E1728" s="22" t="n"/>
      <c r="F1728" s="23" t="n"/>
      <c r="G1728" s="23" t="n"/>
      <c r="H1728" s="23" t="n"/>
      <c r="I1728" s="20">
        <f>IF(COUNT(F1728:H1728)=0,"",SUM(F1728:H1728))</f>
        <v/>
      </c>
      <c r="J1728" s="23" t="n"/>
      <c r="K1728" s="23" t="n"/>
      <c r="L1728" s="23" t="n"/>
      <c r="M1728" s="23" t="n"/>
      <c r="N1728" s="23" t="n"/>
      <c r="O1728" s="20">
        <f>IF(OR(I1728="",COUNT(J1728:N1728)=0),"",IF(SUM(J1728:N1728)=I1728,"✓","⚠ "&amp;SUM(J1728:N1728)&amp;" statt "&amp;I1728))</f>
        <v/>
      </c>
      <c r="P1728" s="21" t="n"/>
      <c r="Q1728" s="21" t="n"/>
      <c r="R1728" s="21" t="n"/>
      <c r="S1728" s="24" t="n"/>
      <c r="T1728" s="24" t="n"/>
      <c r="V1728">
        <f>IF(A1728="","",MONTH(A1728))</f>
        <v/>
      </c>
      <c r="W1728">
        <f>N(W1727)+IF(AND(C1728&lt;&gt;"",T1728&lt;&gt;""),IF(C1728=WOCHE!$B$3,1,0),0)</f>
        <v/>
      </c>
      <c r="X1728">
        <f>N(X1727)+IF(AND(V1728&lt;&gt;"",T1728&lt;&gt;""),IF(V1728=MONAT!$AZ$3,1,0),0)</f>
        <v/>
      </c>
    </row>
    <row r="1729">
      <c r="A1729" s="19" t="n"/>
      <c r="B1729" s="20">
        <f>IF(A1729="","",CHOOSE(WEEKDAY(A1729,2),"Mo","Di","Mi","Do","Fr","Sa","So"))</f>
        <v/>
      </c>
      <c r="C1729" s="20">
        <f>IF(A1729="","",INT((A1729-DATE(YEAR(A1729-WEEKDAY(A1729-1)+4),1,3)+WEEKDAY(DATE(YEAR(A1729-WEEKDAY(A1729-1)+4),1,3))+5)/7))</f>
        <v/>
      </c>
      <c r="D1729" s="21" t="n"/>
      <c r="E1729" s="22" t="n"/>
      <c r="F1729" s="23" t="n"/>
      <c r="G1729" s="23" t="n"/>
      <c r="H1729" s="23" t="n"/>
      <c r="I1729" s="20">
        <f>IF(COUNT(F1729:H1729)=0,"",SUM(F1729:H1729))</f>
        <v/>
      </c>
      <c r="J1729" s="23" t="n"/>
      <c r="K1729" s="23" t="n"/>
      <c r="L1729" s="23" t="n"/>
      <c r="M1729" s="23" t="n"/>
      <c r="N1729" s="23" t="n"/>
      <c r="O1729" s="20">
        <f>IF(OR(I1729="",COUNT(J1729:N1729)=0),"",IF(SUM(J1729:N1729)=I1729,"✓","⚠ "&amp;SUM(J1729:N1729)&amp;" statt "&amp;I1729))</f>
        <v/>
      </c>
      <c r="P1729" s="21" t="n"/>
      <c r="Q1729" s="21" t="n"/>
      <c r="R1729" s="21" t="n"/>
      <c r="S1729" s="24" t="n"/>
      <c r="T1729" s="24" t="n"/>
      <c r="V1729">
        <f>IF(A1729="","",MONTH(A1729))</f>
        <v/>
      </c>
      <c r="W1729">
        <f>N(W1728)+IF(AND(C1729&lt;&gt;"",T1729&lt;&gt;""),IF(C1729=WOCHE!$B$3,1,0),0)</f>
        <v/>
      </c>
      <c r="X1729">
        <f>N(X1728)+IF(AND(V1729&lt;&gt;"",T1729&lt;&gt;""),IF(V1729=MONAT!$AZ$3,1,0),0)</f>
        <v/>
      </c>
    </row>
    <row r="1730">
      <c r="A1730" s="19" t="n"/>
      <c r="B1730" s="20">
        <f>IF(A1730="","",CHOOSE(WEEKDAY(A1730,2),"Mo","Di","Mi","Do","Fr","Sa","So"))</f>
        <v/>
      </c>
      <c r="C1730" s="20">
        <f>IF(A1730="","",INT((A1730-DATE(YEAR(A1730-WEEKDAY(A1730-1)+4),1,3)+WEEKDAY(DATE(YEAR(A1730-WEEKDAY(A1730-1)+4),1,3))+5)/7))</f>
        <v/>
      </c>
      <c r="D1730" s="21" t="n"/>
      <c r="E1730" s="22" t="n"/>
      <c r="F1730" s="23" t="n"/>
      <c r="G1730" s="23" t="n"/>
      <c r="H1730" s="23" t="n"/>
      <c r="I1730" s="20">
        <f>IF(COUNT(F1730:H1730)=0,"",SUM(F1730:H1730))</f>
        <v/>
      </c>
      <c r="J1730" s="23" t="n"/>
      <c r="K1730" s="23" t="n"/>
      <c r="L1730" s="23" t="n"/>
      <c r="M1730" s="23" t="n"/>
      <c r="N1730" s="23" t="n"/>
      <c r="O1730" s="20">
        <f>IF(OR(I1730="",COUNT(J1730:N1730)=0),"",IF(SUM(J1730:N1730)=I1730,"✓","⚠ "&amp;SUM(J1730:N1730)&amp;" statt "&amp;I1730))</f>
        <v/>
      </c>
      <c r="P1730" s="21" t="n"/>
      <c r="Q1730" s="21" t="n"/>
      <c r="R1730" s="21" t="n"/>
      <c r="S1730" s="24" t="n"/>
      <c r="T1730" s="24" t="n"/>
      <c r="V1730">
        <f>IF(A1730="","",MONTH(A1730))</f>
        <v/>
      </c>
      <c r="W1730">
        <f>N(W1729)+IF(AND(C1730&lt;&gt;"",T1730&lt;&gt;""),IF(C1730=WOCHE!$B$3,1,0),0)</f>
        <v/>
      </c>
      <c r="X1730">
        <f>N(X1729)+IF(AND(V1730&lt;&gt;"",T1730&lt;&gt;""),IF(V1730=MONAT!$AZ$3,1,0),0)</f>
        <v/>
      </c>
    </row>
    <row r="1731">
      <c r="A1731" s="19" t="n"/>
      <c r="B1731" s="20">
        <f>IF(A1731="","",CHOOSE(WEEKDAY(A1731,2),"Mo","Di","Mi","Do","Fr","Sa","So"))</f>
        <v/>
      </c>
      <c r="C1731" s="20">
        <f>IF(A1731="","",INT((A1731-DATE(YEAR(A1731-WEEKDAY(A1731-1)+4),1,3)+WEEKDAY(DATE(YEAR(A1731-WEEKDAY(A1731-1)+4),1,3))+5)/7))</f>
        <v/>
      </c>
      <c r="D1731" s="21" t="n"/>
      <c r="E1731" s="22" t="n"/>
      <c r="F1731" s="23" t="n"/>
      <c r="G1731" s="23" t="n"/>
      <c r="H1731" s="23" t="n"/>
      <c r="I1731" s="20">
        <f>IF(COUNT(F1731:H1731)=0,"",SUM(F1731:H1731))</f>
        <v/>
      </c>
      <c r="J1731" s="23" t="n"/>
      <c r="K1731" s="23" t="n"/>
      <c r="L1731" s="23" t="n"/>
      <c r="M1731" s="23" t="n"/>
      <c r="N1731" s="23" t="n"/>
      <c r="O1731" s="20">
        <f>IF(OR(I1731="",COUNT(J1731:N1731)=0),"",IF(SUM(J1731:N1731)=I1731,"✓","⚠ "&amp;SUM(J1731:N1731)&amp;" statt "&amp;I1731))</f>
        <v/>
      </c>
      <c r="P1731" s="21" t="n"/>
      <c r="Q1731" s="21" t="n"/>
      <c r="R1731" s="21" t="n"/>
      <c r="S1731" s="24" t="n"/>
      <c r="T1731" s="24" t="n"/>
      <c r="V1731">
        <f>IF(A1731="","",MONTH(A1731))</f>
        <v/>
      </c>
      <c r="W1731">
        <f>N(W1730)+IF(AND(C1731&lt;&gt;"",T1731&lt;&gt;""),IF(C1731=WOCHE!$B$3,1,0),0)</f>
        <v/>
      </c>
      <c r="X1731">
        <f>N(X1730)+IF(AND(V1731&lt;&gt;"",T1731&lt;&gt;""),IF(V1731=MONAT!$AZ$3,1,0),0)</f>
        <v/>
      </c>
    </row>
    <row r="1732">
      <c r="A1732" s="19" t="n"/>
      <c r="B1732" s="20">
        <f>IF(A1732="","",CHOOSE(WEEKDAY(A1732,2),"Mo","Di","Mi","Do","Fr","Sa","So"))</f>
        <v/>
      </c>
      <c r="C1732" s="20">
        <f>IF(A1732="","",INT((A1732-DATE(YEAR(A1732-WEEKDAY(A1732-1)+4),1,3)+WEEKDAY(DATE(YEAR(A1732-WEEKDAY(A1732-1)+4),1,3))+5)/7))</f>
        <v/>
      </c>
      <c r="D1732" s="21" t="n"/>
      <c r="E1732" s="22" t="n"/>
      <c r="F1732" s="23" t="n"/>
      <c r="G1732" s="23" t="n"/>
      <c r="H1732" s="23" t="n"/>
      <c r="I1732" s="20">
        <f>IF(COUNT(F1732:H1732)=0,"",SUM(F1732:H1732))</f>
        <v/>
      </c>
      <c r="J1732" s="23" t="n"/>
      <c r="K1732" s="23" t="n"/>
      <c r="L1732" s="23" t="n"/>
      <c r="M1732" s="23" t="n"/>
      <c r="N1732" s="23" t="n"/>
      <c r="O1732" s="20">
        <f>IF(OR(I1732="",COUNT(J1732:N1732)=0),"",IF(SUM(J1732:N1732)=I1732,"✓","⚠ "&amp;SUM(J1732:N1732)&amp;" statt "&amp;I1732))</f>
        <v/>
      </c>
      <c r="P1732" s="21" t="n"/>
      <c r="Q1732" s="21" t="n"/>
      <c r="R1732" s="21" t="n"/>
      <c r="S1732" s="24" t="n"/>
      <c r="T1732" s="24" t="n"/>
      <c r="V1732">
        <f>IF(A1732="","",MONTH(A1732))</f>
        <v/>
      </c>
      <c r="W1732">
        <f>N(W1731)+IF(AND(C1732&lt;&gt;"",T1732&lt;&gt;""),IF(C1732=WOCHE!$B$3,1,0),0)</f>
        <v/>
      </c>
      <c r="X1732">
        <f>N(X1731)+IF(AND(V1732&lt;&gt;"",T1732&lt;&gt;""),IF(V1732=MONAT!$AZ$3,1,0),0)</f>
        <v/>
      </c>
    </row>
    <row r="1733">
      <c r="A1733" s="19" t="n"/>
      <c r="B1733" s="20">
        <f>IF(A1733="","",CHOOSE(WEEKDAY(A1733,2),"Mo","Di","Mi","Do","Fr","Sa","So"))</f>
        <v/>
      </c>
      <c r="C1733" s="20">
        <f>IF(A1733="","",INT((A1733-DATE(YEAR(A1733-WEEKDAY(A1733-1)+4),1,3)+WEEKDAY(DATE(YEAR(A1733-WEEKDAY(A1733-1)+4),1,3))+5)/7))</f>
        <v/>
      </c>
      <c r="D1733" s="21" t="n"/>
      <c r="E1733" s="22" t="n"/>
      <c r="F1733" s="23" t="n"/>
      <c r="G1733" s="23" t="n"/>
      <c r="H1733" s="23" t="n"/>
      <c r="I1733" s="20">
        <f>IF(COUNT(F1733:H1733)=0,"",SUM(F1733:H1733))</f>
        <v/>
      </c>
      <c r="J1733" s="23" t="n"/>
      <c r="K1733" s="23" t="n"/>
      <c r="L1733" s="23" t="n"/>
      <c r="M1733" s="23" t="n"/>
      <c r="N1733" s="23" t="n"/>
      <c r="O1733" s="20">
        <f>IF(OR(I1733="",COUNT(J1733:N1733)=0),"",IF(SUM(J1733:N1733)=I1733,"✓","⚠ "&amp;SUM(J1733:N1733)&amp;" statt "&amp;I1733))</f>
        <v/>
      </c>
      <c r="P1733" s="21" t="n"/>
      <c r="Q1733" s="21" t="n"/>
      <c r="R1733" s="21" t="n"/>
      <c r="S1733" s="24" t="n"/>
      <c r="T1733" s="24" t="n"/>
      <c r="V1733">
        <f>IF(A1733="","",MONTH(A1733))</f>
        <v/>
      </c>
      <c r="W1733">
        <f>N(W1732)+IF(AND(C1733&lt;&gt;"",T1733&lt;&gt;""),IF(C1733=WOCHE!$B$3,1,0),0)</f>
        <v/>
      </c>
      <c r="X1733">
        <f>N(X1732)+IF(AND(V1733&lt;&gt;"",T1733&lt;&gt;""),IF(V1733=MONAT!$AZ$3,1,0),0)</f>
        <v/>
      </c>
    </row>
    <row r="1734">
      <c r="A1734" s="19" t="n"/>
      <c r="B1734" s="20">
        <f>IF(A1734="","",CHOOSE(WEEKDAY(A1734,2),"Mo","Di","Mi","Do","Fr","Sa","So"))</f>
        <v/>
      </c>
      <c r="C1734" s="20">
        <f>IF(A1734="","",INT((A1734-DATE(YEAR(A1734-WEEKDAY(A1734-1)+4),1,3)+WEEKDAY(DATE(YEAR(A1734-WEEKDAY(A1734-1)+4),1,3))+5)/7))</f>
        <v/>
      </c>
      <c r="D1734" s="21" t="n"/>
      <c r="E1734" s="22" t="n"/>
      <c r="F1734" s="23" t="n"/>
      <c r="G1734" s="23" t="n"/>
      <c r="H1734" s="23" t="n"/>
      <c r="I1734" s="20">
        <f>IF(COUNT(F1734:H1734)=0,"",SUM(F1734:H1734))</f>
        <v/>
      </c>
      <c r="J1734" s="23" t="n"/>
      <c r="K1734" s="23" t="n"/>
      <c r="L1734" s="23" t="n"/>
      <c r="M1734" s="23" t="n"/>
      <c r="N1734" s="23" t="n"/>
      <c r="O1734" s="20">
        <f>IF(OR(I1734="",COUNT(J1734:N1734)=0),"",IF(SUM(J1734:N1734)=I1734,"✓","⚠ "&amp;SUM(J1734:N1734)&amp;" statt "&amp;I1734))</f>
        <v/>
      </c>
      <c r="P1734" s="21" t="n"/>
      <c r="Q1734" s="21" t="n"/>
      <c r="R1734" s="21" t="n"/>
      <c r="S1734" s="24" t="n"/>
      <c r="T1734" s="24" t="n"/>
      <c r="V1734">
        <f>IF(A1734="","",MONTH(A1734))</f>
        <v/>
      </c>
      <c r="W1734">
        <f>N(W1733)+IF(AND(C1734&lt;&gt;"",T1734&lt;&gt;""),IF(C1734=WOCHE!$B$3,1,0),0)</f>
        <v/>
      </c>
      <c r="X1734">
        <f>N(X1733)+IF(AND(V1734&lt;&gt;"",T1734&lt;&gt;""),IF(V1734=MONAT!$AZ$3,1,0),0)</f>
        <v/>
      </c>
    </row>
    <row r="1735">
      <c r="A1735" s="19" t="n"/>
      <c r="B1735" s="20">
        <f>IF(A1735="","",CHOOSE(WEEKDAY(A1735,2),"Mo","Di","Mi","Do","Fr","Sa","So"))</f>
        <v/>
      </c>
      <c r="C1735" s="20">
        <f>IF(A1735="","",INT((A1735-DATE(YEAR(A1735-WEEKDAY(A1735-1)+4),1,3)+WEEKDAY(DATE(YEAR(A1735-WEEKDAY(A1735-1)+4),1,3))+5)/7))</f>
        <v/>
      </c>
      <c r="D1735" s="21" t="n"/>
      <c r="E1735" s="22" t="n"/>
      <c r="F1735" s="23" t="n"/>
      <c r="G1735" s="23" t="n"/>
      <c r="H1735" s="23" t="n"/>
      <c r="I1735" s="20">
        <f>IF(COUNT(F1735:H1735)=0,"",SUM(F1735:H1735))</f>
        <v/>
      </c>
      <c r="J1735" s="23" t="n"/>
      <c r="K1735" s="23" t="n"/>
      <c r="L1735" s="23" t="n"/>
      <c r="M1735" s="23" t="n"/>
      <c r="N1735" s="23" t="n"/>
      <c r="O1735" s="20">
        <f>IF(OR(I1735="",COUNT(J1735:N1735)=0),"",IF(SUM(J1735:N1735)=I1735,"✓","⚠ "&amp;SUM(J1735:N1735)&amp;" statt "&amp;I1735))</f>
        <v/>
      </c>
      <c r="P1735" s="21" t="n"/>
      <c r="Q1735" s="21" t="n"/>
      <c r="R1735" s="21" t="n"/>
      <c r="S1735" s="24" t="n"/>
      <c r="T1735" s="24" t="n"/>
      <c r="V1735">
        <f>IF(A1735="","",MONTH(A1735))</f>
        <v/>
      </c>
      <c r="W1735">
        <f>N(W1734)+IF(AND(C1735&lt;&gt;"",T1735&lt;&gt;""),IF(C1735=WOCHE!$B$3,1,0),0)</f>
        <v/>
      </c>
      <c r="X1735">
        <f>N(X1734)+IF(AND(V1735&lt;&gt;"",T1735&lt;&gt;""),IF(V1735=MONAT!$AZ$3,1,0),0)</f>
        <v/>
      </c>
    </row>
    <row r="1736">
      <c r="A1736" s="19" t="n"/>
      <c r="B1736" s="20">
        <f>IF(A1736="","",CHOOSE(WEEKDAY(A1736,2),"Mo","Di","Mi","Do","Fr","Sa","So"))</f>
        <v/>
      </c>
      <c r="C1736" s="20">
        <f>IF(A1736="","",INT((A1736-DATE(YEAR(A1736-WEEKDAY(A1736-1)+4),1,3)+WEEKDAY(DATE(YEAR(A1736-WEEKDAY(A1736-1)+4),1,3))+5)/7))</f>
        <v/>
      </c>
      <c r="D1736" s="21" t="n"/>
      <c r="E1736" s="22" t="n"/>
      <c r="F1736" s="23" t="n"/>
      <c r="G1736" s="23" t="n"/>
      <c r="H1736" s="23" t="n"/>
      <c r="I1736" s="20">
        <f>IF(COUNT(F1736:H1736)=0,"",SUM(F1736:H1736))</f>
        <v/>
      </c>
      <c r="J1736" s="23" t="n"/>
      <c r="K1736" s="23" t="n"/>
      <c r="L1736" s="23" t="n"/>
      <c r="M1736" s="23" t="n"/>
      <c r="N1736" s="23" t="n"/>
      <c r="O1736" s="20">
        <f>IF(OR(I1736="",COUNT(J1736:N1736)=0),"",IF(SUM(J1736:N1736)=I1736,"✓","⚠ "&amp;SUM(J1736:N1736)&amp;" statt "&amp;I1736))</f>
        <v/>
      </c>
      <c r="P1736" s="21" t="n"/>
      <c r="Q1736" s="21" t="n"/>
      <c r="R1736" s="21" t="n"/>
      <c r="S1736" s="24" t="n"/>
      <c r="T1736" s="24" t="n"/>
      <c r="V1736">
        <f>IF(A1736="","",MONTH(A1736))</f>
        <v/>
      </c>
      <c r="W1736">
        <f>N(W1735)+IF(AND(C1736&lt;&gt;"",T1736&lt;&gt;""),IF(C1736=WOCHE!$B$3,1,0),0)</f>
        <v/>
      </c>
      <c r="X1736">
        <f>N(X1735)+IF(AND(V1736&lt;&gt;"",T1736&lt;&gt;""),IF(V1736=MONAT!$AZ$3,1,0),0)</f>
        <v/>
      </c>
    </row>
    <row r="1737">
      <c r="A1737" s="19" t="n"/>
      <c r="B1737" s="20">
        <f>IF(A1737="","",CHOOSE(WEEKDAY(A1737,2),"Mo","Di","Mi","Do","Fr","Sa","So"))</f>
        <v/>
      </c>
      <c r="C1737" s="20">
        <f>IF(A1737="","",INT((A1737-DATE(YEAR(A1737-WEEKDAY(A1737-1)+4),1,3)+WEEKDAY(DATE(YEAR(A1737-WEEKDAY(A1737-1)+4),1,3))+5)/7))</f>
        <v/>
      </c>
      <c r="D1737" s="21" t="n"/>
      <c r="E1737" s="22" t="n"/>
      <c r="F1737" s="23" t="n"/>
      <c r="G1737" s="23" t="n"/>
      <c r="H1737" s="23" t="n"/>
      <c r="I1737" s="20">
        <f>IF(COUNT(F1737:H1737)=0,"",SUM(F1737:H1737))</f>
        <v/>
      </c>
      <c r="J1737" s="23" t="n"/>
      <c r="K1737" s="23" t="n"/>
      <c r="L1737" s="23" t="n"/>
      <c r="M1737" s="23" t="n"/>
      <c r="N1737" s="23" t="n"/>
      <c r="O1737" s="20">
        <f>IF(OR(I1737="",COUNT(J1737:N1737)=0),"",IF(SUM(J1737:N1737)=I1737,"✓","⚠ "&amp;SUM(J1737:N1737)&amp;" statt "&amp;I1737))</f>
        <v/>
      </c>
      <c r="P1737" s="21" t="n"/>
      <c r="Q1737" s="21" t="n"/>
      <c r="R1737" s="21" t="n"/>
      <c r="S1737" s="24" t="n"/>
      <c r="T1737" s="24" t="n"/>
      <c r="V1737">
        <f>IF(A1737="","",MONTH(A1737))</f>
        <v/>
      </c>
      <c r="W1737">
        <f>N(W1736)+IF(AND(C1737&lt;&gt;"",T1737&lt;&gt;""),IF(C1737=WOCHE!$B$3,1,0),0)</f>
        <v/>
      </c>
      <c r="X1737">
        <f>N(X1736)+IF(AND(V1737&lt;&gt;"",T1737&lt;&gt;""),IF(V1737=MONAT!$AZ$3,1,0),0)</f>
        <v/>
      </c>
    </row>
    <row r="1738">
      <c r="A1738" s="19" t="n"/>
      <c r="B1738" s="20">
        <f>IF(A1738="","",CHOOSE(WEEKDAY(A1738,2),"Mo","Di","Mi","Do","Fr","Sa","So"))</f>
        <v/>
      </c>
      <c r="C1738" s="20">
        <f>IF(A1738="","",INT((A1738-DATE(YEAR(A1738-WEEKDAY(A1738-1)+4),1,3)+WEEKDAY(DATE(YEAR(A1738-WEEKDAY(A1738-1)+4),1,3))+5)/7))</f>
        <v/>
      </c>
      <c r="D1738" s="21" t="n"/>
      <c r="E1738" s="22" t="n"/>
      <c r="F1738" s="23" t="n"/>
      <c r="G1738" s="23" t="n"/>
      <c r="H1738" s="23" t="n"/>
      <c r="I1738" s="20">
        <f>IF(COUNT(F1738:H1738)=0,"",SUM(F1738:H1738))</f>
        <v/>
      </c>
      <c r="J1738" s="23" t="n"/>
      <c r="K1738" s="23" t="n"/>
      <c r="L1738" s="23" t="n"/>
      <c r="M1738" s="23" t="n"/>
      <c r="N1738" s="23" t="n"/>
      <c r="O1738" s="20">
        <f>IF(OR(I1738="",COUNT(J1738:N1738)=0),"",IF(SUM(J1738:N1738)=I1738,"✓","⚠ "&amp;SUM(J1738:N1738)&amp;" statt "&amp;I1738))</f>
        <v/>
      </c>
      <c r="P1738" s="21" t="n"/>
      <c r="Q1738" s="21" t="n"/>
      <c r="R1738" s="21" t="n"/>
      <c r="S1738" s="24" t="n"/>
      <c r="T1738" s="24" t="n"/>
      <c r="V1738">
        <f>IF(A1738="","",MONTH(A1738))</f>
        <v/>
      </c>
      <c r="W1738">
        <f>N(W1737)+IF(AND(C1738&lt;&gt;"",T1738&lt;&gt;""),IF(C1738=WOCHE!$B$3,1,0),0)</f>
        <v/>
      </c>
      <c r="X1738">
        <f>N(X1737)+IF(AND(V1738&lt;&gt;"",T1738&lt;&gt;""),IF(V1738=MONAT!$AZ$3,1,0),0)</f>
        <v/>
      </c>
    </row>
    <row r="1739">
      <c r="A1739" s="19" t="n"/>
      <c r="B1739" s="20">
        <f>IF(A1739="","",CHOOSE(WEEKDAY(A1739,2),"Mo","Di","Mi","Do","Fr","Sa","So"))</f>
        <v/>
      </c>
      <c r="C1739" s="20">
        <f>IF(A1739="","",INT((A1739-DATE(YEAR(A1739-WEEKDAY(A1739-1)+4),1,3)+WEEKDAY(DATE(YEAR(A1739-WEEKDAY(A1739-1)+4),1,3))+5)/7))</f>
        <v/>
      </c>
      <c r="D1739" s="21" t="n"/>
      <c r="E1739" s="22" t="n"/>
      <c r="F1739" s="23" t="n"/>
      <c r="G1739" s="23" t="n"/>
      <c r="H1739" s="23" t="n"/>
      <c r="I1739" s="20">
        <f>IF(COUNT(F1739:H1739)=0,"",SUM(F1739:H1739))</f>
        <v/>
      </c>
      <c r="J1739" s="23" t="n"/>
      <c r="K1739" s="23" t="n"/>
      <c r="L1739" s="23" t="n"/>
      <c r="M1739" s="23" t="n"/>
      <c r="N1739" s="23" t="n"/>
      <c r="O1739" s="20">
        <f>IF(OR(I1739="",COUNT(J1739:N1739)=0),"",IF(SUM(J1739:N1739)=I1739,"✓","⚠ "&amp;SUM(J1739:N1739)&amp;" statt "&amp;I1739))</f>
        <v/>
      </c>
      <c r="P1739" s="21" t="n"/>
      <c r="Q1739" s="21" t="n"/>
      <c r="R1739" s="21" t="n"/>
      <c r="S1739" s="24" t="n"/>
      <c r="T1739" s="24" t="n"/>
      <c r="V1739">
        <f>IF(A1739="","",MONTH(A1739))</f>
        <v/>
      </c>
      <c r="W1739">
        <f>N(W1738)+IF(AND(C1739&lt;&gt;"",T1739&lt;&gt;""),IF(C1739=WOCHE!$B$3,1,0),0)</f>
        <v/>
      </c>
      <c r="X1739">
        <f>N(X1738)+IF(AND(V1739&lt;&gt;"",T1739&lt;&gt;""),IF(V1739=MONAT!$AZ$3,1,0),0)</f>
        <v/>
      </c>
    </row>
    <row r="1740">
      <c r="A1740" s="19" t="n"/>
      <c r="B1740" s="20">
        <f>IF(A1740="","",CHOOSE(WEEKDAY(A1740,2),"Mo","Di","Mi","Do","Fr","Sa","So"))</f>
        <v/>
      </c>
      <c r="C1740" s="20">
        <f>IF(A1740="","",INT((A1740-DATE(YEAR(A1740-WEEKDAY(A1740-1)+4),1,3)+WEEKDAY(DATE(YEAR(A1740-WEEKDAY(A1740-1)+4),1,3))+5)/7))</f>
        <v/>
      </c>
      <c r="D1740" s="21" t="n"/>
      <c r="E1740" s="22" t="n"/>
      <c r="F1740" s="23" t="n"/>
      <c r="G1740" s="23" t="n"/>
      <c r="H1740" s="23" t="n"/>
      <c r="I1740" s="20">
        <f>IF(COUNT(F1740:H1740)=0,"",SUM(F1740:H1740))</f>
        <v/>
      </c>
      <c r="J1740" s="23" t="n"/>
      <c r="K1740" s="23" t="n"/>
      <c r="L1740" s="23" t="n"/>
      <c r="M1740" s="23" t="n"/>
      <c r="N1740" s="23" t="n"/>
      <c r="O1740" s="20">
        <f>IF(OR(I1740="",COUNT(J1740:N1740)=0),"",IF(SUM(J1740:N1740)=I1740,"✓","⚠ "&amp;SUM(J1740:N1740)&amp;" statt "&amp;I1740))</f>
        <v/>
      </c>
      <c r="P1740" s="21" t="n"/>
      <c r="Q1740" s="21" t="n"/>
      <c r="R1740" s="21" t="n"/>
      <c r="S1740" s="24" t="n"/>
      <c r="T1740" s="24" t="n"/>
      <c r="V1740">
        <f>IF(A1740="","",MONTH(A1740))</f>
        <v/>
      </c>
      <c r="W1740">
        <f>N(W1739)+IF(AND(C1740&lt;&gt;"",T1740&lt;&gt;""),IF(C1740=WOCHE!$B$3,1,0),0)</f>
        <v/>
      </c>
      <c r="X1740">
        <f>N(X1739)+IF(AND(V1740&lt;&gt;"",T1740&lt;&gt;""),IF(V1740=MONAT!$AZ$3,1,0),0)</f>
        <v/>
      </c>
    </row>
    <row r="1741">
      <c r="A1741" s="19" t="n"/>
      <c r="B1741" s="20">
        <f>IF(A1741="","",CHOOSE(WEEKDAY(A1741,2),"Mo","Di","Mi","Do","Fr","Sa","So"))</f>
        <v/>
      </c>
      <c r="C1741" s="20">
        <f>IF(A1741="","",INT((A1741-DATE(YEAR(A1741-WEEKDAY(A1741-1)+4),1,3)+WEEKDAY(DATE(YEAR(A1741-WEEKDAY(A1741-1)+4),1,3))+5)/7))</f>
        <v/>
      </c>
      <c r="D1741" s="21" t="n"/>
      <c r="E1741" s="22" t="n"/>
      <c r="F1741" s="23" t="n"/>
      <c r="G1741" s="23" t="n"/>
      <c r="H1741" s="23" t="n"/>
      <c r="I1741" s="20">
        <f>IF(COUNT(F1741:H1741)=0,"",SUM(F1741:H1741))</f>
        <v/>
      </c>
      <c r="J1741" s="23" t="n"/>
      <c r="K1741" s="23" t="n"/>
      <c r="L1741" s="23" t="n"/>
      <c r="M1741" s="23" t="n"/>
      <c r="N1741" s="23" t="n"/>
      <c r="O1741" s="20">
        <f>IF(OR(I1741="",COUNT(J1741:N1741)=0),"",IF(SUM(J1741:N1741)=I1741,"✓","⚠ "&amp;SUM(J1741:N1741)&amp;" statt "&amp;I1741))</f>
        <v/>
      </c>
      <c r="P1741" s="21" t="n"/>
      <c r="Q1741" s="21" t="n"/>
      <c r="R1741" s="21" t="n"/>
      <c r="S1741" s="24" t="n"/>
      <c r="T1741" s="24" t="n"/>
      <c r="V1741">
        <f>IF(A1741="","",MONTH(A1741))</f>
        <v/>
      </c>
      <c r="W1741">
        <f>N(W1740)+IF(AND(C1741&lt;&gt;"",T1741&lt;&gt;""),IF(C1741=WOCHE!$B$3,1,0),0)</f>
        <v/>
      </c>
      <c r="X1741">
        <f>N(X1740)+IF(AND(V1741&lt;&gt;"",T1741&lt;&gt;""),IF(V1741=MONAT!$AZ$3,1,0),0)</f>
        <v/>
      </c>
    </row>
    <row r="1742">
      <c r="A1742" s="19" t="n"/>
      <c r="B1742" s="20">
        <f>IF(A1742="","",CHOOSE(WEEKDAY(A1742,2),"Mo","Di","Mi","Do","Fr","Sa","So"))</f>
        <v/>
      </c>
      <c r="C1742" s="20">
        <f>IF(A1742="","",INT((A1742-DATE(YEAR(A1742-WEEKDAY(A1742-1)+4),1,3)+WEEKDAY(DATE(YEAR(A1742-WEEKDAY(A1742-1)+4),1,3))+5)/7))</f>
        <v/>
      </c>
      <c r="D1742" s="21" t="n"/>
      <c r="E1742" s="22" t="n"/>
      <c r="F1742" s="23" t="n"/>
      <c r="G1742" s="23" t="n"/>
      <c r="H1742" s="23" t="n"/>
      <c r="I1742" s="20">
        <f>IF(COUNT(F1742:H1742)=0,"",SUM(F1742:H1742))</f>
        <v/>
      </c>
      <c r="J1742" s="23" t="n"/>
      <c r="K1742" s="23" t="n"/>
      <c r="L1742" s="23" t="n"/>
      <c r="M1742" s="23" t="n"/>
      <c r="N1742" s="23" t="n"/>
      <c r="O1742" s="20">
        <f>IF(OR(I1742="",COUNT(J1742:N1742)=0),"",IF(SUM(J1742:N1742)=I1742,"✓","⚠ "&amp;SUM(J1742:N1742)&amp;" statt "&amp;I1742))</f>
        <v/>
      </c>
      <c r="P1742" s="21" t="n"/>
      <c r="Q1742" s="21" t="n"/>
      <c r="R1742" s="21" t="n"/>
      <c r="S1742" s="24" t="n"/>
      <c r="T1742" s="24" t="n"/>
      <c r="V1742">
        <f>IF(A1742="","",MONTH(A1742))</f>
        <v/>
      </c>
      <c r="W1742">
        <f>N(W1741)+IF(AND(C1742&lt;&gt;"",T1742&lt;&gt;""),IF(C1742=WOCHE!$B$3,1,0),0)</f>
        <v/>
      </c>
      <c r="X1742">
        <f>N(X1741)+IF(AND(V1742&lt;&gt;"",T1742&lt;&gt;""),IF(V1742=MONAT!$AZ$3,1,0),0)</f>
        <v/>
      </c>
    </row>
    <row r="1743">
      <c r="A1743" s="19" t="n"/>
      <c r="B1743" s="20">
        <f>IF(A1743="","",CHOOSE(WEEKDAY(A1743,2),"Mo","Di","Mi","Do","Fr","Sa","So"))</f>
        <v/>
      </c>
      <c r="C1743" s="20">
        <f>IF(A1743="","",INT((A1743-DATE(YEAR(A1743-WEEKDAY(A1743-1)+4),1,3)+WEEKDAY(DATE(YEAR(A1743-WEEKDAY(A1743-1)+4),1,3))+5)/7))</f>
        <v/>
      </c>
      <c r="D1743" s="21" t="n"/>
      <c r="E1743" s="22" t="n"/>
      <c r="F1743" s="23" t="n"/>
      <c r="G1743" s="23" t="n"/>
      <c r="H1743" s="23" t="n"/>
      <c r="I1743" s="20">
        <f>IF(COUNT(F1743:H1743)=0,"",SUM(F1743:H1743))</f>
        <v/>
      </c>
      <c r="J1743" s="23" t="n"/>
      <c r="K1743" s="23" t="n"/>
      <c r="L1743" s="23" t="n"/>
      <c r="M1743" s="23" t="n"/>
      <c r="N1743" s="23" t="n"/>
      <c r="O1743" s="20">
        <f>IF(OR(I1743="",COUNT(J1743:N1743)=0),"",IF(SUM(J1743:N1743)=I1743,"✓","⚠ "&amp;SUM(J1743:N1743)&amp;" statt "&amp;I1743))</f>
        <v/>
      </c>
      <c r="P1743" s="21" t="n"/>
      <c r="Q1743" s="21" t="n"/>
      <c r="R1743" s="21" t="n"/>
      <c r="S1743" s="24" t="n"/>
      <c r="T1743" s="24" t="n"/>
      <c r="V1743">
        <f>IF(A1743="","",MONTH(A1743))</f>
        <v/>
      </c>
      <c r="W1743">
        <f>N(W1742)+IF(AND(C1743&lt;&gt;"",T1743&lt;&gt;""),IF(C1743=WOCHE!$B$3,1,0),0)</f>
        <v/>
      </c>
      <c r="X1743">
        <f>N(X1742)+IF(AND(V1743&lt;&gt;"",T1743&lt;&gt;""),IF(V1743=MONAT!$AZ$3,1,0),0)</f>
        <v/>
      </c>
    </row>
    <row r="1744">
      <c r="A1744" s="19" t="n"/>
      <c r="B1744" s="20">
        <f>IF(A1744="","",CHOOSE(WEEKDAY(A1744,2),"Mo","Di","Mi","Do","Fr","Sa","So"))</f>
        <v/>
      </c>
      <c r="C1744" s="20">
        <f>IF(A1744="","",INT((A1744-DATE(YEAR(A1744-WEEKDAY(A1744-1)+4),1,3)+WEEKDAY(DATE(YEAR(A1744-WEEKDAY(A1744-1)+4),1,3))+5)/7))</f>
        <v/>
      </c>
      <c r="D1744" s="21" t="n"/>
      <c r="E1744" s="22" t="n"/>
      <c r="F1744" s="23" t="n"/>
      <c r="G1744" s="23" t="n"/>
      <c r="H1744" s="23" t="n"/>
      <c r="I1744" s="20">
        <f>IF(COUNT(F1744:H1744)=0,"",SUM(F1744:H1744))</f>
        <v/>
      </c>
      <c r="J1744" s="23" t="n"/>
      <c r="K1744" s="23" t="n"/>
      <c r="L1744" s="23" t="n"/>
      <c r="M1744" s="23" t="n"/>
      <c r="N1744" s="23" t="n"/>
      <c r="O1744" s="20">
        <f>IF(OR(I1744="",COUNT(J1744:N1744)=0),"",IF(SUM(J1744:N1744)=I1744,"✓","⚠ "&amp;SUM(J1744:N1744)&amp;" statt "&amp;I1744))</f>
        <v/>
      </c>
      <c r="P1744" s="21" t="n"/>
      <c r="Q1744" s="21" t="n"/>
      <c r="R1744" s="21" t="n"/>
      <c r="S1744" s="24" t="n"/>
      <c r="T1744" s="24" t="n"/>
      <c r="V1744">
        <f>IF(A1744="","",MONTH(A1744))</f>
        <v/>
      </c>
      <c r="W1744">
        <f>N(W1743)+IF(AND(C1744&lt;&gt;"",T1744&lt;&gt;""),IF(C1744=WOCHE!$B$3,1,0),0)</f>
        <v/>
      </c>
      <c r="X1744">
        <f>N(X1743)+IF(AND(V1744&lt;&gt;"",T1744&lt;&gt;""),IF(V1744=MONAT!$AZ$3,1,0),0)</f>
        <v/>
      </c>
    </row>
    <row r="1745">
      <c r="A1745" s="19" t="n"/>
      <c r="B1745" s="20">
        <f>IF(A1745="","",CHOOSE(WEEKDAY(A1745,2),"Mo","Di","Mi","Do","Fr","Sa","So"))</f>
        <v/>
      </c>
      <c r="C1745" s="20">
        <f>IF(A1745="","",INT((A1745-DATE(YEAR(A1745-WEEKDAY(A1745-1)+4),1,3)+WEEKDAY(DATE(YEAR(A1745-WEEKDAY(A1745-1)+4),1,3))+5)/7))</f>
        <v/>
      </c>
      <c r="D1745" s="21" t="n"/>
      <c r="E1745" s="22" t="n"/>
      <c r="F1745" s="23" t="n"/>
      <c r="G1745" s="23" t="n"/>
      <c r="H1745" s="23" t="n"/>
      <c r="I1745" s="20">
        <f>IF(COUNT(F1745:H1745)=0,"",SUM(F1745:H1745))</f>
        <v/>
      </c>
      <c r="J1745" s="23" t="n"/>
      <c r="K1745" s="23" t="n"/>
      <c r="L1745" s="23" t="n"/>
      <c r="M1745" s="23" t="n"/>
      <c r="N1745" s="23" t="n"/>
      <c r="O1745" s="20">
        <f>IF(OR(I1745="",COUNT(J1745:N1745)=0),"",IF(SUM(J1745:N1745)=I1745,"✓","⚠ "&amp;SUM(J1745:N1745)&amp;" statt "&amp;I1745))</f>
        <v/>
      </c>
      <c r="P1745" s="21" t="n"/>
      <c r="Q1745" s="21" t="n"/>
      <c r="R1745" s="21" t="n"/>
      <c r="S1745" s="24" t="n"/>
      <c r="T1745" s="24" t="n"/>
      <c r="V1745">
        <f>IF(A1745="","",MONTH(A1745))</f>
        <v/>
      </c>
      <c r="W1745">
        <f>N(W1744)+IF(AND(C1745&lt;&gt;"",T1745&lt;&gt;""),IF(C1745=WOCHE!$B$3,1,0),0)</f>
        <v/>
      </c>
      <c r="X1745">
        <f>N(X1744)+IF(AND(V1745&lt;&gt;"",T1745&lt;&gt;""),IF(V1745=MONAT!$AZ$3,1,0),0)</f>
        <v/>
      </c>
    </row>
    <row r="1746">
      <c r="A1746" s="19" t="n"/>
      <c r="B1746" s="20">
        <f>IF(A1746="","",CHOOSE(WEEKDAY(A1746,2),"Mo","Di","Mi","Do","Fr","Sa","So"))</f>
        <v/>
      </c>
      <c r="C1746" s="20">
        <f>IF(A1746="","",INT((A1746-DATE(YEAR(A1746-WEEKDAY(A1746-1)+4),1,3)+WEEKDAY(DATE(YEAR(A1746-WEEKDAY(A1746-1)+4),1,3))+5)/7))</f>
        <v/>
      </c>
      <c r="D1746" s="21" t="n"/>
      <c r="E1746" s="22" t="n"/>
      <c r="F1746" s="23" t="n"/>
      <c r="G1746" s="23" t="n"/>
      <c r="H1746" s="23" t="n"/>
      <c r="I1746" s="20">
        <f>IF(COUNT(F1746:H1746)=0,"",SUM(F1746:H1746))</f>
        <v/>
      </c>
      <c r="J1746" s="23" t="n"/>
      <c r="K1746" s="23" t="n"/>
      <c r="L1746" s="23" t="n"/>
      <c r="M1746" s="23" t="n"/>
      <c r="N1746" s="23" t="n"/>
      <c r="O1746" s="20">
        <f>IF(OR(I1746="",COUNT(J1746:N1746)=0),"",IF(SUM(J1746:N1746)=I1746,"✓","⚠ "&amp;SUM(J1746:N1746)&amp;" statt "&amp;I1746))</f>
        <v/>
      </c>
      <c r="P1746" s="21" t="n"/>
      <c r="Q1746" s="21" t="n"/>
      <c r="R1746" s="21" t="n"/>
      <c r="S1746" s="24" t="n"/>
      <c r="T1746" s="24" t="n"/>
      <c r="V1746">
        <f>IF(A1746="","",MONTH(A1746))</f>
        <v/>
      </c>
      <c r="W1746">
        <f>N(W1745)+IF(AND(C1746&lt;&gt;"",T1746&lt;&gt;""),IF(C1746=WOCHE!$B$3,1,0),0)</f>
        <v/>
      </c>
      <c r="X1746">
        <f>N(X1745)+IF(AND(V1746&lt;&gt;"",T1746&lt;&gt;""),IF(V1746=MONAT!$AZ$3,1,0),0)</f>
        <v/>
      </c>
    </row>
    <row r="1747">
      <c r="A1747" s="19" t="n"/>
      <c r="B1747" s="20">
        <f>IF(A1747="","",CHOOSE(WEEKDAY(A1747,2),"Mo","Di","Mi","Do","Fr","Sa","So"))</f>
        <v/>
      </c>
      <c r="C1747" s="20">
        <f>IF(A1747="","",INT((A1747-DATE(YEAR(A1747-WEEKDAY(A1747-1)+4),1,3)+WEEKDAY(DATE(YEAR(A1747-WEEKDAY(A1747-1)+4),1,3))+5)/7))</f>
        <v/>
      </c>
      <c r="D1747" s="21" t="n"/>
      <c r="E1747" s="22" t="n"/>
      <c r="F1747" s="23" t="n"/>
      <c r="G1747" s="23" t="n"/>
      <c r="H1747" s="23" t="n"/>
      <c r="I1747" s="20">
        <f>IF(COUNT(F1747:H1747)=0,"",SUM(F1747:H1747))</f>
        <v/>
      </c>
      <c r="J1747" s="23" t="n"/>
      <c r="K1747" s="23" t="n"/>
      <c r="L1747" s="23" t="n"/>
      <c r="M1747" s="23" t="n"/>
      <c r="N1747" s="23" t="n"/>
      <c r="O1747" s="20">
        <f>IF(OR(I1747="",COUNT(J1747:N1747)=0),"",IF(SUM(J1747:N1747)=I1747,"✓","⚠ "&amp;SUM(J1747:N1747)&amp;" statt "&amp;I1747))</f>
        <v/>
      </c>
      <c r="P1747" s="21" t="n"/>
      <c r="Q1747" s="21" t="n"/>
      <c r="R1747" s="21" t="n"/>
      <c r="S1747" s="24" t="n"/>
      <c r="T1747" s="24" t="n"/>
      <c r="V1747">
        <f>IF(A1747="","",MONTH(A1747))</f>
        <v/>
      </c>
      <c r="W1747">
        <f>N(W1746)+IF(AND(C1747&lt;&gt;"",T1747&lt;&gt;""),IF(C1747=WOCHE!$B$3,1,0),0)</f>
        <v/>
      </c>
      <c r="X1747">
        <f>N(X1746)+IF(AND(V1747&lt;&gt;"",T1747&lt;&gt;""),IF(V1747=MONAT!$AZ$3,1,0),0)</f>
        <v/>
      </c>
    </row>
    <row r="1748">
      <c r="A1748" s="19" t="n"/>
      <c r="B1748" s="20">
        <f>IF(A1748="","",CHOOSE(WEEKDAY(A1748,2),"Mo","Di","Mi","Do","Fr","Sa","So"))</f>
        <v/>
      </c>
      <c r="C1748" s="20">
        <f>IF(A1748="","",INT((A1748-DATE(YEAR(A1748-WEEKDAY(A1748-1)+4),1,3)+WEEKDAY(DATE(YEAR(A1748-WEEKDAY(A1748-1)+4),1,3))+5)/7))</f>
        <v/>
      </c>
      <c r="D1748" s="21" t="n"/>
      <c r="E1748" s="22" t="n"/>
      <c r="F1748" s="23" t="n"/>
      <c r="G1748" s="23" t="n"/>
      <c r="H1748" s="23" t="n"/>
      <c r="I1748" s="20">
        <f>IF(COUNT(F1748:H1748)=0,"",SUM(F1748:H1748))</f>
        <v/>
      </c>
      <c r="J1748" s="23" t="n"/>
      <c r="K1748" s="23" t="n"/>
      <c r="L1748" s="23" t="n"/>
      <c r="M1748" s="23" t="n"/>
      <c r="N1748" s="23" t="n"/>
      <c r="O1748" s="20">
        <f>IF(OR(I1748="",COUNT(J1748:N1748)=0),"",IF(SUM(J1748:N1748)=I1748,"✓","⚠ "&amp;SUM(J1748:N1748)&amp;" statt "&amp;I1748))</f>
        <v/>
      </c>
      <c r="P1748" s="21" t="n"/>
      <c r="Q1748" s="21" t="n"/>
      <c r="R1748" s="21" t="n"/>
      <c r="S1748" s="24" t="n"/>
      <c r="T1748" s="24" t="n"/>
      <c r="V1748">
        <f>IF(A1748="","",MONTH(A1748))</f>
        <v/>
      </c>
      <c r="W1748">
        <f>N(W1747)+IF(AND(C1748&lt;&gt;"",T1748&lt;&gt;""),IF(C1748=WOCHE!$B$3,1,0),0)</f>
        <v/>
      </c>
      <c r="X1748">
        <f>N(X1747)+IF(AND(V1748&lt;&gt;"",T1748&lt;&gt;""),IF(V1748=MONAT!$AZ$3,1,0),0)</f>
        <v/>
      </c>
    </row>
    <row r="1749">
      <c r="A1749" s="19" t="n"/>
      <c r="B1749" s="20">
        <f>IF(A1749="","",CHOOSE(WEEKDAY(A1749,2),"Mo","Di","Mi","Do","Fr","Sa","So"))</f>
        <v/>
      </c>
      <c r="C1749" s="20">
        <f>IF(A1749="","",INT((A1749-DATE(YEAR(A1749-WEEKDAY(A1749-1)+4),1,3)+WEEKDAY(DATE(YEAR(A1749-WEEKDAY(A1749-1)+4),1,3))+5)/7))</f>
        <v/>
      </c>
      <c r="D1749" s="21" t="n"/>
      <c r="E1749" s="22" t="n"/>
      <c r="F1749" s="23" t="n"/>
      <c r="G1749" s="23" t="n"/>
      <c r="H1749" s="23" t="n"/>
      <c r="I1749" s="20">
        <f>IF(COUNT(F1749:H1749)=0,"",SUM(F1749:H1749))</f>
        <v/>
      </c>
      <c r="J1749" s="23" t="n"/>
      <c r="K1749" s="23" t="n"/>
      <c r="L1749" s="23" t="n"/>
      <c r="M1749" s="23" t="n"/>
      <c r="N1749" s="23" t="n"/>
      <c r="O1749" s="20">
        <f>IF(OR(I1749="",COUNT(J1749:N1749)=0),"",IF(SUM(J1749:N1749)=I1749,"✓","⚠ "&amp;SUM(J1749:N1749)&amp;" statt "&amp;I1749))</f>
        <v/>
      </c>
      <c r="P1749" s="21" t="n"/>
      <c r="Q1749" s="21" t="n"/>
      <c r="R1749" s="21" t="n"/>
      <c r="S1749" s="24" t="n"/>
      <c r="T1749" s="24" t="n"/>
      <c r="V1749">
        <f>IF(A1749="","",MONTH(A1749))</f>
        <v/>
      </c>
      <c r="W1749">
        <f>N(W1748)+IF(AND(C1749&lt;&gt;"",T1749&lt;&gt;""),IF(C1749=WOCHE!$B$3,1,0),0)</f>
        <v/>
      </c>
      <c r="X1749">
        <f>N(X1748)+IF(AND(V1749&lt;&gt;"",T1749&lt;&gt;""),IF(V1749=MONAT!$AZ$3,1,0),0)</f>
        <v/>
      </c>
    </row>
    <row r="1750">
      <c r="A1750" s="19" t="n"/>
      <c r="B1750" s="20">
        <f>IF(A1750="","",CHOOSE(WEEKDAY(A1750,2),"Mo","Di","Mi","Do","Fr","Sa","So"))</f>
        <v/>
      </c>
      <c r="C1750" s="20">
        <f>IF(A1750="","",INT((A1750-DATE(YEAR(A1750-WEEKDAY(A1750-1)+4),1,3)+WEEKDAY(DATE(YEAR(A1750-WEEKDAY(A1750-1)+4),1,3))+5)/7))</f>
        <v/>
      </c>
      <c r="D1750" s="21" t="n"/>
      <c r="E1750" s="22" t="n"/>
      <c r="F1750" s="23" t="n"/>
      <c r="G1750" s="23" t="n"/>
      <c r="H1750" s="23" t="n"/>
      <c r="I1750" s="20">
        <f>IF(COUNT(F1750:H1750)=0,"",SUM(F1750:H1750))</f>
        <v/>
      </c>
      <c r="J1750" s="23" t="n"/>
      <c r="K1750" s="23" t="n"/>
      <c r="L1750" s="23" t="n"/>
      <c r="M1750" s="23" t="n"/>
      <c r="N1750" s="23" t="n"/>
      <c r="O1750" s="20">
        <f>IF(OR(I1750="",COUNT(J1750:N1750)=0),"",IF(SUM(J1750:N1750)=I1750,"✓","⚠ "&amp;SUM(J1750:N1750)&amp;" statt "&amp;I1750))</f>
        <v/>
      </c>
      <c r="P1750" s="21" t="n"/>
      <c r="Q1750" s="21" t="n"/>
      <c r="R1750" s="21" t="n"/>
      <c r="S1750" s="24" t="n"/>
      <c r="T1750" s="24" t="n"/>
      <c r="V1750">
        <f>IF(A1750="","",MONTH(A1750))</f>
        <v/>
      </c>
      <c r="W1750">
        <f>N(W1749)+IF(AND(C1750&lt;&gt;"",T1750&lt;&gt;""),IF(C1750=WOCHE!$B$3,1,0),0)</f>
        <v/>
      </c>
      <c r="X1750">
        <f>N(X1749)+IF(AND(V1750&lt;&gt;"",T1750&lt;&gt;""),IF(V1750=MONAT!$AZ$3,1,0),0)</f>
        <v/>
      </c>
    </row>
    <row r="1751">
      <c r="A1751" s="19" t="n"/>
      <c r="B1751" s="20">
        <f>IF(A1751="","",CHOOSE(WEEKDAY(A1751,2),"Mo","Di","Mi","Do","Fr","Sa","So"))</f>
        <v/>
      </c>
      <c r="C1751" s="20">
        <f>IF(A1751="","",INT((A1751-DATE(YEAR(A1751-WEEKDAY(A1751-1)+4),1,3)+WEEKDAY(DATE(YEAR(A1751-WEEKDAY(A1751-1)+4),1,3))+5)/7))</f>
        <v/>
      </c>
      <c r="D1751" s="21" t="n"/>
      <c r="E1751" s="22" t="n"/>
      <c r="F1751" s="23" t="n"/>
      <c r="G1751" s="23" t="n"/>
      <c r="H1751" s="23" t="n"/>
      <c r="I1751" s="20">
        <f>IF(COUNT(F1751:H1751)=0,"",SUM(F1751:H1751))</f>
        <v/>
      </c>
      <c r="J1751" s="23" t="n"/>
      <c r="K1751" s="23" t="n"/>
      <c r="L1751" s="23" t="n"/>
      <c r="M1751" s="23" t="n"/>
      <c r="N1751" s="23" t="n"/>
      <c r="O1751" s="20">
        <f>IF(OR(I1751="",COUNT(J1751:N1751)=0),"",IF(SUM(J1751:N1751)=I1751,"✓","⚠ "&amp;SUM(J1751:N1751)&amp;" statt "&amp;I1751))</f>
        <v/>
      </c>
      <c r="P1751" s="21" t="n"/>
      <c r="Q1751" s="21" t="n"/>
      <c r="R1751" s="21" t="n"/>
      <c r="S1751" s="24" t="n"/>
      <c r="T1751" s="24" t="n"/>
      <c r="V1751">
        <f>IF(A1751="","",MONTH(A1751))</f>
        <v/>
      </c>
      <c r="W1751">
        <f>N(W1750)+IF(AND(C1751&lt;&gt;"",T1751&lt;&gt;""),IF(C1751=WOCHE!$B$3,1,0),0)</f>
        <v/>
      </c>
      <c r="X1751">
        <f>N(X1750)+IF(AND(V1751&lt;&gt;"",T1751&lt;&gt;""),IF(V1751=MONAT!$AZ$3,1,0),0)</f>
        <v/>
      </c>
    </row>
    <row r="1752">
      <c r="A1752" s="19" t="n"/>
      <c r="B1752" s="20">
        <f>IF(A1752="","",CHOOSE(WEEKDAY(A1752,2),"Mo","Di","Mi","Do","Fr","Sa","So"))</f>
        <v/>
      </c>
      <c r="C1752" s="20">
        <f>IF(A1752="","",INT((A1752-DATE(YEAR(A1752-WEEKDAY(A1752-1)+4),1,3)+WEEKDAY(DATE(YEAR(A1752-WEEKDAY(A1752-1)+4),1,3))+5)/7))</f>
        <v/>
      </c>
      <c r="D1752" s="21" t="n"/>
      <c r="E1752" s="22" t="n"/>
      <c r="F1752" s="23" t="n"/>
      <c r="G1752" s="23" t="n"/>
      <c r="H1752" s="23" t="n"/>
      <c r="I1752" s="20">
        <f>IF(COUNT(F1752:H1752)=0,"",SUM(F1752:H1752))</f>
        <v/>
      </c>
      <c r="J1752" s="23" t="n"/>
      <c r="K1752" s="23" t="n"/>
      <c r="L1752" s="23" t="n"/>
      <c r="M1752" s="23" t="n"/>
      <c r="N1752" s="23" t="n"/>
      <c r="O1752" s="20">
        <f>IF(OR(I1752="",COUNT(J1752:N1752)=0),"",IF(SUM(J1752:N1752)=I1752,"✓","⚠ "&amp;SUM(J1752:N1752)&amp;" statt "&amp;I1752))</f>
        <v/>
      </c>
      <c r="P1752" s="21" t="n"/>
      <c r="Q1752" s="21" t="n"/>
      <c r="R1752" s="21" t="n"/>
      <c r="S1752" s="24" t="n"/>
      <c r="T1752" s="24" t="n"/>
      <c r="V1752">
        <f>IF(A1752="","",MONTH(A1752))</f>
        <v/>
      </c>
      <c r="W1752">
        <f>N(W1751)+IF(AND(C1752&lt;&gt;"",T1752&lt;&gt;""),IF(C1752=WOCHE!$B$3,1,0),0)</f>
        <v/>
      </c>
      <c r="X1752">
        <f>N(X1751)+IF(AND(V1752&lt;&gt;"",T1752&lt;&gt;""),IF(V1752=MONAT!$AZ$3,1,0),0)</f>
        <v/>
      </c>
    </row>
    <row r="1753">
      <c r="A1753" s="19" t="n"/>
      <c r="B1753" s="20">
        <f>IF(A1753="","",CHOOSE(WEEKDAY(A1753,2),"Mo","Di","Mi","Do","Fr","Sa","So"))</f>
        <v/>
      </c>
      <c r="C1753" s="20">
        <f>IF(A1753="","",INT((A1753-DATE(YEAR(A1753-WEEKDAY(A1753-1)+4),1,3)+WEEKDAY(DATE(YEAR(A1753-WEEKDAY(A1753-1)+4),1,3))+5)/7))</f>
        <v/>
      </c>
      <c r="D1753" s="21" t="n"/>
      <c r="E1753" s="22" t="n"/>
      <c r="F1753" s="23" t="n"/>
      <c r="G1753" s="23" t="n"/>
      <c r="H1753" s="23" t="n"/>
      <c r="I1753" s="20">
        <f>IF(COUNT(F1753:H1753)=0,"",SUM(F1753:H1753))</f>
        <v/>
      </c>
      <c r="J1753" s="23" t="n"/>
      <c r="K1753" s="23" t="n"/>
      <c r="L1753" s="23" t="n"/>
      <c r="M1753" s="23" t="n"/>
      <c r="N1753" s="23" t="n"/>
      <c r="O1753" s="20">
        <f>IF(OR(I1753="",COUNT(J1753:N1753)=0),"",IF(SUM(J1753:N1753)=I1753,"✓","⚠ "&amp;SUM(J1753:N1753)&amp;" statt "&amp;I1753))</f>
        <v/>
      </c>
      <c r="P1753" s="21" t="n"/>
      <c r="Q1753" s="21" t="n"/>
      <c r="R1753" s="21" t="n"/>
      <c r="S1753" s="24" t="n"/>
      <c r="T1753" s="24" t="n"/>
      <c r="V1753">
        <f>IF(A1753="","",MONTH(A1753))</f>
        <v/>
      </c>
      <c r="W1753">
        <f>N(W1752)+IF(AND(C1753&lt;&gt;"",T1753&lt;&gt;""),IF(C1753=WOCHE!$B$3,1,0),0)</f>
        <v/>
      </c>
      <c r="X1753">
        <f>N(X1752)+IF(AND(V1753&lt;&gt;"",T1753&lt;&gt;""),IF(V1753=MONAT!$AZ$3,1,0),0)</f>
        <v/>
      </c>
    </row>
    <row r="1754">
      <c r="A1754" s="19" t="n"/>
      <c r="B1754" s="20">
        <f>IF(A1754="","",CHOOSE(WEEKDAY(A1754,2),"Mo","Di","Mi","Do","Fr","Sa","So"))</f>
        <v/>
      </c>
      <c r="C1754" s="20">
        <f>IF(A1754="","",INT((A1754-DATE(YEAR(A1754-WEEKDAY(A1754-1)+4),1,3)+WEEKDAY(DATE(YEAR(A1754-WEEKDAY(A1754-1)+4),1,3))+5)/7))</f>
        <v/>
      </c>
      <c r="D1754" s="21" t="n"/>
      <c r="E1754" s="22" t="n"/>
      <c r="F1754" s="23" t="n"/>
      <c r="G1754" s="23" t="n"/>
      <c r="H1754" s="23" t="n"/>
      <c r="I1754" s="20">
        <f>IF(COUNT(F1754:H1754)=0,"",SUM(F1754:H1754))</f>
        <v/>
      </c>
      <c r="J1754" s="23" t="n"/>
      <c r="K1754" s="23" t="n"/>
      <c r="L1754" s="23" t="n"/>
      <c r="M1754" s="23" t="n"/>
      <c r="N1754" s="23" t="n"/>
      <c r="O1754" s="20">
        <f>IF(OR(I1754="",COUNT(J1754:N1754)=0),"",IF(SUM(J1754:N1754)=I1754,"✓","⚠ "&amp;SUM(J1754:N1754)&amp;" statt "&amp;I1754))</f>
        <v/>
      </c>
      <c r="P1754" s="21" t="n"/>
      <c r="Q1754" s="21" t="n"/>
      <c r="R1754" s="21" t="n"/>
      <c r="S1754" s="24" t="n"/>
      <c r="T1754" s="24" t="n"/>
      <c r="V1754">
        <f>IF(A1754="","",MONTH(A1754))</f>
        <v/>
      </c>
      <c r="W1754">
        <f>N(W1753)+IF(AND(C1754&lt;&gt;"",T1754&lt;&gt;""),IF(C1754=WOCHE!$B$3,1,0),0)</f>
        <v/>
      </c>
      <c r="X1754">
        <f>N(X1753)+IF(AND(V1754&lt;&gt;"",T1754&lt;&gt;""),IF(V1754=MONAT!$AZ$3,1,0),0)</f>
        <v/>
      </c>
    </row>
    <row r="1755">
      <c r="A1755" s="19" t="n"/>
      <c r="B1755" s="20">
        <f>IF(A1755="","",CHOOSE(WEEKDAY(A1755,2),"Mo","Di","Mi","Do","Fr","Sa","So"))</f>
        <v/>
      </c>
      <c r="C1755" s="20">
        <f>IF(A1755="","",INT((A1755-DATE(YEAR(A1755-WEEKDAY(A1755-1)+4),1,3)+WEEKDAY(DATE(YEAR(A1755-WEEKDAY(A1755-1)+4),1,3))+5)/7))</f>
        <v/>
      </c>
      <c r="D1755" s="21" t="n"/>
      <c r="E1755" s="22" t="n"/>
      <c r="F1755" s="23" t="n"/>
      <c r="G1755" s="23" t="n"/>
      <c r="H1755" s="23" t="n"/>
      <c r="I1755" s="20">
        <f>IF(COUNT(F1755:H1755)=0,"",SUM(F1755:H1755))</f>
        <v/>
      </c>
      <c r="J1755" s="23" t="n"/>
      <c r="K1755" s="23" t="n"/>
      <c r="L1755" s="23" t="n"/>
      <c r="M1755" s="23" t="n"/>
      <c r="N1755" s="23" t="n"/>
      <c r="O1755" s="20">
        <f>IF(OR(I1755="",COUNT(J1755:N1755)=0),"",IF(SUM(J1755:N1755)=I1755,"✓","⚠ "&amp;SUM(J1755:N1755)&amp;" statt "&amp;I1755))</f>
        <v/>
      </c>
      <c r="P1755" s="21" t="n"/>
      <c r="Q1755" s="21" t="n"/>
      <c r="R1755" s="21" t="n"/>
      <c r="S1755" s="24" t="n"/>
      <c r="T1755" s="24" t="n"/>
      <c r="V1755">
        <f>IF(A1755="","",MONTH(A1755))</f>
        <v/>
      </c>
      <c r="W1755">
        <f>N(W1754)+IF(AND(C1755&lt;&gt;"",T1755&lt;&gt;""),IF(C1755=WOCHE!$B$3,1,0),0)</f>
        <v/>
      </c>
      <c r="X1755">
        <f>N(X1754)+IF(AND(V1755&lt;&gt;"",T1755&lt;&gt;""),IF(V1755=MONAT!$AZ$3,1,0),0)</f>
        <v/>
      </c>
    </row>
    <row r="1756">
      <c r="A1756" s="19" t="n"/>
      <c r="B1756" s="20">
        <f>IF(A1756="","",CHOOSE(WEEKDAY(A1756,2),"Mo","Di","Mi","Do","Fr","Sa","So"))</f>
        <v/>
      </c>
      <c r="C1756" s="20">
        <f>IF(A1756="","",INT((A1756-DATE(YEAR(A1756-WEEKDAY(A1756-1)+4),1,3)+WEEKDAY(DATE(YEAR(A1756-WEEKDAY(A1756-1)+4),1,3))+5)/7))</f>
        <v/>
      </c>
      <c r="D1756" s="21" t="n"/>
      <c r="E1756" s="22" t="n"/>
      <c r="F1756" s="23" t="n"/>
      <c r="G1756" s="23" t="n"/>
      <c r="H1756" s="23" t="n"/>
      <c r="I1756" s="20">
        <f>IF(COUNT(F1756:H1756)=0,"",SUM(F1756:H1756))</f>
        <v/>
      </c>
      <c r="J1756" s="23" t="n"/>
      <c r="K1756" s="23" t="n"/>
      <c r="L1756" s="23" t="n"/>
      <c r="M1756" s="23" t="n"/>
      <c r="N1756" s="23" t="n"/>
      <c r="O1756" s="20">
        <f>IF(OR(I1756="",COUNT(J1756:N1756)=0),"",IF(SUM(J1756:N1756)=I1756,"✓","⚠ "&amp;SUM(J1756:N1756)&amp;" statt "&amp;I1756))</f>
        <v/>
      </c>
      <c r="P1756" s="21" t="n"/>
      <c r="Q1756" s="21" t="n"/>
      <c r="R1756" s="21" t="n"/>
      <c r="S1756" s="24" t="n"/>
      <c r="T1756" s="24" t="n"/>
      <c r="V1756">
        <f>IF(A1756="","",MONTH(A1756))</f>
        <v/>
      </c>
      <c r="W1756">
        <f>N(W1755)+IF(AND(C1756&lt;&gt;"",T1756&lt;&gt;""),IF(C1756=WOCHE!$B$3,1,0),0)</f>
        <v/>
      </c>
      <c r="X1756">
        <f>N(X1755)+IF(AND(V1756&lt;&gt;"",T1756&lt;&gt;""),IF(V1756=MONAT!$AZ$3,1,0),0)</f>
        <v/>
      </c>
    </row>
    <row r="1757">
      <c r="A1757" s="19" t="n"/>
      <c r="B1757" s="20">
        <f>IF(A1757="","",CHOOSE(WEEKDAY(A1757,2),"Mo","Di","Mi","Do","Fr","Sa","So"))</f>
        <v/>
      </c>
      <c r="C1757" s="20">
        <f>IF(A1757="","",INT((A1757-DATE(YEAR(A1757-WEEKDAY(A1757-1)+4),1,3)+WEEKDAY(DATE(YEAR(A1757-WEEKDAY(A1757-1)+4),1,3))+5)/7))</f>
        <v/>
      </c>
      <c r="D1757" s="21" t="n"/>
      <c r="E1757" s="22" t="n"/>
      <c r="F1757" s="23" t="n"/>
      <c r="G1757" s="23" t="n"/>
      <c r="H1757" s="23" t="n"/>
      <c r="I1757" s="20">
        <f>IF(COUNT(F1757:H1757)=0,"",SUM(F1757:H1757))</f>
        <v/>
      </c>
      <c r="J1757" s="23" t="n"/>
      <c r="K1757" s="23" t="n"/>
      <c r="L1757" s="23" t="n"/>
      <c r="M1757" s="23" t="n"/>
      <c r="N1757" s="23" t="n"/>
      <c r="O1757" s="20">
        <f>IF(OR(I1757="",COUNT(J1757:N1757)=0),"",IF(SUM(J1757:N1757)=I1757,"✓","⚠ "&amp;SUM(J1757:N1757)&amp;" statt "&amp;I1757))</f>
        <v/>
      </c>
      <c r="P1757" s="21" t="n"/>
      <c r="Q1757" s="21" t="n"/>
      <c r="R1757" s="21" t="n"/>
      <c r="S1757" s="24" t="n"/>
      <c r="T1757" s="24" t="n"/>
      <c r="V1757">
        <f>IF(A1757="","",MONTH(A1757))</f>
        <v/>
      </c>
      <c r="W1757">
        <f>N(W1756)+IF(AND(C1757&lt;&gt;"",T1757&lt;&gt;""),IF(C1757=WOCHE!$B$3,1,0),0)</f>
        <v/>
      </c>
      <c r="X1757">
        <f>N(X1756)+IF(AND(V1757&lt;&gt;"",T1757&lt;&gt;""),IF(V1757=MONAT!$AZ$3,1,0),0)</f>
        <v/>
      </c>
    </row>
    <row r="1758">
      <c r="A1758" s="19" t="n"/>
      <c r="B1758" s="20">
        <f>IF(A1758="","",CHOOSE(WEEKDAY(A1758,2),"Mo","Di","Mi","Do","Fr","Sa","So"))</f>
        <v/>
      </c>
      <c r="C1758" s="20">
        <f>IF(A1758="","",INT((A1758-DATE(YEAR(A1758-WEEKDAY(A1758-1)+4),1,3)+WEEKDAY(DATE(YEAR(A1758-WEEKDAY(A1758-1)+4),1,3))+5)/7))</f>
        <v/>
      </c>
      <c r="D1758" s="21" t="n"/>
      <c r="E1758" s="22" t="n"/>
      <c r="F1758" s="23" t="n"/>
      <c r="G1758" s="23" t="n"/>
      <c r="H1758" s="23" t="n"/>
      <c r="I1758" s="20">
        <f>IF(COUNT(F1758:H1758)=0,"",SUM(F1758:H1758))</f>
        <v/>
      </c>
      <c r="J1758" s="23" t="n"/>
      <c r="K1758" s="23" t="n"/>
      <c r="L1758" s="23" t="n"/>
      <c r="M1758" s="23" t="n"/>
      <c r="N1758" s="23" t="n"/>
      <c r="O1758" s="20">
        <f>IF(OR(I1758="",COUNT(J1758:N1758)=0),"",IF(SUM(J1758:N1758)=I1758,"✓","⚠ "&amp;SUM(J1758:N1758)&amp;" statt "&amp;I1758))</f>
        <v/>
      </c>
      <c r="P1758" s="21" t="n"/>
      <c r="Q1758" s="21" t="n"/>
      <c r="R1758" s="21" t="n"/>
      <c r="S1758" s="24" t="n"/>
      <c r="T1758" s="24" t="n"/>
      <c r="V1758">
        <f>IF(A1758="","",MONTH(A1758))</f>
        <v/>
      </c>
      <c r="W1758">
        <f>N(W1757)+IF(AND(C1758&lt;&gt;"",T1758&lt;&gt;""),IF(C1758=WOCHE!$B$3,1,0),0)</f>
        <v/>
      </c>
      <c r="X1758">
        <f>N(X1757)+IF(AND(V1758&lt;&gt;"",T1758&lt;&gt;""),IF(V1758=MONAT!$AZ$3,1,0),0)</f>
        <v/>
      </c>
    </row>
    <row r="1759">
      <c r="A1759" s="19" t="n"/>
      <c r="B1759" s="20">
        <f>IF(A1759="","",CHOOSE(WEEKDAY(A1759,2),"Mo","Di","Mi","Do","Fr","Sa","So"))</f>
        <v/>
      </c>
      <c r="C1759" s="20">
        <f>IF(A1759="","",INT((A1759-DATE(YEAR(A1759-WEEKDAY(A1759-1)+4),1,3)+WEEKDAY(DATE(YEAR(A1759-WEEKDAY(A1759-1)+4),1,3))+5)/7))</f>
        <v/>
      </c>
      <c r="D1759" s="21" t="n"/>
      <c r="E1759" s="22" t="n"/>
      <c r="F1759" s="23" t="n"/>
      <c r="G1759" s="23" t="n"/>
      <c r="H1759" s="23" t="n"/>
      <c r="I1759" s="20">
        <f>IF(COUNT(F1759:H1759)=0,"",SUM(F1759:H1759))</f>
        <v/>
      </c>
      <c r="J1759" s="23" t="n"/>
      <c r="K1759" s="23" t="n"/>
      <c r="L1759" s="23" t="n"/>
      <c r="M1759" s="23" t="n"/>
      <c r="N1759" s="23" t="n"/>
      <c r="O1759" s="20">
        <f>IF(OR(I1759="",COUNT(J1759:N1759)=0),"",IF(SUM(J1759:N1759)=I1759,"✓","⚠ "&amp;SUM(J1759:N1759)&amp;" statt "&amp;I1759))</f>
        <v/>
      </c>
      <c r="P1759" s="21" t="n"/>
      <c r="Q1759" s="21" t="n"/>
      <c r="R1759" s="21" t="n"/>
      <c r="S1759" s="24" t="n"/>
      <c r="T1759" s="24" t="n"/>
      <c r="V1759">
        <f>IF(A1759="","",MONTH(A1759))</f>
        <v/>
      </c>
      <c r="W1759">
        <f>N(W1758)+IF(AND(C1759&lt;&gt;"",T1759&lt;&gt;""),IF(C1759=WOCHE!$B$3,1,0),0)</f>
        <v/>
      </c>
      <c r="X1759">
        <f>N(X1758)+IF(AND(V1759&lt;&gt;"",T1759&lt;&gt;""),IF(V1759=MONAT!$AZ$3,1,0),0)</f>
        <v/>
      </c>
    </row>
    <row r="1760">
      <c r="A1760" s="19" t="n"/>
      <c r="B1760" s="20">
        <f>IF(A1760="","",CHOOSE(WEEKDAY(A1760,2),"Mo","Di","Mi","Do","Fr","Sa","So"))</f>
        <v/>
      </c>
      <c r="C1760" s="20">
        <f>IF(A1760="","",INT((A1760-DATE(YEAR(A1760-WEEKDAY(A1760-1)+4),1,3)+WEEKDAY(DATE(YEAR(A1760-WEEKDAY(A1760-1)+4),1,3))+5)/7))</f>
        <v/>
      </c>
      <c r="D1760" s="21" t="n"/>
      <c r="E1760" s="22" t="n"/>
      <c r="F1760" s="23" t="n"/>
      <c r="G1760" s="23" t="n"/>
      <c r="H1760" s="23" t="n"/>
      <c r="I1760" s="20">
        <f>IF(COUNT(F1760:H1760)=0,"",SUM(F1760:H1760))</f>
        <v/>
      </c>
      <c r="J1760" s="23" t="n"/>
      <c r="K1760" s="23" t="n"/>
      <c r="L1760" s="23" t="n"/>
      <c r="M1760" s="23" t="n"/>
      <c r="N1760" s="23" t="n"/>
      <c r="O1760" s="20">
        <f>IF(OR(I1760="",COUNT(J1760:N1760)=0),"",IF(SUM(J1760:N1760)=I1760,"✓","⚠ "&amp;SUM(J1760:N1760)&amp;" statt "&amp;I1760))</f>
        <v/>
      </c>
      <c r="P1760" s="21" t="n"/>
      <c r="Q1760" s="21" t="n"/>
      <c r="R1760" s="21" t="n"/>
      <c r="S1760" s="24" t="n"/>
      <c r="T1760" s="24" t="n"/>
      <c r="V1760">
        <f>IF(A1760="","",MONTH(A1760))</f>
        <v/>
      </c>
      <c r="W1760">
        <f>N(W1759)+IF(AND(C1760&lt;&gt;"",T1760&lt;&gt;""),IF(C1760=WOCHE!$B$3,1,0),0)</f>
        <v/>
      </c>
      <c r="X1760">
        <f>N(X1759)+IF(AND(V1760&lt;&gt;"",T1760&lt;&gt;""),IF(V1760=MONAT!$AZ$3,1,0),0)</f>
        <v/>
      </c>
    </row>
    <row r="1761">
      <c r="A1761" s="19" t="n"/>
      <c r="B1761" s="20">
        <f>IF(A1761="","",CHOOSE(WEEKDAY(A1761,2),"Mo","Di","Mi","Do","Fr","Sa","So"))</f>
        <v/>
      </c>
      <c r="C1761" s="20">
        <f>IF(A1761="","",INT((A1761-DATE(YEAR(A1761-WEEKDAY(A1761-1)+4),1,3)+WEEKDAY(DATE(YEAR(A1761-WEEKDAY(A1761-1)+4),1,3))+5)/7))</f>
        <v/>
      </c>
      <c r="D1761" s="21" t="n"/>
      <c r="E1761" s="22" t="n"/>
      <c r="F1761" s="23" t="n"/>
      <c r="G1761" s="23" t="n"/>
      <c r="H1761" s="23" t="n"/>
      <c r="I1761" s="20">
        <f>IF(COUNT(F1761:H1761)=0,"",SUM(F1761:H1761))</f>
        <v/>
      </c>
      <c r="J1761" s="23" t="n"/>
      <c r="K1761" s="23" t="n"/>
      <c r="L1761" s="23" t="n"/>
      <c r="M1761" s="23" t="n"/>
      <c r="N1761" s="23" t="n"/>
      <c r="O1761" s="20">
        <f>IF(OR(I1761="",COUNT(J1761:N1761)=0),"",IF(SUM(J1761:N1761)=I1761,"✓","⚠ "&amp;SUM(J1761:N1761)&amp;" statt "&amp;I1761))</f>
        <v/>
      </c>
      <c r="P1761" s="21" t="n"/>
      <c r="Q1761" s="21" t="n"/>
      <c r="R1761" s="21" t="n"/>
      <c r="S1761" s="24" t="n"/>
      <c r="T1761" s="24" t="n"/>
      <c r="V1761">
        <f>IF(A1761="","",MONTH(A1761))</f>
        <v/>
      </c>
      <c r="W1761">
        <f>N(W1760)+IF(AND(C1761&lt;&gt;"",T1761&lt;&gt;""),IF(C1761=WOCHE!$B$3,1,0),0)</f>
        <v/>
      </c>
      <c r="X1761">
        <f>N(X1760)+IF(AND(V1761&lt;&gt;"",T1761&lt;&gt;""),IF(V1761=MONAT!$AZ$3,1,0),0)</f>
        <v/>
      </c>
    </row>
    <row r="1762">
      <c r="A1762" s="19" t="n"/>
      <c r="B1762" s="20">
        <f>IF(A1762="","",CHOOSE(WEEKDAY(A1762,2),"Mo","Di","Mi","Do","Fr","Sa","So"))</f>
        <v/>
      </c>
      <c r="C1762" s="20">
        <f>IF(A1762="","",INT((A1762-DATE(YEAR(A1762-WEEKDAY(A1762-1)+4),1,3)+WEEKDAY(DATE(YEAR(A1762-WEEKDAY(A1762-1)+4),1,3))+5)/7))</f>
        <v/>
      </c>
      <c r="D1762" s="21" t="n"/>
      <c r="E1762" s="22" t="n"/>
      <c r="F1762" s="23" t="n"/>
      <c r="G1762" s="23" t="n"/>
      <c r="H1762" s="23" t="n"/>
      <c r="I1762" s="20">
        <f>IF(COUNT(F1762:H1762)=0,"",SUM(F1762:H1762))</f>
        <v/>
      </c>
      <c r="J1762" s="23" t="n"/>
      <c r="K1762" s="23" t="n"/>
      <c r="L1762" s="23" t="n"/>
      <c r="M1762" s="23" t="n"/>
      <c r="N1762" s="23" t="n"/>
      <c r="O1762" s="20">
        <f>IF(OR(I1762="",COUNT(J1762:N1762)=0),"",IF(SUM(J1762:N1762)=I1762,"✓","⚠ "&amp;SUM(J1762:N1762)&amp;" statt "&amp;I1762))</f>
        <v/>
      </c>
      <c r="P1762" s="21" t="n"/>
      <c r="Q1762" s="21" t="n"/>
      <c r="R1762" s="21" t="n"/>
      <c r="S1762" s="24" t="n"/>
      <c r="T1762" s="24" t="n"/>
      <c r="V1762">
        <f>IF(A1762="","",MONTH(A1762))</f>
        <v/>
      </c>
      <c r="W1762">
        <f>N(W1761)+IF(AND(C1762&lt;&gt;"",T1762&lt;&gt;""),IF(C1762=WOCHE!$B$3,1,0),0)</f>
        <v/>
      </c>
      <c r="X1762">
        <f>N(X1761)+IF(AND(V1762&lt;&gt;"",T1762&lt;&gt;""),IF(V1762=MONAT!$AZ$3,1,0),0)</f>
        <v/>
      </c>
    </row>
    <row r="1763">
      <c r="A1763" s="19" t="n"/>
      <c r="B1763" s="20">
        <f>IF(A1763="","",CHOOSE(WEEKDAY(A1763,2),"Mo","Di","Mi","Do","Fr","Sa","So"))</f>
        <v/>
      </c>
      <c r="C1763" s="20">
        <f>IF(A1763="","",INT((A1763-DATE(YEAR(A1763-WEEKDAY(A1763-1)+4),1,3)+WEEKDAY(DATE(YEAR(A1763-WEEKDAY(A1763-1)+4),1,3))+5)/7))</f>
        <v/>
      </c>
      <c r="D1763" s="21" t="n"/>
      <c r="E1763" s="22" t="n"/>
      <c r="F1763" s="23" t="n"/>
      <c r="G1763" s="23" t="n"/>
      <c r="H1763" s="23" t="n"/>
      <c r="I1763" s="20">
        <f>IF(COUNT(F1763:H1763)=0,"",SUM(F1763:H1763))</f>
        <v/>
      </c>
      <c r="J1763" s="23" t="n"/>
      <c r="K1763" s="23" t="n"/>
      <c r="L1763" s="23" t="n"/>
      <c r="M1763" s="23" t="n"/>
      <c r="N1763" s="23" t="n"/>
      <c r="O1763" s="20">
        <f>IF(OR(I1763="",COUNT(J1763:N1763)=0),"",IF(SUM(J1763:N1763)=I1763,"✓","⚠ "&amp;SUM(J1763:N1763)&amp;" statt "&amp;I1763))</f>
        <v/>
      </c>
      <c r="P1763" s="21" t="n"/>
      <c r="Q1763" s="21" t="n"/>
      <c r="R1763" s="21" t="n"/>
      <c r="S1763" s="24" t="n"/>
      <c r="T1763" s="24" t="n"/>
      <c r="V1763">
        <f>IF(A1763="","",MONTH(A1763))</f>
        <v/>
      </c>
      <c r="W1763">
        <f>N(W1762)+IF(AND(C1763&lt;&gt;"",T1763&lt;&gt;""),IF(C1763=WOCHE!$B$3,1,0),0)</f>
        <v/>
      </c>
      <c r="X1763">
        <f>N(X1762)+IF(AND(V1763&lt;&gt;"",T1763&lt;&gt;""),IF(V1763=MONAT!$AZ$3,1,0),0)</f>
        <v/>
      </c>
    </row>
    <row r="1764">
      <c r="A1764" s="19" t="n"/>
      <c r="B1764" s="20">
        <f>IF(A1764="","",CHOOSE(WEEKDAY(A1764,2),"Mo","Di","Mi","Do","Fr","Sa","So"))</f>
        <v/>
      </c>
      <c r="C1764" s="20">
        <f>IF(A1764="","",INT((A1764-DATE(YEAR(A1764-WEEKDAY(A1764-1)+4),1,3)+WEEKDAY(DATE(YEAR(A1764-WEEKDAY(A1764-1)+4),1,3))+5)/7))</f>
        <v/>
      </c>
      <c r="D1764" s="21" t="n"/>
      <c r="E1764" s="22" t="n"/>
      <c r="F1764" s="23" t="n"/>
      <c r="G1764" s="23" t="n"/>
      <c r="H1764" s="23" t="n"/>
      <c r="I1764" s="20">
        <f>IF(COUNT(F1764:H1764)=0,"",SUM(F1764:H1764))</f>
        <v/>
      </c>
      <c r="J1764" s="23" t="n"/>
      <c r="K1764" s="23" t="n"/>
      <c r="L1764" s="23" t="n"/>
      <c r="M1764" s="23" t="n"/>
      <c r="N1764" s="23" t="n"/>
      <c r="O1764" s="20">
        <f>IF(OR(I1764="",COUNT(J1764:N1764)=0),"",IF(SUM(J1764:N1764)=I1764,"✓","⚠ "&amp;SUM(J1764:N1764)&amp;" statt "&amp;I1764))</f>
        <v/>
      </c>
      <c r="P1764" s="21" t="n"/>
      <c r="Q1764" s="21" t="n"/>
      <c r="R1764" s="21" t="n"/>
      <c r="S1764" s="24" t="n"/>
      <c r="T1764" s="24" t="n"/>
      <c r="V1764">
        <f>IF(A1764="","",MONTH(A1764))</f>
        <v/>
      </c>
      <c r="W1764">
        <f>N(W1763)+IF(AND(C1764&lt;&gt;"",T1764&lt;&gt;""),IF(C1764=WOCHE!$B$3,1,0),0)</f>
        <v/>
      </c>
      <c r="X1764">
        <f>N(X1763)+IF(AND(V1764&lt;&gt;"",T1764&lt;&gt;""),IF(V1764=MONAT!$AZ$3,1,0),0)</f>
        <v/>
      </c>
    </row>
    <row r="1765">
      <c r="A1765" s="19" t="n"/>
      <c r="B1765" s="20">
        <f>IF(A1765="","",CHOOSE(WEEKDAY(A1765,2),"Mo","Di","Mi","Do","Fr","Sa","So"))</f>
        <v/>
      </c>
      <c r="C1765" s="20">
        <f>IF(A1765="","",INT((A1765-DATE(YEAR(A1765-WEEKDAY(A1765-1)+4),1,3)+WEEKDAY(DATE(YEAR(A1765-WEEKDAY(A1765-1)+4),1,3))+5)/7))</f>
        <v/>
      </c>
      <c r="D1765" s="21" t="n"/>
      <c r="E1765" s="22" t="n"/>
      <c r="F1765" s="23" t="n"/>
      <c r="G1765" s="23" t="n"/>
      <c r="H1765" s="23" t="n"/>
      <c r="I1765" s="20">
        <f>IF(COUNT(F1765:H1765)=0,"",SUM(F1765:H1765))</f>
        <v/>
      </c>
      <c r="J1765" s="23" t="n"/>
      <c r="K1765" s="23" t="n"/>
      <c r="L1765" s="23" t="n"/>
      <c r="M1765" s="23" t="n"/>
      <c r="N1765" s="23" t="n"/>
      <c r="O1765" s="20">
        <f>IF(OR(I1765="",COUNT(J1765:N1765)=0),"",IF(SUM(J1765:N1765)=I1765,"✓","⚠ "&amp;SUM(J1765:N1765)&amp;" statt "&amp;I1765))</f>
        <v/>
      </c>
      <c r="P1765" s="21" t="n"/>
      <c r="Q1765" s="21" t="n"/>
      <c r="R1765" s="21" t="n"/>
      <c r="S1765" s="24" t="n"/>
      <c r="T1765" s="24" t="n"/>
      <c r="V1765">
        <f>IF(A1765="","",MONTH(A1765))</f>
        <v/>
      </c>
      <c r="W1765">
        <f>N(W1764)+IF(AND(C1765&lt;&gt;"",T1765&lt;&gt;""),IF(C1765=WOCHE!$B$3,1,0),0)</f>
        <v/>
      </c>
      <c r="X1765">
        <f>N(X1764)+IF(AND(V1765&lt;&gt;"",T1765&lt;&gt;""),IF(V1765=MONAT!$AZ$3,1,0),0)</f>
        <v/>
      </c>
    </row>
    <row r="1766">
      <c r="A1766" s="19" t="n"/>
      <c r="B1766" s="20">
        <f>IF(A1766="","",CHOOSE(WEEKDAY(A1766,2),"Mo","Di","Mi","Do","Fr","Sa","So"))</f>
        <v/>
      </c>
      <c r="C1766" s="20">
        <f>IF(A1766="","",INT((A1766-DATE(YEAR(A1766-WEEKDAY(A1766-1)+4),1,3)+WEEKDAY(DATE(YEAR(A1766-WEEKDAY(A1766-1)+4),1,3))+5)/7))</f>
        <v/>
      </c>
      <c r="D1766" s="21" t="n"/>
      <c r="E1766" s="22" t="n"/>
      <c r="F1766" s="23" t="n"/>
      <c r="G1766" s="23" t="n"/>
      <c r="H1766" s="23" t="n"/>
      <c r="I1766" s="20">
        <f>IF(COUNT(F1766:H1766)=0,"",SUM(F1766:H1766))</f>
        <v/>
      </c>
      <c r="J1766" s="23" t="n"/>
      <c r="K1766" s="23" t="n"/>
      <c r="L1766" s="23" t="n"/>
      <c r="M1766" s="23" t="n"/>
      <c r="N1766" s="23" t="n"/>
      <c r="O1766" s="20">
        <f>IF(OR(I1766="",COUNT(J1766:N1766)=0),"",IF(SUM(J1766:N1766)=I1766,"✓","⚠ "&amp;SUM(J1766:N1766)&amp;" statt "&amp;I1766))</f>
        <v/>
      </c>
      <c r="P1766" s="21" t="n"/>
      <c r="Q1766" s="21" t="n"/>
      <c r="R1766" s="21" t="n"/>
      <c r="S1766" s="24" t="n"/>
      <c r="T1766" s="24" t="n"/>
      <c r="V1766">
        <f>IF(A1766="","",MONTH(A1766))</f>
        <v/>
      </c>
      <c r="W1766">
        <f>N(W1765)+IF(AND(C1766&lt;&gt;"",T1766&lt;&gt;""),IF(C1766=WOCHE!$B$3,1,0),0)</f>
        <v/>
      </c>
      <c r="X1766">
        <f>N(X1765)+IF(AND(V1766&lt;&gt;"",T1766&lt;&gt;""),IF(V1766=MONAT!$AZ$3,1,0),0)</f>
        <v/>
      </c>
    </row>
    <row r="1767">
      <c r="A1767" s="19" t="n"/>
      <c r="B1767" s="20">
        <f>IF(A1767="","",CHOOSE(WEEKDAY(A1767,2),"Mo","Di","Mi","Do","Fr","Sa","So"))</f>
        <v/>
      </c>
      <c r="C1767" s="20">
        <f>IF(A1767="","",INT((A1767-DATE(YEAR(A1767-WEEKDAY(A1767-1)+4),1,3)+WEEKDAY(DATE(YEAR(A1767-WEEKDAY(A1767-1)+4),1,3))+5)/7))</f>
        <v/>
      </c>
      <c r="D1767" s="21" t="n"/>
      <c r="E1767" s="22" t="n"/>
      <c r="F1767" s="23" t="n"/>
      <c r="G1767" s="23" t="n"/>
      <c r="H1767" s="23" t="n"/>
      <c r="I1767" s="20">
        <f>IF(COUNT(F1767:H1767)=0,"",SUM(F1767:H1767))</f>
        <v/>
      </c>
      <c r="J1767" s="23" t="n"/>
      <c r="K1767" s="23" t="n"/>
      <c r="L1767" s="23" t="n"/>
      <c r="M1767" s="23" t="n"/>
      <c r="N1767" s="23" t="n"/>
      <c r="O1767" s="20">
        <f>IF(OR(I1767="",COUNT(J1767:N1767)=0),"",IF(SUM(J1767:N1767)=I1767,"✓","⚠ "&amp;SUM(J1767:N1767)&amp;" statt "&amp;I1767))</f>
        <v/>
      </c>
      <c r="P1767" s="21" t="n"/>
      <c r="Q1767" s="21" t="n"/>
      <c r="R1767" s="21" t="n"/>
      <c r="S1767" s="24" t="n"/>
      <c r="T1767" s="24" t="n"/>
      <c r="V1767">
        <f>IF(A1767="","",MONTH(A1767))</f>
        <v/>
      </c>
      <c r="W1767">
        <f>N(W1766)+IF(AND(C1767&lt;&gt;"",T1767&lt;&gt;""),IF(C1767=WOCHE!$B$3,1,0),0)</f>
        <v/>
      </c>
      <c r="X1767">
        <f>N(X1766)+IF(AND(V1767&lt;&gt;"",T1767&lt;&gt;""),IF(V1767=MONAT!$AZ$3,1,0),0)</f>
        <v/>
      </c>
    </row>
    <row r="1768">
      <c r="A1768" s="19" t="n"/>
      <c r="B1768" s="20">
        <f>IF(A1768="","",CHOOSE(WEEKDAY(A1768,2),"Mo","Di","Mi","Do","Fr","Sa","So"))</f>
        <v/>
      </c>
      <c r="C1768" s="20">
        <f>IF(A1768="","",INT((A1768-DATE(YEAR(A1768-WEEKDAY(A1768-1)+4),1,3)+WEEKDAY(DATE(YEAR(A1768-WEEKDAY(A1768-1)+4),1,3))+5)/7))</f>
        <v/>
      </c>
      <c r="D1768" s="21" t="n"/>
      <c r="E1768" s="22" t="n"/>
      <c r="F1768" s="23" t="n"/>
      <c r="G1768" s="23" t="n"/>
      <c r="H1768" s="23" t="n"/>
      <c r="I1768" s="20">
        <f>IF(COUNT(F1768:H1768)=0,"",SUM(F1768:H1768))</f>
        <v/>
      </c>
      <c r="J1768" s="23" t="n"/>
      <c r="K1768" s="23" t="n"/>
      <c r="L1768" s="23" t="n"/>
      <c r="M1768" s="23" t="n"/>
      <c r="N1768" s="23" t="n"/>
      <c r="O1768" s="20">
        <f>IF(OR(I1768="",COUNT(J1768:N1768)=0),"",IF(SUM(J1768:N1768)=I1768,"✓","⚠ "&amp;SUM(J1768:N1768)&amp;" statt "&amp;I1768))</f>
        <v/>
      </c>
      <c r="P1768" s="21" t="n"/>
      <c r="Q1768" s="21" t="n"/>
      <c r="R1768" s="21" t="n"/>
      <c r="S1768" s="24" t="n"/>
      <c r="T1768" s="24" t="n"/>
      <c r="V1768">
        <f>IF(A1768="","",MONTH(A1768))</f>
        <v/>
      </c>
      <c r="W1768">
        <f>N(W1767)+IF(AND(C1768&lt;&gt;"",T1768&lt;&gt;""),IF(C1768=WOCHE!$B$3,1,0),0)</f>
        <v/>
      </c>
      <c r="X1768">
        <f>N(X1767)+IF(AND(V1768&lt;&gt;"",T1768&lt;&gt;""),IF(V1768=MONAT!$AZ$3,1,0),0)</f>
        <v/>
      </c>
    </row>
    <row r="1769">
      <c r="A1769" s="19" t="n"/>
      <c r="B1769" s="20">
        <f>IF(A1769="","",CHOOSE(WEEKDAY(A1769,2),"Mo","Di","Mi","Do","Fr","Sa","So"))</f>
        <v/>
      </c>
      <c r="C1769" s="20">
        <f>IF(A1769="","",INT((A1769-DATE(YEAR(A1769-WEEKDAY(A1769-1)+4),1,3)+WEEKDAY(DATE(YEAR(A1769-WEEKDAY(A1769-1)+4),1,3))+5)/7))</f>
        <v/>
      </c>
      <c r="D1769" s="21" t="n"/>
      <c r="E1769" s="22" t="n"/>
      <c r="F1769" s="23" t="n"/>
      <c r="G1769" s="23" t="n"/>
      <c r="H1769" s="23" t="n"/>
      <c r="I1769" s="20">
        <f>IF(COUNT(F1769:H1769)=0,"",SUM(F1769:H1769))</f>
        <v/>
      </c>
      <c r="J1769" s="23" t="n"/>
      <c r="K1769" s="23" t="n"/>
      <c r="L1769" s="23" t="n"/>
      <c r="M1769" s="23" t="n"/>
      <c r="N1769" s="23" t="n"/>
      <c r="O1769" s="20">
        <f>IF(OR(I1769="",COUNT(J1769:N1769)=0),"",IF(SUM(J1769:N1769)=I1769,"✓","⚠ "&amp;SUM(J1769:N1769)&amp;" statt "&amp;I1769))</f>
        <v/>
      </c>
      <c r="P1769" s="21" t="n"/>
      <c r="Q1769" s="21" t="n"/>
      <c r="R1769" s="21" t="n"/>
      <c r="S1769" s="24" t="n"/>
      <c r="T1769" s="24" t="n"/>
      <c r="V1769">
        <f>IF(A1769="","",MONTH(A1769))</f>
        <v/>
      </c>
      <c r="W1769">
        <f>N(W1768)+IF(AND(C1769&lt;&gt;"",T1769&lt;&gt;""),IF(C1769=WOCHE!$B$3,1,0),0)</f>
        <v/>
      </c>
      <c r="X1769">
        <f>N(X1768)+IF(AND(V1769&lt;&gt;"",T1769&lt;&gt;""),IF(V1769=MONAT!$AZ$3,1,0),0)</f>
        <v/>
      </c>
    </row>
    <row r="1770">
      <c r="A1770" s="19" t="n"/>
      <c r="B1770" s="20">
        <f>IF(A1770="","",CHOOSE(WEEKDAY(A1770,2),"Mo","Di","Mi","Do","Fr","Sa","So"))</f>
        <v/>
      </c>
      <c r="C1770" s="20">
        <f>IF(A1770="","",INT((A1770-DATE(YEAR(A1770-WEEKDAY(A1770-1)+4),1,3)+WEEKDAY(DATE(YEAR(A1770-WEEKDAY(A1770-1)+4),1,3))+5)/7))</f>
        <v/>
      </c>
      <c r="D1770" s="21" t="n"/>
      <c r="E1770" s="22" t="n"/>
      <c r="F1770" s="23" t="n"/>
      <c r="G1770" s="23" t="n"/>
      <c r="H1770" s="23" t="n"/>
      <c r="I1770" s="20">
        <f>IF(COUNT(F1770:H1770)=0,"",SUM(F1770:H1770))</f>
        <v/>
      </c>
      <c r="J1770" s="23" t="n"/>
      <c r="K1770" s="23" t="n"/>
      <c r="L1770" s="23" t="n"/>
      <c r="M1770" s="23" t="n"/>
      <c r="N1770" s="23" t="n"/>
      <c r="O1770" s="20">
        <f>IF(OR(I1770="",COUNT(J1770:N1770)=0),"",IF(SUM(J1770:N1770)=I1770,"✓","⚠ "&amp;SUM(J1770:N1770)&amp;" statt "&amp;I1770))</f>
        <v/>
      </c>
      <c r="P1770" s="21" t="n"/>
      <c r="Q1770" s="21" t="n"/>
      <c r="R1770" s="21" t="n"/>
      <c r="S1770" s="24" t="n"/>
      <c r="T1770" s="24" t="n"/>
      <c r="V1770">
        <f>IF(A1770="","",MONTH(A1770))</f>
        <v/>
      </c>
      <c r="W1770">
        <f>N(W1769)+IF(AND(C1770&lt;&gt;"",T1770&lt;&gt;""),IF(C1770=WOCHE!$B$3,1,0),0)</f>
        <v/>
      </c>
      <c r="X1770">
        <f>N(X1769)+IF(AND(V1770&lt;&gt;"",T1770&lt;&gt;""),IF(V1770=MONAT!$AZ$3,1,0),0)</f>
        <v/>
      </c>
    </row>
    <row r="1771">
      <c r="A1771" s="19" t="n"/>
      <c r="B1771" s="20">
        <f>IF(A1771="","",CHOOSE(WEEKDAY(A1771,2),"Mo","Di","Mi","Do","Fr","Sa","So"))</f>
        <v/>
      </c>
      <c r="C1771" s="20">
        <f>IF(A1771="","",INT((A1771-DATE(YEAR(A1771-WEEKDAY(A1771-1)+4),1,3)+WEEKDAY(DATE(YEAR(A1771-WEEKDAY(A1771-1)+4),1,3))+5)/7))</f>
        <v/>
      </c>
      <c r="D1771" s="21" t="n"/>
      <c r="E1771" s="22" t="n"/>
      <c r="F1771" s="23" t="n"/>
      <c r="G1771" s="23" t="n"/>
      <c r="H1771" s="23" t="n"/>
      <c r="I1771" s="20">
        <f>IF(COUNT(F1771:H1771)=0,"",SUM(F1771:H1771))</f>
        <v/>
      </c>
      <c r="J1771" s="23" t="n"/>
      <c r="K1771" s="23" t="n"/>
      <c r="L1771" s="23" t="n"/>
      <c r="M1771" s="23" t="n"/>
      <c r="N1771" s="23" t="n"/>
      <c r="O1771" s="20">
        <f>IF(OR(I1771="",COUNT(J1771:N1771)=0),"",IF(SUM(J1771:N1771)=I1771,"✓","⚠ "&amp;SUM(J1771:N1771)&amp;" statt "&amp;I1771))</f>
        <v/>
      </c>
      <c r="P1771" s="21" t="n"/>
      <c r="Q1771" s="21" t="n"/>
      <c r="R1771" s="21" t="n"/>
      <c r="S1771" s="24" t="n"/>
      <c r="T1771" s="24" t="n"/>
      <c r="V1771">
        <f>IF(A1771="","",MONTH(A1771))</f>
        <v/>
      </c>
      <c r="W1771">
        <f>N(W1770)+IF(AND(C1771&lt;&gt;"",T1771&lt;&gt;""),IF(C1771=WOCHE!$B$3,1,0),0)</f>
        <v/>
      </c>
      <c r="X1771">
        <f>N(X1770)+IF(AND(V1771&lt;&gt;"",T1771&lt;&gt;""),IF(V1771=MONAT!$AZ$3,1,0),0)</f>
        <v/>
      </c>
    </row>
    <row r="1772">
      <c r="A1772" s="19" t="n"/>
      <c r="B1772" s="20">
        <f>IF(A1772="","",CHOOSE(WEEKDAY(A1772,2),"Mo","Di","Mi","Do","Fr","Sa","So"))</f>
        <v/>
      </c>
      <c r="C1772" s="20">
        <f>IF(A1772="","",INT((A1772-DATE(YEAR(A1772-WEEKDAY(A1772-1)+4),1,3)+WEEKDAY(DATE(YEAR(A1772-WEEKDAY(A1772-1)+4),1,3))+5)/7))</f>
        <v/>
      </c>
      <c r="D1772" s="21" t="n"/>
      <c r="E1772" s="22" t="n"/>
      <c r="F1772" s="23" t="n"/>
      <c r="G1772" s="23" t="n"/>
      <c r="H1772" s="23" t="n"/>
      <c r="I1772" s="20">
        <f>IF(COUNT(F1772:H1772)=0,"",SUM(F1772:H1772))</f>
        <v/>
      </c>
      <c r="J1772" s="23" t="n"/>
      <c r="K1772" s="23" t="n"/>
      <c r="L1772" s="23" t="n"/>
      <c r="M1772" s="23" t="n"/>
      <c r="N1772" s="23" t="n"/>
      <c r="O1772" s="20">
        <f>IF(OR(I1772="",COUNT(J1772:N1772)=0),"",IF(SUM(J1772:N1772)=I1772,"✓","⚠ "&amp;SUM(J1772:N1772)&amp;" statt "&amp;I1772))</f>
        <v/>
      </c>
      <c r="P1772" s="21" t="n"/>
      <c r="Q1772" s="21" t="n"/>
      <c r="R1772" s="21" t="n"/>
      <c r="S1772" s="24" t="n"/>
      <c r="T1772" s="24" t="n"/>
      <c r="V1772">
        <f>IF(A1772="","",MONTH(A1772))</f>
        <v/>
      </c>
      <c r="W1772">
        <f>N(W1771)+IF(AND(C1772&lt;&gt;"",T1772&lt;&gt;""),IF(C1772=WOCHE!$B$3,1,0),0)</f>
        <v/>
      </c>
      <c r="X1772">
        <f>N(X1771)+IF(AND(V1772&lt;&gt;"",T1772&lt;&gt;""),IF(V1772=MONAT!$AZ$3,1,0),0)</f>
        <v/>
      </c>
    </row>
    <row r="1773">
      <c r="A1773" s="19" t="n"/>
      <c r="B1773" s="20">
        <f>IF(A1773="","",CHOOSE(WEEKDAY(A1773,2),"Mo","Di","Mi","Do","Fr","Sa","So"))</f>
        <v/>
      </c>
      <c r="C1773" s="20">
        <f>IF(A1773="","",INT((A1773-DATE(YEAR(A1773-WEEKDAY(A1773-1)+4),1,3)+WEEKDAY(DATE(YEAR(A1773-WEEKDAY(A1773-1)+4),1,3))+5)/7))</f>
        <v/>
      </c>
      <c r="D1773" s="21" t="n"/>
      <c r="E1773" s="22" t="n"/>
      <c r="F1773" s="23" t="n"/>
      <c r="G1773" s="23" t="n"/>
      <c r="H1773" s="23" t="n"/>
      <c r="I1773" s="20">
        <f>IF(COUNT(F1773:H1773)=0,"",SUM(F1773:H1773))</f>
        <v/>
      </c>
      <c r="J1773" s="23" t="n"/>
      <c r="K1773" s="23" t="n"/>
      <c r="L1773" s="23" t="n"/>
      <c r="M1773" s="23" t="n"/>
      <c r="N1773" s="23" t="n"/>
      <c r="O1773" s="20">
        <f>IF(OR(I1773="",COUNT(J1773:N1773)=0),"",IF(SUM(J1773:N1773)=I1773,"✓","⚠ "&amp;SUM(J1773:N1773)&amp;" statt "&amp;I1773))</f>
        <v/>
      </c>
      <c r="P1773" s="21" t="n"/>
      <c r="Q1773" s="21" t="n"/>
      <c r="R1773" s="21" t="n"/>
      <c r="S1773" s="24" t="n"/>
      <c r="T1773" s="24" t="n"/>
      <c r="V1773">
        <f>IF(A1773="","",MONTH(A1773))</f>
        <v/>
      </c>
      <c r="W1773">
        <f>N(W1772)+IF(AND(C1773&lt;&gt;"",T1773&lt;&gt;""),IF(C1773=WOCHE!$B$3,1,0),0)</f>
        <v/>
      </c>
      <c r="X1773">
        <f>N(X1772)+IF(AND(V1773&lt;&gt;"",T1773&lt;&gt;""),IF(V1773=MONAT!$AZ$3,1,0),0)</f>
        <v/>
      </c>
    </row>
    <row r="1774">
      <c r="A1774" s="19" t="n"/>
      <c r="B1774" s="20">
        <f>IF(A1774="","",CHOOSE(WEEKDAY(A1774,2),"Mo","Di","Mi","Do","Fr","Sa","So"))</f>
        <v/>
      </c>
      <c r="C1774" s="20">
        <f>IF(A1774="","",INT((A1774-DATE(YEAR(A1774-WEEKDAY(A1774-1)+4),1,3)+WEEKDAY(DATE(YEAR(A1774-WEEKDAY(A1774-1)+4),1,3))+5)/7))</f>
        <v/>
      </c>
      <c r="D1774" s="21" t="n"/>
      <c r="E1774" s="22" t="n"/>
      <c r="F1774" s="23" t="n"/>
      <c r="G1774" s="23" t="n"/>
      <c r="H1774" s="23" t="n"/>
      <c r="I1774" s="20">
        <f>IF(COUNT(F1774:H1774)=0,"",SUM(F1774:H1774))</f>
        <v/>
      </c>
      <c r="J1774" s="23" t="n"/>
      <c r="K1774" s="23" t="n"/>
      <c r="L1774" s="23" t="n"/>
      <c r="M1774" s="23" t="n"/>
      <c r="N1774" s="23" t="n"/>
      <c r="O1774" s="20">
        <f>IF(OR(I1774="",COUNT(J1774:N1774)=0),"",IF(SUM(J1774:N1774)=I1774,"✓","⚠ "&amp;SUM(J1774:N1774)&amp;" statt "&amp;I1774))</f>
        <v/>
      </c>
      <c r="P1774" s="21" t="n"/>
      <c r="Q1774" s="21" t="n"/>
      <c r="R1774" s="21" t="n"/>
      <c r="S1774" s="24" t="n"/>
      <c r="T1774" s="24" t="n"/>
      <c r="V1774">
        <f>IF(A1774="","",MONTH(A1774))</f>
        <v/>
      </c>
      <c r="W1774">
        <f>N(W1773)+IF(AND(C1774&lt;&gt;"",T1774&lt;&gt;""),IF(C1774=WOCHE!$B$3,1,0),0)</f>
        <v/>
      </c>
      <c r="X1774">
        <f>N(X1773)+IF(AND(V1774&lt;&gt;"",T1774&lt;&gt;""),IF(V1774=MONAT!$AZ$3,1,0),0)</f>
        <v/>
      </c>
    </row>
    <row r="1775">
      <c r="A1775" s="19" t="n"/>
      <c r="B1775" s="20">
        <f>IF(A1775="","",CHOOSE(WEEKDAY(A1775,2),"Mo","Di","Mi","Do","Fr","Sa","So"))</f>
        <v/>
      </c>
      <c r="C1775" s="20">
        <f>IF(A1775="","",INT((A1775-DATE(YEAR(A1775-WEEKDAY(A1775-1)+4),1,3)+WEEKDAY(DATE(YEAR(A1775-WEEKDAY(A1775-1)+4),1,3))+5)/7))</f>
        <v/>
      </c>
      <c r="D1775" s="21" t="n"/>
      <c r="E1775" s="22" t="n"/>
      <c r="F1775" s="23" t="n"/>
      <c r="G1775" s="23" t="n"/>
      <c r="H1775" s="23" t="n"/>
      <c r="I1775" s="20">
        <f>IF(COUNT(F1775:H1775)=0,"",SUM(F1775:H1775))</f>
        <v/>
      </c>
      <c r="J1775" s="23" t="n"/>
      <c r="K1775" s="23" t="n"/>
      <c r="L1775" s="23" t="n"/>
      <c r="M1775" s="23" t="n"/>
      <c r="N1775" s="23" t="n"/>
      <c r="O1775" s="20">
        <f>IF(OR(I1775="",COUNT(J1775:N1775)=0),"",IF(SUM(J1775:N1775)=I1775,"✓","⚠ "&amp;SUM(J1775:N1775)&amp;" statt "&amp;I1775))</f>
        <v/>
      </c>
      <c r="P1775" s="21" t="n"/>
      <c r="Q1775" s="21" t="n"/>
      <c r="R1775" s="21" t="n"/>
      <c r="S1775" s="24" t="n"/>
      <c r="T1775" s="24" t="n"/>
      <c r="V1775">
        <f>IF(A1775="","",MONTH(A1775))</f>
        <v/>
      </c>
      <c r="W1775">
        <f>N(W1774)+IF(AND(C1775&lt;&gt;"",T1775&lt;&gt;""),IF(C1775=WOCHE!$B$3,1,0),0)</f>
        <v/>
      </c>
      <c r="X1775">
        <f>N(X1774)+IF(AND(V1775&lt;&gt;"",T1775&lt;&gt;""),IF(V1775=MONAT!$AZ$3,1,0),0)</f>
        <v/>
      </c>
    </row>
    <row r="1776">
      <c r="A1776" s="19" t="n"/>
      <c r="B1776" s="20">
        <f>IF(A1776="","",CHOOSE(WEEKDAY(A1776,2),"Mo","Di","Mi","Do","Fr","Sa","So"))</f>
        <v/>
      </c>
      <c r="C1776" s="20">
        <f>IF(A1776="","",INT((A1776-DATE(YEAR(A1776-WEEKDAY(A1776-1)+4),1,3)+WEEKDAY(DATE(YEAR(A1776-WEEKDAY(A1776-1)+4),1,3))+5)/7))</f>
        <v/>
      </c>
      <c r="D1776" s="21" t="n"/>
      <c r="E1776" s="22" t="n"/>
      <c r="F1776" s="23" t="n"/>
      <c r="G1776" s="23" t="n"/>
      <c r="H1776" s="23" t="n"/>
      <c r="I1776" s="20">
        <f>IF(COUNT(F1776:H1776)=0,"",SUM(F1776:H1776))</f>
        <v/>
      </c>
      <c r="J1776" s="23" t="n"/>
      <c r="K1776" s="23" t="n"/>
      <c r="L1776" s="23" t="n"/>
      <c r="M1776" s="23" t="n"/>
      <c r="N1776" s="23" t="n"/>
      <c r="O1776" s="20">
        <f>IF(OR(I1776="",COUNT(J1776:N1776)=0),"",IF(SUM(J1776:N1776)=I1776,"✓","⚠ "&amp;SUM(J1776:N1776)&amp;" statt "&amp;I1776))</f>
        <v/>
      </c>
      <c r="P1776" s="21" t="n"/>
      <c r="Q1776" s="21" t="n"/>
      <c r="R1776" s="21" t="n"/>
      <c r="S1776" s="24" t="n"/>
      <c r="T1776" s="24" t="n"/>
      <c r="V1776">
        <f>IF(A1776="","",MONTH(A1776))</f>
        <v/>
      </c>
      <c r="W1776">
        <f>N(W1775)+IF(AND(C1776&lt;&gt;"",T1776&lt;&gt;""),IF(C1776=WOCHE!$B$3,1,0),0)</f>
        <v/>
      </c>
      <c r="X1776">
        <f>N(X1775)+IF(AND(V1776&lt;&gt;"",T1776&lt;&gt;""),IF(V1776=MONAT!$AZ$3,1,0),0)</f>
        <v/>
      </c>
    </row>
    <row r="1777">
      <c r="A1777" s="19" t="n"/>
      <c r="B1777" s="20">
        <f>IF(A1777="","",CHOOSE(WEEKDAY(A1777,2),"Mo","Di","Mi","Do","Fr","Sa","So"))</f>
        <v/>
      </c>
      <c r="C1777" s="20">
        <f>IF(A1777="","",INT((A1777-DATE(YEAR(A1777-WEEKDAY(A1777-1)+4),1,3)+WEEKDAY(DATE(YEAR(A1777-WEEKDAY(A1777-1)+4),1,3))+5)/7))</f>
        <v/>
      </c>
      <c r="D1777" s="21" t="n"/>
      <c r="E1777" s="22" t="n"/>
      <c r="F1777" s="23" t="n"/>
      <c r="G1777" s="23" t="n"/>
      <c r="H1777" s="23" t="n"/>
      <c r="I1777" s="20">
        <f>IF(COUNT(F1777:H1777)=0,"",SUM(F1777:H1777))</f>
        <v/>
      </c>
      <c r="J1777" s="23" t="n"/>
      <c r="K1777" s="23" t="n"/>
      <c r="L1777" s="23" t="n"/>
      <c r="M1777" s="23" t="n"/>
      <c r="N1777" s="23" t="n"/>
      <c r="O1777" s="20">
        <f>IF(OR(I1777="",COUNT(J1777:N1777)=0),"",IF(SUM(J1777:N1777)=I1777,"✓","⚠ "&amp;SUM(J1777:N1777)&amp;" statt "&amp;I1777))</f>
        <v/>
      </c>
      <c r="P1777" s="21" t="n"/>
      <c r="Q1777" s="21" t="n"/>
      <c r="R1777" s="21" t="n"/>
      <c r="S1777" s="24" t="n"/>
      <c r="T1777" s="24" t="n"/>
      <c r="V1777">
        <f>IF(A1777="","",MONTH(A1777))</f>
        <v/>
      </c>
      <c r="W1777">
        <f>N(W1776)+IF(AND(C1777&lt;&gt;"",T1777&lt;&gt;""),IF(C1777=WOCHE!$B$3,1,0),0)</f>
        <v/>
      </c>
      <c r="X1777">
        <f>N(X1776)+IF(AND(V1777&lt;&gt;"",T1777&lt;&gt;""),IF(V1777=MONAT!$AZ$3,1,0),0)</f>
        <v/>
      </c>
    </row>
    <row r="1778">
      <c r="A1778" s="19" t="n"/>
      <c r="B1778" s="20">
        <f>IF(A1778="","",CHOOSE(WEEKDAY(A1778,2),"Mo","Di","Mi","Do","Fr","Sa","So"))</f>
        <v/>
      </c>
      <c r="C1778" s="20">
        <f>IF(A1778="","",INT((A1778-DATE(YEAR(A1778-WEEKDAY(A1778-1)+4),1,3)+WEEKDAY(DATE(YEAR(A1778-WEEKDAY(A1778-1)+4),1,3))+5)/7))</f>
        <v/>
      </c>
      <c r="D1778" s="21" t="n"/>
      <c r="E1778" s="22" t="n"/>
      <c r="F1778" s="23" t="n"/>
      <c r="G1778" s="23" t="n"/>
      <c r="H1778" s="23" t="n"/>
      <c r="I1778" s="20">
        <f>IF(COUNT(F1778:H1778)=0,"",SUM(F1778:H1778))</f>
        <v/>
      </c>
      <c r="J1778" s="23" t="n"/>
      <c r="K1778" s="23" t="n"/>
      <c r="L1778" s="23" t="n"/>
      <c r="M1778" s="23" t="n"/>
      <c r="N1778" s="23" t="n"/>
      <c r="O1778" s="20">
        <f>IF(OR(I1778="",COUNT(J1778:N1778)=0),"",IF(SUM(J1778:N1778)=I1778,"✓","⚠ "&amp;SUM(J1778:N1778)&amp;" statt "&amp;I1778))</f>
        <v/>
      </c>
      <c r="P1778" s="21" t="n"/>
      <c r="Q1778" s="21" t="n"/>
      <c r="R1778" s="21" t="n"/>
      <c r="S1778" s="24" t="n"/>
      <c r="T1778" s="24" t="n"/>
      <c r="V1778">
        <f>IF(A1778="","",MONTH(A1778))</f>
        <v/>
      </c>
      <c r="W1778">
        <f>N(W1777)+IF(AND(C1778&lt;&gt;"",T1778&lt;&gt;""),IF(C1778=WOCHE!$B$3,1,0),0)</f>
        <v/>
      </c>
      <c r="X1778">
        <f>N(X1777)+IF(AND(V1778&lt;&gt;"",T1778&lt;&gt;""),IF(V1778=MONAT!$AZ$3,1,0),0)</f>
        <v/>
      </c>
    </row>
    <row r="1779">
      <c r="A1779" s="19" t="n"/>
      <c r="B1779" s="20">
        <f>IF(A1779="","",CHOOSE(WEEKDAY(A1779,2),"Mo","Di","Mi","Do","Fr","Sa","So"))</f>
        <v/>
      </c>
      <c r="C1779" s="20">
        <f>IF(A1779="","",INT((A1779-DATE(YEAR(A1779-WEEKDAY(A1779-1)+4),1,3)+WEEKDAY(DATE(YEAR(A1779-WEEKDAY(A1779-1)+4),1,3))+5)/7))</f>
        <v/>
      </c>
      <c r="D1779" s="21" t="n"/>
      <c r="E1779" s="22" t="n"/>
      <c r="F1779" s="23" t="n"/>
      <c r="G1779" s="23" t="n"/>
      <c r="H1779" s="23" t="n"/>
      <c r="I1779" s="20">
        <f>IF(COUNT(F1779:H1779)=0,"",SUM(F1779:H1779))</f>
        <v/>
      </c>
      <c r="J1779" s="23" t="n"/>
      <c r="K1779" s="23" t="n"/>
      <c r="L1779" s="23" t="n"/>
      <c r="M1779" s="23" t="n"/>
      <c r="N1779" s="23" t="n"/>
      <c r="O1779" s="20">
        <f>IF(OR(I1779="",COUNT(J1779:N1779)=0),"",IF(SUM(J1779:N1779)=I1779,"✓","⚠ "&amp;SUM(J1779:N1779)&amp;" statt "&amp;I1779))</f>
        <v/>
      </c>
      <c r="P1779" s="21" t="n"/>
      <c r="Q1779" s="21" t="n"/>
      <c r="R1779" s="21" t="n"/>
      <c r="S1779" s="24" t="n"/>
      <c r="T1779" s="24" t="n"/>
      <c r="V1779">
        <f>IF(A1779="","",MONTH(A1779))</f>
        <v/>
      </c>
      <c r="W1779">
        <f>N(W1778)+IF(AND(C1779&lt;&gt;"",T1779&lt;&gt;""),IF(C1779=WOCHE!$B$3,1,0),0)</f>
        <v/>
      </c>
      <c r="X1779">
        <f>N(X1778)+IF(AND(V1779&lt;&gt;"",T1779&lt;&gt;""),IF(V1779=MONAT!$AZ$3,1,0),0)</f>
        <v/>
      </c>
    </row>
    <row r="1780">
      <c r="A1780" s="19" t="n"/>
      <c r="B1780" s="20">
        <f>IF(A1780="","",CHOOSE(WEEKDAY(A1780,2),"Mo","Di","Mi","Do","Fr","Sa","So"))</f>
        <v/>
      </c>
      <c r="C1780" s="20">
        <f>IF(A1780="","",INT((A1780-DATE(YEAR(A1780-WEEKDAY(A1780-1)+4),1,3)+WEEKDAY(DATE(YEAR(A1780-WEEKDAY(A1780-1)+4),1,3))+5)/7))</f>
        <v/>
      </c>
      <c r="D1780" s="21" t="n"/>
      <c r="E1780" s="22" t="n"/>
      <c r="F1780" s="23" t="n"/>
      <c r="G1780" s="23" t="n"/>
      <c r="H1780" s="23" t="n"/>
      <c r="I1780" s="20">
        <f>IF(COUNT(F1780:H1780)=0,"",SUM(F1780:H1780))</f>
        <v/>
      </c>
      <c r="J1780" s="23" t="n"/>
      <c r="K1780" s="23" t="n"/>
      <c r="L1780" s="23" t="n"/>
      <c r="M1780" s="23" t="n"/>
      <c r="N1780" s="23" t="n"/>
      <c r="O1780" s="20">
        <f>IF(OR(I1780="",COUNT(J1780:N1780)=0),"",IF(SUM(J1780:N1780)=I1780,"✓","⚠ "&amp;SUM(J1780:N1780)&amp;" statt "&amp;I1780))</f>
        <v/>
      </c>
      <c r="P1780" s="21" t="n"/>
      <c r="Q1780" s="21" t="n"/>
      <c r="R1780" s="21" t="n"/>
      <c r="S1780" s="24" t="n"/>
      <c r="T1780" s="24" t="n"/>
      <c r="V1780">
        <f>IF(A1780="","",MONTH(A1780))</f>
        <v/>
      </c>
      <c r="W1780">
        <f>N(W1779)+IF(AND(C1780&lt;&gt;"",T1780&lt;&gt;""),IF(C1780=WOCHE!$B$3,1,0),0)</f>
        <v/>
      </c>
      <c r="X1780">
        <f>N(X1779)+IF(AND(V1780&lt;&gt;"",T1780&lt;&gt;""),IF(V1780=MONAT!$AZ$3,1,0),0)</f>
        <v/>
      </c>
    </row>
    <row r="1781">
      <c r="A1781" s="19" t="n"/>
      <c r="B1781" s="20">
        <f>IF(A1781="","",CHOOSE(WEEKDAY(A1781,2),"Mo","Di","Mi","Do","Fr","Sa","So"))</f>
        <v/>
      </c>
      <c r="C1781" s="20">
        <f>IF(A1781="","",INT((A1781-DATE(YEAR(A1781-WEEKDAY(A1781-1)+4),1,3)+WEEKDAY(DATE(YEAR(A1781-WEEKDAY(A1781-1)+4),1,3))+5)/7))</f>
        <v/>
      </c>
      <c r="D1781" s="21" t="n"/>
      <c r="E1781" s="22" t="n"/>
      <c r="F1781" s="23" t="n"/>
      <c r="G1781" s="23" t="n"/>
      <c r="H1781" s="23" t="n"/>
      <c r="I1781" s="20">
        <f>IF(COUNT(F1781:H1781)=0,"",SUM(F1781:H1781))</f>
        <v/>
      </c>
      <c r="J1781" s="23" t="n"/>
      <c r="K1781" s="23" t="n"/>
      <c r="L1781" s="23" t="n"/>
      <c r="M1781" s="23" t="n"/>
      <c r="N1781" s="23" t="n"/>
      <c r="O1781" s="20">
        <f>IF(OR(I1781="",COUNT(J1781:N1781)=0),"",IF(SUM(J1781:N1781)=I1781,"✓","⚠ "&amp;SUM(J1781:N1781)&amp;" statt "&amp;I1781))</f>
        <v/>
      </c>
      <c r="P1781" s="21" t="n"/>
      <c r="Q1781" s="21" t="n"/>
      <c r="R1781" s="21" t="n"/>
      <c r="S1781" s="24" t="n"/>
      <c r="T1781" s="24" t="n"/>
      <c r="V1781">
        <f>IF(A1781="","",MONTH(A1781))</f>
        <v/>
      </c>
      <c r="W1781">
        <f>N(W1780)+IF(AND(C1781&lt;&gt;"",T1781&lt;&gt;""),IF(C1781=WOCHE!$B$3,1,0),0)</f>
        <v/>
      </c>
      <c r="X1781">
        <f>N(X1780)+IF(AND(V1781&lt;&gt;"",T1781&lt;&gt;""),IF(V1781=MONAT!$AZ$3,1,0),0)</f>
        <v/>
      </c>
    </row>
    <row r="1782">
      <c r="A1782" s="19" t="n"/>
      <c r="B1782" s="20">
        <f>IF(A1782="","",CHOOSE(WEEKDAY(A1782,2),"Mo","Di","Mi","Do","Fr","Sa","So"))</f>
        <v/>
      </c>
      <c r="C1782" s="20">
        <f>IF(A1782="","",INT((A1782-DATE(YEAR(A1782-WEEKDAY(A1782-1)+4),1,3)+WEEKDAY(DATE(YEAR(A1782-WEEKDAY(A1782-1)+4),1,3))+5)/7))</f>
        <v/>
      </c>
      <c r="D1782" s="21" t="n"/>
      <c r="E1782" s="22" t="n"/>
      <c r="F1782" s="23" t="n"/>
      <c r="G1782" s="23" t="n"/>
      <c r="H1782" s="23" t="n"/>
      <c r="I1782" s="20">
        <f>IF(COUNT(F1782:H1782)=0,"",SUM(F1782:H1782))</f>
        <v/>
      </c>
      <c r="J1782" s="23" t="n"/>
      <c r="K1782" s="23" t="n"/>
      <c r="L1782" s="23" t="n"/>
      <c r="M1782" s="23" t="n"/>
      <c r="N1782" s="23" t="n"/>
      <c r="O1782" s="20">
        <f>IF(OR(I1782="",COUNT(J1782:N1782)=0),"",IF(SUM(J1782:N1782)=I1782,"✓","⚠ "&amp;SUM(J1782:N1782)&amp;" statt "&amp;I1782))</f>
        <v/>
      </c>
      <c r="P1782" s="21" t="n"/>
      <c r="Q1782" s="21" t="n"/>
      <c r="R1782" s="21" t="n"/>
      <c r="S1782" s="24" t="n"/>
      <c r="T1782" s="24" t="n"/>
      <c r="V1782">
        <f>IF(A1782="","",MONTH(A1782))</f>
        <v/>
      </c>
      <c r="W1782">
        <f>N(W1781)+IF(AND(C1782&lt;&gt;"",T1782&lt;&gt;""),IF(C1782=WOCHE!$B$3,1,0),0)</f>
        <v/>
      </c>
      <c r="X1782">
        <f>N(X1781)+IF(AND(V1782&lt;&gt;"",T1782&lt;&gt;""),IF(V1782=MONAT!$AZ$3,1,0),0)</f>
        <v/>
      </c>
    </row>
    <row r="1783">
      <c r="A1783" s="19" t="n"/>
      <c r="B1783" s="20">
        <f>IF(A1783="","",CHOOSE(WEEKDAY(A1783,2),"Mo","Di","Mi","Do","Fr","Sa","So"))</f>
        <v/>
      </c>
      <c r="C1783" s="20">
        <f>IF(A1783="","",INT((A1783-DATE(YEAR(A1783-WEEKDAY(A1783-1)+4),1,3)+WEEKDAY(DATE(YEAR(A1783-WEEKDAY(A1783-1)+4),1,3))+5)/7))</f>
        <v/>
      </c>
      <c r="D1783" s="21" t="n"/>
      <c r="E1783" s="22" t="n"/>
      <c r="F1783" s="23" t="n"/>
      <c r="G1783" s="23" t="n"/>
      <c r="H1783" s="23" t="n"/>
      <c r="I1783" s="20">
        <f>IF(COUNT(F1783:H1783)=0,"",SUM(F1783:H1783))</f>
        <v/>
      </c>
      <c r="J1783" s="23" t="n"/>
      <c r="K1783" s="23" t="n"/>
      <c r="L1783" s="23" t="n"/>
      <c r="M1783" s="23" t="n"/>
      <c r="N1783" s="23" t="n"/>
      <c r="O1783" s="20">
        <f>IF(OR(I1783="",COUNT(J1783:N1783)=0),"",IF(SUM(J1783:N1783)=I1783,"✓","⚠ "&amp;SUM(J1783:N1783)&amp;" statt "&amp;I1783))</f>
        <v/>
      </c>
      <c r="P1783" s="21" t="n"/>
      <c r="Q1783" s="21" t="n"/>
      <c r="R1783" s="21" t="n"/>
      <c r="S1783" s="24" t="n"/>
      <c r="T1783" s="24" t="n"/>
      <c r="V1783">
        <f>IF(A1783="","",MONTH(A1783))</f>
        <v/>
      </c>
      <c r="W1783">
        <f>N(W1782)+IF(AND(C1783&lt;&gt;"",T1783&lt;&gt;""),IF(C1783=WOCHE!$B$3,1,0),0)</f>
        <v/>
      </c>
      <c r="X1783">
        <f>N(X1782)+IF(AND(V1783&lt;&gt;"",T1783&lt;&gt;""),IF(V1783=MONAT!$AZ$3,1,0),0)</f>
        <v/>
      </c>
    </row>
    <row r="1784">
      <c r="A1784" s="19" t="n"/>
      <c r="B1784" s="20">
        <f>IF(A1784="","",CHOOSE(WEEKDAY(A1784,2),"Mo","Di","Mi","Do","Fr","Sa","So"))</f>
        <v/>
      </c>
      <c r="C1784" s="20">
        <f>IF(A1784="","",INT((A1784-DATE(YEAR(A1784-WEEKDAY(A1784-1)+4),1,3)+WEEKDAY(DATE(YEAR(A1784-WEEKDAY(A1784-1)+4),1,3))+5)/7))</f>
        <v/>
      </c>
      <c r="D1784" s="21" t="n"/>
      <c r="E1784" s="22" t="n"/>
      <c r="F1784" s="23" t="n"/>
      <c r="G1784" s="23" t="n"/>
      <c r="H1784" s="23" t="n"/>
      <c r="I1784" s="20">
        <f>IF(COUNT(F1784:H1784)=0,"",SUM(F1784:H1784))</f>
        <v/>
      </c>
      <c r="J1784" s="23" t="n"/>
      <c r="K1784" s="23" t="n"/>
      <c r="L1784" s="23" t="n"/>
      <c r="M1784" s="23" t="n"/>
      <c r="N1784" s="23" t="n"/>
      <c r="O1784" s="20">
        <f>IF(OR(I1784="",COUNT(J1784:N1784)=0),"",IF(SUM(J1784:N1784)=I1784,"✓","⚠ "&amp;SUM(J1784:N1784)&amp;" statt "&amp;I1784))</f>
        <v/>
      </c>
      <c r="P1784" s="21" t="n"/>
      <c r="Q1784" s="21" t="n"/>
      <c r="R1784" s="21" t="n"/>
      <c r="S1784" s="24" t="n"/>
      <c r="T1784" s="24" t="n"/>
      <c r="V1784">
        <f>IF(A1784="","",MONTH(A1784))</f>
        <v/>
      </c>
      <c r="W1784">
        <f>N(W1783)+IF(AND(C1784&lt;&gt;"",T1784&lt;&gt;""),IF(C1784=WOCHE!$B$3,1,0),0)</f>
        <v/>
      </c>
      <c r="X1784">
        <f>N(X1783)+IF(AND(V1784&lt;&gt;"",T1784&lt;&gt;""),IF(V1784=MONAT!$AZ$3,1,0),0)</f>
        <v/>
      </c>
    </row>
    <row r="1785">
      <c r="A1785" s="19" t="n"/>
      <c r="B1785" s="20">
        <f>IF(A1785="","",CHOOSE(WEEKDAY(A1785,2),"Mo","Di","Mi","Do","Fr","Sa","So"))</f>
        <v/>
      </c>
      <c r="C1785" s="20">
        <f>IF(A1785="","",INT((A1785-DATE(YEAR(A1785-WEEKDAY(A1785-1)+4),1,3)+WEEKDAY(DATE(YEAR(A1785-WEEKDAY(A1785-1)+4),1,3))+5)/7))</f>
        <v/>
      </c>
      <c r="D1785" s="21" t="n"/>
      <c r="E1785" s="22" t="n"/>
      <c r="F1785" s="23" t="n"/>
      <c r="G1785" s="23" t="n"/>
      <c r="H1785" s="23" t="n"/>
      <c r="I1785" s="20">
        <f>IF(COUNT(F1785:H1785)=0,"",SUM(F1785:H1785))</f>
        <v/>
      </c>
      <c r="J1785" s="23" t="n"/>
      <c r="K1785" s="23" t="n"/>
      <c r="L1785" s="23" t="n"/>
      <c r="M1785" s="23" t="n"/>
      <c r="N1785" s="23" t="n"/>
      <c r="O1785" s="20">
        <f>IF(OR(I1785="",COUNT(J1785:N1785)=0),"",IF(SUM(J1785:N1785)=I1785,"✓","⚠ "&amp;SUM(J1785:N1785)&amp;" statt "&amp;I1785))</f>
        <v/>
      </c>
      <c r="P1785" s="21" t="n"/>
      <c r="Q1785" s="21" t="n"/>
      <c r="R1785" s="21" t="n"/>
      <c r="S1785" s="24" t="n"/>
      <c r="T1785" s="24" t="n"/>
      <c r="V1785">
        <f>IF(A1785="","",MONTH(A1785))</f>
        <v/>
      </c>
      <c r="W1785">
        <f>N(W1784)+IF(AND(C1785&lt;&gt;"",T1785&lt;&gt;""),IF(C1785=WOCHE!$B$3,1,0),0)</f>
        <v/>
      </c>
      <c r="X1785">
        <f>N(X1784)+IF(AND(V1785&lt;&gt;"",T1785&lt;&gt;""),IF(V1785=MONAT!$AZ$3,1,0),0)</f>
        <v/>
      </c>
    </row>
    <row r="1786">
      <c r="A1786" s="19" t="n"/>
      <c r="B1786" s="20">
        <f>IF(A1786="","",CHOOSE(WEEKDAY(A1786,2),"Mo","Di","Mi","Do","Fr","Sa","So"))</f>
        <v/>
      </c>
      <c r="C1786" s="20">
        <f>IF(A1786="","",INT((A1786-DATE(YEAR(A1786-WEEKDAY(A1786-1)+4),1,3)+WEEKDAY(DATE(YEAR(A1786-WEEKDAY(A1786-1)+4),1,3))+5)/7))</f>
        <v/>
      </c>
      <c r="D1786" s="21" t="n"/>
      <c r="E1786" s="22" t="n"/>
      <c r="F1786" s="23" t="n"/>
      <c r="G1786" s="23" t="n"/>
      <c r="H1786" s="23" t="n"/>
      <c r="I1786" s="20">
        <f>IF(COUNT(F1786:H1786)=0,"",SUM(F1786:H1786))</f>
        <v/>
      </c>
      <c r="J1786" s="23" t="n"/>
      <c r="K1786" s="23" t="n"/>
      <c r="L1786" s="23" t="n"/>
      <c r="M1786" s="23" t="n"/>
      <c r="N1786" s="23" t="n"/>
      <c r="O1786" s="20">
        <f>IF(OR(I1786="",COUNT(J1786:N1786)=0),"",IF(SUM(J1786:N1786)=I1786,"✓","⚠ "&amp;SUM(J1786:N1786)&amp;" statt "&amp;I1786))</f>
        <v/>
      </c>
      <c r="P1786" s="21" t="n"/>
      <c r="Q1786" s="21" t="n"/>
      <c r="R1786" s="21" t="n"/>
      <c r="S1786" s="24" t="n"/>
      <c r="T1786" s="24" t="n"/>
      <c r="V1786">
        <f>IF(A1786="","",MONTH(A1786))</f>
        <v/>
      </c>
      <c r="W1786">
        <f>N(W1785)+IF(AND(C1786&lt;&gt;"",T1786&lt;&gt;""),IF(C1786=WOCHE!$B$3,1,0),0)</f>
        <v/>
      </c>
      <c r="X1786">
        <f>N(X1785)+IF(AND(V1786&lt;&gt;"",T1786&lt;&gt;""),IF(V1786=MONAT!$AZ$3,1,0),0)</f>
        <v/>
      </c>
    </row>
    <row r="1787">
      <c r="A1787" s="19" t="n"/>
      <c r="B1787" s="20">
        <f>IF(A1787="","",CHOOSE(WEEKDAY(A1787,2),"Mo","Di","Mi","Do","Fr","Sa","So"))</f>
        <v/>
      </c>
      <c r="C1787" s="20">
        <f>IF(A1787="","",INT((A1787-DATE(YEAR(A1787-WEEKDAY(A1787-1)+4),1,3)+WEEKDAY(DATE(YEAR(A1787-WEEKDAY(A1787-1)+4),1,3))+5)/7))</f>
        <v/>
      </c>
      <c r="D1787" s="21" t="n"/>
      <c r="E1787" s="22" t="n"/>
      <c r="F1787" s="23" t="n"/>
      <c r="G1787" s="23" t="n"/>
      <c r="H1787" s="23" t="n"/>
      <c r="I1787" s="20">
        <f>IF(COUNT(F1787:H1787)=0,"",SUM(F1787:H1787))</f>
        <v/>
      </c>
      <c r="J1787" s="23" t="n"/>
      <c r="K1787" s="23" t="n"/>
      <c r="L1787" s="23" t="n"/>
      <c r="M1787" s="23" t="n"/>
      <c r="N1787" s="23" t="n"/>
      <c r="O1787" s="20">
        <f>IF(OR(I1787="",COUNT(J1787:N1787)=0),"",IF(SUM(J1787:N1787)=I1787,"✓","⚠ "&amp;SUM(J1787:N1787)&amp;" statt "&amp;I1787))</f>
        <v/>
      </c>
      <c r="P1787" s="21" t="n"/>
      <c r="Q1787" s="21" t="n"/>
      <c r="R1787" s="21" t="n"/>
      <c r="S1787" s="24" t="n"/>
      <c r="T1787" s="24" t="n"/>
      <c r="V1787">
        <f>IF(A1787="","",MONTH(A1787))</f>
        <v/>
      </c>
      <c r="W1787">
        <f>N(W1786)+IF(AND(C1787&lt;&gt;"",T1787&lt;&gt;""),IF(C1787=WOCHE!$B$3,1,0),0)</f>
        <v/>
      </c>
      <c r="X1787">
        <f>N(X1786)+IF(AND(V1787&lt;&gt;"",T1787&lt;&gt;""),IF(V1787=MONAT!$AZ$3,1,0),0)</f>
        <v/>
      </c>
    </row>
    <row r="1788">
      <c r="A1788" s="19" t="n"/>
      <c r="B1788" s="20">
        <f>IF(A1788="","",CHOOSE(WEEKDAY(A1788,2),"Mo","Di","Mi","Do","Fr","Sa","So"))</f>
        <v/>
      </c>
      <c r="C1788" s="20">
        <f>IF(A1788="","",INT((A1788-DATE(YEAR(A1788-WEEKDAY(A1788-1)+4),1,3)+WEEKDAY(DATE(YEAR(A1788-WEEKDAY(A1788-1)+4),1,3))+5)/7))</f>
        <v/>
      </c>
      <c r="D1788" s="21" t="n"/>
      <c r="E1788" s="22" t="n"/>
      <c r="F1788" s="23" t="n"/>
      <c r="G1788" s="23" t="n"/>
      <c r="H1788" s="23" t="n"/>
      <c r="I1788" s="20">
        <f>IF(COUNT(F1788:H1788)=0,"",SUM(F1788:H1788))</f>
        <v/>
      </c>
      <c r="J1788" s="23" t="n"/>
      <c r="K1788" s="23" t="n"/>
      <c r="L1788" s="23" t="n"/>
      <c r="M1788" s="23" t="n"/>
      <c r="N1788" s="23" t="n"/>
      <c r="O1788" s="20">
        <f>IF(OR(I1788="",COUNT(J1788:N1788)=0),"",IF(SUM(J1788:N1788)=I1788,"✓","⚠ "&amp;SUM(J1788:N1788)&amp;" statt "&amp;I1788))</f>
        <v/>
      </c>
      <c r="P1788" s="21" t="n"/>
      <c r="Q1788" s="21" t="n"/>
      <c r="R1788" s="21" t="n"/>
      <c r="S1788" s="24" t="n"/>
      <c r="T1788" s="24" t="n"/>
      <c r="V1788">
        <f>IF(A1788="","",MONTH(A1788))</f>
        <v/>
      </c>
      <c r="W1788">
        <f>N(W1787)+IF(AND(C1788&lt;&gt;"",T1788&lt;&gt;""),IF(C1788=WOCHE!$B$3,1,0),0)</f>
        <v/>
      </c>
      <c r="X1788">
        <f>N(X1787)+IF(AND(V1788&lt;&gt;"",T1788&lt;&gt;""),IF(V1788=MONAT!$AZ$3,1,0),0)</f>
        <v/>
      </c>
    </row>
    <row r="1789">
      <c r="A1789" s="19" t="n"/>
      <c r="B1789" s="20">
        <f>IF(A1789="","",CHOOSE(WEEKDAY(A1789,2),"Mo","Di","Mi","Do","Fr","Sa","So"))</f>
        <v/>
      </c>
      <c r="C1789" s="20">
        <f>IF(A1789="","",INT((A1789-DATE(YEAR(A1789-WEEKDAY(A1789-1)+4),1,3)+WEEKDAY(DATE(YEAR(A1789-WEEKDAY(A1789-1)+4),1,3))+5)/7))</f>
        <v/>
      </c>
      <c r="D1789" s="21" t="n"/>
      <c r="E1789" s="22" t="n"/>
      <c r="F1789" s="23" t="n"/>
      <c r="G1789" s="23" t="n"/>
      <c r="H1789" s="23" t="n"/>
      <c r="I1789" s="20">
        <f>IF(COUNT(F1789:H1789)=0,"",SUM(F1789:H1789))</f>
        <v/>
      </c>
      <c r="J1789" s="23" t="n"/>
      <c r="K1789" s="23" t="n"/>
      <c r="L1789" s="23" t="n"/>
      <c r="M1789" s="23" t="n"/>
      <c r="N1789" s="23" t="n"/>
      <c r="O1789" s="20">
        <f>IF(OR(I1789="",COUNT(J1789:N1789)=0),"",IF(SUM(J1789:N1789)=I1789,"✓","⚠ "&amp;SUM(J1789:N1789)&amp;" statt "&amp;I1789))</f>
        <v/>
      </c>
      <c r="P1789" s="21" t="n"/>
      <c r="Q1789" s="21" t="n"/>
      <c r="R1789" s="21" t="n"/>
      <c r="S1789" s="24" t="n"/>
      <c r="T1789" s="24" t="n"/>
      <c r="V1789">
        <f>IF(A1789="","",MONTH(A1789))</f>
        <v/>
      </c>
      <c r="W1789">
        <f>N(W1788)+IF(AND(C1789&lt;&gt;"",T1789&lt;&gt;""),IF(C1789=WOCHE!$B$3,1,0),0)</f>
        <v/>
      </c>
      <c r="X1789">
        <f>N(X1788)+IF(AND(V1789&lt;&gt;"",T1789&lt;&gt;""),IF(V1789=MONAT!$AZ$3,1,0),0)</f>
        <v/>
      </c>
    </row>
    <row r="1790">
      <c r="A1790" s="19" t="n"/>
      <c r="B1790" s="20">
        <f>IF(A1790="","",CHOOSE(WEEKDAY(A1790,2),"Mo","Di","Mi","Do","Fr","Sa","So"))</f>
        <v/>
      </c>
      <c r="C1790" s="20">
        <f>IF(A1790="","",INT((A1790-DATE(YEAR(A1790-WEEKDAY(A1790-1)+4),1,3)+WEEKDAY(DATE(YEAR(A1790-WEEKDAY(A1790-1)+4),1,3))+5)/7))</f>
        <v/>
      </c>
      <c r="D1790" s="21" t="n"/>
      <c r="E1790" s="22" t="n"/>
      <c r="F1790" s="23" t="n"/>
      <c r="G1790" s="23" t="n"/>
      <c r="H1790" s="23" t="n"/>
      <c r="I1790" s="20">
        <f>IF(COUNT(F1790:H1790)=0,"",SUM(F1790:H1790))</f>
        <v/>
      </c>
      <c r="J1790" s="23" t="n"/>
      <c r="K1790" s="23" t="n"/>
      <c r="L1790" s="23" t="n"/>
      <c r="M1790" s="23" t="n"/>
      <c r="N1790" s="23" t="n"/>
      <c r="O1790" s="20">
        <f>IF(OR(I1790="",COUNT(J1790:N1790)=0),"",IF(SUM(J1790:N1790)=I1790,"✓","⚠ "&amp;SUM(J1790:N1790)&amp;" statt "&amp;I1790))</f>
        <v/>
      </c>
      <c r="P1790" s="21" t="n"/>
      <c r="Q1790" s="21" t="n"/>
      <c r="R1790" s="21" t="n"/>
      <c r="S1790" s="24" t="n"/>
      <c r="T1790" s="24" t="n"/>
      <c r="V1790">
        <f>IF(A1790="","",MONTH(A1790))</f>
        <v/>
      </c>
      <c r="W1790">
        <f>N(W1789)+IF(AND(C1790&lt;&gt;"",T1790&lt;&gt;""),IF(C1790=WOCHE!$B$3,1,0),0)</f>
        <v/>
      </c>
      <c r="X1790">
        <f>N(X1789)+IF(AND(V1790&lt;&gt;"",T1790&lt;&gt;""),IF(V1790=MONAT!$AZ$3,1,0),0)</f>
        <v/>
      </c>
    </row>
    <row r="1791">
      <c r="A1791" s="19" t="n"/>
      <c r="B1791" s="20">
        <f>IF(A1791="","",CHOOSE(WEEKDAY(A1791,2),"Mo","Di","Mi","Do","Fr","Sa","So"))</f>
        <v/>
      </c>
      <c r="C1791" s="20">
        <f>IF(A1791="","",INT((A1791-DATE(YEAR(A1791-WEEKDAY(A1791-1)+4),1,3)+WEEKDAY(DATE(YEAR(A1791-WEEKDAY(A1791-1)+4),1,3))+5)/7))</f>
        <v/>
      </c>
      <c r="D1791" s="21" t="n"/>
      <c r="E1791" s="22" t="n"/>
      <c r="F1791" s="23" t="n"/>
      <c r="G1791" s="23" t="n"/>
      <c r="H1791" s="23" t="n"/>
      <c r="I1791" s="20">
        <f>IF(COUNT(F1791:H1791)=0,"",SUM(F1791:H1791))</f>
        <v/>
      </c>
      <c r="J1791" s="23" t="n"/>
      <c r="K1791" s="23" t="n"/>
      <c r="L1791" s="23" t="n"/>
      <c r="M1791" s="23" t="n"/>
      <c r="N1791" s="23" t="n"/>
      <c r="O1791" s="20">
        <f>IF(OR(I1791="",COUNT(J1791:N1791)=0),"",IF(SUM(J1791:N1791)=I1791,"✓","⚠ "&amp;SUM(J1791:N1791)&amp;" statt "&amp;I1791))</f>
        <v/>
      </c>
      <c r="P1791" s="21" t="n"/>
      <c r="Q1791" s="21" t="n"/>
      <c r="R1791" s="21" t="n"/>
      <c r="S1791" s="24" t="n"/>
      <c r="T1791" s="24" t="n"/>
      <c r="V1791">
        <f>IF(A1791="","",MONTH(A1791))</f>
        <v/>
      </c>
      <c r="W1791">
        <f>N(W1790)+IF(AND(C1791&lt;&gt;"",T1791&lt;&gt;""),IF(C1791=WOCHE!$B$3,1,0),0)</f>
        <v/>
      </c>
      <c r="X1791">
        <f>N(X1790)+IF(AND(V1791&lt;&gt;"",T1791&lt;&gt;""),IF(V1791=MONAT!$AZ$3,1,0),0)</f>
        <v/>
      </c>
    </row>
    <row r="1792">
      <c r="A1792" s="19" t="n"/>
      <c r="B1792" s="20">
        <f>IF(A1792="","",CHOOSE(WEEKDAY(A1792,2),"Mo","Di","Mi","Do","Fr","Sa","So"))</f>
        <v/>
      </c>
      <c r="C1792" s="20">
        <f>IF(A1792="","",INT((A1792-DATE(YEAR(A1792-WEEKDAY(A1792-1)+4),1,3)+WEEKDAY(DATE(YEAR(A1792-WEEKDAY(A1792-1)+4),1,3))+5)/7))</f>
        <v/>
      </c>
      <c r="D1792" s="21" t="n"/>
      <c r="E1792" s="22" t="n"/>
      <c r="F1792" s="23" t="n"/>
      <c r="G1792" s="23" t="n"/>
      <c r="H1792" s="23" t="n"/>
      <c r="I1792" s="20">
        <f>IF(COUNT(F1792:H1792)=0,"",SUM(F1792:H1792))</f>
        <v/>
      </c>
      <c r="J1792" s="23" t="n"/>
      <c r="K1792" s="23" t="n"/>
      <c r="L1792" s="23" t="n"/>
      <c r="M1792" s="23" t="n"/>
      <c r="N1792" s="23" t="n"/>
      <c r="O1792" s="20">
        <f>IF(OR(I1792="",COUNT(J1792:N1792)=0),"",IF(SUM(J1792:N1792)=I1792,"✓","⚠ "&amp;SUM(J1792:N1792)&amp;" statt "&amp;I1792))</f>
        <v/>
      </c>
      <c r="P1792" s="21" t="n"/>
      <c r="Q1792" s="21" t="n"/>
      <c r="R1792" s="21" t="n"/>
      <c r="S1792" s="24" t="n"/>
      <c r="T1792" s="24" t="n"/>
      <c r="V1792">
        <f>IF(A1792="","",MONTH(A1792))</f>
        <v/>
      </c>
      <c r="W1792">
        <f>N(W1791)+IF(AND(C1792&lt;&gt;"",T1792&lt;&gt;""),IF(C1792=WOCHE!$B$3,1,0),0)</f>
        <v/>
      </c>
      <c r="X1792">
        <f>N(X1791)+IF(AND(V1792&lt;&gt;"",T1792&lt;&gt;""),IF(V1792=MONAT!$AZ$3,1,0),0)</f>
        <v/>
      </c>
    </row>
    <row r="1793">
      <c r="A1793" s="19" t="n"/>
      <c r="B1793" s="20">
        <f>IF(A1793="","",CHOOSE(WEEKDAY(A1793,2),"Mo","Di","Mi","Do","Fr","Sa","So"))</f>
        <v/>
      </c>
      <c r="C1793" s="20">
        <f>IF(A1793="","",INT((A1793-DATE(YEAR(A1793-WEEKDAY(A1793-1)+4),1,3)+WEEKDAY(DATE(YEAR(A1793-WEEKDAY(A1793-1)+4),1,3))+5)/7))</f>
        <v/>
      </c>
      <c r="D1793" s="21" t="n"/>
      <c r="E1793" s="22" t="n"/>
      <c r="F1793" s="23" t="n"/>
      <c r="G1793" s="23" t="n"/>
      <c r="H1793" s="23" t="n"/>
      <c r="I1793" s="20">
        <f>IF(COUNT(F1793:H1793)=0,"",SUM(F1793:H1793))</f>
        <v/>
      </c>
      <c r="J1793" s="23" t="n"/>
      <c r="K1793" s="23" t="n"/>
      <c r="L1793" s="23" t="n"/>
      <c r="M1793" s="23" t="n"/>
      <c r="N1793" s="23" t="n"/>
      <c r="O1793" s="20">
        <f>IF(OR(I1793="",COUNT(J1793:N1793)=0),"",IF(SUM(J1793:N1793)=I1793,"✓","⚠ "&amp;SUM(J1793:N1793)&amp;" statt "&amp;I1793))</f>
        <v/>
      </c>
      <c r="P1793" s="21" t="n"/>
      <c r="Q1793" s="21" t="n"/>
      <c r="R1793" s="21" t="n"/>
      <c r="S1793" s="24" t="n"/>
      <c r="T1793" s="24" t="n"/>
      <c r="V1793">
        <f>IF(A1793="","",MONTH(A1793))</f>
        <v/>
      </c>
      <c r="W1793">
        <f>N(W1792)+IF(AND(C1793&lt;&gt;"",T1793&lt;&gt;""),IF(C1793=WOCHE!$B$3,1,0),0)</f>
        <v/>
      </c>
      <c r="X1793">
        <f>N(X1792)+IF(AND(V1793&lt;&gt;"",T1793&lt;&gt;""),IF(V1793=MONAT!$AZ$3,1,0),0)</f>
        <v/>
      </c>
    </row>
    <row r="1794">
      <c r="A1794" s="19" t="n"/>
      <c r="B1794" s="20">
        <f>IF(A1794="","",CHOOSE(WEEKDAY(A1794,2),"Mo","Di","Mi","Do","Fr","Sa","So"))</f>
        <v/>
      </c>
      <c r="C1794" s="20">
        <f>IF(A1794="","",INT((A1794-DATE(YEAR(A1794-WEEKDAY(A1794-1)+4),1,3)+WEEKDAY(DATE(YEAR(A1794-WEEKDAY(A1794-1)+4),1,3))+5)/7))</f>
        <v/>
      </c>
      <c r="D1794" s="21" t="n"/>
      <c r="E1794" s="22" t="n"/>
      <c r="F1794" s="23" t="n"/>
      <c r="G1794" s="23" t="n"/>
      <c r="H1794" s="23" t="n"/>
      <c r="I1794" s="20">
        <f>IF(COUNT(F1794:H1794)=0,"",SUM(F1794:H1794))</f>
        <v/>
      </c>
      <c r="J1794" s="23" t="n"/>
      <c r="K1794" s="23" t="n"/>
      <c r="L1794" s="23" t="n"/>
      <c r="M1794" s="23" t="n"/>
      <c r="N1794" s="23" t="n"/>
      <c r="O1794" s="20">
        <f>IF(OR(I1794="",COUNT(J1794:N1794)=0),"",IF(SUM(J1794:N1794)=I1794,"✓","⚠ "&amp;SUM(J1794:N1794)&amp;" statt "&amp;I1794))</f>
        <v/>
      </c>
      <c r="P1794" s="21" t="n"/>
      <c r="Q1794" s="21" t="n"/>
      <c r="R1794" s="21" t="n"/>
      <c r="S1794" s="24" t="n"/>
      <c r="T1794" s="24" t="n"/>
      <c r="V1794">
        <f>IF(A1794="","",MONTH(A1794))</f>
        <v/>
      </c>
      <c r="W1794">
        <f>N(W1793)+IF(AND(C1794&lt;&gt;"",T1794&lt;&gt;""),IF(C1794=WOCHE!$B$3,1,0),0)</f>
        <v/>
      </c>
      <c r="X1794">
        <f>N(X1793)+IF(AND(V1794&lt;&gt;"",T1794&lt;&gt;""),IF(V1794=MONAT!$AZ$3,1,0),0)</f>
        <v/>
      </c>
    </row>
    <row r="1795">
      <c r="A1795" s="19" t="n"/>
      <c r="B1795" s="20">
        <f>IF(A1795="","",CHOOSE(WEEKDAY(A1795,2),"Mo","Di","Mi","Do","Fr","Sa","So"))</f>
        <v/>
      </c>
      <c r="C1795" s="20">
        <f>IF(A1795="","",INT((A1795-DATE(YEAR(A1795-WEEKDAY(A1795-1)+4),1,3)+WEEKDAY(DATE(YEAR(A1795-WEEKDAY(A1795-1)+4),1,3))+5)/7))</f>
        <v/>
      </c>
      <c r="D1795" s="21" t="n"/>
      <c r="E1795" s="22" t="n"/>
      <c r="F1795" s="23" t="n"/>
      <c r="G1795" s="23" t="n"/>
      <c r="H1795" s="23" t="n"/>
      <c r="I1795" s="20">
        <f>IF(COUNT(F1795:H1795)=0,"",SUM(F1795:H1795))</f>
        <v/>
      </c>
      <c r="J1795" s="23" t="n"/>
      <c r="K1795" s="23" t="n"/>
      <c r="L1795" s="23" t="n"/>
      <c r="M1795" s="23" t="n"/>
      <c r="N1795" s="23" t="n"/>
      <c r="O1795" s="20">
        <f>IF(OR(I1795="",COUNT(J1795:N1795)=0),"",IF(SUM(J1795:N1795)=I1795,"✓","⚠ "&amp;SUM(J1795:N1795)&amp;" statt "&amp;I1795))</f>
        <v/>
      </c>
      <c r="P1795" s="21" t="n"/>
      <c r="Q1795" s="21" t="n"/>
      <c r="R1795" s="21" t="n"/>
      <c r="S1795" s="24" t="n"/>
      <c r="T1795" s="24" t="n"/>
      <c r="V1795">
        <f>IF(A1795="","",MONTH(A1795))</f>
        <v/>
      </c>
      <c r="W1795">
        <f>N(W1794)+IF(AND(C1795&lt;&gt;"",T1795&lt;&gt;""),IF(C1795=WOCHE!$B$3,1,0),0)</f>
        <v/>
      </c>
      <c r="X1795">
        <f>N(X1794)+IF(AND(V1795&lt;&gt;"",T1795&lt;&gt;""),IF(V1795=MONAT!$AZ$3,1,0),0)</f>
        <v/>
      </c>
    </row>
    <row r="1796">
      <c r="A1796" s="19" t="n"/>
      <c r="B1796" s="20">
        <f>IF(A1796="","",CHOOSE(WEEKDAY(A1796,2),"Mo","Di","Mi","Do","Fr","Sa","So"))</f>
        <v/>
      </c>
      <c r="C1796" s="20">
        <f>IF(A1796="","",INT((A1796-DATE(YEAR(A1796-WEEKDAY(A1796-1)+4),1,3)+WEEKDAY(DATE(YEAR(A1796-WEEKDAY(A1796-1)+4),1,3))+5)/7))</f>
        <v/>
      </c>
      <c r="D1796" s="21" t="n"/>
      <c r="E1796" s="22" t="n"/>
      <c r="F1796" s="23" t="n"/>
      <c r="G1796" s="23" t="n"/>
      <c r="H1796" s="23" t="n"/>
      <c r="I1796" s="20">
        <f>IF(COUNT(F1796:H1796)=0,"",SUM(F1796:H1796))</f>
        <v/>
      </c>
      <c r="J1796" s="23" t="n"/>
      <c r="K1796" s="23" t="n"/>
      <c r="L1796" s="23" t="n"/>
      <c r="M1796" s="23" t="n"/>
      <c r="N1796" s="23" t="n"/>
      <c r="O1796" s="20">
        <f>IF(OR(I1796="",COUNT(J1796:N1796)=0),"",IF(SUM(J1796:N1796)=I1796,"✓","⚠ "&amp;SUM(J1796:N1796)&amp;" statt "&amp;I1796))</f>
        <v/>
      </c>
      <c r="P1796" s="21" t="n"/>
      <c r="Q1796" s="21" t="n"/>
      <c r="R1796" s="21" t="n"/>
      <c r="S1796" s="24" t="n"/>
      <c r="T1796" s="24" t="n"/>
      <c r="V1796">
        <f>IF(A1796="","",MONTH(A1796))</f>
        <v/>
      </c>
      <c r="W1796">
        <f>N(W1795)+IF(AND(C1796&lt;&gt;"",T1796&lt;&gt;""),IF(C1796=WOCHE!$B$3,1,0),0)</f>
        <v/>
      </c>
      <c r="X1796">
        <f>N(X1795)+IF(AND(V1796&lt;&gt;"",T1796&lt;&gt;""),IF(V1796=MONAT!$AZ$3,1,0),0)</f>
        <v/>
      </c>
    </row>
    <row r="1797">
      <c r="A1797" s="19" t="n"/>
      <c r="B1797" s="20">
        <f>IF(A1797="","",CHOOSE(WEEKDAY(A1797,2),"Mo","Di","Mi","Do","Fr","Sa","So"))</f>
        <v/>
      </c>
      <c r="C1797" s="20">
        <f>IF(A1797="","",INT((A1797-DATE(YEAR(A1797-WEEKDAY(A1797-1)+4),1,3)+WEEKDAY(DATE(YEAR(A1797-WEEKDAY(A1797-1)+4),1,3))+5)/7))</f>
        <v/>
      </c>
      <c r="D1797" s="21" t="n"/>
      <c r="E1797" s="22" t="n"/>
      <c r="F1797" s="23" t="n"/>
      <c r="G1797" s="23" t="n"/>
      <c r="H1797" s="23" t="n"/>
      <c r="I1797" s="20">
        <f>IF(COUNT(F1797:H1797)=0,"",SUM(F1797:H1797))</f>
        <v/>
      </c>
      <c r="J1797" s="23" t="n"/>
      <c r="K1797" s="23" t="n"/>
      <c r="L1797" s="23" t="n"/>
      <c r="M1797" s="23" t="n"/>
      <c r="N1797" s="23" t="n"/>
      <c r="O1797" s="20">
        <f>IF(OR(I1797="",COUNT(J1797:N1797)=0),"",IF(SUM(J1797:N1797)=I1797,"✓","⚠ "&amp;SUM(J1797:N1797)&amp;" statt "&amp;I1797))</f>
        <v/>
      </c>
      <c r="P1797" s="21" t="n"/>
      <c r="Q1797" s="21" t="n"/>
      <c r="R1797" s="21" t="n"/>
      <c r="S1797" s="24" t="n"/>
      <c r="T1797" s="24" t="n"/>
      <c r="V1797">
        <f>IF(A1797="","",MONTH(A1797))</f>
        <v/>
      </c>
      <c r="W1797">
        <f>N(W1796)+IF(AND(C1797&lt;&gt;"",T1797&lt;&gt;""),IF(C1797=WOCHE!$B$3,1,0),0)</f>
        <v/>
      </c>
      <c r="X1797">
        <f>N(X1796)+IF(AND(V1797&lt;&gt;"",T1797&lt;&gt;""),IF(V1797=MONAT!$AZ$3,1,0),0)</f>
        <v/>
      </c>
    </row>
    <row r="1798">
      <c r="A1798" s="19" t="n"/>
      <c r="B1798" s="20">
        <f>IF(A1798="","",CHOOSE(WEEKDAY(A1798,2),"Mo","Di","Mi","Do","Fr","Sa","So"))</f>
        <v/>
      </c>
      <c r="C1798" s="20">
        <f>IF(A1798="","",INT((A1798-DATE(YEAR(A1798-WEEKDAY(A1798-1)+4),1,3)+WEEKDAY(DATE(YEAR(A1798-WEEKDAY(A1798-1)+4),1,3))+5)/7))</f>
        <v/>
      </c>
      <c r="D1798" s="21" t="n"/>
      <c r="E1798" s="22" t="n"/>
      <c r="F1798" s="23" t="n"/>
      <c r="G1798" s="23" t="n"/>
      <c r="H1798" s="23" t="n"/>
      <c r="I1798" s="20">
        <f>IF(COUNT(F1798:H1798)=0,"",SUM(F1798:H1798))</f>
        <v/>
      </c>
      <c r="J1798" s="23" t="n"/>
      <c r="K1798" s="23" t="n"/>
      <c r="L1798" s="23" t="n"/>
      <c r="M1798" s="23" t="n"/>
      <c r="N1798" s="23" t="n"/>
      <c r="O1798" s="20">
        <f>IF(OR(I1798="",COUNT(J1798:N1798)=0),"",IF(SUM(J1798:N1798)=I1798,"✓","⚠ "&amp;SUM(J1798:N1798)&amp;" statt "&amp;I1798))</f>
        <v/>
      </c>
      <c r="P1798" s="21" t="n"/>
      <c r="Q1798" s="21" t="n"/>
      <c r="R1798" s="21" t="n"/>
      <c r="S1798" s="24" t="n"/>
      <c r="T1798" s="24" t="n"/>
      <c r="V1798">
        <f>IF(A1798="","",MONTH(A1798))</f>
        <v/>
      </c>
      <c r="W1798">
        <f>N(W1797)+IF(AND(C1798&lt;&gt;"",T1798&lt;&gt;""),IF(C1798=WOCHE!$B$3,1,0),0)</f>
        <v/>
      </c>
      <c r="X1798">
        <f>N(X1797)+IF(AND(V1798&lt;&gt;"",T1798&lt;&gt;""),IF(V1798=MONAT!$AZ$3,1,0),0)</f>
        <v/>
      </c>
    </row>
    <row r="1799">
      <c r="A1799" s="19" t="n"/>
      <c r="B1799" s="20">
        <f>IF(A1799="","",CHOOSE(WEEKDAY(A1799,2),"Mo","Di","Mi","Do","Fr","Sa","So"))</f>
        <v/>
      </c>
      <c r="C1799" s="20">
        <f>IF(A1799="","",INT((A1799-DATE(YEAR(A1799-WEEKDAY(A1799-1)+4),1,3)+WEEKDAY(DATE(YEAR(A1799-WEEKDAY(A1799-1)+4),1,3))+5)/7))</f>
        <v/>
      </c>
      <c r="D1799" s="21" t="n"/>
      <c r="E1799" s="22" t="n"/>
      <c r="F1799" s="23" t="n"/>
      <c r="G1799" s="23" t="n"/>
      <c r="H1799" s="23" t="n"/>
      <c r="I1799" s="20">
        <f>IF(COUNT(F1799:H1799)=0,"",SUM(F1799:H1799))</f>
        <v/>
      </c>
      <c r="J1799" s="23" t="n"/>
      <c r="K1799" s="23" t="n"/>
      <c r="L1799" s="23" t="n"/>
      <c r="M1799" s="23" t="n"/>
      <c r="N1799" s="23" t="n"/>
      <c r="O1799" s="20">
        <f>IF(OR(I1799="",COUNT(J1799:N1799)=0),"",IF(SUM(J1799:N1799)=I1799,"✓","⚠ "&amp;SUM(J1799:N1799)&amp;" statt "&amp;I1799))</f>
        <v/>
      </c>
      <c r="P1799" s="21" t="n"/>
      <c r="Q1799" s="21" t="n"/>
      <c r="R1799" s="21" t="n"/>
      <c r="S1799" s="24" t="n"/>
      <c r="T1799" s="24" t="n"/>
      <c r="V1799">
        <f>IF(A1799="","",MONTH(A1799))</f>
        <v/>
      </c>
      <c r="W1799">
        <f>N(W1798)+IF(AND(C1799&lt;&gt;"",T1799&lt;&gt;""),IF(C1799=WOCHE!$B$3,1,0),0)</f>
        <v/>
      </c>
      <c r="X1799">
        <f>N(X1798)+IF(AND(V1799&lt;&gt;"",T1799&lt;&gt;""),IF(V1799=MONAT!$AZ$3,1,0),0)</f>
        <v/>
      </c>
    </row>
    <row r="1800">
      <c r="A1800" s="19" t="n"/>
      <c r="B1800" s="20">
        <f>IF(A1800="","",CHOOSE(WEEKDAY(A1800,2),"Mo","Di","Mi","Do","Fr","Sa","So"))</f>
        <v/>
      </c>
      <c r="C1800" s="20">
        <f>IF(A1800="","",INT((A1800-DATE(YEAR(A1800-WEEKDAY(A1800-1)+4),1,3)+WEEKDAY(DATE(YEAR(A1800-WEEKDAY(A1800-1)+4),1,3))+5)/7))</f>
        <v/>
      </c>
      <c r="D1800" s="21" t="n"/>
      <c r="E1800" s="22" t="n"/>
      <c r="F1800" s="23" t="n"/>
      <c r="G1800" s="23" t="n"/>
      <c r="H1800" s="23" t="n"/>
      <c r="I1800" s="20">
        <f>IF(COUNT(F1800:H1800)=0,"",SUM(F1800:H1800))</f>
        <v/>
      </c>
      <c r="J1800" s="23" t="n"/>
      <c r="K1800" s="23" t="n"/>
      <c r="L1800" s="23" t="n"/>
      <c r="M1800" s="23" t="n"/>
      <c r="N1800" s="23" t="n"/>
      <c r="O1800" s="20">
        <f>IF(OR(I1800="",COUNT(J1800:N1800)=0),"",IF(SUM(J1800:N1800)=I1800,"✓","⚠ "&amp;SUM(J1800:N1800)&amp;" statt "&amp;I1800))</f>
        <v/>
      </c>
      <c r="P1800" s="21" t="n"/>
      <c r="Q1800" s="21" t="n"/>
      <c r="R1800" s="21" t="n"/>
      <c r="S1800" s="24" t="n"/>
      <c r="T1800" s="24" t="n"/>
      <c r="V1800">
        <f>IF(A1800="","",MONTH(A1800))</f>
        <v/>
      </c>
      <c r="W1800">
        <f>N(W1799)+IF(AND(C1800&lt;&gt;"",T1800&lt;&gt;""),IF(C1800=WOCHE!$B$3,1,0),0)</f>
        <v/>
      </c>
      <c r="X1800">
        <f>N(X1799)+IF(AND(V1800&lt;&gt;"",T1800&lt;&gt;""),IF(V1800=MONAT!$AZ$3,1,0),0)</f>
        <v/>
      </c>
    </row>
    <row r="1801">
      <c r="A1801" s="19" t="n"/>
      <c r="B1801" s="20">
        <f>IF(A1801="","",CHOOSE(WEEKDAY(A1801,2),"Mo","Di","Mi","Do","Fr","Sa","So"))</f>
        <v/>
      </c>
      <c r="C1801" s="20">
        <f>IF(A1801="","",INT((A1801-DATE(YEAR(A1801-WEEKDAY(A1801-1)+4),1,3)+WEEKDAY(DATE(YEAR(A1801-WEEKDAY(A1801-1)+4),1,3))+5)/7))</f>
        <v/>
      </c>
      <c r="D1801" s="21" t="n"/>
      <c r="E1801" s="22" t="n"/>
      <c r="F1801" s="23" t="n"/>
      <c r="G1801" s="23" t="n"/>
      <c r="H1801" s="23" t="n"/>
      <c r="I1801" s="20">
        <f>IF(COUNT(F1801:H1801)=0,"",SUM(F1801:H1801))</f>
        <v/>
      </c>
      <c r="J1801" s="23" t="n"/>
      <c r="K1801" s="23" t="n"/>
      <c r="L1801" s="23" t="n"/>
      <c r="M1801" s="23" t="n"/>
      <c r="N1801" s="23" t="n"/>
      <c r="O1801" s="20">
        <f>IF(OR(I1801="",COUNT(J1801:N1801)=0),"",IF(SUM(J1801:N1801)=I1801,"✓","⚠ "&amp;SUM(J1801:N1801)&amp;" statt "&amp;I1801))</f>
        <v/>
      </c>
      <c r="P1801" s="21" t="n"/>
      <c r="Q1801" s="21" t="n"/>
      <c r="R1801" s="21" t="n"/>
      <c r="S1801" s="24" t="n"/>
      <c r="T1801" s="24" t="n"/>
      <c r="V1801">
        <f>IF(A1801="","",MONTH(A1801))</f>
        <v/>
      </c>
      <c r="W1801">
        <f>N(W1800)+IF(AND(C1801&lt;&gt;"",T1801&lt;&gt;""),IF(C1801=WOCHE!$B$3,1,0),0)</f>
        <v/>
      </c>
      <c r="X1801">
        <f>N(X1800)+IF(AND(V1801&lt;&gt;"",T1801&lt;&gt;""),IF(V1801=MONAT!$AZ$3,1,0),0)</f>
        <v/>
      </c>
    </row>
    <row r="1802">
      <c r="A1802" s="19" t="n"/>
      <c r="B1802" s="20">
        <f>IF(A1802="","",CHOOSE(WEEKDAY(A1802,2),"Mo","Di","Mi","Do","Fr","Sa","So"))</f>
        <v/>
      </c>
      <c r="C1802" s="20">
        <f>IF(A1802="","",INT((A1802-DATE(YEAR(A1802-WEEKDAY(A1802-1)+4),1,3)+WEEKDAY(DATE(YEAR(A1802-WEEKDAY(A1802-1)+4),1,3))+5)/7))</f>
        <v/>
      </c>
      <c r="D1802" s="21" t="n"/>
      <c r="E1802" s="22" t="n"/>
      <c r="F1802" s="23" t="n"/>
      <c r="G1802" s="23" t="n"/>
      <c r="H1802" s="23" t="n"/>
      <c r="I1802" s="20">
        <f>IF(COUNT(F1802:H1802)=0,"",SUM(F1802:H1802))</f>
        <v/>
      </c>
      <c r="J1802" s="23" t="n"/>
      <c r="K1802" s="23" t="n"/>
      <c r="L1802" s="23" t="n"/>
      <c r="M1802" s="23" t="n"/>
      <c r="N1802" s="23" t="n"/>
      <c r="O1802" s="20">
        <f>IF(OR(I1802="",COUNT(J1802:N1802)=0),"",IF(SUM(J1802:N1802)=I1802,"✓","⚠ "&amp;SUM(J1802:N1802)&amp;" statt "&amp;I1802))</f>
        <v/>
      </c>
      <c r="P1802" s="21" t="n"/>
      <c r="Q1802" s="21" t="n"/>
      <c r="R1802" s="21" t="n"/>
      <c r="S1802" s="24" t="n"/>
      <c r="T1802" s="24" t="n"/>
      <c r="V1802">
        <f>IF(A1802="","",MONTH(A1802))</f>
        <v/>
      </c>
      <c r="W1802">
        <f>N(W1801)+IF(AND(C1802&lt;&gt;"",T1802&lt;&gt;""),IF(C1802=WOCHE!$B$3,1,0),0)</f>
        <v/>
      </c>
      <c r="X1802">
        <f>N(X1801)+IF(AND(V1802&lt;&gt;"",T1802&lt;&gt;""),IF(V1802=MONAT!$AZ$3,1,0),0)</f>
        <v/>
      </c>
    </row>
    <row r="1803">
      <c r="A1803" s="19" t="n"/>
      <c r="B1803" s="20">
        <f>IF(A1803="","",CHOOSE(WEEKDAY(A1803,2),"Mo","Di","Mi","Do","Fr","Sa","So"))</f>
        <v/>
      </c>
      <c r="C1803" s="20">
        <f>IF(A1803="","",INT((A1803-DATE(YEAR(A1803-WEEKDAY(A1803-1)+4),1,3)+WEEKDAY(DATE(YEAR(A1803-WEEKDAY(A1803-1)+4),1,3))+5)/7))</f>
        <v/>
      </c>
      <c r="D1803" s="21" t="n"/>
      <c r="E1803" s="22" t="n"/>
      <c r="F1803" s="23" t="n"/>
      <c r="G1803" s="23" t="n"/>
      <c r="H1803" s="23" t="n"/>
      <c r="I1803" s="20">
        <f>IF(COUNT(F1803:H1803)=0,"",SUM(F1803:H1803))</f>
        <v/>
      </c>
      <c r="J1803" s="23" t="n"/>
      <c r="K1803" s="23" t="n"/>
      <c r="L1803" s="23" t="n"/>
      <c r="M1803" s="23" t="n"/>
      <c r="N1803" s="23" t="n"/>
      <c r="O1803" s="20">
        <f>IF(OR(I1803="",COUNT(J1803:N1803)=0),"",IF(SUM(J1803:N1803)=I1803,"✓","⚠ "&amp;SUM(J1803:N1803)&amp;" statt "&amp;I1803))</f>
        <v/>
      </c>
      <c r="P1803" s="21" t="n"/>
      <c r="Q1803" s="21" t="n"/>
      <c r="R1803" s="21" t="n"/>
      <c r="S1803" s="24" t="n"/>
      <c r="T1803" s="24" t="n"/>
      <c r="V1803">
        <f>IF(A1803="","",MONTH(A1803))</f>
        <v/>
      </c>
      <c r="W1803">
        <f>N(W1802)+IF(AND(C1803&lt;&gt;"",T1803&lt;&gt;""),IF(C1803=WOCHE!$B$3,1,0),0)</f>
        <v/>
      </c>
      <c r="X1803">
        <f>N(X1802)+IF(AND(V1803&lt;&gt;"",T1803&lt;&gt;""),IF(V1803=MONAT!$AZ$3,1,0),0)</f>
        <v/>
      </c>
    </row>
    <row r="1804">
      <c r="A1804" s="19" t="n"/>
      <c r="B1804" s="20">
        <f>IF(A1804="","",CHOOSE(WEEKDAY(A1804,2),"Mo","Di","Mi","Do","Fr","Sa","So"))</f>
        <v/>
      </c>
      <c r="C1804" s="20">
        <f>IF(A1804="","",INT((A1804-DATE(YEAR(A1804-WEEKDAY(A1804-1)+4),1,3)+WEEKDAY(DATE(YEAR(A1804-WEEKDAY(A1804-1)+4),1,3))+5)/7))</f>
        <v/>
      </c>
      <c r="D1804" s="21" t="n"/>
      <c r="E1804" s="22" t="n"/>
      <c r="F1804" s="23" t="n"/>
      <c r="G1804" s="23" t="n"/>
      <c r="H1804" s="23" t="n"/>
      <c r="I1804" s="20">
        <f>IF(COUNT(F1804:H1804)=0,"",SUM(F1804:H1804))</f>
        <v/>
      </c>
      <c r="J1804" s="23" t="n"/>
      <c r="K1804" s="23" t="n"/>
      <c r="L1804" s="23" t="n"/>
      <c r="M1804" s="23" t="n"/>
      <c r="N1804" s="23" t="n"/>
      <c r="O1804" s="20">
        <f>IF(OR(I1804="",COUNT(J1804:N1804)=0),"",IF(SUM(J1804:N1804)=I1804,"✓","⚠ "&amp;SUM(J1804:N1804)&amp;" statt "&amp;I1804))</f>
        <v/>
      </c>
      <c r="P1804" s="21" t="n"/>
      <c r="Q1804" s="21" t="n"/>
      <c r="R1804" s="21" t="n"/>
      <c r="S1804" s="24" t="n"/>
      <c r="T1804" s="24" t="n"/>
      <c r="V1804">
        <f>IF(A1804="","",MONTH(A1804))</f>
        <v/>
      </c>
      <c r="W1804">
        <f>N(W1803)+IF(AND(C1804&lt;&gt;"",T1804&lt;&gt;""),IF(C1804=WOCHE!$B$3,1,0),0)</f>
        <v/>
      </c>
      <c r="X1804">
        <f>N(X1803)+IF(AND(V1804&lt;&gt;"",T1804&lt;&gt;""),IF(V1804=MONAT!$AZ$3,1,0),0)</f>
        <v/>
      </c>
    </row>
    <row r="1805">
      <c r="A1805" s="19" t="n"/>
      <c r="B1805" s="20">
        <f>IF(A1805="","",CHOOSE(WEEKDAY(A1805,2),"Mo","Di","Mi","Do","Fr","Sa","So"))</f>
        <v/>
      </c>
      <c r="C1805" s="20">
        <f>IF(A1805="","",INT((A1805-DATE(YEAR(A1805-WEEKDAY(A1805-1)+4),1,3)+WEEKDAY(DATE(YEAR(A1805-WEEKDAY(A1805-1)+4),1,3))+5)/7))</f>
        <v/>
      </c>
      <c r="D1805" s="21" t="n"/>
      <c r="E1805" s="22" t="n"/>
      <c r="F1805" s="23" t="n"/>
      <c r="G1805" s="23" t="n"/>
      <c r="H1805" s="23" t="n"/>
      <c r="I1805" s="20">
        <f>IF(COUNT(F1805:H1805)=0,"",SUM(F1805:H1805))</f>
        <v/>
      </c>
      <c r="J1805" s="23" t="n"/>
      <c r="K1805" s="23" t="n"/>
      <c r="L1805" s="23" t="n"/>
      <c r="M1805" s="23" t="n"/>
      <c r="N1805" s="23" t="n"/>
      <c r="O1805" s="20">
        <f>IF(OR(I1805="",COUNT(J1805:N1805)=0),"",IF(SUM(J1805:N1805)=I1805,"✓","⚠ "&amp;SUM(J1805:N1805)&amp;" statt "&amp;I1805))</f>
        <v/>
      </c>
      <c r="P1805" s="21" t="n"/>
      <c r="Q1805" s="21" t="n"/>
      <c r="R1805" s="21" t="n"/>
      <c r="S1805" s="24" t="n"/>
      <c r="T1805" s="24" t="n"/>
      <c r="V1805">
        <f>IF(A1805="","",MONTH(A1805))</f>
        <v/>
      </c>
      <c r="W1805">
        <f>N(W1804)+IF(AND(C1805&lt;&gt;"",T1805&lt;&gt;""),IF(C1805=WOCHE!$B$3,1,0),0)</f>
        <v/>
      </c>
      <c r="X1805">
        <f>N(X1804)+IF(AND(V1805&lt;&gt;"",T1805&lt;&gt;""),IF(V1805=MONAT!$AZ$3,1,0),0)</f>
        <v/>
      </c>
    </row>
    <row r="1806">
      <c r="A1806" s="19" t="n"/>
      <c r="B1806" s="20">
        <f>IF(A1806="","",CHOOSE(WEEKDAY(A1806,2),"Mo","Di","Mi","Do","Fr","Sa","So"))</f>
        <v/>
      </c>
      <c r="C1806" s="20">
        <f>IF(A1806="","",INT((A1806-DATE(YEAR(A1806-WEEKDAY(A1806-1)+4),1,3)+WEEKDAY(DATE(YEAR(A1806-WEEKDAY(A1806-1)+4),1,3))+5)/7))</f>
        <v/>
      </c>
      <c r="D1806" s="21" t="n"/>
      <c r="E1806" s="22" t="n"/>
      <c r="F1806" s="23" t="n"/>
      <c r="G1806" s="23" t="n"/>
      <c r="H1806" s="23" t="n"/>
      <c r="I1806" s="20">
        <f>IF(COUNT(F1806:H1806)=0,"",SUM(F1806:H1806))</f>
        <v/>
      </c>
      <c r="J1806" s="23" t="n"/>
      <c r="K1806" s="23" t="n"/>
      <c r="L1806" s="23" t="n"/>
      <c r="M1806" s="23" t="n"/>
      <c r="N1806" s="23" t="n"/>
      <c r="O1806" s="20">
        <f>IF(OR(I1806="",COUNT(J1806:N1806)=0),"",IF(SUM(J1806:N1806)=I1806,"✓","⚠ "&amp;SUM(J1806:N1806)&amp;" statt "&amp;I1806))</f>
        <v/>
      </c>
      <c r="P1806" s="21" t="n"/>
      <c r="Q1806" s="21" t="n"/>
      <c r="R1806" s="21" t="n"/>
      <c r="S1806" s="24" t="n"/>
      <c r="T1806" s="24" t="n"/>
      <c r="V1806">
        <f>IF(A1806="","",MONTH(A1806))</f>
        <v/>
      </c>
      <c r="W1806">
        <f>N(W1805)+IF(AND(C1806&lt;&gt;"",T1806&lt;&gt;""),IF(C1806=WOCHE!$B$3,1,0),0)</f>
        <v/>
      </c>
      <c r="X1806">
        <f>N(X1805)+IF(AND(V1806&lt;&gt;"",T1806&lt;&gt;""),IF(V1806=MONAT!$AZ$3,1,0),0)</f>
        <v/>
      </c>
    </row>
    <row r="1807">
      <c r="A1807" s="19" t="n"/>
      <c r="B1807" s="20">
        <f>IF(A1807="","",CHOOSE(WEEKDAY(A1807,2),"Mo","Di","Mi","Do","Fr","Sa","So"))</f>
        <v/>
      </c>
      <c r="C1807" s="20">
        <f>IF(A1807="","",INT((A1807-DATE(YEAR(A1807-WEEKDAY(A1807-1)+4),1,3)+WEEKDAY(DATE(YEAR(A1807-WEEKDAY(A1807-1)+4),1,3))+5)/7))</f>
        <v/>
      </c>
      <c r="D1807" s="21" t="n"/>
      <c r="E1807" s="22" t="n"/>
      <c r="F1807" s="23" t="n"/>
      <c r="G1807" s="23" t="n"/>
      <c r="H1807" s="23" t="n"/>
      <c r="I1807" s="20">
        <f>IF(COUNT(F1807:H1807)=0,"",SUM(F1807:H1807))</f>
        <v/>
      </c>
      <c r="J1807" s="23" t="n"/>
      <c r="K1807" s="23" t="n"/>
      <c r="L1807" s="23" t="n"/>
      <c r="M1807" s="23" t="n"/>
      <c r="N1807" s="23" t="n"/>
      <c r="O1807" s="20">
        <f>IF(OR(I1807="",COUNT(J1807:N1807)=0),"",IF(SUM(J1807:N1807)=I1807,"✓","⚠ "&amp;SUM(J1807:N1807)&amp;" statt "&amp;I1807))</f>
        <v/>
      </c>
      <c r="P1807" s="21" t="n"/>
      <c r="Q1807" s="21" t="n"/>
      <c r="R1807" s="21" t="n"/>
      <c r="S1807" s="24" t="n"/>
      <c r="T1807" s="24" t="n"/>
      <c r="V1807">
        <f>IF(A1807="","",MONTH(A1807))</f>
        <v/>
      </c>
      <c r="W1807">
        <f>N(W1806)+IF(AND(C1807&lt;&gt;"",T1807&lt;&gt;""),IF(C1807=WOCHE!$B$3,1,0),0)</f>
        <v/>
      </c>
      <c r="X1807">
        <f>N(X1806)+IF(AND(V1807&lt;&gt;"",T1807&lt;&gt;""),IF(V1807=MONAT!$AZ$3,1,0),0)</f>
        <v/>
      </c>
    </row>
    <row r="1808">
      <c r="A1808" s="19" t="n"/>
      <c r="B1808" s="20">
        <f>IF(A1808="","",CHOOSE(WEEKDAY(A1808,2),"Mo","Di","Mi","Do","Fr","Sa","So"))</f>
        <v/>
      </c>
      <c r="C1808" s="20">
        <f>IF(A1808="","",INT((A1808-DATE(YEAR(A1808-WEEKDAY(A1808-1)+4),1,3)+WEEKDAY(DATE(YEAR(A1808-WEEKDAY(A1808-1)+4),1,3))+5)/7))</f>
        <v/>
      </c>
      <c r="D1808" s="21" t="n"/>
      <c r="E1808" s="22" t="n"/>
      <c r="F1808" s="23" t="n"/>
      <c r="G1808" s="23" t="n"/>
      <c r="H1808" s="23" t="n"/>
      <c r="I1808" s="20">
        <f>IF(COUNT(F1808:H1808)=0,"",SUM(F1808:H1808))</f>
        <v/>
      </c>
      <c r="J1808" s="23" t="n"/>
      <c r="K1808" s="23" t="n"/>
      <c r="L1808" s="23" t="n"/>
      <c r="M1808" s="23" t="n"/>
      <c r="N1808" s="23" t="n"/>
      <c r="O1808" s="20">
        <f>IF(OR(I1808="",COUNT(J1808:N1808)=0),"",IF(SUM(J1808:N1808)=I1808,"✓","⚠ "&amp;SUM(J1808:N1808)&amp;" statt "&amp;I1808))</f>
        <v/>
      </c>
      <c r="P1808" s="21" t="n"/>
      <c r="Q1808" s="21" t="n"/>
      <c r="R1808" s="21" t="n"/>
      <c r="S1808" s="24" t="n"/>
      <c r="T1808" s="24" t="n"/>
      <c r="V1808">
        <f>IF(A1808="","",MONTH(A1808))</f>
        <v/>
      </c>
      <c r="W1808">
        <f>N(W1807)+IF(AND(C1808&lt;&gt;"",T1808&lt;&gt;""),IF(C1808=WOCHE!$B$3,1,0),0)</f>
        <v/>
      </c>
      <c r="X1808">
        <f>N(X1807)+IF(AND(V1808&lt;&gt;"",T1808&lt;&gt;""),IF(V1808=MONAT!$AZ$3,1,0),0)</f>
        <v/>
      </c>
    </row>
    <row r="1809">
      <c r="A1809" s="19" t="n"/>
      <c r="B1809" s="20">
        <f>IF(A1809="","",CHOOSE(WEEKDAY(A1809,2),"Mo","Di","Mi","Do","Fr","Sa","So"))</f>
        <v/>
      </c>
      <c r="C1809" s="20">
        <f>IF(A1809="","",INT((A1809-DATE(YEAR(A1809-WEEKDAY(A1809-1)+4),1,3)+WEEKDAY(DATE(YEAR(A1809-WEEKDAY(A1809-1)+4),1,3))+5)/7))</f>
        <v/>
      </c>
      <c r="D1809" s="21" t="n"/>
      <c r="E1809" s="22" t="n"/>
      <c r="F1809" s="23" t="n"/>
      <c r="G1809" s="23" t="n"/>
      <c r="H1809" s="23" t="n"/>
      <c r="I1809" s="20">
        <f>IF(COUNT(F1809:H1809)=0,"",SUM(F1809:H1809))</f>
        <v/>
      </c>
      <c r="J1809" s="23" t="n"/>
      <c r="K1809" s="23" t="n"/>
      <c r="L1809" s="23" t="n"/>
      <c r="M1809" s="23" t="n"/>
      <c r="N1809" s="23" t="n"/>
      <c r="O1809" s="20">
        <f>IF(OR(I1809="",COUNT(J1809:N1809)=0),"",IF(SUM(J1809:N1809)=I1809,"✓","⚠ "&amp;SUM(J1809:N1809)&amp;" statt "&amp;I1809))</f>
        <v/>
      </c>
      <c r="P1809" s="21" t="n"/>
      <c r="Q1809" s="21" t="n"/>
      <c r="R1809" s="21" t="n"/>
      <c r="S1809" s="24" t="n"/>
      <c r="T1809" s="24" t="n"/>
      <c r="V1809">
        <f>IF(A1809="","",MONTH(A1809))</f>
        <v/>
      </c>
      <c r="W1809">
        <f>N(W1808)+IF(AND(C1809&lt;&gt;"",T1809&lt;&gt;""),IF(C1809=WOCHE!$B$3,1,0),0)</f>
        <v/>
      </c>
      <c r="X1809">
        <f>N(X1808)+IF(AND(V1809&lt;&gt;"",T1809&lt;&gt;""),IF(V1809=MONAT!$AZ$3,1,0),0)</f>
        <v/>
      </c>
    </row>
    <row r="1810">
      <c r="A1810" s="19" t="n"/>
      <c r="B1810" s="20">
        <f>IF(A1810="","",CHOOSE(WEEKDAY(A1810,2),"Mo","Di","Mi","Do","Fr","Sa","So"))</f>
        <v/>
      </c>
      <c r="C1810" s="20">
        <f>IF(A1810="","",INT((A1810-DATE(YEAR(A1810-WEEKDAY(A1810-1)+4),1,3)+WEEKDAY(DATE(YEAR(A1810-WEEKDAY(A1810-1)+4),1,3))+5)/7))</f>
        <v/>
      </c>
      <c r="D1810" s="21" t="n"/>
      <c r="E1810" s="22" t="n"/>
      <c r="F1810" s="23" t="n"/>
      <c r="G1810" s="23" t="n"/>
      <c r="H1810" s="23" t="n"/>
      <c r="I1810" s="20">
        <f>IF(COUNT(F1810:H1810)=0,"",SUM(F1810:H1810))</f>
        <v/>
      </c>
      <c r="J1810" s="23" t="n"/>
      <c r="K1810" s="23" t="n"/>
      <c r="L1810" s="23" t="n"/>
      <c r="M1810" s="23" t="n"/>
      <c r="N1810" s="23" t="n"/>
      <c r="O1810" s="20">
        <f>IF(OR(I1810="",COUNT(J1810:N1810)=0),"",IF(SUM(J1810:N1810)=I1810,"✓","⚠ "&amp;SUM(J1810:N1810)&amp;" statt "&amp;I1810))</f>
        <v/>
      </c>
      <c r="P1810" s="21" t="n"/>
      <c r="Q1810" s="21" t="n"/>
      <c r="R1810" s="21" t="n"/>
      <c r="S1810" s="24" t="n"/>
      <c r="T1810" s="24" t="n"/>
      <c r="V1810">
        <f>IF(A1810="","",MONTH(A1810))</f>
        <v/>
      </c>
      <c r="W1810">
        <f>N(W1809)+IF(AND(C1810&lt;&gt;"",T1810&lt;&gt;""),IF(C1810=WOCHE!$B$3,1,0),0)</f>
        <v/>
      </c>
      <c r="X1810">
        <f>N(X1809)+IF(AND(V1810&lt;&gt;"",T1810&lt;&gt;""),IF(V1810=MONAT!$AZ$3,1,0),0)</f>
        <v/>
      </c>
    </row>
    <row r="1811">
      <c r="A1811" s="19" t="n"/>
      <c r="B1811" s="20">
        <f>IF(A1811="","",CHOOSE(WEEKDAY(A1811,2),"Mo","Di","Mi","Do","Fr","Sa","So"))</f>
        <v/>
      </c>
      <c r="C1811" s="20">
        <f>IF(A1811="","",INT((A1811-DATE(YEAR(A1811-WEEKDAY(A1811-1)+4),1,3)+WEEKDAY(DATE(YEAR(A1811-WEEKDAY(A1811-1)+4),1,3))+5)/7))</f>
        <v/>
      </c>
      <c r="D1811" s="21" t="n"/>
      <c r="E1811" s="22" t="n"/>
      <c r="F1811" s="23" t="n"/>
      <c r="G1811" s="23" t="n"/>
      <c r="H1811" s="23" t="n"/>
      <c r="I1811" s="20">
        <f>IF(COUNT(F1811:H1811)=0,"",SUM(F1811:H1811))</f>
        <v/>
      </c>
      <c r="J1811" s="23" t="n"/>
      <c r="K1811" s="23" t="n"/>
      <c r="L1811" s="23" t="n"/>
      <c r="M1811" s="23" t="n"/>
      <c r="N1811" s="23" t="n"/>
      <c r="O1811" s="20">
        <f>IF(OR(I1811="",COUNT(J1811:N1811)=0),"",IF(SUM(J1811:N1811)=I1811,"✓","⚠ "&amp;SUM(J1811:N1811)&amp;" statt "&amp;I1811))</f>
        <v/>
      </c>
      <c r="P1811" s="21" t="n"/>
      <c r="Q1811" s="21" t="n"/>
      <c r="R1811" s="21" t="n"/>
      <c r="S1811" s="24" t="n"/>
      <c r="T1811" s="24" t="n"/>
      <c r="V1811">
        <f>IF(A1811="","",MONTH(A1811))</f>
        <v/>
      </c>
      <c r="W1811">
        <f>N(W1810)+IF(AND(C1811&lt;&gt;"",T1811&lt;&gt;""),IF(C1811=WOCHE!$B$3,1,0),0)</f>
        <v/>
      </c>
      <c r="X1811">
        <f>N(X1810)+IF(AND(V1811&lt;&gt;"",T1811&lt;&gt;""),IF(V1811=MONAT!$AZ$3,1,0),0)</f>
        <v/>
      </c>
    </row>
    <row r="1812">
      <c r="A1812" s="19" t="n"/>
      <c r="B1812" s="20">
        <f>IF(A1812="","",CHOOSE(WEEKDAY(A1812,2),"Mo","Di","Mi","Do","Fr","Sa","So"))</f>
        <v/>
      </c>
      <c r="C1812" s="20">
        <f>IF(A1812="","",INT((A1812-DATE(YEAR(A1812-WEEKDAY(A1812-1)+4),1,3)+WEEKDAY(DATE(YEAR(A1812-WEEKDAY(A1812-1)+4),1,3))+5)/7))</f>
        <v/>
      </c>
      <c r="D1812" s="21" t="n"/>
      <c r="E1812" s="22" t="n"/>
      <c r="F1812" s="23" t="n"/>
      <c r="G1812" s="23" t="n"/>
      <c r="H1812" s="23" t="n"/>
      <c r="I1812" s="20">
        <f>IF(COUNT(F1812:H1812)=0,"",SUM(F1812:H1812))</f>
        <v/>
      </c>
      <c r="J1812" s="23" t="n"/>
      <c r="K1812" s="23" t="n"/>
      <c r="L1812" s="23" t="n"/>
      <c r="M1812" s="23" t="n"/>
      <c r="N1812" s="23" t="n"/>
      <c r="O1812" s="20">
        <f>IF(OR(I1812="",COUNT(J1812:N1812)=0),"",IF(SUM(J1812:N1812)=I1812,"✓","⚠ "&amp;SUM(J1812:N1812)&amp;" statt "&amp;I1812))</f>
        <v/>
      </c>
      <c r="P1812" s="21" t="n"/>
      <c r="Q1812" s="21" t="n"/>
      <c r="R1812" s="21" t="n"/>
      <c r="S1812" s="24" t="n"/>
      <c r="T1812" s="24" t="n"/>
      <c r="V1812">
        <f>IF(A1812="","",MONTH(A1812))</f>
        <v/>
      </c>
      <c r="W1812">
        <f>N(W1811)+IF(AND(C1812&lt;&gt;"",T1812&lt;&gt;""),IF(C1812=WOCHE!$B$3,1,0),0)</f>
        <v/>
      </c>
      <c r="X1812">
        <f>N(X1811)+IF(AND(V1812&lt;&gt;"",T1812&lt;&gt;""),IF(V1812=MONAT!$AZ$3,1,0),0)</f>
        <v/>
      </c>
    </row>
    <row r="1813">
      <c r="A1813" s="19" t="n"/>
      <c r="B1813" s="20">
        <f>IF(A1813="","",CHOOSE(WEEKDAY(A1813,2),"Mo","Di","Mi","Do","Fr","Sa","So"))</f>
        <v/>
      </c>
      <c r="C1813" s="20">
        <f>IF(A1813="","",INT((A1813-DATE(YEAR(A1813-WEEKDAY(A1813-1)+4),1,3)+WEEKDAY(DATE(YEAR(A1813-WEEKDAY(A1813-1)+4),1,3))+5)/7))</f>
        <v/>
      </c>
      <c r="D1813" s="21" t="n"/>
      <c r="E1813" s="22" t="n"/>
      <c r="F1813" s="23" t="n"/>
      <c r="G1813" s="23" t="n"/>
      <c r="H1813" s="23" t="n"/>
      <c r="I1813" s="20">
        <f>IF(COUNT(F1813:H1813)=0,"",SUM(F1813:H1813))</f>
        <v/>
      </c>
      <c r="J1813" s="23" t="n"/>
      <c r="K1813" s="23" t="n"/>
      <c r="L1813" s="23" t="n"/>
      <c r="M1813" s="23" t="n"/>
      <c r="N1813" s="23" t="n"/>
      <c r="O1813" s="20">
        <f>IF(OR(I1813="",COUNT(J1813:N1813)=0),"",IF(SUM(J1813:N1813)=I1813,"✓","⚠ "&amp;SUM(J1813:N1813)&amp;" statt "&amp;I1813))</f>
        <v/>
      </c>
      <c r="P1813" s="21" t="n"/>
      <c r="Q1813" s="21" t="n"/>
      <c r="R1813" s="21" t="n"/>
      <c r="S1813" s="24" t="n"/>
      <c r="T1813" s="24" t="n"/>
      <c r="V1813">
        <f>IF(A1813="","",MONTH(A1813))</f>
        <v/>
      </c>
      <c r="W1813">
        <f>N(W1812)+IF(AND(C1813&lt;&gt;"",T1813&lt;&gt;""),IF(C1813=WOCHE!$B$3,1,0),0)</f>
        <v/>
      </c>
      <c r="X1813">
        <f>N(X1812)+IF(AND(V1813&lt;&gt;"",T1813&lt;&gt;""),IF(V1813=MONAT!$AZ$3,1,0),0)</f>
        <v/>
      </c>
    </row>
    <row r="1814">
      <c r="A1814" s="19" t="n"/>
      <c r="B1814" s="20">
        <f>IF(A1814="","",CHOOSE(WEEKDAY(A1814,2),"Mo","Di","Mi","Do","Fr","Sa","So"))</f>
        <v/>
      </c>
      <c r="C1814" s="20">
        <f>IF(A1814="","",INT((A1814-DATE(YEAR(A1814-WEEKDAY(A1814-1)+4),1,3)+WEEKDAY(DATE(YEAR(A1814-WEEKDAY(A1814-1)+4),1,3))+5)/7))</f>
        <v/>
      </c>
      <c r="D1814" s="21" t="n"/>
      <c r="E1814" s="22" t="n"/>
      <c r="F1814" s="23" t="n"/>
      <c r="G1814" s="23" t="n"/>
      <c r="H1814" s="23" t="n"/>
      <c r="I1814" s="20">
        <f>IF(COUNT(F1814:H1814)=0,"",SUM(F1814:H1814))</f>
        <v/>
      </c>
      <c r="J1814" s="23" t="n"/>
      <c r="K1814" s="23" t="n"/>
      <c r="L1814" s="23" t="n"/>
      <c r="M1814" s="23" t="n"/>
      <c r="N1814" s="23" t="n"/>
      <c r="O1814" s="20">
        <f>IF(OR(I1814="",COUNT(J1814:N1814)=0),"",IF(SUM(J1814:N1814)=I1814,"✓","⚠ "&amp;SUM(J1814:N1814)&amp;" statt "&amp;I1814))</f>
        <v/>
      </c>
      <c r="P1814" s="21" t="n"/>
      <c r="Q1814" s="21" t="n"/>
      <c r="R1814" s="21" t="n"/>
      <c r="S1814" s="24" t="n"/>
      <c r="T1814" s="24" t="n"/>
      <c r="V1814">
        <f>IF(A1814="","",MONTH(A1814))</f>
        <v/>
      </c>
      <c r="W1814">
        <f>N(W1813)+IF(AND(C1814&lt;&gt;"",T1814&lt;&gt;""),IF(C1814=WOCHE!$B$3,1,0),0)</f>
        <v/>
      </c>
      <c r="X1814">
        <f>N(X1813)+IF(AND(V1814&lt;&gt;"",T1814&lt;&gt;""),IF(V1814=MONAT!$AZ$3,1,0),0)</f>
        <v/>
      </c>
    </row>
    <row r="1815">
      <c r="A1815" s="19" t="n"/>
      <c r="B1815" s="20">
        <f>IF(A1815="","",CHOOSE(WEEKDAY(A1815,2),"Mo","Di","Mi","Do","Fr","Sa","So"))</f>
        <v/>
      </c>
      <c r="C1815" s="20">
        <f>IF(A1815="","",INT((A1815-DATE(YEAR(A1815-WEEKDAY(A1815-1)+4),1,3)+WEEKDAY(DATE(YEAR(A1815-WEEKDAY(A1815-1)+4),1,3))+5)/7))</f>
        <v/>
      </c>
      <c r="D1815" s="21" t="n"/>
      <c r="E1815" s="22" t="n"/>
      <c r="F1815" s="23" t="n"/>
      <c r="G1815" s="23" t="n"/>
      <c r="H1815" s="23" t="n"/>
      <c r="I1815" s="20">
        <f>IF(COUNT(F1815:H1815)=0,"",SUM(F1815:H1815))</f>
        <v/>
      </c>
      <c r="J1815" s="23" t="n"/>
      <c r="K1815" s="23" t="n"/>
      <c r="L1815" s="23" t="n"/>
      <c r="M1815" s="23" t="n"/>
      <c r="N1815" s="23" t="n"/>
      <c r="O1815" s="20">
        <f>IF(OR(I1815="",COUNT(J1815:N1815)=0),"",IF(SUM(J1815:N1815)=I1815,"✓","⚠ "&amp;SUM(J1815:N1815)&amp;" statt "&amp;I1815))</f>
        <v/>
      </c>
      <c r="P1815" s="21" t="n"/>
      <c r="Q1815" s="21" t="n"/>
      <c r="R1815" s="21" t="n"/>
      <c r="S1815" s="24" t="n"/>
      <c r="T1815" s="24" t="n"/>
      <c r="V1815">
        <f>IF(A1815="","",MONTH(A1815))</f>
        <v/>
      </c>
      <c r="W1815">
        <f>N(W1814)+IF(AND(C1815&lt;&gt;"",T1815&lt;&gt;""),IF(C1815=WOCHE!$B$3,1,0),0)</f>
        <v/>
      </c>
      <c r="X1815">
        <f>N(X1814)+IF(AND(V1815&lt;&gt;"",T1815&lt;&gt;""),IF(V1815=MONAT!$AZ$3,1,0),0)</f>
        <v/>
      </c>
    </row>
    <row r="1816">
      <c r="A1816" s="19" t="n"/>
      <c r="B1816" s="20">
        <f>IF(A1816="","",CHOOSE(WEEKDAY(A1816,2),"Mo","Di","Mi","Do","Fr","Sa","So"))</f>
        <v/>
      </c>
      <c r="C1816" s="20">
        <f>IF(A1816="","",INT((A1816-DATE(YEAR(A1816-WEEKDAY(A1816-1)+4),1,3)+WEEKDAY(DATE(YEAR(A1816-WEEKDAY(A1816-1)+4),1,3))+5)/7))</f>
        <v/>
      </c>
      <c r="D1816" s="21" t="n"/>
      <c r="E1816" s="22" t="n"/>
      <c r="F1816" s="23" t="n"/>
      <c r="G1816" s="23" t="n"/>
      <c r="H1816" s="23" t="n"/>
      <c r="I1816" s="20">
        <f>IF(COUNT(F1816:H1816)=0,"",SUM(F1816:H1816))</f>
        <v/>
      </c>
      <c r="J1816" s="23" t="n"/>
      <c r="K1816" s="23" t="n"/>
      <c r="L1816" s="23" t="n"/>
      <c r="M1816" s="23" t="n"/>
      <c r="N1816" s="23" t="n"/>
      <c r="O1816" s="20">
        <f>IF(OR(I1816="",COUNT(J1816:N1816)=0),"",IF(SUM(J1816:N1816)=I1816,"✓","⚠ "&amp;SUM(J1816:N1816)&amp;" statt "&amp;I1816))</f>
        <v/>
      </c>
      <c r="P1816" s="21" t="n"/>
      <c r="Q1816" s="21" t="n"/>
      <c r="R1816" s="21" t="n"/>
      <c r="S1816" s="24" t="n"/>
      <c r="T1816" s="24" t="n"/>
      <c r="V1816">
        <f>IF(A1816="","",MONTH(A1816))</f>
        <v/>
      </c>
      <c r="W1816">
        <f>N(W1815)+IF(AND(C1816&lt;&gt;"",T1816&lt;&gt;""),IF(C1816=WOCHE!$B$3,1,0),0)</f>
        <v/>
      </c>
      <c r="X1816">
        <f>N(X1815)+IF(AND(V1816&lt;&gt;"",T1816&lt;&gt;""),IF(V1816=MONAT!$AZ$3,1,0),0)</f>
        <v/>
      </c>
    </row>
    <row r="1817">
      <c r="A1817" s="19" t="n"/>
      <c r="B1817" s="20">
        <f>IF(A1817="","",CHOOSE(WEEKDAY(A1817,2),"Mo","Di","Mi","Do","Fr","Sa","So"))</f>
        <v/>
      </c>
      <c r="C1817" s="20">
        <f>IF(A1817="","",INT((A1817-DATE(YEAR(A1817-WEEKDAY(A1817-1)+4),1,3)+WEEKDAY(DATE(YEAR(A1817-WEEKDAY(A1817-1)+4),1,3))+5)/7))</f>
        <v/>
      </c>
      <c r="D1817" s="21" t="n"/>
      <c r="E1817" s="22" t="n"/>
      <c r="F1817" s="23" t="n"/>
      <c r="G1817" s="23" t="n"/>
      <c r="H1817" s="23" t="n"/>
      <c r="I1817" s="20">
        <f>IF(COUNT(F1817:H1817)=0,"",SUM(F1817:H1817))</f>
        <v/>
      </c>
      <c r="J1817" s="23" t="n"/>
      <c r="K1817" s="23" t="n"/>
      <c r="L1817" s="23" t="n"/>
      <c r="M1817" s="23" t="n"/>
      <c r="N1817" s="23" t="n"/>
      <c r="O1817" s="20">
        <f>IF(OR(I1817="",COUNT(J1817:N1817)=0),"",IF(SUM(J1817:N1817)=I1817,"✓","⚠ "&amp;SUM(J1817:N1817)&amp;" statt "&amp;I1817))</f>
        <v/>
      </c>
      <c r="P1817" s="21" t="n"/>
      <c r="Q1817" s="21" t="n"/>
      <c r="R1817" s="21" t="n"/>
      <c r="S1817" s="24" t="n"/>
      <c r="T1817" s="24" t="n"/>
      <c r="V1817">
        <f>IF(A1817="","",MONTH(A1817))</f>
        <v/>
      </c>
      <c r="W1817">
        <f>N(W1816)+IF(AND(C1817&lt;&gt;"",T1817&lt;&gt;""),IF(C1817=WOCHE!$B$3,1,0),0)</f>
        <v/>
      </c>
      <c r="X1817">
        <f>N(X1816)+IF(AND(V1817&lt;&gt;"",T1817&lt;&gt;""),IF(V1817=MONAT!$AZ$3,1,0),0)</f>
        <v/>
      </c>
    </row>
    <row r="1818">
      <c r="A1818" s="19" t="n"/>
      <c r="B1818" s="20">
        <f>IF(A1818="","",CHOOSE(WEEKDAY(A1818,2),"Mo","Di","Mi","Do","Fr","Sa","So"))</f>
        <v/>
      </c>
      <c r="C1818" s="20">
        <f>IF(A1818="","",INT((A1818-DATE(YEAR(A1818-WEEKDAY(A1818-1)+4),1,3)+WEEKDAY(DATE(YEAR(A1818-WEEKDAY(A1818-1)+4),1,3))+5)/7))</f>
        <v/>
      </c>
      <c r="D1818" s="21" t="n"/>
      <c r="E1818" s="22" t="n"/>
      <c r="F1818" s="23" t="n"/>
      <c r="G1818" s="23" t="n"/>
      <c r="H1818" s="23" t="n"/>
      <c r="I1818" s="20">
        <f>IF(COUNT(F1818:H1818)=0,"",SUM(F1818:H1818))</f>
        <v/>
      </c>
      <c r="J1818" s="23" t="n"/>
      <c r="K1818" s="23" t="n"/>
      <c r="L1818" s="23" t="n"/>
      <c r="M1818" s="23" t="n"/>
      <c r="N1818" s="23" t="n"/>
      <c r="O1818" s="20">
        <f>IF(OR(I1818="",COUNT(J1818:N1818)=0),"",IF(SUM(J1818:N1818)=I1818,"✓","⚠ "&amp;SUM(J1818:N1818)&amp;" statt "&amp;I1818))</f>
        <v/>
      </c>
      <c r="P1818" s="21" t="n"/>
      <c r="Q1818" s="21" t="n"/>
      <c r="R1818" s="21" t="n"/>
      <c r="S1818" s="24" t="n"/>
      <c r="T1818" s="24" t="n"/>
      <c r="V1818">
        <f>IF(A1818="","",MONTH(A1818))</f>
        <v/>
      </c>
      <c r="W1818">
        <f>N(W1817)+IF(AND(C1818&lt;&gt;"",T1818&lt;&gt;""),IF(C1818=WOCHE!$B$3,1,0),0)</f>
        <v/>
      </c>
      <c r="X1818">
        <f>N(X1817)+IF(AND(V1818&lt;&gt;"",T1818&lt;&gt;""),IF(V1818=MONAT!$AZ$3,1,0),0)</f>
        <v/>
      </c>
    </row>
    <row r="1819">
      <c r="A1819" s="19" t="n"/>
      <c r="B1819" s="20">
        <f>IF(A1819="","",CHOOSE(WEEKDAY(A1819,2),"Mo","Di","Mi","Do","Fr","Sa","So"))</f>
        <v/>
      </c>
      <c r="C1819" s="20">
        <f>IF(A1819="","",INT((A1819-DATE(YEAR(A1819-WEEKDAY(A1819-1)+4),1,3)+WEEKDAY(DATE(YEAR(A1819-WEEKDAY(A1819-1)+4),1,3))+5)/7))</f>
        <v/>
      </c>
      <c r="D1819" s="21" t="n"/>
      <c r="E1819" s="22" t="n"/>
      <c r="F1819" s="23" t="n"/>
      <c r="G1819" s="23" t="n"/>
      <c r="H1819" s="23" t="n"/>
      <c r="I1819" s="20">
        <f>IF(COUNT(F1819:H1819)=0,"",SUM(F1819:H1819))</f>
        <v/>
      </c>
      <c r="J1819" s="23" t="n"/>
      <c r="K1819" s="23" t="n"/>
      <c r="L1819" s="23" t="n"/>
      <c r="M1819" s="23" t="n"/>
      <c r="N1819" s="23" t="n"/>
      <c r="O1819" s="20">
        <f>IF(OR(I1819="",COUNT(J1819:N1819)=0),"",IF(SUM(J1819:N1819)=I1819,"✓","⚠ "&amp;SUM(J1819:N1819)&amp;" statt "&amp;I1819))</f>
        <v/>
      </c>
      <c r="P1819" s="21" t="n"/>
      <c r="Q1819" s="21" t="n"/>
      <c r="R1819" s="21" t="n"/>
      <c r="S1819" s="24" t="n"/>
      <c r="T1819" s="24" t="n"/>
      <c r="V1819">
        <f>IF(A1819="","",MONTH(A1819))</f>
        <v/>
      </c>
      <c r="W1819">
        <f>N(W1818)+IF(AND(C1819&lt;&gt;"",T1819&lt;&gt;""),IF(C1819=WOCHE!$B$3,1,0),0)</f>
        <v/>
      </c>
      <c r="X1819">
        <f>N(X1818)+IF(AND(V1819&lt;&gt;"",T1819&lt;&gt;""),IF(V1819=MONAT!$AZ$3,1,0),0)</f>
        <v/>
      </c>
    </row>
    <row r="1820">
      <c r="A1820" s="19" t="n"/>
      <c r="B1820" s="20">
        <f>IF(A1820="","",CHOOSE(WEEKDAY(A1820,2),"Mo","Di","Mi","Do","Fr","Sa","So"))</f>
        <v/>
      </c>
      <c r="C1820" s="20">
        <f>IF(A1820="","",INT((A1820-DATE(YEAR(A1820-WEEKDAY(A1820-1)+4),1,3)+WEEKDAY(DATE(YEAR(A1820-WEEKDAY(A1820-1)+4),1,3))+5)/7))</f>
        <v/>
      </c>
      <c r="D1820" s="21" t="n"/>
      <c r="E1820" s="22" t="n"/>
      <c r="F1820" s="23" t="n"/>
      <c r="G1820" s="23" t="n"/>
      <c r="H1820" s="23" t="n"/>
      <c r="I1820" s="20">
        <f>IF(COUNT(F1820:H1820)=0,"",SUM(F1820:H1820))</f>
        <v/>
      </c>
      <c r="J1820" s="23" t="n"/>
      <c r="K1820" s="23" t="n"/>
      <c r="L1820" s="23" t="n"/>
      <c r="M1820" s="23" t="n"/>
      <c r="N1820" s="23" t="n"/>
      <c r="O1820" s="20">
        <f>IF(OR(I1820="",COUNT(J1820:N1820)=0),"",IF(SUM(J1820:N1820)=I1820,"✓","⚠ "&amp;SUM(J1820:N1820)&amp;" statt "&amp;I1820))</f>
        <v/>
      </c>
      <c r="P1820" s="21" t="n"/>
      <c r="Q1820" s="21" t="n"/>
      <c r="R1820" s="21" t="n"/>
      <c r="S1820" s="24" t="n"/>
      <c r="T1820" s="24" t="n"/>
      <c r="V1820">
        <f>IF(A1820="","",MONTH(A1820))</f>
        <v/>
      </c>
      <c r="W1820">
        <f>N(W1819)+IF(AND(C1820&lt;&gt;"",T1820&lt;&gt;""),IF(C1820=WOCHE!$B$3,1,0),0)</f>
        <v/>
      </c>
      <c r="X1820">
        <f>N(X1819)+IF(AND(V1820&lt;&gt;"",T1820&lt;&gt;""),IF(V1820=MONAT!$AZ$3,1,0),0)</f>
        <v/>
      </c>
    </row>
    <row r="1821">
      <c r="A1821" s="19" t="n"/>
      <c r="B1821" s="20">
        <f>IF(A1821="","",CHOOSE(WEEKDAY(A1821,2),"Mo","Di","Mi","Do","Fr","Sa","So"))</f>
        <v/>
      </c>
      <c r="C1821" s="20">
        <f>IF(A1821="","",INT((A1821-DATE(YEAR(A1821-WEEKDAY(A1821-1)+4),1,3)+WEEKDAY(DATE(YEAR(A1821-WEEKDAY(A1821-1)+4),1,3))+5)/7))</f>
        <v/>
      </c>
      <c r="D1821" s="21" t="n"/>
      <c r="E1821" s="22" t="n"/>
      <c r="F1821" s="23" t="n"/>
      <c r="G1821" s="23" t="n"/>
      <c r="H1821" s="23" t="n"/>
      <c r="I1821" s="20">
        <f>IF(COUNT(F1821:H1821)=0,"",SUM(F1821:H1821))</f>
        <v/>
      </c>
      <c r="J1821" s="23" t="n"/>
      <c r="K1821" s="23" t="n"/>
      <c r="L1821" s="23" t="n"/>
      <c r="M1821" s="23" t="n"/>
      <c r="N1821" s="23" t="n"/>
      <c r="O1821" s="20">
        <f>IF(OR(I1821="",COUNT(J1821:N1821)=0),"",IF(SUM(J1821:N1821)=I1821,"✓","⚠ "&amp;SUM(J1821:N1821)&amp;" statt "&amp;I1821))</f>
        <v/>
      </c>
      <c r="P1821" s="21" t="n"/>
      <c r="Q1821" s="21" t="n"/>
      <c r="R1821" s="21" t="n"/>
      <c r="S1821" s="24" t="n"/>
      <c r="T1821" s="24" t="n"/>
      <c r="V1821">
        <f>IF(A1821="","",MONTH(A1821))</f>
        <v/>
      </c>
      <c r="W1821">
        <f>N(W1820)+IF(AND(C1821&lt;&gt;"",T1821&lt;&gt;""),IF(C1821=WOCHE!$B$3,1,0),0)</f>
        <v/>
      </c>
      <c r="X1821">
        <f>N(X1820)+IF(AND(V1821&lt;&gt;"",T1821&lt;&gt;""),IF(V1821=MONAT!$AZ$3,1,0),0)</f>
        <v/>
      </c>
    </row>
    <row r="1822">
      <c r="A1822" s="19" t="n"/>
      <c r="B1822" s="20">
        <f>IF(A1822="","",CHOOSE(WEEKDAY(A1822,2),"Mo","Di","Mi","Do","Fr","Sa","So"))</f>
        <v/>
      </c>
      <c r="C1822" s="20">
        <f>IF(A1822="","",INT((A1822-DATE(YEAR(A1822-WEEKDAY(A1822-1)+4),1,3)+WEEKDAY(DATE(YEAR(A1822-WEEKDAY(A1822-1)+4),1,3))+5)/7))</f>
        <v/>
      </c>
      <c r="D1822" s="21" t="n"/>
      <c r="E1822" s="22" t="n"/>
      <c r="F1822" s="23" t="n"/>
      <c r="G1822" s="23" t="n"/>
      <c r="H1822" s="23" t="n"/>
      <c r="I1822" s="20">
        <f>IF(COUNT(F1822:H1822)=0,"",SUM(F1822:H1822))</f>
        <v/>
      </c>
      <c r="J1822" s="23" t="n"/>
      <c r="K1822" s="23" t="n"/>
      <c r="L1822" s="23" t="n"/>
      <c r="M1822" s="23" t="n"/>
      <c r="N1822" s="23" t="n"/>
      <c r="O1822" s="20">
        <f>IF(OR(I1822="",COUNT(J1822:N1822)=0),"",IF(SUM(J1822:N1822)=I1822,"✓","⚠ "&amp;SUM(J1822:N1822)&amp;" statt "&amp;I1822))</f>
        <v/>
      </c>
      <c r="P1822" s="21" t="n"/>
      <c r="Q1822" s="21" t="n"/>
      <c r="R1822" s="21" t="n"/>
      <c r="S1822" s="24" t="n"/>
      <c r="T1822" s="24" t="n"/>
      <c r="V1822">
        <f>IF(A1822="","",MONTH(A1822))</f>
        <v/>
      </c>
      <c r="W1822">
        <f>N(W1821)+IF(AND(C1822&lt;&gt;"",T1822&lt;&gt;""),IF(C1822=WOCHE!$B$3,1,0),0)</f>
        <v/>
      </c>
      <c r="X1822">
        <f>N(X1821)+IF(AND(V1822&lt;&gt;"",T1822&lt;&gt;""),IF(V1822=MONAT!$AZ$3,1,0),0)</f>
        <v/>
      </c>
    </row>
    <row r="1823">
      <c r="A1823" s="19" t="n"/>
      <c r="B1823" s="20">
        <f>IF(A1823="","",CHOOSE(WEEKDAY(A1823,2),"Mo","Di","Mi","Do","Fr","Sa","So"))</f>
        <v/>
      </c>
      <c r="C1823" s="20">
        <f>IF(A1823="","",INT((A1823-DATE(YEAR(A1823-WEEKDAY(A1823-1)+4),1,3)+WEEKDAY(DATE(YEAR(A1823-WEEKDAY(A1823-1)+4),1,3))+5)/7))</f>
        <v/>
      </c>
      <c r="D1823" s="21" t="n"/>
      <c r="E1823" s="22" t="n"/>
      <c r="F1823" s="23" t="n"/>
      <c r="G1823" s="23" t="n"/>
      <c r="H1823" s="23" t="n"/>
      <c r="I1823" s="20">
        <f>IF(COUNT(F1823:H1823)=0,"",SUM(F1823:H1823))</f>
        <v/>
      </c>
      <c r="J1823" s="23" t="n"/>
      <c r="K1823" s="23" t="n"/>
      <c r="L1823" s="23" t="n"/>
      <c r="M1823" s="23" t="n"/>
      <c r="N1823" s="23" t="n"/>
      <c r="O1823" s="20">
        <f>IF(OR(I1823="",COUNT(J1823:N1823)=0),"",IF(SUM(J1823:N1823)=I1823,"✓","⚠ "&amp;SUM(J1823:N1823)&amp;" statt "&amp;I1823))</f>
        <v/>
      </c>
      <c r="P1823" s="21" t="n"/>
      <c r="Q1823" s="21" t="n"/>
      <c r="R1823" s="21" t="n"/>
      <c r="S1823" s="24" t="n"/>
      <c r="T1823" s="24" t="n"/>
      <c r="V1823">
        <f>IF(A1823="","",MONTH(A1823))</f>
        <v/>
      </c>
      <c r="W1823">
        <f>N(W1822)+IF(AND(C1823&lt;&gt;"",T1823&lt;&gt;""),IF(C1823=WOCHE!$B$3,1,0),0)</f>
        <v/>
      </c>
      <c r="X1823">
        <f>N(X1822)+IF(AND(V1823&lt;&gt;"",T1823&lt;&gt;""),IF(V1823=MONAT!$AZ$3,1,0),0)</f>
        <v/>
      </c>
    </row>
    <row r="1824">
      <c r="A1824" s="19" t="n"/>
      <c r="B1824" s="20">
        <f>IF(A1824="","",CHOOSE(WEEKDAY(A1824,2),"Mo","Di","Mi","Do","Fr","Sa","So"))</f>
        <v/>
      </c>
      <c r="C1824" s="20">
        <f>IF(A1824="","",INT((A1824-DATE(YEAR(A1824-WEEKDAY(A1824-1)+4),1,3)+WEEKDAY(DATE(YEAR(A1824-WEEKDAY(A1824-1)+4),1,3))+5)/7))</f>
        <v/>
      </c>
      <c r="D1824" s="21" t="n"/>
      <c r="E1824" s="22" t="n"/>
      <c r="F1824" s="23" t="n"/>
      <c r="G1824" s="23" t="n"/>
      <c r="H1824" s="23" t="n"/>
      <c r="I1824" s="20">
        <f>IF(COUNT(F1824:H1824)=0,"",SUM(F1824:H1824))</f>
        <v/>
      </c>
      <c r="J1824" s="23" t="n"/>
      <c r="K1824" s="23" t="n"/>
      <c r="L1824" s="23" t="n"/>
      <c r="M1824" s="23" t="n"/>
      <c r="N1824" s="23" t="n"/>
      <c r="O1824" s="20">
        <f>IF(OR(I1824="",COUNT(J1824:N1824)=0),"",IF(SUM(J1824:N1824)=I1824,"✓","⚠ "&amp;SUM(J1824:N1824)&amp;" statt "&amp;I1824))</f>
        <v/>
      </c>
      <c r="P1824" s="21" t="n"/>
      <c r="Q1824" s="21" t="n"/>
      <c r="R1824" s="21" t="n"/>
      <c r="S1824" s="24" t="n"/>
      <c r="T1824" s="24" t="n"/>
      <c r="V1824">
        <f>IF(A1824="","",MONTH(A1824))</f>
        <v/>
      </c>
      <c r="W1824">
        <f>N(W1823)+IF(AND(C1824&lt;&gt;"",T1824&lt;&gt;""),IF(C1824=WOCHE!$B$3,1,0),0)</f>
        <v/>
      </c>
      <c r="X1824">
        <f>N(X1823)+IF(AND(V1824&lt;&gt;"",T1824&lt;&gt;""),IF(V1824=MONAT!$AZ$3,1,0),0)</f>
        <v/>
      </c>
    </row>
    <row r="1825">
      <c r="A1825" s="19" t="n"/>
      <c r="B1825" s="20">
        <f>IF(A1825="","",CHOOSE(WEEKDAY(A1825,2),"Mo","Di","Mi","Do","Fr","Sa","So"))</f>
        <v/>
      </c>
      <c r="C1825" s="20">
        <f>IF(A1825="","",INT((A1825-DATE(YEAR(A1825-WEEKDAY(A1825-1)+4),1,3)+WEEKDAY(DATE(YEAR(A1825-WEEKDAY(A1825-1)+4),1,3))+5)/7))</f>
        <v/>
      </c>
      <c r="D1825" s="21" t="n"/>
      <c r="E1825" s="22" t="n"/>
      <c r="F1825" s="23" t="n"/>
      <c r="G1825" s="23" t="n"/>
      <c r="H1825" s="23" t="n"/>
      <c r="I1825" s="20">
        <f>IF(COUNT(F1825:H1825)=0,"",SUM(F1825:H1825))</f>
        <v/>
      </c>
      <c r="J1825" s="23" t="n"/>
      <c r="K1825" s="23" t="n"/>
      <c r="L1825" s="23" t="n"/>
      <c r="M1825" s="23" t="n"/>
      <c r="N1825" s="23" t="n"/>
      <c r="O1825" s="20">
        <f>IF(OR(I1825="",COUNT(J1825:N1825)=0),"",IF(SUM(J1825:N1825)=I1825,"✓","⚠ "&amp;SUM(J1825:N1825)&amp;" statt "&amp;I1825))</f>
        <v/>
      </c>
      <c r="P1825" s="21" t="n"/>
      <c r="Q1825" s="21" t="n"/>
      <c r="R1825" s="21" t="n"/>
      <c r="S1825" s="24" t="n"/>
      <c r="T1825" s="24" t="n"/>
      <c r="V1825">
        <f>IF(A1825="","",MONTH(A1825))</f>
        <v/>
      </c>
      <c r="W1825">
        <f>N(W1824)+IF(AND(C1825&lt;&gt;"",T1825&lt;&gt;""),IF(C1825=WOCHE!$B$3,1,0),0)</f>
        <v/>
      </c>
      <c r="X1825">
        <f>N(X1824)+IF(AND(V1825&lt;&gt;"",T1825&lt;&gt;""),IF(V1825=MONAT!$AZ$3,1,0),0)</f>
        <v/>
      </c>
    </row>
    <row r="1826">
      <c r="A1826" s="19" t="n"/>
      <c r="B1826" s="20">
        <f>IF(A1826="","",CHOOSE(WEEKDAY(A1826,2),"Mo","Di","Mi","Do","Fr","Sa","So"))</f>
        <v/>
      </c>
      <c r="C1826" s="20">
        <f>IF(A1826="","",INT((A1826-DATE(YEAR(A1826-WEEKDAY(A1826-1)+4),1,3)+WEEKDAY(DATE(YEAR(A1826-WEEKDAY(A1826-1)+4),1,3))+5)/7))</f>
        <v/>
      </c>
      <c r="D1826" s="21" t="n"/>
      <c r="E1826" s="22" t="n"/>
      <c r="F1826" s="23" t="n"/>
      <c r="G1826" s="23" t="n"/>
      <c r="H1826" s="23" t="n"/>
      <c r="I1826" s="20">
        <f>IF(COUNT(F1826:H1826)=0,"",SUM(F1826:H1826))</f>
        <v/>
      </c>
      <c r="J1826" s="23" t="n"/>
      <c r="K1826" s="23" t="n"/>
      <c r="L1826" s="23" t="n"/>
      <c r="M1826" s="23" t="n"/>
      <c r="N1826" s="23" t="n"/>
      <c r="O1826" s="20">
        <f>IF(OR(I1826="",COUNT(J1826:N1826)=0),"",IF(SUM(J1826:N1826)=I1826,"✓","⚠ "&amp;SUM(J1826:N1826)&amp;" statt "&amp;I1826))</f>
        <v/>
      </c>
      <c r="P1826" s="21" t="n"/>
      <c r="Q1826" s="21" t="n"/>
      <c r="R1826" s="21" t="n"/>
      <c r="S1826" s="24" t="n"/>
      <c r="T1826" s="24" t="n"/>
      <c r="V1826">
        <f>IF(A1826="","",MONTH(A1826))</f>
        <v/>
      </c>
      <c r="W1826">
        <f>N(W1825)+IF(AND(C1826&lt;&gt;"",T1826&lt;&gt;""),IF(C1826=WOCHE!$B$3,1,0),0)</f>
        <v/>
      </c>
      <c r="X1826">
        <f>N(X1825)+IF(AND(V1826&lt;&gt;"",T1826&lt;&gt;""),IF(V1826=MONAT!$AZ$3,1,0),0)</f>
        <v/>
      </c>
    </row>
    <row r="1827">
      <c r="A1827" s="19" t="n"/>
      <c r="B1827" s="20">
        <f>IF(A1827="","",CHOOSE(WEEKDAY(A1827,2),"Mo","Di","Mi","Do","Fr","Sa","So"))</f>
        <v/>
      </c>
      <c r="C1827" s="20">
        <f>IF(A1827="","",INT((A1827-DATE(YEAR(A1827-WEEKDAY(A1827-1)+4),1,3)+WEEKDAY(DATE(YEAR(A1827-WEEKDAY(A1827-1)+4),1,3))+5)/7))</f>
        <v/>
      </c>
      <c r="D1827" s="21" t="n"/>
      <c r="E1827" s="22" t="n"/>
      <c r="F1827" s="23" t="n"/>
      <c r="G1827" s="23" t="n"/>
      <c r="H1827" s="23" t="n"/>
      <c r="I1827" s="20">
        <f>IF(COUNT(F1827:H1827)=0,"",SUM(F1827:H1827))</f>
        <v/>
      </c>
      <c r="J1827" s="23" t="n"/>
      <c r="K1827" s="23" t="n"/>
      <c r="L1827" s="23" t="n"/>
      <c r="M1827" s="23" t="n"/>
      <c r="N1827" s="23" t="n"/>
      <c r="O1827" s="20">
        <f>IF(OR(I1827="",COUNT(J1827:N1827)=0),"",IF(SUM(J1827:N1827)=I1827,"✓","⚠ "&amp;SUM(J1827:N1827)&amp;" statt "&amp;I1827))</f>
        <v/>
      </c>
      <c r="P1827" s="21" t="n"/>
      <c r="Q1827" s="21" t="n"/>
      <c r="R1827" s="21" t="n"/>
      <c r="S1827" s="24" t="n"/>
      <c r="T1827" s="24" t="n"/>
      <c r="V1827">
        <f>IF(A1827="","",MONTH(A1827))</f>
        <v/>
      </c>
      <c r="W1827">
        <f>N(W1826)+IF(AND(C1827&lt;&gt;"",T1827&lt;&gt;""),IF(C1827=WOCHE!$B$3,1,0),0)</f>
        <v/>
      </c>
      <c r="X1827">
        <f>N(X1826)+IF(AND(V1827&lt;&gt;"",T1827&lt;&gt;""),IF(V1827=MONAT!$AZ$3,1,0),0)</f>
        <v/>
      </c>
    </row>
    <row r="1828">
      <c r="A1828" s="19" t="n"/>
      <c r="B1828" s="20">
        <f>IF(A1828="","",CHOOSE(WEEKDAY(A1828,2),"Mo","Di","Mi","Do","Fr","Sa","So"))</f>
        <v/>
      </c>
      <c r="C1828" s="20">
        <f>IF(A1828="","",INT((A1828-DATE(YEAR(A1828-WEEKDAY(A1828-1)+4),1,3)+WEEKDAY(DATE(YEAR(A1828-WEEKDAY(A1828-1)+4),1,3))+5)/7))</f>
        <v/>
      </c>
      <c r="D1828" s="21" t="n"/>
      <c r="E1828" s="22" t="n"/>
      <c r="F1828" s="23" t="n"/>
      <c r="G1828" s="23" t="n"/>
      <c r="H1828" s="23" t="n"/>
      <c r="I1828" s="20">
        <f>IF(COUNT(F1828:H1828)=0,"",SUM(F1828:H1828))</f>
        <v/>
      </c>
      <c r="J1828" s="23" t="n"/>
      <c r="K1828" s="23" t="n"/>
      <c r="L1828" s="23" t="n"/>
      <c r="M1828" s="23" t="n"/>
      <c r="N1828" s="23" t="n"/>
      <c r="O1828" s="20">
        <f>IF(OR(I1828="",COUNT(J1828:N1828)=0),"",IF(SUM(J1828:N1828)=I1828,"✓","⚠ "&amp;SUM(J1828:N1828)&amp;" statt "&amp;I1828))</f>
        <v/>
      </c>
      <c r="P1828" s="21" t="n"/>
      <c r="Q1828" s="21" t="n"/>
      <c r="R1828" s="21" t="n"/>
      <c r="S1828" s="24" t="n"/>
      <c r="T1828" s="24" t="n"/>
      <c r="V1828">
        <f>IF(A1828="","",MONTH(A1828))</f>
        <v/>
      </c>
      <c r="W1828">
        <f>N(W1827)+IF(AND(C1828&lt;&gt;"",T1828&lt;&gt;""),IF(C1828=WOCHE!$B$3,1,0),0)</f>
        <v/>
      </c>
      <c r="X1828">
        <f>N(X1827)+IF(AND(V1828&lt;&gt;"",T1828&lt;&gt;""),IF(V1828=MONAT!$AZ$3,1,0),0)</f>
        <v/>
      </c>
    </row>
    <row r="1829">
      <c r="A1829" s="19" t="n"/>
      <c r="B1829" s="20">
        <f>IF(A1829="","",CHOOSE(WEEKDAY(A1829,2),"Mo","Di","Mi","Do","Fr","Sa","So"))</f>
        <v/>
      </c>
      <c r="C1829" s="20">
        <f>IF(A1829="","",INT((A1829-DATE(YEAR(A1829-WEEKDAY(A1829-1)+4),1,3)+WEEKDAY(DATE(YEAR(A1829-WEEKDAY(A1829-1)+4),1,3))+5)/7))</f>
        <v/>
      </c>
      <c r="D1829" s="21" t="n"/>
      <c r="E1829" s="22" t="n"/>
      <c r="F1829" s="23" t="n"/>
      <c r="G1829" s="23" t="n"/>
      <c r="H1829" s="23" t="n"/>
      <c r="I1829" s="20">
        <f>IF(COUNT(F1829:H1829)=0,"",SUM(F1829:H1829))</f>
        <v/>
      </c>
      <c r="J1829" s="23" t="n"/>
      <c r="K1829" s="23" t="n"/>
      <c r="L1829" s="23" t="n"/>
      <c r="M1829" s="23" t="n"/>
      <c r="N1829" s="23" t="n"/>
      <c r="O1829" s="20">
        <f>IF(OR(I1829="",COUNT(J1829:N1829)=0),"",IF(SUM(J1829:N1829)=I1829,"✓","⚠ "&amp;SUM(J1829:N1829)&amp;" statt "&amp;I1829))</f>
        <v/>
      </c>
      <c r="P1829" s="21" t="n"/>
      <c r="Q1829" s="21" t="n"/>
      <c r="R1829" s="21" t="n"/>
      <c r="S1829" s="24" t="n"/>
      <c r="T1829" s="24" t="n"/>
      <c r="V1829">
        <f>IF(A1829="","",MONTH(A1829))</f>
        <v/>
      </c>
      <c r="W1829">
        <f>N(W1828)+IF(AND(C1829&lt;&gt;"",T1829&lt;&gt;""),IF(C1829=WOCHE!$B$3,1,0),0)</f>
        <v/>
      </c>
      <c r="X1829">
        <f>N(X1828)+IF(AND(V1829&lt;&gt;"",T1829&lt;&gt;""),IF(V1829=MONAT!$AZ$3,1,0),0)</f>
        <v/>
      </c>
    </row>
    <row r="1830">
      <c r="A1830" s="19" t="n"/>
      <c r="B1830" s="20">
        <f>IF(A1830="","",CHOOSE(WEEKDAY(A1830,2),"Mo","Di","Mi","Do","Fr","Sa","So"))</f>
        <v/>
      </c>
      <c r="C1830" s="20">
        <f>IF(A1830="","",INT((A1830-DATE(YEAR(A1830-WEEKDAY(A1830-1)+4),1,3)+WEEKDAY(DATE(YEAR(A1830-WEEKDAY(A1830-1)+4),1,3))+5)/7))</f>
        <v/>
      </c>
      <c r="D1830" s="21" t="n"/>
      <c r="E1830" s="22" t="n"/>
      <c r="F1830" s="23" t="n"/>
      <c r="G1830" s="23" t="n"/>
      <c r="H1830" s="23" t="n"/>
      <c r="I1830" s="20">
        <f>IF(COUNT(F1830:H1830)=0,"",SUM(F1830:H1830))</f>
        <v/>
      </c>
      <c r="J1830" s="23" t="n"/>
      <c r="K1830" s="23" t="n"/>
      <c r="L1830" s="23" t="n"/>
      <c r="M1830" s="23" t="n"/>
      <c r="N1830" s="23" t="n"/>
      <c r="O1830" s="20">
        <f>IF(OR(I1830="",COUNT(J1830:N1830)=0),"",IF(SUM(J1830:N1830)=I1830,"✓","⚠ "&amp;SUM(J1830:N1830)&amp;" statt "&amp;I1830))</f>
        <v/>
      </c>
      <c r="P1830" s="21" t="n"/>
      <c r="Q1830" s="21" t="n"/>
      <c r="R1830" s="21" t="n"/>
      <c r="S1830" s="24" t="n"/>
      <c r="T1830" s="24" t="n"/>
      <c r="V1830">
        <f>IF(A1830="","",MONTH(A1830))</f>
        <v/>
      </c>
      <c r="W1830">
        <f>N(W1829)+IF(AND(C1830&lt;&gt;"",T1830&lt;&gt;""),IF(C1830=WOCHE!$B$3,1,0),0)</f>
        <v/>
      </c>
      <c r="X1830">
        <f>N(X1829)+IF(AND(V1830&lt;&gt;"",T1830&lt;&gt;""),IF(V1830=MONAT!$AZ$3,1,0),0)</f>
        <v/>
      </c>
    </row>
    <row r="1831">
      <c r="A1831" s="19" t="n"/>
      <c r="B1831" s="20">
        <f>IF(A1831="","",CHOOSE(WEEKDAY(A1831,2),"Mo","Di","Mi","Do","Fr","Sa","So"))</f>
        <v/>
      </c>
      <c r="C1831" s="20">
        <f>IF(A1831="","",INT((A1831-DATE(YEAR(A1831-WEEKDAY(A1831-1)+4),1,3)+WEEKDAY(DATE(YEAR(A1831-WEEKDAY(A1831-1)+4),1,3))+5)/7))</f>
        <v/>
      </c>
      <c r="D1831" s="21" t="n"/>
      <c r="E1831" s="22" t="n"/>
      <c r="F1831" s="23" t="n"/>
      <c r="G1831" s="23" t="n"/>
      <c r="H1831" s="23" t="n"/>
      <c r="I1831" s="20">
        <f>IF(COUNT(F1831:H1831)=0,"",SUM(F1831:H1831))</f>
        <v/>
      </c>
      <c r="J1831" s="23" t="n"/>
      <c r="K1831" s="23" t="n"/>
      <c r="L1831" s="23" t="n"/>
      <c r="M1831" s="23" t="n"/>
      <c r="N1831" s="23" t="n"/>
      <c r="O1831" s="20">
        <f>IF(OR(I1831="",COUNT(J1831:N1831)=0),"",IF(SUM(J1831:N1831)=I1831,"✓","⚠ "&amp;SUM(J1831:N1831)&amp;" statt "&amp;I1831))</f>
        <v/>
      </c>
      <c r="P1831" s="21" t="n"/>
      <c r="Q1831" s="21" t="n"/>
      <c r="R1831" s="21" t="n"/>
      <c r="S1831" s="24" t="n"/>
      <c r="T1831" s="24" t="n"/>
      <c r="V1831">
        <f>IF(A1831="","",MONTH(A1831))</f>
        <v/>
      </c>
      <c r="W1831">
        <f>N(W1830)+IF(AND(C1831&lt;&gt;"",T1831&lt;&gt;""),IF(C1831=WOCHE!$B$3,1,0),0)</f>
        <v/>
      </c>
      <c r="X1831">
        <f>N(X1830)+IF(AND(V1831&lt;&gt;"",T1831&lt;&gt;""),IF(V1831=MONAT!$AZ$3,1,0),0)</f>
        <v/>
      </c>
    </row>
    <row r="1832">
      <c r="A1832" s="19" t="n"/>
      <c r="B1832" s="20">
        <f>IF(A1832="","",CHOOSE(WEEKDAY(A1832,2),"Mo","Di","Mi","Do","Fr","Sa","So"))</f>
        <v/>
      </c>
      <c r="C1832" s="20">
        <f>IF(A1832="","",INT((A1832-DATE(YEAR(A1832-WEEKDAY(A1832-1)+4),1,3)+WEEKDAY(DATE(YEAR(A1832-WEEKDAY(A1832-1)+4),1,3))+5)/7))</f>
        <v/>
      </c>
      <c r="D1832" s="21" t="n"/>
      <c r="E1832" s="22" t="n"/>
      <c r="F1832" s="23" t="n"/>
      <c r="G1832" s="23" t="n"/>
      <c r="H1832" s="23" t="n"/>
      <c r="I1832" s="20">
        <f>IF(COUNT(F1832:H1832)=0,"",SUM(F1832:H1832))</f>
        <v/>
      </c>
      <c r="J1832" s="23" t="n"/>
      <c r="K1832" s="23" t="n"/>
      <c r="L1832" s="23" t="n"/>
      <c r="M1832" s="23" t="n"/>
      <c r="N1832" s="23" t="n"/>
      <c r="O1832" s="20">
        <f>IF(OR(I1832="",COUNT(J1832:N1832)=0),"",IF(SUM(J1832:N1832)=I1832,"✓","⚠ "&amp;SUM(J1832:N1832)&amp;" statt "&amp;I1832))</f>
        <v/>
      </c>
      <c r="P1832" s="21" t="n"/>
      <c r="Q1832" s="21" t="n"/>
      <c r="R1832" s="21" t="n"/>
      <c r="S1832" s="24" t="n"/>
      <c r="T1832" s="24" t="n"/>
      <c r="V1832">
        <f>IF(A1832="","",MONTH(A1832))</f>
        <v/>
      </c>
      <c r="W1832">
        <f>N(W1831)+IF(AND(C1832&lt;&gt;"",T1832&lt;&gt;""),IF(C1832=WOCHE!$B$3,1,0),0)</f>
        <v/>
      </c>
      <c r="X1832">
        <f>N(X1831)+IF(AND(V1832&lt;&gt;"",T1832&lt;&gt;""),IF(V1832=MONAT!$AZ$3,1,0),0)</f>
        <v/>
      </c>
    </row>
    <row r="1833">
      <c r="A1833" s="19" t="n"/>
      <c r="B1833" s="20">
        <f>IF(A1833="","",CHOOSE(WEEKDAY(A1833,2),"Mo","Di","Mi","Do","Fr","Sa","So"))</f>
        <v/>
      </c>
      <c r="C1833" s="20">
        <f>IF(A1833="","",INT((A1833-DATE(YEAR(A1833-WEEKDAY(A1833-1)+4),1,3)+WEEKDAY(DATE(YEAR(A1833-WEEKDAY(A1833-1)+4),1,3))+5)/7))</f>
        <v/>
      </c>
      <c r="D1833" s="21" t="n"/>
      <c r="E1833" s="22" t="n"/>
      <c r="F1833" s="23" t="n"/>
      <c r="G1833" s="23" t="n"/>
      <c r="H1833" s="23" t="n"/>
      <c r="I1833" s="20">
        <f>IF(COUNT(F1833:H1833)=0,"",SUM(F1833:H1833))</f>
        <v/>
      </c>
      <c r="J1833" s="23" t="n"/>
      <c r="K1833" s="23" t="n"/>
      <c r="L1833" s="23" t="n"/>
      <c r="M1833" s="23" t="n"/>
      <c r="N1833" s="23" t="n"/>
      <c r="O1833" s="20">
        <f>IF(OR(I1833="",COUNT(J1833:N1833)=0),"",IF(SUM(J1833:N1833)=I1833,"✓","⚠ "&amp;SUM(J1833:N1833)&amp;" statt "&amp;I1833))</f>
        <v/>
      </c>
      <c r="P1833" s="21" t="n"/>
      <c r="Q1833" s="21" t="n"/>
      <c r="R1833" s="21" t="n"/>
      <c r="S1833" s="24" t="n"/>
      <c r="T1833" s="24" t="n"/>
      <c r="V1833">
        <f>IF(A1833="","",MONTH(A1833))</f>
        <v/>
      </c>
      <c r="W1833">
        <f>N(W1832)+IF(AND(C1833&lt;&gt;"",T1833&lt;&gt;""),IF(C1833=WOCHE!$B$3,1,0),0)</f>
        <v/>
      </c>
      <c r="X1833">
        <f>N(X1832)+IF(AND(V1833&lt;&gt;"",T1833&lt;&gt;""),IF(V1833=MONAT!$AZ$3,1,0),0)</f>
        <v/>
      </c>
    </row>
    <row r="1834">
      <c r="A1834" s="19" t="n"/>
      <c r="B1834" s="20">
        <f>IF(A1834="","",CHOOSE(WEEKDAY(A1834,2),"Mo","Di","Mi","Do","Fr","Sa","So"))</f>
        <v/>
      </c>
      <c r="C1834" s="20">
        <f>IF(A1834="","",INT((A1834-DATE(YEAR(A1834-WEEKDAY(A1834-1)+4),1,3)+WEEKDAY(DATE(YEAR(A1834-WEEKDAY(A1834-1)+4),1,3))+5)/7))</f>
        <v/>
      </c>
      <c r="D1834" s="21" t="n"/>
      <c r="E1834" s="22" t="n"/>
      <c r="F1834" s="23" t="n"/>
      <c r="G1834" s="23" t="n"/>
      <c r="H1834" s="23" t="n"/>
      <c r="I1834" s="20">
        <f>IF(COUNT(F1834:H1834)=0,"",SUM(F1834:H1834))</f>
        <v/>
      </c>
      <c r="J1834" s="23" t="n"/>
      <c r="K1834" s="23" t="n"/>
      <c r="L1834" s="23" t="n"/>
      <c r="M1834" s="23" t="n"/>
      <c r="N1834" s="23" t="n"/>
      <c r="O1834" s="20">
        <f>IF(OR(I1834="",COUNT(J1834:N1834)=0),"",IF(SUM(J1834:N1834)=I1834,"✓","⚠ "&amp;SUM(J1834:N1834)&amp;" statt "&amp;I1834))</f>
        <v/>
      </c>
      <c r="P1834" s="21" t="n"/>
      <c r="Q1834" s="21" t="n"/>
      <c r="R1834" s="21" t="n"/>
      <c r="S1834" s="24" t="n"/>
      <c r="T1834" s="24" t="n"/>
      <c r="V1834">
        <f>IF(A1834="","",MONTH(A1834))</f>
        <v/>
      </c>
      <c r="W1834">
        <f>N(W1833)+IF(AND(C1834&lt;&gt;"",T1834&lt;&gt;""),IF(C1834=WOCHE!$B$3,1,0),0)</f>
        <v/>
      </c>
      <c r="X1834">
        <f>N(X1833)+IF(AND(V1834&lt;&gt;"",T1834&lt;&gt;""),IF(V1834=MONAT!$AZ$3,1,0),0)</f>
        <v/>
      </c>
    </row>
    <row r="1835">
      <c r="A1835" s="19" t="n"/>
      <c r="B1835" s="20">
        <f>IF(A1835="","",CHOOSE(WEEKDAY(A1835,2),"Mo","Di","Mi","Do","Fr","Sa","So"))</f>
        <v/>
      </c>
      <c r="C1835" s="20">
        <f>IF(A1835="","",INT((A1835-DATE(YEAR(A1835-WEEKDAY(A1835-1)+4),1,3)+WEEKDAY(DATE(YEAR(A1835-WEEKDAY(A1835-1)+4),1,3))+5)/7))</f>
        <v/>
      </c>
      <c r="D1835" s="21" t="n"/>
      <c r="E1835" s="22" t="n"/>
      <c r="F1835" s="23" t="n"/>
      <c r="G1835" s="23" t="n"/>
      <c r="H1835" s="23" t="n"/>
      <c r="I1835" s="20">
        <f>IF(COUNT(F1835:H1835)=0,"",SUM(F1835:H1835))</f>
        <v/>
      </c>
      <c r="J1835" s="23" t="n"/>
      <c r="K1835" s="23" t="n"/>
      <c r="L1835" s="23" t="n"/>
      <c r="M1835" s="23" t="n"/>
      <c r="N1835" s="23" t="n"/>
      <c r="O1835" s="20">
        <f>IF(OR(I1835="",COUNT(J1835:N1835)=0),"",IF(SUM(J1835:N1835)=I1835,"✓","⚠ "&amp;SUM(J1835:N1835)&amp;" statt "&amp;I1835))</f>
        <v/>
      </c>
      <c r="P1835" s="21" t="n"/>
      <c r="Q1835" s="21" t="n"/>
      <c r="R1835" s="21" t="n"/>
      <c r="S1835" s="24" t="n"/>
      <c r="T1835" s="24" t="n"/>
      <c r="V1835">
        <f>IF(A1835="","",MONTH(A1835))</f>
        <v/>
      </c>
      <c r="W1835">
        <f>N(W1834)+IF(AND(C1835&lt;&gt;"",T1835&lt;&gt;""),IF(C1835=WOCHE!$B$3,1,0),0)</f>
        <v/>
      </c>
      <c r="X1835">
        <f>N(X1834)+IF(AND(V1835&lt;&gt;"",T1835&lt;&gt;""),IF(V1835=MONAT!$AZ$3,1,0),0)</f>
        <v/>
      </c>
    </row>
    <row r="1836">
      <c r="A1836" s="19" t="n"/>
      <c r="B1836" s="20">
        <f>IF(A1836="","",CHOOSE(WEEKDAY(A1836,2),"Mo","Di","Mi","Do","Fr","Sa","So"))</f>
        <v/>
      </c>
      <c r="C1836" s="20">
        <f>IF(A1836="","",INT((A1836-DATE(YEAR(A1836-WEEKDAY(A1836-1)+4),1,3)+WEEKDAY(DATE(YEAR(A1836-WEEKDAY(A1836-1)+4),1,3))+5)/7))</f>
        <v/>
      </c>
      <c r="D1836" s="21" t="n"/>
      <c r="E1836" s="22" t="n"/>
      <c r="F1836" s="23" t="n"/>
      <c r="G1836" s="23" t="n"/>
      <c r="H1836" s="23" t="n"/>
      <c r="I1836" s="20">
        <f>IF(COUNT(F1836:H1836)=0,"",SUM(F1836:H1836))</f>
        <v/>
      </c>
      <c r="J1836" s="23" t="n"/>
      <c r="K1836" s="23" t="n"/>
      <c r="L1836" s="23" t="n"/>
      <c r="M1836" s="23" t="n"/>
      <c r="N1836" s="23" t="n"/>
      <c r="O1836" s="20">
        <f>IF(OR(I1836="",COUNT(J1836:N1836)=0),"",IF(SUM(J1836:N1836)=I1836,"✓","⚠ "&amp;SUM(J1836:N1836)&amp;" statt "&amp;I1836))</f>
        <v/>
      </c>
      <c r="P1836" s="21" t="n"/>
      <c r="Q1836" s="21" t="n"/>
      <c r="R1836" s="21" t="n"/>
      <c r="S1836" s="24" t="n"/>
      <c r="T1836" s="24" t="n"/>
      <c r="V1836">
        <f>IF(A1836="","",MONTH(A1836))</f>
        <v/>
      </c>
      <c r="W1836">
        <f>N(W1835)+IF(AND(C1836&lt;&gt;"",T1836&lt;&gt;""),IF(C1836=WOCHE!$B$3,1,0),0)</f>
        <v/>
      </c>
      <c r="X1836">
        <f>N(X1835)+IF(AND(V1836&lt;&gt;"",T1836&lt;&gt;""),IF(V1836=MONAT!$AZ$3,1,0),0)</f>
        <v/>
      </c>
    </row>
    <row r="1837">
      <c r="A1837" s="19" t="n"/>
      <c r="B1837" s="20">
        <f>IF(A1837="","",CHOOSE(WEEKDAY(A1837,2),"Mo","Di","Mi","Do","Fr","Sa","So"))</f>
        <v/>
      </c>
      <c r="C1837" s="20">
        <f>IF(A1837="","",INT((A1837-DATE(YEAR(A1837-WEEKDAY(A1837-1)+4),1,3)+WEEKDAY(DATE(YEAR(A1837-WEEKDAY(A1837-1)+4),1,3))+5)/7))</f>
        <v/>
      </c>
      <c r="D1837" s="21" t="n"/>
      <c r="E1837" s="22" t="n"/>
      <c r="F1837" s="23" t="n"/>
      <c r="G1837" s="23" t="n"/>
      <c r="H1837" s="23" t="n"/>
      <c r="I1837" s="20">
        <f>IF(COUNT(F1837:H1837)=0,"",SUM(F1837:H1837))</f>
        <v/>
      </c>
      <c r="J1837" s="23" t="n"/>
      <c r="K1837" s="23" t="n"/>
      <c r="L1837" s="23" t="n"/>
      <c r="M1837" s="23" t="n"/>
      <c r="N1837" s="23" t="n"/>
      <c r="O1837" s="20">
        <f>IF(OR(I1837="",COUNT(J1837:N1837)=0),"",IF(SUM(J1837:N1837)=I1837,"✓","⚠ "&amp;SUM(J1837:N1837)&amp;" statt "&amp;I1837))</f>
        <v/>
      </c>
      <c r="P1837" s="21" t="n"/>
      <c r="Q1837" s="21" t="n"/>
      <c r="R1837" s="21" t="n"/>
      <c r="S1837" s="24" t="n"/>
      <c r="T1837" s="24" t="n"/>
      <c r="V1837">
        <f>IF(A1837="","",MONTH(A1837))</f>
        <v/>
      </c>
      <c r="W1837">
        <f>N(W1836)+IF(AND(C1837&lt;&gt;"",T1837&lt;&gt;""),IF(C1837=WOCHE!$B$3,1,0),0)</f>
        <v/>
      </c>
      <c r="X1837">
        <f>N(X1836)+IF(AND(V1837&lt;&gt;"",T1837&lt;&gt;""),IF(V1837=MONAT!$AZ$3,1,0),0)</f>
        <v/>
      </c>
    </row>
    <row r="1838">
      <c r="A1838" s="19" t="n"/>
      <c r="B1838" s="20">
        <f>IF(A1838="","",CHOOSE(WEEKDAY(A1838,2),"Mo","Di","Mi","Do","Fr","Sa","So"))</f>
        <v/>
      </c>
      <c r="C1838" s="20">
        <f>IF(A1838="","",INT((A1838-DATE(YEAR(A1838-WEEKDAY(A1838-1)+4),1,3)+WEEKDAY(DATE(YEAR(A1838-WEEKDAY(A1838-1)+4),1,3))+5)/7))</f>
        <v/>
      </c>
      <c r="D1838" s="21" t="n"/>
      <c r="E1838" s="22" t="n"/>
      <c r="F1838" s="23" t="n"/>
      <c r="G1838" s="23" t="n"/>
      <c r="H1838" s="23" t="n"/>
      <c r="I1838" s="20">
        <f>IF(COUNT(F1838:H1838)=0,"",SUM(F1838:H1838))</f>
        <v/>
      </c>
      <c r="J1838" s="23" t="n"/>
      <c r="K1838" s="23" t="n"/>
      <c r="L1838" s="23" t="n"/>
      <c r="M1838" s="23" t="n"/>
      <c r="N1838" s="23" t="n"/>
      <c r="O1838" s="20">
        <f>IF(OR(I1838="",COUNT(J1838:N1838)=0),"",IF(SUM(J1838:N1838)=I1838,"✓","⚠ "&amp;SUM(J1838:N1838)&amp;" statt "&amp;I1838))</f>
        <v/>
      </c>
      <c r="P1838" s="21" t="n"/>
      <c r="Q1838" s="21" t="n"/>
      <c r="R1838" s="21" t="n"/>
      <c r="S1838" s="24" t="n"/>
      <c r="T1838" s="24" t="n"/>
      <c r="V1838">
        <f>IF(A1838="","",MONTH(A1838))</f>
        <v/>
      </c>
      <c r="W1838">
        <f>N(W1837)+IF(AND(C1838&lt;&gt;"",T1838&lt;&gt;""),IF(C1838=WOCHE!$B$3,1,0),0)</f>
        <v/>
      </c>
      <c r="X1838">
        <f>N(X1837)+IF(AND(V1838&lt;&gt;"",T1838&lt;&gt;""),IF(V1838=MONAT!$AZ$3,1,0),0)</f>
        <v/>
      </c>
    </row>
    <row r="1839">
      <c r="A1839" s="19" t="n"/>
      <c r="B1839" s="20">
        <f>IF(A1839="","",CHOOSE(WEEKDAY(A1839,2),"Mo","Di","Mi","Do","Fr","Sa","So"))</f>
        <v/>
      </c>
      <c r="C1839" s="20">
        <f>IF(A1839="","",INT((A1839-DATE(YEAR(A1839-WEEKDAY(A1839-1)+4),1,3)+WEEKDAY(DATE(YEAR(A1839-WEEKDAY(A1839-1)+4),1,3))+5)/7))</f>
        <v/>
      </c>
      <c r="D1839" s="21" t="n"/>
      <c r="E1839" s="22" t="n"/>
      <c r="F1839" s="23" t="n"/>
      <c r="G1839" s="23" t="n"/>
      <c r="H1839" s="23" t="n"/>
      <c r="I1839" s="20">
        <f>IF(COUNT(F1839:H1839)=0,"",SUM(F1839:H1839))</f>
        <v/>
      </c>
      <c r="J1839" s="23" t="n"/>
      <c r="K1839" s="23" t="n"/>
      <c r="L1839" s="23" t="n"/>
      <c r="M1839" s="23" t="n"/>
      <c r="N1839" s="23" t="n"/>
      <c r="O1839" s="20">
        <f>IF(OR(I1839="",COUNT(J1839:N1839)=0),"",IF(SUM(J1839:N1839)=I1839,"✓","⚠ "&amp;SUM(J1839:N1839)&amp;" statt "&amp;I1839))</f>
        <v/>
      </c>
      <c r="P1839" s="21" t="n"/>
      <c r="Q1839" s="21" t="n"/>
      <c r="R1839" s="21" t="n"/>
      <c r="S1839" s="24" t="n"/>
      <c r="T1839" s="24" t="n"/>
      <c r="V1839">
        <f>IF(A1839="","",MONTH(A1839))</f>
        <v/>
      </c>
      <c r="W1839">
        <f>N(W1838)+IF(AND(C1839&lt;&gt;"",T1839&lt;&gt;""),IF(C1839=WOCHE!$B$3,1,0),0)</f>
        <v/>
      </c>
      <c r="X1839">
        <f>N(X1838)+IF(AND(V1839&lt;&gt;"",T1839&lt;&gt;""),IF(V1839=MONAT!$AZ$3,1,0),0)</f>
        <v/>
      </c>
    </row>
    <row r="1840">
      <c r="A1840" s="19" t="n"/>
      <c r="B1840" s="20">
        <f>IF(A1840="","",CHOOSE(WEEKDAY(A1840,2),"Mo","Di","Mi","Do","Fr","Sa","So"))</f>
        <v/>
      </c>
      <c r="C1840" s="20">
        <f>IF(A1840="","",INT((A1840-DATE(YEAR(A1840-WEEKDAY(A1840-1)+4),1,3)+WEEKDAY(DATE(YEAR(A1840-WEEKDAY(A1840-1)+4),1,3))+5)/7))</f>
        <v/>
      </c>
      <c r="D1840" s="21" t="n"/>
      <c r="E1840" s="22" t="n"/>
      <c r="F1840" s="23" t="n"/>
      <c r="G1840" s="23" t="n"/>
      <c r="H1840" s="23" t="n"/>
      <c r="I1840" s="20">
        <f>IF(COUNT(F1840:H1840)=0,"",SUM(F1840:H1840))</f>
        <v/>
      </c>
      <c r="J1840" s="23" t="n"/>
      <c r="K1840" s="23" t="n"/>
      <c r="L1840" s="23" t="n"/>
      <c r="M1840" s="23" t="n"/>
      <c r="N1840" s="23" t="n"/>
      <c r="O1840" s="20">
        <f>IF(OR(I1840="",COUNT(J1840:N1840)=0),"",IF(SUM(J1840:N1840)=I1840,"✓","⚠ "&amp;SUM(J1840:N1840)&amp;" statt "&amp;I1840))</f>
        <v/>
      </c>
      <c r="P1840" s="21" t="n"/>
      <c r="Q1840" s="21" t="n"/>
      <c r="R1840" s="21" t="n"/>
      <c r="S1840" s="24" t="n"/>
      <c r="T1840" s="24" t="n"/>
      <c r="V1840">
        <f>IF(A1840="","",MONTH(A1840))</f>
        <v/>
      </c>
      <c r="W1840">
        <f>N(W1839)+IF(AND(C1840&lt;&gt;"",T1840&lt;&gt;""),IF(C1840=WOCHE!$B$3,1,0),0)</f>
        <v/>
      </c>
      <c r="X1840">
        <f>N(X1839)+IF(AND(V1840&lt;&gt;"",T1840&lt;&gt;""),IF(V1840=MONAT!$AZ$3,1,0),0)</f>
        <v/>
      </c>
    </row>
    <row r="1841">
      <c r="A1841" s="19" t="n"/>
      <c r="B1841" s="20">
        <f>IF(A1841="","",CHOOSE(WEEKDAY(A1841,2),"Mo","Di","Mi","Do","Fr","Sa","So"))</f>
        <v/>
      </c>
      <c r="C1841" s="20">
        <f>IF(A1841="","",INT((A1841-DATE(YEAR(A1841-WEEKDAY(A1841-1)+4),1,3)+WEEKDAY(DATE(YEAR(A1841-WEEKDAY(A1841-1)+4),1,3))+5)/7))</f>
        <v/>
      </c>
      <c r="D1841" s="21" t="n"/>
      <c r="E1841" s="22" t="n"/>
      <c r="F1841" s="23" t="n"/>
      <c r="G1841" s="23" t="n"/>
      <c r="H1841" s="23" t="n"/>
      <c r="I1841" s="20">
        <f>IF(COUNT(F1841:H1841)=0,"",SUM(F1841:H1841))</f>
        <v/>
      </c>
      <c r="J1841" s="23" t="n"/>
      <c r="K1841" s="23" t="n"/>
      <c r="L1841" s="23" t="n"/>
      <c r="M1841" s="23" t="n"/>
      <c r="N1841" s="23" t="n"/>
      <c r="O1841" s="20">
        <f>IF(OR(I1841="",COUNT(J1841:N1841)=0),"",IF(SUM(J1841:N1841)=I1841,"✓","⚠ "&amp;SUM(J1841:N1841)&amp;" statt "&amp;I1841))</f>
        <v/>
      </c>
      <c r="P1841" s="21" t="n"/>
      <c r="Q1841" s="21" t="n"/>
      <c r="R1841" s="21" t="n"/>
      <c r="S1841" s="24" t="n"/>
      <c r="T1841" s="24" t="n"/>
      <c r="V1841">
        <f>IF(A1841="","",MONTH(A1841))</f>
        <v/>
      </c>
      <c r="W1841">
        <f>N(W1840)+IF(AND(C1841&lt;&gt;"",T1841&lt;&gt;""),IF(C1841=WOCHE!$B$3,1,0),0)</f>
        <v/>
      </c>
      <c r="X1841">
        <f>N(X1840)+IF(AND(V1841&lt;&gt;"",T1841&lt;&gt;""),IF(V1841=MONAT!$AZ$3,1,0),0)</f>
        <v/>
      </c>
    </row>
    <row r="1842">
      <c r="A1842" s="19" t="n"/>
      <c r="B1842" s="20">
        <f>IF(A1842="","",CHOOSE(WEEKDAY(A1842,2),"Mo","Di","Mi","Do","Fr","Sa","So"))</f>
        <v/>
      </c>
      <c r="C1842" s="20">
        <f>IF(A1842="","",INT((A1842-DATE(YEAR(A1842-WEEKDAY(A1842-1)+4),1,3)+WEEKDAY(DATE(YEAR(A1842-WEEKDAY(A1842-1)+4),1,3))+5)/7))</f>
        <v/>
      </c>
      <c r="D1842" s="21" t="n"/>
      <c r="E1842" s="22" t="n"/>
      <c r="F1842" s="23" t="n"/>
      <c r="G1842" s="23" t="n"/>
      <c r="H1842" s="23" t="n"/>
      <c r="I1842" s="20">
        <f>IF(COUNT(F1842:H1842)=0,"",SUM(F1842:H1842))</f>
        <v/>
      </c>
      <c r="J1842" s="23" t="n"/>
      <c r="K1842" s="23" t="n"/>
      <c r="L1842" s="23" t="n"/>
      <c r="M1842" s="23" t="n"/>
      <c r="N1842" s="23" t="n"/>
      <c r="O1842" s="20">
        <f>IF(OR(I1842="",COUNT(J1842:N1842)=0),"",IF(SUM(J1842:N1842)=I1842,"✓","⚠ "&amp;SUM(J1842:N1842)&amp;" statt "&amp;I1842))</f>
        <v/>
      </c>
      <c r="P1842" s="21" t="n"/>
      <c r="Q1842" s="21" t="n"/>
      <c r="R1842" s="21" t="n"/>
      <c r="S1842" s="24" t="n"/>
      <c r="T1842" s="24" t="n"/>
      <c r="V1842">
        <f>IF(A1842="","",MONTH(A1842))</f>
        <v/>
      </c>
      <c r="W1842">
        <f>N(W1841)+IF(AND(C1842&lt;&gt;"",T1842&lt;&gt;""),IF(C1842=WOCHE!$B$3,1,0),0)</f>
        <v/>
      </c>
      <c r="X1842">
        <f>N(X1841)+IF(AND(V1842&lt;&gt;"",T1842&lt;&gt;""),IF(V1842=MONAT!$AZ$3,1,0),0)</f>
        <v/>
      </c>
    </row>
    <row r="1843">
      <c r="A1843" s="19" t="n"/>
      <c r="B1843" s="20">
        <f>IF(A1843="","",CHOOSE(WEEKDAY(A1843,2),"Mo","Di","Mi","Do","Fr","Sa","So"))</f>
        <v/>
      </c>
      <c r="C1843" s="20">
        <f>IF(A1843="","",INT((A1843-DATE(YEAR(A1843-WEEKDAY(A1843-1)+4),1,3)+WEEKDAY(DATE(YEAR(A1843-WEEKDAY(A1843-1)+4),1,3))+5)/7))</f>
        <v/>
      </c>
      <c r="D1843" s="21" t="n"/>
      <c r="E1843" s="22" t="n"/>
      <c r="F1843" s="23" t="n"/>
      <c r="G1843" s="23" t="n"/>
      <c r="H1843" s="23" t="n"/>
      <c r="I1843" s="20">
        <f>IF(COUNT(F1843:H1843)=0,"",SUM(F1843:H1843))</f>
        <v/>
      </c>
      <c r="J1843" s="23" t="n"/>
      <c r="K1843" s="23" t="n"/>
      <c r="L1843" s="23" t="n"/>
      <c r="M1843" s="23" t="n"/>
      <c r="N1843" s="23" t="n"/>
      <c r="O1843" s="20">
        <f>IF(OR(I1843="",COUNT(J1843:N1843)=0),"",IF(SUM(J1843:N1843)=I1843,"✓","⚠ "&amp;SUM(J1843:N1843)&amp;" statt "&amp;I1843))</f>
        <v/>
      </c>
      <c r="P1843" s="21" t="n"/>
      <c r="Q1843" s="21" t="n"/>
      <c r="R1843" s="21" t="n"/>
      <c r="S1843" s="24" t="n"/>
      <c r="T1843" s="24" t="n"/>
      <c r="V1843">
        <f>IF(A1843="","",MONTH(A1843))</f>
        <v/>
      </c>
      <c r="W1843">
        <f>N(W1842)+IF(AND(C1843&lt;&gt;"",T1843&lt;&gt;""),IF(C1843=WOCHE!$B$3,1,0),0)</f>
        <v/>
      </c>
      <c r="X1843">
        <f>N(X1842)+IF(AND(V1843&lt;&gt;"",T1843&lt;&gt;""),IF(V1843=MONAT!$AZ$3,1,0),0)</f>
        <v/>
      </c>
    </row>
    <row r="1844">
      <c r="A1844" s="19" t="n"/>
      <c r="B1844" s="20">
        <f>IF(A1844="","",CHOOSE(WEEKDAY(A1844,2),"Mo","Di","Mi","Do","Fr","Sa","So"))</f>
        <v/>
      </c>
      <c r="C1844" s="20">
        <f>IF(A1844="","",INT((A1844-DATE(YEAR(A1844-WEEKDAY(A1844-1)+4),1,3)+WEEKDAY(DATE(YEAR(A1844-WEEKDAY(A1844-1)+4),1,3))+5)/7))</f>
        <v/>
      </c>
      <c r="D1844" s="21" t="n"/>
      <c r="E1844" s="22" t="n"/>
      <c r="F1844" s="23" t="n"/>
      <c r="G1844" s="23" t="n"/>
      <c r="H1844" s="23" t="n"/>
      <c r="I1844" s="20">
        <f>IF(COUNT(F1844:H1844)=0,"",SUM(F1844:H1844))</f>
        <v/>
      </c>
      <c r="J1844" s="23" t="n"/>
      <c r="K1844" s="23" t="n"/>
      <c r="L1844" s="23" t="n"/>
      <c r="M1844" s="23" t="n"/>
      <c r="N1844" s="23" t="n"/>
      <c r="O1844" s="20">
        <f>IF(OR(I1844="",COUNT(J1844:N1844)=0),"",IF(SUM(J1844:N1844)=I1844,"✓","⚠ "&amp;SUM(J1844:N1844)&amp;" statt "&amp;I1844))</f>
        <v/>
      </c>
      <c r="P1844" s="21" t="n"/>
      <c r="Q1844" s="21" t="n"/>
      <c r="R1844" s="21" t="n"/>
      <c r="S1844" s="24" t="n"/>
      <c r="T1844" s="24" t="n"/>
      <c r="V1844">
        <f>IF(A1844="","",MONTH(A1844))</f>
        <v/>
      </c>
      <c r="W1844">
        <f>N(W1843)+IF(AND(C1844&lt;&gt;"",T1844&lt;&gt;""),IF(C1844=WOCHE!$B$3,1,0),0)</f>
        <v/>
      </c>
      <c r="X1844">
        <f>N(X1843)+IF(AND(V1844&lt;&gt;"",T1844&lt;&gt;""),IF(V1844=MONAT!$AZ$3,1,0),0)</f>
        <v/>
      </c>
    </row>
    <row r="1845">
      <c r="A1845" s="19" t="n"/>
      <c r="B1845" s="20">
        <f>IF(A1845="","",CHOOSE(WEEKDAY(A1845,2),"Mo","Di","Mi","Do","Fr","Sa","So"))</f>
        <v/>
      </c>
      <c r="C1845" s="20">
        <f>IF(A1845="","",INT((A1845-DATE(YEAR(A1845-WEEKDAY(A1845-1)+4),1,3)+WEEKDAY(DATE(YEAR(A1845-WEEKDAY(A1845-1)+4),1,3))+5)/7))</f>
        <v/>
      </c>
      <c r="D1845" s="21" t="n"/>
      <c r="E1845" s="22" t="n"/>
      <c r="F1845" s="23" t="n"/>
      <c r="G1845" s="23" t="n"/>
      <c r="H1845" s="23" t="n"/>
      <c r="I1845" s="20">
        <f>IF(COUNT(F1845:H1845)=0,"",SUM(F1845:H1845))</f>
        <v/>
      </c>
      <c r="J1845" s="23" t="n"/>
      <c r="K1845" s="23" t="n"/>
      <c r="L1845" s="23" t="n"/>
      <c r="M1845" s="23" t="n"/>
      <c r="N1845" s="23" t="n"/>
      <c r="O1845" s="20">
        <f>IF(OR(I1845="",COUNT(J1845:N1845)=0),"",IF(SUM(J1845:N1845)=I1845,"✓","⚠ "&amp;SUM(J1845:N1845)&amp;" statt "&amp;I1845))</f>
        <v/>
      </c>
      <c r="P1845" s="21" t="n"/>
      <c r="Q1845" s="21" t="n"/>
      <c r="R1845" s="21" t="n"/>
      <c r="S1845" s="24" t="n"/>
      <c r="T1845" s="24" t="n"/>
      <c r="V1845">
        <f>IF(A1845="","",MONTH(A1845))</f>
        <v/>
      </c>
      <c r="W1845">
        <f>N(W1844)+IF(AND(C1845&lt;&gt;"",T1845&lt;&gt;""),IF(C1845=WOCHE!$B$3,1,0),0)</f>
        <v/>
      </c>
      <c r="X1845">
        <f>N(X1844)+IF(AND(V1845&lt;&gt;"",T1845&lt;&gt;""),IF(V1845=MONAT!$AZ$3,1,0),0)</f>
        <v/>
      </c>
    </row>
    <row r="1846">
      <c r="A1846" s="19" t="n"/>
      <c r="B1846" s="20">
        <f>IF(A1846="","",CHOOSE(WEEKDAY(A1846,2),"Mo","Di","Mi","Do","Fr","Sa","So"))</f>
        <v/>
      </c>
      <c r="C1846" s="20">
        <f>IF(A1846="","",INT((A1846-DATE(YEAR(A1846-WEEKDAY(A1846-1)+4),1,3)+WEEKDAY(DATE(YEAR(A1846-WEEKDAY(A1846-1)+4),1,3))+5)/7))</f>
        <v/>
      </c>
      <c r="D1846" s="21" t="n"/>
      <c r="E1846" s="22" t="n"/>
      <c r="F1846" s="23" t="n"/>
      <c r="G1846" s="23" t="n"/>
      <c r="H1846" s="23" t="n"/>
      <c r="I1846" s="20">
        <f>IF(COUNT(F1846:H1846)=0,"",SUM(F1846:H1846))</f>
        <v/>
      </c>
      <c r="J1846" s="23" t="n"/>
      <c r="K1846" s="23" t="n"/>
      <c r="L1846" s="23" t="n"/>
      <c r="M1846" s="23" t="n"/>
      <c r="N1846" s="23" t="n"/>
      <c r="O1846" s="20">
        <f>IF(OR(I1846="",COUNT(J1846:N1846)=0),"",IF(SUM(J1846:N1846)=I1846,"✓","⚠ "&amp;SUM(J1846:N1846)&amp;" statt "&amp;I1846))</f>
        <v/>
      </c>
      <c r="P1846" s="21" t="n"/>
      <c r="Q1846" s="21" t="n"/>
      <c r="R1846" s="21" t="n"/>
      <c r="S1846" s="24" t="n"/>
      <c r="T1846" s="24" t="n"/>
      <c r="V1846">
        <f>IF(A1846="","",MONTH(A1846))</f>
        <v/>
      </c>
      <c r="W1846">
        <f>N(W1845)+IF(AND(C1846&lt;&gt;"",T1846&lt;&gt;""),IF(C1846=WOCHE!$B$3,1,0),0)</f>
        <v/>
      </c>
      <c r="X1846">
        <f>N(X1845)+IF(AND(V1846&lt;&gt;"",T1846&lt;&gt;""),IF(V1846=MONAT!$AZ$3,1,0),0)</f>
        <v/>
      </c>
    </row>
    <row r="1847">
      <c r="A1847" s="19" t="n"/>
      <c r="B1847" s="20">
        <f>IF(A1847="","",CHOOSE(WEEKDAY(A1847,2),"Mo","Di","Mi","Do","Fr","Sa","So"))</f>
        <v/>
      </c>
      <c r="C1847" s="20">
        <f>IF(A1847="","",INT((A1847-DATE(YEAR(A1847-WEEKDAY(A1847-1)+4),1,3)+WEEKDAY(DATE(YEAR(A1847-WEEKDAY(A1847-1)+4),1,3))+5)/7))</f>
        <v/>
      </c>
      <c r="D1847" s="21" t="n"/>
      <c r="E1847" s="22" t="n"/>
      <c r="F1847" s="23" t="n"/>
      <c r="G1847" s="23" t="n"/>
      <c r="H1847" s="23" t="n"/>
      <c r="I1847" s="20">
        <f>IF(COUNT(F1847:H1847)=0,"",SUM(F1847:H1847))</f>
        <v/>
      </c>
      <c r="J1847" s="23" t="n"/>
      <c r="K1847" s="23" t="n"/>
      <c r="L1847" s="23" t="n"/>
      <c r="M1847" s="23" t="n"/>
      <c r="N1847" s="23" t="n"/>
      <c r="O1847" s="20">
        <f>IF(OR(I1847="",COUNT(J1847:N1847)=0),"",IF(SUM(J1847:N1847)=I1847,"✓","⚠ "&amp;SUM(J1847:N1847)&amp;" statt "&amp;I1847))</f>
        <v/>
      </c>
      <c r="P1847" s="21" t="n"/>
      <c r="Q1847" s="21" t="n"/>
      <c r="R1847" s="21" t="n"/>
      <c r="S1847" s="24" t="n"/>
      <c r="T1847" s="24" t="n"/>
      <c r="V1847">
        <f>IF(A1847="","",MONTH(A1847))</f>
        <v/>
      </c>
      <c r="W1847">
        <f>N(W1846)+IF(AND(C1847&lt;&gt;"",T1847&lt;&gt;""),IF(C1847=WOCHE!$B$3,1,0),0)</f>
        <v/>
      </c>
      <c r="X1847">
        <f>N(X1846)+IF(AND(V1847&lt;&gt;"",T1847&lt;&gt;""),IF(V1847=MONAT!$AZ$3,1,0),0)</f>
        <v/>
      </c>
    </row>
    <row r="1848">
      <c r="A1848" s="19" t="n"/>
      <c r="B1848" s="20">
        <f>IF(A1848="","",CHOOSE(WEEKDAY(A1848,2),"Mo","Di","Mi","Do","Fr","Sa","So"))</f>
        <v/>
      </c>
      <c r="C1848" s="20">
        <f>IF(A1848="","",INT((A1848-DATE(YEAR(A1848-WEEKDAY(A1848-1)+4),1,3)+WEEKDAY(DATE(YEAR(A1848-WEEKDAY(A1848-1)+4),1,3))+5)/7))</f>
        <v/>
      </c>
      <c r="D1848" s="21" t="n"/>
      <c r="E1848" s="22" t="n"/>
      <c r="F1848" s="23" t="n"/>
      <c r="G1848" s="23" t="n"/>
      <c r="H1848" s="23" t="n"/>
      <c r="I1848" s="20">
        <f>IF(COUNT(F1848:H1848)=0,"",SUM(F1848:H1848))</f>
        <v/>
      </c>
      <c r="J1848" s="23" t="n"/>
      <c r="K1848" s="23" t="n"/>
      <c r="L1848" s="23" t="n"/>
      <c r="M1848" s="23" t="n"/>
      <c r="N1848" s="23" t="n"/>
      <c r="O1848" s="20">
        <f>IF(OR(I1848="",COUNT(J1848:N1848)=0),"",IF(SUM(J1848:N1848)=I1848,"✓","⚠ "&amp;SUM(J1848:N1848)&amp;" statt "&amp;I1848))</f>
        <v/>
      </c>
      <c r="P1848" s="21" t="n"/>
      <c r="Q1848" s="21" t="n"/>
      <c r="R1848" s="21" t="n"/>
      <c r="S1848" s="24" t="n"/>
      <c r="T1848" s="24" t="n"/>
      <c r="V1848">
        <f>IF(A1848="","",MONTH(A1848))</f>
        <v/>
      </c>
      <c r="W1848">
        <f>N(W1847)+IF(AND(C1848&lt;&gt;"",T1848&lt;&gt;""),IF(C1848=WOCHE!$B$3,1,0),0)</f>
        <v/>
      </c>
      <c r="X1848">
        <f>N(X1847)+IF(AND(V1848&lt;&gt;"",T1848&lt;&gt;""),IF(V1848=MONAT!$AZ$3,1,0),0)</f>
        <v/>
      </c>
    </row>
    <row r="1849">
      <c r="A1849" s="19" t="n"/>
      <c r="B1849" s="20">
        <f>IF(A1849="","",CHOOSE(WEEKDAY(A1849,2),"Mo","Di","Mi","Do","Fr","Sa","So"))</f>
        <v/>
      </c>
      <c r="C1849" s="20">
        <f>IF(A1849="","",INT((A1849-DATE(YEAR(A1849-WEEKDAY(A1849-1)+4),1,3)+WEEKDAY(DATE(YEAR(A1849-WEEKDAY(A1849-1)+4),1,3))+5)/7))</f>
        <v/>
      </c>
      <c r="D1849" s="21" t="n"/>
      <c r="E1849" s="22" t="n"/>
      <c r="F1849" s="23" t="n"/>
      <c r="G1849" s="23" t="n"/>
      <c r="H1849" s="23" t="n"/>
      <c r="I1849" s="20">
        <f>IF(COUNT(F1849:H1849)=0,"",SUM(F1849:H1849))</f>
        <v/>
      </c>
      <c r="J1849" s="23" t="n"/>
      <c r="K1849" s="23" t="n"/>
      <c r="L1849" s="23" t="n"/>
      <c r="M1849" s="23" t="n"/>
      <c r="N1849" s="23" t="n"/>
      <c r="O1849" s="20">
        <f>IF(OR(I1849="",COUNT(J1849:N1849)=0),"",IF(SUM(J1849:N1849)=I1849,"✓","⚠ "&amp;SUM(J1849:N1849)&amp;" statt "&amp;I1849))</f>
        <v/>
      </c>
      <c r="P1849" s="21" t="n"/>
      <c r="Q1849" s="21" t="n"/>
      <c r="R1849" s="21" t="n"/>
      <c r="S1849" s="24" t="n"/>
      <c r="T1849" s="24" t="n"/>
      <c r="V1849">
        <f>IF(A1849="","",MONTH(A1849))</f>
        <v/>
      </c>
      <c r="W1849">
        <f>N(W1848)+IF(AND(C1849&lt;&gt;"",T1849&lt;&gt;""),IF(C1849=WOCHE!$B$3,1,0),0)</f>
        <v/>
      </c>
      <c r="X1849">
        <f>N(X1848)+IF(AND(V1849&lt;&gt;"",T1849&lt;&gt;""),IF(V1849=MONAT!$AZ$3,1,0),0)</f>
        <v/>
      </c>
    </row>
    <row r="1850">
      <c r="A1850" s="19" t="n"/>
      <c r="B1850" s="20">
        <f>IF(A1850="","",CHOOSE(WEEKDAY(A1850,2),"Mo","Di","Mi","Do","Fr","Sa","So"))</f>
        <v/>
      </c>
      <c r="C1850" s="20">
        <f>IF(A1850="","",INT((A1850-DATE(YEAR(A1850-WEEKDAY(A1850-1)+4),1,3)+WEEKDAY(DATE(YEAR(A1850-WEEKDAY(A1850-1)+4),1,3))+5)/7))</f>
        <v/>
      </c>
      <c r="D1850" s="21" t="n"/>
      <c r="E1850" s="22" t="n"/>
      <c r="F1850" s="23" t="n"/>
      <c r="G1850" s="23" t="n"/>
      <c r="H1850" s="23" t="n"/>
      <c r="I1850" s="20">
        <f>IF(COUNT(F1850:H1850)=0,"",SUM(F1850:H1850))</f>
        <v/>
      </c>
      <c r="J1850" s="23" t="n"/>
      <c r="K1850" s="23" t="n"/>
      <c r="L1850" s="23" t="n"/>
      <c r="M1850" s="23" t="n"/>
      <c r="N1850" s="23" t="n"/>
      <c r="O1850" s="20">
        <f>IF(OR(I1850="",COUNT(J1850:N1850)=0),"",IF(SUM(J1850:N1850)=I1850,"✓","⚠ "&amp;SUM(J1850:N1850)&amp;" statt "&amp;I1850))</f>
        <v/>
      </c>
      <c r="P1850" s="21" t="n"/>
      <c r="Q1850" s="21" t="n"/>
      <c r="R1850" s="21" t="n"/>
      <c r="S1850" s="24" t="n"/>
      <c r="T1850" s="24" t="n"/>
      <c r="V1850">
        <f>IF(A1850="","",MONTH(A1850))</f>
        <v/>
      </c>
      <c r="W1850">
        <f>N(W1849)+IF(AND(C1850&lt;&gt;"",T1850&lt;&gt;""),IF(C1850=WOCHE!$B$3,1,0),0)</f>
        <v/>
      </c>
      <c r="X1850">
        <f>N(X1849)+IF(AND(V1850&lt;&gt;"",T1850&lt;&gt;""),IF(V1850=MONAT!$AZ$3,1,0),0)</f>
        <v/>
      </c>
    </row>
    <row r="1851">
      <c r="A1851" s="19" t="n"/>
      <c r="B1851" s="20">
        <f>IF(A1851="","",CHOOSE(WEEKDAY(A1851,2),"Mo","Di","Mi","Do","Fr","Sa","So"))</f>
        <v/>
      </c>
      <c r="C1851" s="20">
        <f>IF(A1851="","",INT((A1851-DATE(YEAR(A1851-WEEKDAY(A1851-1)+4),1,3)+WEEKDAY(DATE(YEAR(A1851-WEEKDAY(A1851-1)+4),1,3))+5)/7))</f>
        <v/>
      </c>
      <c r="D1851" s="21" t="n"/>
      <c r="E1851" s="22" t="n"/>
      <c r="F1851" s="23" t="n"/>
      <c r="G1851" s="23" t="n"/>
      <c r="H1851" s="23" t="n"/>
      <c r="I1851" s="20">
        <f>IF(COUNT(F1851:H1851)=0,"",SUM(F1851:H1851))</f>
        <v/>
      </c>
      <c r="J1851" s="23" t="n"/>
      <c r="K1851" s="23" t="n"/>
      <c r="L1851" s="23" t="n"/>
      <c r="M1851" s="23" t="n"/>
      <c r="N1851" s="23" t="n"/>
      <c r="O1851" s="20">
        <f>IF(OR(I1851="",COUNT(J1851:N1851)=0),"",IF(SUM(J1851:N1851)=I1851,"✓","⚠ "&amp;SUM(J1851:N1851)&amp;" statt "&amp;I1851))</f>
        <v/>
      </c>
      <c r="P1851" s="21" t="n"/>
      <c r="Q1851" s="21" t="n"/>
      <c r="R1851" s="21" t="n"/>
      <c r="S1851" s="24" t="n"/>
      <c r="T1851" s="24" t="n"/>
      <c r="V1851">
        <f>IF(A1851="","",MONTH(A1851))</f>
        <v/>
      </c>
      <c r="W1851">
        <f>N(W1850)+IF(AND(C1851&lt;&gt;"",T1851&lt;&gt;""),IF(C1851=WOCHE!$B$3,1,0),0)</f>
        <v/>
      </c>
      <c r="X1851">
        <f>N(X1850)+IF(AND(V1851&lt;&gt;"",T1851&lt;&gt;""),IF(V1851=MONAT!$AZ$3,1,0),0)</f>
        <v/>
      </c>
    </row>
    <row r="1852">
      <c r="A1852" s="19" t="n"/>
      <c r="B1852" s="20">
        <f>IF(A1852="","",CHOOSE(WEEKDAY(A1852,2),"Mo","Di","Mi","Do","Fr","Sa","So"))</f>
        <v/>
      </c>
      <c r="C1852" s="20">
        <f>IF(A1852="","",INT((A1852-DATE(YEAR(A1852-WEEKDAY(A1852-1)+4),1,3)+WEEKDAY(DATE(YEAR(A1852-WEEKDAY(A1852-1)+4),1,3))+5)/7))</f>
        <v/>
      </c>
      <c r="D1852" s="21" t="n"/>
      <c r="E1852" s="22" t="n"/>
      <c r="F1852" s="23" t="n"/>
      <c r="G1852" s="23" t="n"/>
      <c r="H1852" s="23" t="n"/>
      <c r="I1852" s="20">
        <f>IF(COUNT(F1852:H1852)=0,"",SUM(F1852:H1852))</f>
        <v/>
      </c>
      <c r="J1852" s="23" t="n"/>
      <c r="K1852" s="23" t="n"/>
      <c r="L1852" s="23" t="n"/>
      <c r="M1852" s="23" t="n"/>
      <c r="N1852" s="23" t="n"/>
      <c r="O1852" s="20">
        <f>IF(OR(I1852="",COUNT(J1852:N1852)=0),"",IF(SUM(J1852:N1852)=I1852,"✓","⚠ "&amp;SUM(J1852:N1852)&amp;" statt "&amp;I1852))</f>
        <v/>
      </c>
      <c r="P1852" s="21" t="n"/>
      <c r="Q1852" s="21" t="n"/>
      <c r="R1852" s="21" t="n"/>
      <c r="S1852" s="24" t="n"/>
      <c r="T1852" s="24" t="n"/>
      <c r="V1852">
        <f>IF(A1852="","",MONTH(A1852))</f>
        <v/>
      </c>
      <c r="W1852">
        <f>N(W1851)+IF(AND(C1852&lt;&gt;"",T1852&lt;&gt;""),IF(C1852=WOCHE!$B$3,1,0),0)</f>
        <v/>
      </c>
      <c r="X1852">
        <f>N(X1851)+IF(AND(V1852&lt;&gt;"",T1852&lt;&gt;""),IF(V1852=MONAT!$AZ$3,1,0),0)</f>
        <v/>
      </c>
    </row>
    <row r="1853">
      <c r="A1853" s="19" t="n"/>
      <c r="B1853" s="20">
        <f>IF(A1853="","",CHOOSE(WEEKDAY(A1853,2),"Mo","Di","Mi","Do","Fr","Sa","So"))</f>
        <v/>
      </c>
      <c r="C1853" s="20">
        <f>IF(A1853="","",INT((A1853-DATE(YEAR(A1853-WEEKDAY(A1853-1)+4),1,3)+WEEKDAY(DATE(YEAR(A1853-WEEKDAY(A1853-1)+4),1,3))+5)/7))</f>
        <v/>
      </c>
      <c r="D1853" s="21" t="n"/>
      <c r="E1853" s="22" t="n"/>
      <c r="F1853" s="23" t="n"/>
      <c r="G1853" s="23" t="n"/>
      <c r="H1853" s="23" t="n"/>
      <c r="I1853" s="20">
        <f>IF(COUNT(F1853:H1853)=0,"",SUM(F1853:H1853))</f>
        <v/>
      </c>
      <c r="J1853" s="23" t="n"/>
      <c r="K1853" s="23" t="n"/>
      <c r="L1853" s="23" t="n"/>
      <c r="M1853" s="23" t="n"/>
      <c r="N1853" s="23" t="n"/>
      <c r="O1853" s="20">
        <f>IF(OR(I1853="",COUNT(J1853:N1853)=0),"",IF(SUM(J1853:N1853)=I1853,"✓","⚠ "&amp;SUM(J1853:N1853)&amp;" statt "&amp;I1853))</f>
        <v/>
      </c>
      <c r="P1853" s="21" t="n"/>
      <c r="Q1853" s="21" t="n"/>
      <c r="R1853" s="21" t="n"/>
      <c r="S1853" s="24" t="n"/>
      <c r="T1853" s="24" t="n"/>
      <c r="V1853">
        <f>IF(A1853="","",MONTH(A1853))</f>
        <v/>
      </c>
      <c r="W1853">
        <f>N(W1852)+IF(AND(C1853&lt;&gt;"",T1853&lt;&gt;""),IF(C1853=WOCHE!$B$3,1,0),0)</f>
        <v/>
      </c>
      <c r="X1853">
        <f>N(X1852)+IF(AND(V1853&lt;&gt;"",T1853&lt;&gt;""),IF(V1853=MONAT!$AZ$3,1,0),0)</f>
        <v/>
      </c>
    </row>
    <row r="1854">
      <c r="A1854" s="19" t="n"/>
      <c r="B1854" s="20">
        <f>IF(A1854="","",CHOOSE(WEEKDAY(A1854,2),"Mo","Di","Mi","Do","Fr","Sa","So"))</f>
        <v/>
      </c>
      <c r="C1854" s="20">
        <f>IF(A1854="","",INT((A1854-DATE(YEAR(A1854-WEEKDAY(A1854-1)+4),1,3)+WEEKDAY(DATE(YEAR(A1854-WEEKDAY(A1854-1)+4),1,3))+5)/7))</f>
        <v/>
      </c>
      <c r="D1854" s="21" t="n"/>
      <c r="E1854" s="22" t="n"/>
      <c r="F1854" s="23" t="n"/>
      <c r="G1854" s="23" t="n"/>
      <c r="H1854" s="23" t="n"/>
      <c r="I1854" s="20">
        <f>IF(COUNT(F1854:H1854)=0,"",SUM(F1854:H1854))</f>
        <v/>
      </c>
      <c r="J1854" s="23" t="n"/>
      <c r="K1854" s="23" t="n"/>
      <c r="L1854" s="23" t="n"/>
      <c r="M1854" s="23" t="n"/>
      <c r="N1854" s="23" t="n"/>
      <c r="O1854" s="20">
        <f>IF(OR(I1854="",COUNT(J1854:N1854)=0),"",IF(SUM(J1854:N1854)=I1854,"✓","⚠ "&amp;SUM(J1854:N1854)&amp;" statt "&amp;I1854))</f>
        <v/>
      </c>
      <c r="P1854" s="21" t="n"/>
      <c r="Q1854" s="21" t="n"/>
      <c r="R1854" s="21" t="n"/>
      <c r="S1854" s="24" t="n"/>
      <c r="T1854" s="24" t="n"/>
      <c r="V1854">
        <f>IF(A1854="","",MONTH(A1854))</f>
        <v/>
      </c>
      <c r="W1854">
        <f>N(W1853)+IF(AND(C1854&lt;&gt;"",T1854&lt;&gt;""),IF(C1854=WOCHE!$B$3,1,0),0)</f>
        <v/>
      </c>
      <c r="X1854">
        <f>N(X1853)+IF(AND(V1854&lt;&gt;"",T1854&lt;&gt;""),IF(V1854=MONAT!$AZ$3,1,0),0)</f>
        <v/>
      </c>
    </row>
    <row r="1855">
      <c r="A1855" s="19" t="n"/>
      <c r="B1855" s="20">
        <f>IF(A1855="","",CHOOSE(WEEKDAY(A1855,2),"Mo","Di","Mi","Do","Fr","Sa","So"))</f>
        <v/>
      </c>
      <c r="C1855" s="20">
        <f>IF(A1855="","",INT((A1855-DATE(YEAR(A1855-WEEKDAY(A1855-1)+4),1,3)+WEEKDAY(DATE(YEAR(A1855-WEEKDAY(A1855-1)+4),1,3))+5)/7))</f>
        <v/>
      </c>
      <c r="D1855" s="21" t="n"/>
      <c r="E1855" s="22" t="n"/>
      <c r="F1855" s="23" t="n"/>
      <c r="G1855" s="23" t="n"/>
      <c r="H1855" s="23" t="n"/>
      <c r="I1855" s="20">
        <f>IF(COUNT(F1855:H1855)=0,"",SUM(F1855:H1855))</f>
        <v/>
      </c>
      <c r="J1855" s="23" t="n"/>
      <c r="K1855" s="23" t="n"/>
      <c r="L1855" s="23" t="n"/>
      <c r="M1855" s="23" t="n"/>
      <c r="N1855" s="23" t="n"/>
      <c r="O1855" s="20">
        <f>IF(OR(I1855="",COUNT(J1855:N1855)=0),"",IF(SUM(J1855:N1855)=I1855,"✓","⚠ "&amp;SUM(J1855:N1855)&amp;" statt "&amp;I1855))</f>
        <v/>
      </c>
      <c r="P1855" s="21" t="n"/>
      <c r="Q1855" s="21" t="n"/>
      <c r="R1855" s="21" t="n"/>
      <c r="S1855" s="24" t="n"/>
      <c r="T1855" s="24" t="n"/>
      <c r="V1855">
        <f>IF(A1855="","",MONTH(A1855))</f>
        <v/>
      </c>
      <c r="W1855">
        <f>N(W1854)+IF(AND(C1855&lt;&gt;"",T1855&lt;&gt;""),IF(C1855=WOCHE!$B$3,1,0),0)</f>
        <v/>
      </c>
      <c r="X1855">
        <f>N(X1854)+IF(AND(V1855&lt;&gt;"",T1855&lt;&gt;""),IF(V1855=MONAT!$AZ$3,1,0),0)</f>
        <v/>
      </c>
    </row>
    <row r="1856">
      <c r="A1856" s="19" t="n"/>
      <c r="B1856" s="20">
        <f>IF(A1856="","",CHOOSE(WEEKDAY(A1856,2),"Mo","Di","Mi","Do","Fr","Sa","So"))</f>
        <v/>
      </c>
      <c r="C1856" s="20">
        <f>IF(A1856="","",INT((A1856-DATE(YEAR(A1856-WEEKDAY(A1856-1)+4),1,3)+WEEKDAY(DATE(YEAR(A1856-WEEKDAY(A1856-1)+4),1,3))+5)/7))</f>
        <v/>
      </c>
      <c r="D1856" s="21" t="n"/>
      <c r="E1856" s="22" t="n"/>
      <c r="F1856" s="23" t="n"/>
      <c r="G1856" s="23" t="n"/>
      <c r="H1856" s="23" t="n"/>
      <c r="I1856" s="20">
        <f>IF(COUNT(F1856:H1856)=0,"",SUM(F1856:H1856))</f>
        <v/>
      </c>
      <c r="J1856" s="23" t="n"/>
      <c r="K1856" s="23" t="n"/>
      <c r="L1856" s="23" t="n"/>
      <c r="M1856" s="23" t="n"/>
      <c r="N1856" s="23" t="n"/>
      <c r="O1856" s="20">
        <f>IF(OR(I1856="",COUNT(J1856:N1856)=0),"",IF(SUM(J1856:N1856)=I1856,"✓","⚠ "&amp;SUM(J1856:N1856)&amp;" statt "&amp;I1856))</f>
        <v/>
      </c>
      <c r="P1856" s="21" t="n"/>
      <c r="Q1856" s="21" t="n"/>
      <c r="R1856" s="21" t="n"/>
      <c r="S1856" s="24" t="n"/>
      <c r="T1856" s="24" t="n"/>
      <c r="V1856">
        <f>IF(A1856="","",MONTH(A1856))</f>
        <v/>
      </c>
      <c r="W1856">
        <f>N(W1855)+IF(AND(C1856&lt;&gt;"",T1856&lt;&gt;""),IF(C1856=WOCHE!$B$3,1,0),0)</f>
        <v/>
      </c>
      <c r="X1856">
        <f>N(X1855)+IF(AND(V1856&lt;&gt;"",T1856&lt;&gt;""),IF(V1856=MONAT!$AZ$3,1,0),0)</f>
        <v/>
      </c>
    </row>
    <row r="1857">
      <c r="A1857" s="19" t="n"/>
      <c r="B1857" s="20">
        <f>IF(A1857="","",CHOOSE(WEEKDAY(A1857,2),"Mo","Di","Mi","Do","Fr","Sa","So"))</f>
        <v/>
      </c>
      <c r="C1857" s="20">
        <f>IF(A1857="","",INT((A1857-DATE(YEAR(A1857-WEEKDAY(A1857-1)+4),1,3)+WEEKDAY(DATE(YEAR(A1857-WEEKDAY(A1857-1)+4),1,3))+5)/7))</f>
        <v/>
      </c>
      <c r="D1857" s="21" t="n"/>
      <c r="E1857" s="22" t="n"/>
      <c r="F1857" s="23" t="n"/>
      <c r="G1857" s="23" t="n"/>
      <c r="H1857" s="23" t="n"/>
      <c r="I1857" s="20">
        <f>IF(COUNT(F1857:H1857)=0,"",SUM(F1857:H1857))</f>
        <v/>
      </c>
      <c r="J1857" s="23" t="n"/>
      <c r="K1857" s="23" t="n"/>
      <c r="L1857" s="23" t="n"/>
      <c r="M1857" s="23" t="n"/>
      <c r="N1857" s="23" t="n"/>
      <c r="O1857" s="20">
        <f>IF(OR(I1857="",COUNT(J1857:N1857)=0),"",IF(SUM(J1857:N1857)=I1857,"✓","⚠ "&amp;SUM(J1857:N1857)&amp;" statt "&amp;I1857))</f>
        <v/>
      </c>
      <c r="P1857" s="21" t="n"/>
      <c r="Q1857" s="21" t="n"/>
      <c r="R1857" s="21" t="n"/>
      <c r="S1857" s="24" t="n"/>
      <c r="T1857" s="24" t="n"/>
      <c r="V1857">
        <f>IF(A1857="","",MONTH(A1857))</f>
        <v/>
      </c>
      <c r="W1857">
        <f>N(W1856)+IF(AND(C1857&lt;&gt;"",T1857&lt;&gt;""),IF(C1857=WOCHE!$B$3,1,0),0)</f>
        <v/>
      </c>
      <c r="X1857">
        <f>N(X1856)+IF(AND(V1857&lt;&gt;"",T1857&lt;&gt;""),IF(V1857=MONAT!$AZ$3,1,0),0)</f>
        <v/>
      </c>
    </row>
    <row r="1858">
      <c r="A1858" s="19" t="n"/>
      <c r="B1858" s="20">
        <f>IF(A1858="","",CHOOSE(WEEKDAY(A1858,2),"Mo","Di","Mi","Do","Fr","Sa","So"))</f>
        <v/>
      </c>
      <c r="C1858" s="20">
        <f>IF(A1858="","",INT((A1858-DATE(YEAR(A1858-WEEKDAY(A1858-1)+4),1,3)+WEEKDAY(DATE(YEAR(A1858-WEEKDAY(A1858-1)+4),1,3))+5)/7))</f>
        <v/>
      </c>
      <c r="D1858" s="21" t="n"/>
      <c r="E1858" s="22" t="n"/>
      <c r="F1858" s="23" t="n"/>
      <c r="G1858" s="23" t="n"/>
      <c r="H1858" s="23" t="n"/>
      <c r="I1858" s="20">
        <f>IF(COUNT(F1858:H1858)=0,"",SUM(F1858:H1858))</f>
        <v/>
      </c>
      <c r="J1858" s="23" t="n"/>
      <c r="K1858" s="23" t="n"/>
      <c r="L1858" s="23" t="n"/>
      <c r="M1858" s="23" t="n"/>
      <c r="N1858" s="23" t="n"/>
      <c r="O1858" s="20">
        <f>IF(OR(I1858="",COUNT(J1858:N1858)=0),"",IF(SUM(J1858:N1858)=I1858,"✓","⚠ "&amp;SUM(J1858:N1858)&amp;" statt "&amp;I1858))</f>
        <v/>
      </c>
      <c r="P1858" s="21" t="n"/>
      <c r="Q1858" s="21" t="n"/>
      <c r="R1858" s="21" t="n"/>
      <c r="S1858" s="24" t="n"/>
      <c r="T1858" s="24" t="n"/>
      <c r="V1858">
        <f>IF(A1858="","",MONTH(A1858))</f>
        <v/>
      </c>
      <c r="W1858">
        <f>N(W1857)+IF(AND(C1858&lt;&gt;"",T1858&lt;&gt;""),IF(C1858=WOCHE!$B$3,1,0),0)</f>
        <v/>
      </c>
      <c r="X1858">
        <f>N(X1857)+IF(AND(V1858&lt;&gt;"",T1858&lt;&gt;""),IF(V1858=MONAT!$AZ$3,1,0),0)</f>
        <v/>
      </c>
    </row>
    <row r="1859">
      <c r="A1859" s="19" t="n"/>
      <c r="B1859" s="20">
        <f>IF(A1859="","",CHOOSE(WEEKDAY(A1859,2),"Mo","Di","Mi","Do","Fr","Sa","So"))</f>
        <v/>
      </c>
      <c r="C1859" s="20">
        <f>IF(A1859="","",INT((A1859-DATE(YEAR(A1859-WEEKDAY(A1859-1)+4),1,3)+WEEKDAY(DATE(YEAR(A1859-WEEKDAY(A1859-1)+4),1,3))+5)/7))</f>
        <v/>
      </c>
      <c r="D1859" s="21" t="n"/>
      <c r="E1859" s="22" t="n"/>
      <c r="F1859" s="23" t="n"/>
      <c r="G1859" s="23" t="n"/>
      <c r="H1859" s="23" t="n"/>
      <c r="I1859" s="20">
        <f>IF(COUNT(F1859:H1859)=0,"",SUM(F1859:H1859))</f>
        <v/>
      </c>
      <c r="J1859" s="23" t="n"/>
      <c r="K1859" s="23" t="n"/>
      <c r="L1859" s="23" t="n"/>
      <c r="M1859" s="23" t="n"/>
      <c r="N1859" s="23" t="n"/>
      <c r="O1859" s="20">
        <f>IF(OR(I1859="",COUNT(J1859:N1859)=0),"",IF(SUM(J1859:N1859)=I1859,"✓","⚠ "&amp;SUM(J1859:N1859)&amp;" statt "&amp;I1859))</f>
        <v/>
      </c>
      <c r="P1859" s="21" t="n"/>
      <c r="Q1859" s="21" t="n"/>
      <c r="R1859" s="21" t="n"/>
      <c r="S1859" s="24" t="n"/>
      <c r="T1859" s="24" t="n"/>
      <c r="V1859">
        <f>IF(A1859="","",MONTH(A1859))</f>
        <v/>
      </c>
      <c r="W1859">
        <f>N(W1858)+IF(AND(C1859&lt;&gt;"",T1859&lt;&gt;""),IF(C1859=WOCHE!$B$3,1,0),0)</f>
        <v/>
      </c>
      <c r="X1859">
        <f>N(X1858)+IF(AND(V1859&lt;&gt;"",T1859&lt;&gt;""),IF(V1859=MONAT!$AZ$3,1,0),0)</f>
        <v/>
      </c>
    </row>
    <row r="1860">
      <c r="A1860" s="19" t="n"/>
      <c r="B1860" s="20">
        <f>IF(A1860="","",CHOOSE(WEEKDAY(A1860,2),"Mo","Di","Mi","Do","Fr","Sa","So"))</f>
        <v/>
      </c>
      <c r="C1860" s="20">
        <f>IF(A1860="","",INT((A1860-DATE(YEAR(A1860-WEEKDAY(A1860-1)+4),1,3)+WEEKDAY(DATE(YEAR(A1860-WEEKDAY(A1860-1)+4),1,3))+5)/7))</f>
        <v/>
      </c>
      <c r="D1860" s="21" t="n"/>
      <c r="E1860" s="22" t="n"/>
      <c r="F1860" s="23" t="n"/>
      <c r="G1860" s="23" t="n"/>
      <c r="H1860" s="23" t="n"/>
      <c r="I1860" s="20">
        <f>IF(COUNT(F1860:H1860)=0,"",SUM(F1860:H1860))</f>
        <v/>
      </c>
      <c r="J1860" s="23" t="n"/>
      <c r="K1860" s="23" t="n"/>
      <c r="L1860" s="23" t="n"/>
      <c r="M1860" s="23" t="n"/>
      <c r="N1860" s="23" t="n"/>
      <c r="O1860" s="20">
        <f>IF(OR(I1860="",COUNT(J1860:N1860)=0),"",IF(SUM(J1860:N1860)=I1860,"✓","⚠ "&amp;SUM(J1860:N1860)&amp;" statt "&amp;I1860))</f>
        <v/>
      </c>
      <c r="P1860" s="21" t="n"/>
      <c r="Q1860" s="21" t="n"/>
      <c r="R1860" s="21" t="n"/>
      <c r="S1860" s="24" t="n"/>
      <c r="T1860" s="24" t="n"/>
      <c r="V1860">
        <f>IF(A1860="","",MONTH(A1860))</f>
        <v/>
      </c>
      <c r="W1860">
        <f>N(W1859)+IF(AND(C1860&lt;&gt;"",T1860&lt;&gt;""),IF(C1860=WOCHE!$B$3,1,0),0)</f>
        <v/>
      </c>
      <c r="X1860">
        <f>N(X1859)+IF(AND(V1860&lt;&gt;"",T1860&lt;&gt;""),IF(V1860=MONAT!$AZ$3,1,0),0)</f>
        <v/>
      </c>
    </row>
    <row r="1861">
      <c r="A1861" s="19" t="n"/>
      <c r="B1861" s="20">
        <f>IF(A1861="","",CHOOSE(WEEKDAY(A1861,2),"Mo","Di","Mi","Do","Fr","Sa","So"))</f>
        <v/>
      </c>
      <c r="C1861" s="20">
        <f>IF(A1861="","",INT((A1861-DATE(YEAR(A1861-WEEKDAY(A1861-1)+4),1,3)+WEEKDAY(DATE(YEAR(A1861-WEEKDAY(A1861-1)+4),1,3))+5)/7))</f>
        <v/>
      </c>
      <c r="D1861" s="21" t="n"/>
      <c r="E1861" s="22" t="n"/>
      <c r="F1861" s="23" t="n"/>
      <c r="G1861" s="23" t="n"/>
      <c r="H1861" s="23" t="n"/>
      <c r="I1861" s="20">
        <f>IF(COUNT(F1861:H1861)=0,"",SUM(F1861:H1861))</f>
        <v/>
      </c>
      <c r="J1861" s="23" t="n"/>
      <c r="K1861" s="23" t="n"/>
      <c r="L1861" s="23" t="n"/>
      <c r="M1861" s="23" t="n"/>
      <c r="N1861" s="23" t="n"/>
      <c r="O1861" s="20">
        <f>IF(OR(I1861="",COUNT(J1861:N1861)=0),"",IF(SUM(J1861:N1861)=I1861,"✓","⚠ "&amp;SUM(J1861:N1861)&amp;" statt "&amp;I1861))</f>
        <v/>
      </c>
      <c r="P1861" s="21" t="n"/>
      <c r="Q1861" s="21" t="n"/>
      <c r="R1861" s="21" t="n"/>
      <c r="S1861" s="24" t="n"/>
      <c r="T1861" s="24" t="n"/>
      <c r="V1861">
        <f>IF(A1861="","",MONTH(A1861))</f>
        <v/>
      </c>
      <c r="W1861">
        <f>N(W1860)+IF(AND(C1861&lt;&gt;"",T1861&lt;&gt;""),IF(C1861=WOCHE!$B$3,1,0),0)</f>
        <v/>
      </c>
      <c r="X1861">
        <f>N(X1860)+IF(AND(V1861&lt;&gt;"",T1861&lt;&gt;""),IF(V1861=MONAT!$AZ$3,1,0),0)</f>
        <v/>
      </c>
    </row>
    <row r="1862">
      <c r="A1862" s="19" t="n"/>
      <c r="B1862" s="20">
        <f>IF(A1862="","",CHOOSE(WEEKDAY(A1862,2),"Mo","Di","Mi","Do","Fr","Sa","So"))</f>
        <v/>
      </c>
      <c r="C1862" s="20">
        <f>IF(A1862="","",INT((A1862-DATE(YEAR(A1862-WEEKDAY(A1862-1)+4),1,3)+WEEKDAY(DATE(YEAR(A1862-WEEKDAY(A1862-1)+4),1,3))+5)/7))</f>
        <v/>
      </c>
      <c r="D1862" s="21" t="n"/>
      <c r="E1862" s="22" t="n"/>
      <c r="F1862" s="23" t="n"/>
      <c r="G1862" s="23" t="n"/>
      <c r="H1862" s="23" t="n"/>
      <c r="I1862" s="20">
        <f>IF(COUNT(F1862:H1862)=0,"",SUM(F1862:H1862))</f>
        <v/>
      </c>
      <c r="J1862" s="23" t="n"/>
      <c r="K1862" s="23" t="n"/>
      <c r="L1862" s="23" t="n"/>
      <c r="M1862" s="23" t="n"/>
      <c r="N1862" s="23" t="n"/>
      <c r="O1862" s="20">
        <f>IF(OR(I1862="",COUNT(J1862:N1862)=0),"",IF(SUM(J1862:N1862)=I1862,"✓","⚠ "&amp;SUM(J1862:N1862)&amp;" statt "&amp;I1862))</f>
        <v/>
      </c>
      <c r="P1862" s="21" t="n"/>
      <c r="Q1862" s="21" t="n"/>
      <c r="R1862" s="21" t="n"/>
      <c r="S1862" s="24" t="n"/>
      <c r="T1862" s="24" t="n"/>
      <c r="V1862">
        <f>IF(A1862="","",MONTH(A1862))</f>
        <v/>
      </c>
      <c r="W1862">
        <f>N(W1861)+IF(AND(C1862&lt;&gt;"",T1862&lt;&gt;""),IF(C1862=WOCHE!$B$3,1,0),0)</f>
        <v/>
      </c>
      <c r="X1862">
        <f>N(X1861)+IF(AND(V1862&lt;&gt;"",T1862&lt;&gt;""),IF(V1862=MONAT!$AZ$3,1,0),0)</f>
        <v/>
      </c>
    </row>
    <row r="1863">
      <c r="A1863" s="19" t="n"/>
      <c r="B1863" s="20">
        <f>IF(A1863="","",CHOOSE(WEEKDAY(A1863,2),"Mo","Di","Mi","Do","Fr","Sa","So"))</f>
        <v/>
      </c>
      <c r="C1863" s="20">
        <f>IF(A1863="","",INT((A1863-DATE(YEAR(A1863-WEEKDAY(A1863-1)+4),1,3)+WEEKDAY(DATE(YEAR(A1863-WEEKDAY(A1863-1)+4),1,3))+5)/7))</f>
        <v/>
      </c>
      <c r="D1863" s="21" t="n"/>
      <c r="E1863" s="22" t="n"/>
      <c r="F1863" s="23" t="n"/>
      <c r="G1863" s="23" t="n"/>
      <c r="H1863" s="23" t="n"/>
      <c r="I1863" s="20">
        <f>IF(COUNT(F1863:H1863)=0,"",SUM(F1863:H1863))</f>
        <v/>
      </c>
      <c r="J1863" s="23" t="n"/>
      <c r="K1863" s="23" t="n"/>
      <c r="L1863" s="23" t="n"/>
      <c r="M1863" s="23" t="n"/>
      <c r="N1863" s="23" t="n"/>
      <c r="O1863" s="20">
        <f>IF(OR(I1863="",COUNT(J1863:N1863)=0),"",IF(SUM(J1863:N1863)=I1863,"✓","⚠ "&amp;SUM(J1863:N1863)&amp;" statt "&amp;I1863))</f>
        <v/>
      </c>
      <c r="P1863" s="21" t="n"/>
      <c r="Q1863" s="21" t="n"/>
      <c r="R1863" s="21" t="n"/>
      <c r="S1863" s="24" t="n"/>
      <c r="T1863" s="24" t="n"/>
      <c r="V1863">
        <f>IF(A1863="","",MONTH(A1863))</f>
        <v/>
      </c>
      <c r="W1863">
        <f>N(W1862)+IF(AND(C1863&lt;&gt;"",T1863&lt;&gt;""),IF(C1863=WOCHE!$B$3,1,0),0)</f>
        <v/>
      </c>
      <c r="X1863">
        <f>N(X1862)+IF(AND(V1863&lt;&gt;"",T1863&lt;&gt;""),IF(V1863=MONAT!$AZ$3,1,0),0)</f>
        <v/>
      </c>
    </row>
    <row r="1864">
      <c r="A1864" s="19" t="n"/>
      <c r="B1864" s="20">
        <f>IF(A1864="","",CHOOSE(WEEKDAY(A1864,2),"Mo","Di","Mi","Do","Fr","Sa","So"))</f>
        <v/>
      </c>
      <c r="C1864" s="20">
        <f>IF(A1864="","",INT((A1864-DATE(YEAR(A1864-WEEKDAY(A1864-1)+4),1,3)+WEEKDAY(DATE(YEAR(A1864-WEEKDAY(A1864-1)+4),1,3))+5)/7))</f>
        <v/>
      </c>
      <c r="D1864" s="21" t="n"/>
      <c r="E1864" s="22" t="n"/>
      <c r="F1864" s="23" t="n"/>
      <c r="G1864" s="23" t="n"/>
      <c r="H1864" s="23" t="n"/>
      <c r="I1864" s="20">
        <f>IF(COUNT(F1864:H1864)=0,"",SUM(F1864:H1864))</f>
        <v/>
      </c>
      <c r="J1864" s="23" t="n"/>
      <c r="K1864" s="23" t="n"/>
      <c r="L1864" s="23" t="n"/>
      <c r="M1864" s="23" t="n"/>
      <c r="N1864" s="23" t="n"/>
      <c r="O1864" s="20">
        <f>IF(OR(I1864="",COUNT(J1864:N1864)=0),"",IF(SUM(J1864:N1864)=I1864,"✓","⚠ "&amp;SUM(J1864:N1864)&amp;" statt "&amp;I1864))</f>
        <v/>
      </c>
      <c r="P1864" s="21" t="n"/>
      <c r="Q1864" s="21" t="n"/>
      <c r="R1864" s="21" t="n"/>
      <c r="S1864" s="24" t="n"/>
      <c r="T1864" s="24" t="n"/>
      <c r="V1864">
        <f>IF(A1864="","",MONTH(A1864))</f>
        <v/>
      </c>
      <c r="W1864">
        <f>N(W1863)+IF(AND(C1864&lt;&gt;"",T1864&lt;&gt;""),IF(C1864=WOCHE!$B$3,1,0),0)</f>
        <v/>
      </c>
      <c r="X1864">
        <f>N(X1863)+IF(AND(V1864&lt;&gt;"",T1864&lt;&gt;""),IF(V1864=MONAT!$AZ$3,1,0),0)</f>
        <v/>
      </c>
    </row>
    <row r="1865">
      <c r="A1865" s="19" t="n"/>
      <c r="B1865" s="20">
        <f>IF(A1865="","",CHOOSE(WEEKDAY(A1865,2),"Mo","Di","Mi","Do","Fr","Sa","So"))</f>
        <v/>
      </c>
      <c r="C1865" s="20">
        <f>IF(A1865="","",INT((A1865-DATE(YEAR(A1865-WEEKDAY(A1865-1)+4),1,3)+WEEKDAY(DATE(YEAR(A1865-WEEKDAY(A1865-1)+4),1,3))+5)/7))</f>
        <v/>
      </c>
      <c r="D1865" s="21" t="n"/>
      <c r="E1865" s="22" t="n"/>
      <c r="F1865" s="23" t="n"/>
      <c r="G1865" s="23" t="n"/>
      <c r="H1865" s="23" t="n"/>
      <c r="I1865" s="20">
        <f>IF(COUNT(F1865:H1865)=0,"",SUM(F1865:H1865))</f>
        <v/>
      </c>
      <c r="J1865" s="23" t="n"/>
      <c r="K1865" s="23" t="n"/>
      <c r="L1865" s="23" t="n"/>
      <c r="M1865" s="23" t="n"/>
      <c r="N1865" s="23" t="n"/>
      <c r="O1865" s="20">
        <f>IF(OR(I1865="",COUNT(J1865:N1865)=0),"",IF(SUM(J1865:N1865)=I1865,"✓","⚠ "&amp;SUM(J1865:N1865)&amp;" statt "&amp;I1865))</f>
        <v/>
      </c>
      <c r="P1865" s="21" t="n"/>
      <c r="Q1865" s="21" t="n"/>
      <c r="R1865" s="21" t="n"/>
      <c r="S1865" s="24" t="n"/>
      <c r="T1865" s="24" t="n"/>
      <c r="V1865">
        <f>IF(A1865="","",MONTH(A1865))</f>
        <v/>
      </c>
      <c r="W1865">
        <f>N(W1864)+IF(AND(C1865&lt;&gt;"",T1865&lt;&gt;""),IF(C1865=WOCHE!$B$3,1,0),0)</f>
        <v/>
      </c>
      <c r="X1865">
        <f>N(X1864)+IF(AND(V1865&lt;&gt;"",T1865&lt;&gt;""),IF(V1865=MONAT!$AZ$3,1,0),0)</f>
        <v/>
      </c>
    </row>
    <row r="1866">
      <c r="A1866" s="19" t="n"/>
      <c r="B1866" s="20">
        <f>IF(A1866="","",CHOOSE(WEEKDAY(A1866,2),"Mo","Di","Mi","Do","Fr","Sa","So"))</f>
        <v/>
      </c>
      <c r="C1866" s="20">
        <f>IF(A1866="","",INT((A1866-DATE(YEAR(A1866-WEEKDAY(A1866-1)+4),1,3)+WEEKDAY(DATE(YEAR(A1866-WEEKDAY(A1866-1)+4),1,3))+5)/7))</f>
        <v/>
      </c>
      <c r="D1866" s="21" t="n"/>
      <c r="E1866" s="22" t="n"/>
      <c r="F1866" s="23" t="n"/>
      <c r="G1866" s="23" t="n"/>
      <c r="H1866" s="23" t="n"/>
      <c r="I1866" s="20">
        <f>IF(COUNT(F1866:H1866)=0,"",SUM(F1866:H1866))</f>
        <v/>
      </c>
      <c r="J1866" s="23" t="n"/>
      <c r="K1866" s="23" t="n"/>
      <c r="L1866" s="23" t="n"/>
      <c r="M1866" s="23" t="n"/>
      <c r="N1866" s="23" t="n"/>
      <c r="O1866" s="20">
        <f>IF(OR(I1866="",COUNT(J1866:N1866)=0),"",IF(SUM(J1866:N1866)=I1866,"✓","⚠ "&amp;SUM(J1866:N1866)&amp;" statt "&amp;I1866))</f>
        <v/>
      </c>
      <c r="P1866" s="21" t="n"/>
      <c r="Q1866" s="21" t="n"/>
      <c r="R1866" s="21" t="n"/>
      <c r="S1866" s="24" t="n"/>
      <c r="T1866" s="24" t="n"/>
      <c r="V1866">
        <f>IF(A1866="","",MONTH(A1866))</f>
        <v/>
      </c>
      <c r="W1866">
        <f>N(W1865)+IF(AND(C1866&lt;&gt;"",T1866&lt;&gt;""),IF(C1866=WOCHE!$B$3,1,0),0)</f>
        <v/>
      </c>
      <c r="X1866">
        <f>N(X1865)+IF(AND(V1866&lt;&gt;"",T1866&lt;&gt;""),IF(V1866=MONAT!$AZ$3,1,0),0)</f>
        <v/>
      </c>
    </row>
    <row r="1867">
      <c r="A1867" s="19" t="n"/>
      <c r="B1867" s="20">
        <f>IF(A1867="","",CHOOSE(WEEKDAY(A1867,2),"Mo","Di","Mi","Do","Fr","Sa","So"))</f>
        <v/>
      </c>
      <c r="C1867" s="20">
        <f>IF(A1867="","",INT((A1867-DATE(YEAR(A1867-WEEKDAY(A1867-1)+4),1,3)+WEEKDAY(DATE(YEAR(A1867-WEEKDAY(A1867-1)+4),1,3))+5)/7))</f>
        <v/>
      </c>
      <c r="D1867" s="21" t="n"/>
      <c r="E1867" s="22" t="n"/>
      <c r="F1867" s="23" t="n"/>
      <c r="G1867" s="23" t="n"/>
      <c r="H1867" s="23" t="n"/>
      <c r="I1867" s="20">
        <f>IF(COUNT(F1867:H1867)=0,"",SUM(F1867:H1867))</f>
        <v/>
      </c>
      <c r="J1867" s="23" t="n"/>
      <c r="K1867" s="23" t="n"/>
      <c r="L1867" s="23" t="n"/>
      <c r="M1867" s="23" t="n"/>
      <c r="N1867" s="23" t="n"/>
      <c r="O1867" s="20">
        <f>IF(OR(I1867="",COUNT(J1867:N1867)=0),"",IF(SUM(J1867:N1867)=I1867,"✓","⚠ "&amp;SUM(J1867:N1867)&amp;" statt "&amp;I1867))</f>
        <v/>
      </c>
      <c r="P1867" s="21" t="n"/>
      <c r="Q1867" s="21" t="n"/>
      <c r="R1867" s="21" t="n"/>
      <c r="S1867" s="24" t="n"/>
      <c r="T1867" s="24" t="n"/>
      <c r="V1867">
        <f>IF(A1867="","",MONTH(A1867))</f>
        <v/>
      </c>
      <c r="W1867">
        <f>N(W1866)+IF(AND(C1867&lt;&gt;"",T1867&lt;&gt;""),IF(C1867=WOCHE!$B$3,1,0),0)</f>
        <v/>
      </c>
      <c r="X1867">
        <f>N(X1866)+IF(AND(V1867&lt;&gt;"",T1867&lt;&gt;""),IF(V1867=MONAT!$AZ$3,1,0),0)</f>
        <v/>
      </c>
    </row>
    <row r="1868">
      <c r="A1868" s="19" t="n"/>
      <c r="B1868" s="20">
        <f>IF(A1868="","",CHOOSE(WEEKDAY(A1868,2),"Mo","Di","Mi","Do","Fr","Sa","So"))</f>
        <v/>
      </c>
      <c r="C1868" s="20">
        <f>IF(A1868="","",INT((A1868-DATE(YEAR(A1868-WEEKDAY(A1868-1)+4),1,3)+WEEKDAY(DATE(YEAR(A1868-WEEKDAY(A1868-1)+4),1,3))+5)/7))</f>
        <v/>
      </c>
      <c r="D1868" s="21" t="n"/>
      <c r="E1868" s="22" t="n"/>
      <c r="F1868" s="23" t="n"/>
      <c r="G1868" s="23" t="n"/>
      <c r="H1868" s="23" t="n"/>
      <c r="I1868" s="20">
        <f>IF(COUNT(F1868:H1868)=0,"",SUM(F1868:H1868))</f>
        <v/>
      </c>
      <c r="J1868" s="23" t="n"/>
      <c r="K1868" s="23" t="n"/>
      <c r="L1868" s="23" t="n"/>
      <c r="M1868" s="23" t="n"/>
      <c r="N1868" s="23" t="n"/>
      <c r="O1868" s="20">
        <f>IF(OR(I1868="",COUNT(J1868:N1868)=0),"",IF(SUM(J1868:N1868)=I1868,"✓","⚠ "&amp;SUM(J1868:N1868)&amp;" statt "&amp;I1868))</f>
        <v/>
      </c>
      <c r="P1868" s="21" t="n"/>
      <c r="Q1868" s="21" t="n"/>
      <c r="R1868" s="21" t="n"/>
      <c r="S1868" s="24" t="n"/>
      <c r="T1868" s="24" t="n"/>
      <c r="V1868">
        <f>IF(A1868="","",MONTH(A1868))</f>
        <v/>
      </c>
      <c r="W1868">
        <f>N(W1867)+IF(AND(C1868&lt;&gt;"",T1868&lt;&gt;""),IF(C1868=WOCHE!$B$3,1,0),0)</f>
        <v/>
      </c>
      <c r="X1868">
        <f>N(X1867)+IF(AND(V1868&lt;&gt;"",T1868&lt;&gt;""),IF(V1868=MONAT!$AZ$3,1,0),0)</f>
        <v/>
      </c>
    </row>
    <row r="1869">
      <c r="A1869" s="19" t="n"/>
      <c r="B1869" s="20">
        <f>IF(A1869="","",CHOOSE(WEEKDAY(A1869,2),"Mo","Di","Mi","Do","Fr","Sa","So"))</f>
        <v/>
      </c>
      <c r="C1869" s="20">
        <f>IF(A1869="","",INT((A1869-DATE(YEAR(A1869-WEEKDAY(A1869-1)+4),1,3)+WEEKDAY(DATE(YEAR(A1869-WEEKDAY(A1869-1)+4),1,3))+5)/7))</f>
        <v/>
      </c>
      <c r="D1869" s="21" t="n"/>
      <c r="E1869" s="22" t="n"/>
      <c r="F1869" s="23" t="n"/>
      <c r="G1869" s="23" t="n"/>
      <c r="H1869" s="23" t="n"/>
      <c r="I1869" s="20">
        <f>IF(COUNT(F1869:H1869)=0,"",SUM(F1869:H1869))</f>
        <v/>
      </c>
      <c r="J1869" s="23" t="n"/>
      <c r="K1869" s="23" t="n"/>
      <c r="L1869" s="23" t="n"/>
      <c r="M1869" s="23" t="n"/>
      <c r="N1869" s="23" t="n"/>
      <c r="O1869" s="20">
        <f>IF(OR(I1869="",COUNT(J1869:N1869)=0),"",IF(SUM(J1869:N1869)=I1869,"✓","⚠ "&amp;SUM(J1869:N1869)&amp;" statt "&amp;I1869))</f>
        <v/>
      </c>
      <c r="P1869" s="21" t="n"/>
      <c r="Q1869" s="21" t="n"/>
      <c r="R1869" s="21" t="n"/>
      <c r="S1869" s="24" t="n"/>
      <c r="T1869" s="24" t="n"/>
      <c r="V1869">
        <f>IF(A1869="","",MONTH(A1869))</f>
        <v/>
      </c>
      <c r="W1869">
        <f>N(W1868)+IF(AND(C1869&lt;&gt;"",T1869&lt;&gt;""),IF(C1869=WOCHE!$B$3,1,0),0)</f>
        <v/>
      </c>
      <c r="X1869">
        <f>N(X1868)+IF(AND(V1869&lt;&gt;"",T1869&lt;&gt;""),IF(V1869=MONAT!$AZ$3,1,0),0)</f>
        <v/>
      </c>
    </row>
    <row r="1870">
      <c r="A1870" s="19" t="n"/>
      <c r="B1870" s="20">
        <f>IF(A1870="","",CHOOSE(WEEKDAY(A1870,2),"Mo","Di","Mi","Do","Fr","Sa","So"))</f>
        <v/>
      </c>
      <c r="C1870" s="20">
        <f>IF(A1870="","",INT((A1870-DATE(YEAR(A1870-WEEKDAY(A1870-1)+4),1,3)+WEEKDAY(DATE(YEAR(A1870-WEEKDAY(A1870-1)+4),1,3))+5)/7))</f>
        <v/>
      </c>
      <c r="D1870" s="21" t="n"/>
      <c r="E1870" s="22" t="n"/>
      <c r="F1870" s="23" t="n"/>
      <c r="G1870" s="23" t="n"/>
      <c r="H1870" s="23" t="n"/>
      <c r="I1870" s="20">
        <f>IF(COUNT(F1870:H1870)=0,"",SUM(F1870:H1870))</f>
        <v/>
      </c>
      <c r="J1870" s="23" t="n"/>
      <c r="K1870" s="23" t="n"/>
      <c r="L1870" s="23" t="n"/>
      <c r="M1870" s="23" t="n"/>
      <c r="N1870" s="23" t="n"/>
      <c r="O1870" s="20">
        <f>IF(OR(I1870="",COUNT(J1870:N1870)=0),"",IF(SUM(J1870:N1870)=I1870,"✓","⚠ "&amp;SUM(J1870:N1870)&amp;" statt "&amp;I1870))</f>
        <v/>
      </c>
      <c r="P1870" s="21" t="n"/>
      <c r="Q1870" s="21" t="n"/>
      <c r="R1870" s="21" t="n"/>
      <c r="S1870" s="24" t="n"/>
      <c r="T1870" s="24" t="n"/>
      <c r="V1870">
        <f>IF(A1870="","",MONTH(A1870))</f>
        <v/>
      </c>
      <c r="W1870">
        <f>N(W1869)+IF(AND(C1870&lt;&gt;"",T1870&lt;&gt;""),IF(C1870=WOCHE!$B$3,1,0),0)</f>
        <v/>
      </c>
      <c r="X1870">
        <f>N(X1869)+IF(AND(V1870&lt;&gt;"",T1870&lt;&gt;""),IF(V1870=MONAT!$AZ$3,1,0),0)</f>
        <v/>
      </c>
    </row>
    <row r="1871">
      <c r="A1871" s="19" t="n"/>
      <c r="B1871" s="20">
        <f>IF(A1871="","",CHOOSE(WEEKDAY(A1871,2),"Mo","Di","Mi","Do","Fr","Sa","So"))</f>
        <v/>
      </c>
      <c r="C1871" s="20">
        <f>IF(A1871="","",INT((A1871-DATE(YEAR(A1871-WEEKDAY(A1871-1)+4),1,3)+WEEKDAY(DATE(YEAR(A1871-WEEKDAY(A1871-1)+4),1,3))+5)/7))</f>
        <v/>
      </c>
      <c r="D1871" s="21" t="n"/>
      <c r="E1871" s="22" t="n"/>
      <c r="F1871" s="23" t="n"/>
      <c r="G1871" s="23" t="n"/>
      <c r="H1871" s="23" t="n"/>
      <c r="I1871" s="20">
        <f>IF(COUNT(F1871:H1871)=0,"",SUM(F1871:H1871))</f>
        <v/>
      </c>
      <c r="J1871" s="23" t="n"/>
      <c r="K1871" s="23" t="n"/>
      <c r="L1871" s="23" t="n"/>
      <c r="M1871" s="23" t="n"/>
      <c r="N1871" s="23" t="n"/>
      <c r="O1871" s="20">
        <f>IF(OR(I1871="",COUNT(J1871:N1871)=0),"",IF(SUM(J1871:N1871)=I1871,"✓","⚠ "&amp;SUM(J1871:N1871)&amp;" statt "&amp;I1871))</f>
        <v/>
      </c>
      <c r="P1871" s="21" t="n"/>
      <c r="Q1871" s="21" t="n"/>
      <c r="R1871" s="21" t="n"/>
      <c r="S1871" s="24" t="n"/>
      <c r="T1871" s="24" t="n"/>
      <c r="V1871">
        <f>IF(A1871="","",MONTH(A1871))</f>
        <v/>
      </c>
      <c r="W1871">
        <f>N(W1870)+IF(AND(C1871&lt;&gt;"",T1871&lt;&gt;""),IF(C1871=WOCHE!$B$3,1,0),0)</f>
        <v/>
      </c>
      <c r="X1871">
        <f>N(X1870)+IF(AND(V1871&lt;&gt;"",T1871&lt;&gt;""),IF(V1871=MONAT!$AZ$3,1,0),0)</f>
        <v/>
      </c>
    </row>
    <row r="1872">
      <c r="A1872" s="19" t="n"/>
      <c r="B1872" s="20">
        <f>IF(A1872="","",CHOOSE(WEEKDAY(A1872,2),"Mo","Di","Mi","Do","Fr","Sa","So"))</f>
        <v/>
      </c>
      <c r="C1872" s="20">
        <f>IF(A1872="","",INT((A1872-DATE(YEAR(A1872-WEEKDAY(A1872-1)+4),1,3)+WEEKDAY(DATE(YEAR(A1872-WEEKDAY(A1872-1)+4),1,3))+5)/7))</f>
        <v/>
      </c>
      <c r="D1872" s="21" t="n"/>
      <c r="E1872" s="22" t="n"/>
      <c r="F1872" s="23" t="n"/>
      <c r="G1872" s="23" t="n"/>
      <c r="H1872" s="23" t="n"/>
      <c r="I1872" s="20">
        <f>IF(COUNT(F1872:H1872)=0,"",SUM(F1872:H1872))</f>
        <v/>
      </c>
      <c r="J1872" s="23" t="n"/>
      <c r="K1872" s="23" t="n"/>
      <c r="L1872" s="23" t="n"/>
      <c r="M1872" s="23" t="n"/>
      <c r="N1872" s="23" t="n"/>
      <c r="O1872" s="20">
        <f>IF(OR(I1872="",COUNT(J1872:N1872)=0),"",IF(SUM(J1872:N1872)=I1872,"✓","⚠ "&amp;SUM(J1872:N1872)&amp;" statt "&amp;I1872))</f>
        <v/>
      </c>
      <c r="P1872" s="21" t="n"/>
      <c r="Q1872" s="21" t="n"/>
      <c r="R1872" s="21" t="n"/>
      <c r="S1872" s="24" t="n"/>
      <c r="T1872" s="24" t="n"/>
      <c r="V1872">
        <f>IF(A1872="","",MONTH(A1872))</f>
        <v/>
      </c>
      <c r="W1872">
        <f>N(W1871)+IF(AND(C1872&lt;&gt;"",T1872&lt;&gt;""),IF(C1872=WOCHE!$B$3,1,0),0)</f>
        <v/>
      </c>
      <c r="X1872">
        <f>N(X1871)+IF(AND(V1872&lt;&gt;"",T1872&lt;&gt;""),IF(V1872=MONAT!$AZ$3,1,0),0)</f>
        <v/>
      </c>
    </row>
    <row r="1873">
      <c r="A1873" s="19" t="n"/>
      <c r="B1873" s="20">
        <f>IF(A1873="","",CHOOSE(WEEKDAY(A1873,2),"Mo","Di","Mi","Do","Fr","Sa","So"))</f>
        <v/>
      </c>
      <c r="C1873" s="20">
        <f>IF(A1873="","",INT((A1873-DATE(YEAR(A1873-WEEKDAY(A1873-1)+4),1,3)+WEEKDAY(DATE(YEAR(A1873-WEEKDAY(A1873-1)+4),1,3))+5)/7))</f>
        <v/>
      </c>
      <c r="D1873" s="21" t="n"/>
      <c r="E1873" s="22" t="n"/>
      <c r="F1873" s="23" t="n"/>
      <c r="G1873" s="23" t="n"/>
      <c r="H1873" s="23" t="n"/>
      <c r="I1873" s="20">
        <f>IF(COUNT(F1873:H1873)=0,"",SUM(F1873:H1873))</f>
        <v/>
      </c>
      <c r="J1873" s="23" t="n"/>
      <c r="K1873" s="23" t="n"/>
      <c r="L1873" s="23" t="n"/>
      <c r="M1873" s="23" t="n"/>
      <c r="N1873" s="23" t="n"/>
      <c r="O1873" s="20">
        <f>IF(OR(I1873="",COUNT(J1873:N1873)=0),"",IF(SUM(J1873:N1873)=I1873,"✓","⚠ "&amp;SUM(J1873:N1873)&amp;" statt "&amp;I1873))</f>
        <v/>
      </c>
      <c r="P1873" s="21" t="n"/>
      <c r="Q1873" s="21" t="n"/>
      <c r="R1873" s="21" t="n"/>
      <c r="S1873" s="24" t="n"/>
      <c r="T1873" s="24" t="n"/>
      <c r="V1873">
        <f>IF(A1873="","",MONTH(A1873))</f>
        <v/>
      </c>
      <c r="W1873">
        <f>N(W1872)+IF(AND(C1873&lt;&gt;"",T1873&lt;&gt;""),IF(C1873=WOCHE!$B$3,1,0),0)</f>
        <v/>
      </c>
      <c r="X1873">
        <f>N(X1872)+IF(AND(V1873&lt;&gt;"",T1873&lt;&gt;""),IF(V1873=MONAT!$AZ$3,1,0),0)</f>
        <v/>
      </c>
    </row>
    <row r="1874">
      <c r="A1874" s="19" t="n"/>
      <c r="B1874" s="20">
        <f>IF(A1874="","",CHOOSE(WEEKDAY(A1874,2),"Mo","Di","Mi","Do","Fr","Sa","So"))</f>
        <v/>
      </c>
      <c r="C1874" s="20">
        <f>IF(A1874="","",INT((A1874-DATE(YEAR(A1874-WEEKDAY(A1874-1)+4),1,3)+WEEKDAY(DATE(YEAR(A1874-WEEKDAY(A1874-1)+4),1,3))+5)/7))</f>
        <v/>
      </c>
      <c r="D1874" s="21" t="n"/>
      <c r="E1874" s="22" t="n"/>
      <c r="F1874" s="23" t="n"/>
      <c r="G1874" s="23" t="n"/>
      <c r="H1874" s="23" t="n"/>
      <c r="I1874" s="20">
        <f>IF(COUNT(F1874:H1874)=0,"",SUM(F1874:H1874))</f>
        <v/>
      </c>
      <c r="J1874" s="23" t="n"/>
      <c r="K1874" s="23" t="n"/>
      <c r="L1874" s="23" t="n"/>
      <c r="M1874" s="23" t="n"/>
      <c r="N1874" s="23" t="n"/>
      <c r="O1874" s="20">
        <f>IF(OR(I1874="",COUNT(J1874:N1874)=0),"",IF(SUM(J1874:N1874)=I1874,"✓","⚠ "&amp;SUM(J1874:N1874)&amp;" statt "&amp;I1874))</f>
        <v/>
      </c>
      <c r="P1874" s="21" t="n"/>
      <c r="Q1874" s="21" t="n"/>
      <c r="R1874" s="21" t="n"/>
      <c r="S1874" s="24" t="n"/>
      <c r="T1874" s="24" t="n"/>
      <c r="V1874">
        <f>IF(A1874="","",MONTH(A1874))</f>
        <v/>
      </c>
      <c r="W1874">
        <f>N(W1873)+IF(AND(C1874&lt;&gt;"",T1874&lt;&gt;""),IF(C1874=WOCHE!$B$3,1,0),0)</f>
        <v/>
      </c>
      <c r="X1874">
        <f>N(X1873)+IF(AND(V1874&lt;&gt;"",T1874&lt;&gt;""),IF(V1874=MONAT!$AZ$3,1,0),0)</f>
        <v/>
      </c>
    </row>
    <row r="1875">
      <c r="A1875" s="19" t="n"/>
      <c r="B1875" s="20">
        <f>IF(A1875="","",CHOOSE(WEEKDAY(A1875,2),"Mo","Di","Mi","Do","Fr","Sa","So"))</f>
        <v/>
      </c>
      <c r="C1875" s="20">
        <f>IF(A1875="","",INT((A1875-DATE(YEAR(A1875-WEEKDAY(A1875-1)+4),1,3)+WEEKDAY(DATE(YEAR(A1875-WEEKDAY(A1875-1)+4),1,3))+5)/7))</f>
        <v/>
      </c>
      <c r="D1875" s="21" t="n"/>
      <c r="E1875" s="22" t="n"/>
      <c r="F1875" s="23" t="n"/>
      <c r="G1875" s="23" t="n"/>
      <c r="H1875" s="23" t="n"/>
      <c r="I1875" s="20">
        <f>IF(COUNT(F1875:H1875)=0,"",SUM(F1875:H1875))</f>
        <v/>
      </c>
      <c r="J1875" s="23" t="n"/>
      <c r="K1875" s="23" t="n"/>
      <c r="L1875" s="23" t="n"/>
      <c r="M1875" s="23" t="n"/>
      <c r="N1875" s="23" t="n"/>
      <c r="O1875" s="20">
        <f>IF(OR(I1875="",COUNT(J1875:N1875)=0),"",IF(SUM(J1875:N1875)=I1875,"✓","⚠ "&amp;SUM(J1875:N1875)&amp;" statt "&amp;I1875))</f>
        <v/>
      </c>
      <c r="P1875" s="21" t="n"/>
      <c r="Q1875" s="21" t="n"/>
      <c r="R1875" s="21" t="n"/>
      <c r="S1875" s="24" t="n"/>
      <c r="T1875" s="24" t="n"/>
      <c r="V1875">
        <f>IF(A1875="","",MONTH(A1875))</f>
        <v/>
      </c>
      <c r="W1875">
        <f>N(W1874)+IF(AND(C1875&lt;&gt;"",T1875&lt;&gt;""),IF(C1875=WOCHE!$B$3,1,0),0)</f>
        <v/>
      </c>
      <c r="X1875">
        <f>N(X1874)+IF(AND(V1875&lt;&gt;"",T1875&lt;&gt;""),IF(V1875=MONAT!$AZ$3,1,0),0)</f>
        <v/>
      </c>
    </row>
    <row r="1876">
      <c r="A1876" s="19" t="n"/>
      <c r="B1876" s="20">
        <f>IF(A1876="","",CHOOSE(WEEKDAY(A1876,2),"Mo","Di","Mi","Do","Fr","Sa","So"))</f>
        <v/>
      </c>
      <c r="C1876" s="20">
        <f>IF(A1876="","",INT((A1876-DATE(YEAR(A1876-WEEKDAY(A1876-1)+4),1,3)+WEEKDAY(DATE(YEAR(A1876-WEEKDAY(A1876-1)+4),1,3))+5)/7))</f>
        <v/>
      </c>
      <c r="D1876" s="21" t="n"/>
      <c r="E1876" s="22" t="n"/>
      <c r="F1876" s="23" t="n"/>
      <c r="G1876" s="23" t="n"/>
      <c r="H1876" s="23" t="n"/>
      <c r="I1876" s="20">
        <f>IF(COUNT(F1876:H1876)=0,"",SUM(F1876:H1876))</f>
        <v/>
      </c>
      <c r="J1876" s="23" t="n"/>
      <c r="K1876" s="23" t="n"/>
      <c r="L1876" s="23" t="n"/>
      <c r="M1876" s="23" t="n"/>
      <c r="N1876" s="23" t="n"/>
      <c r="O1876" s="20">
        <f>IF(OR(I1876="",COUNT(J1876:N1876)=0),"",IF(SUM(J1876:N1876)=I1876,"✓","⚠ "&amp;SUM(J1876:N1876)&amp;" statt "&amp;I1876))</f>
        <v/>
      </c>
      <c r="P1876" s="21" t="n"/>
      <c r="Q1876" s="21" t="n"/>
      <c r="R1876" s="21" t="n"/>
      <c r="S1876" s="24" t="n"/>
      <c r="T1876" s="24" t="n"/>
      <c r="V1876">
        <f>IF(A1876="","",MONTH(A1876))</f>
        <v/>
      </c>
      <c r="W1876">
        <f>N(W1875)+IF(AND(C1876&lt;&gt;"",T1876&lt;&gt;""),IF(C1876=WOCHE!$B$3,1,0),0)</f>
        <v/>
      </c>
      <c r="X1876">
        <f>N(X1875)+IF(AND(V1876&lt;&gt;"",T1876&lt;&gt;""),IF(V1876=MONAT!$AZ$3,1,0),0)</f>
        <v/>
      </c>
    </row>
    <row r="1877">
      <c r="A1877" s="19" t="n"/>
      <c r="B1877" s="20">
        <f>IF(A1877="","",CHOOSE(WEEKDAY(A1877,2),"Mo","Di","Mi","Do","Fr","Sa","So"))</f>
        <v/>
      </c>
      <c r="C1877" s="20">
        <f>IF(A1877="","",INT((A1877-DATE(YEAR(A1877-WEEKDAY(A1877-1)+4),1,3)+WEEKDAY(DATE(YEAR(A1877-WEEKDAY(A1877-1)+4),1,3))+5)/7))</f>
        <v/>
      </c>
      <c r="D1877" s="21" t="n"/>
      <c r="E1877" s="22" t="n"/>
      <c r="F1877" s="23" t="n"/>
      <c r="G1877" s="23" t="n"/>
      <c r="H1877" s="23" t="n"/>
      <c r="I1877" s="20">
        <f>IF(COUNT(F1877:H1877)=0,"",SUM(F1877:H1877))</f>
        <v/>
      </c>
      <c r="J1877" s="23" t="n"/>
      <c r="K1877" s="23" t="n"/>
      <c r="L1877" s="23" t="n"/>
      <c r="M1877" s="23" t="n"/>
      <c r="N1877" s="23" t="n"/>
      <c r="O1877" s="20">
        <f>IF(OR(I1877="",COUNT(J1877:N1877)=0),"",IF(SUM(J1877:N1877)=I1877,"✓","⚠ "&amp;SUM(J1877:N1877)&amp;" statt "&amp;I1877))</f>
        <v/>
      </c>
      <c r="P1877" s="21" t="n"/>
      <c r="Q1877" s="21" t="n"/>
      <c r="R1877" s="21" t="n"/>
      <c r="S1877" s="24" t="n"/>
      <c r="T1877" s="24" t="n"/>
      <c r="V1877">
        <f>IF(A1877="","",MONTH(A1877))</f>
        <v/>
      </c>
      <c r="W1877">
        <f>N(W1876)+IF(AND(C1877&lt;&gt;"",T1877&lt;&gt;""),IF(C1877=WOCHE!$B$3,1,0),0)</f>
        <v/>
      </c>
      <c r="X1877">
        <f>N(X1876)+IF(AND(V1877&lt;&gt;"",T1877&lt;&gt;""),IF(V1877=MONAT!$AZ$3,1,0),0)</f>
        <v/>
      </c>
    </row>
    <row r="1878">
      <c r="A1878" s="19" t="n"/>
      <c r="B1878" s="20">
        <f>IF(A1878="","",CHOOSE(WEEKDAY(A1878,2),"Mo","Di","Mi","Do","Fr","Sa","So"))</f>
        <v/>
      </c>
      <c r="C1878" s="20">
        <f>IF(A1878="","",INT((A1878-DATE(YEAR(A1878-WEEKDAY(A1878-1)+4),1,3)+WEEKDAY(DATE(YEAR(A1878-WEEKDAY(A1878-1)+4),1,3))+5)/7))</f>
        <v/>
      </c>
      <c r="D1878" s="21" t="n"/>
      <c r="E1878" s="22" t="n"/>
      <c r="F1878" s="23" t="n"/>
      <c r="G1878" s="23" t="n"/>
      <c r="H1878" s="23" t="n"/>
      <c r="I1878" s="20">
        <f>IF(COUNT(F1878:H1878)=0,"",SUM(F1878:H1878))</f>
        <v/>
      </c>
      <c r="J1878" s="23" t="n"/>
      <c r="K1878" s="23" t="n"/>
      <c r="L1878" s="23" t="n"/>
      <c r="M1878" s="23" t="n"/>
      <c r="N1878" s="23" t="n"/>
      <c r="O1878" s="20">
        <f>IF(OR(I1878="",COUNT(J1878:N1878)=0),"",IF(SUM(J1878:N1878)=I1878,"✓","⚠ "&amp;SUM(J1878:N1878)&amp;" statt "&amp;I1878))</f>
        <v/>
      </c>
      <c r="P1878" s="21" t="n"/>
      <c r="Q1878" s="21" t="n"/>
      <c r="R1878" s="21" t="n"/>
      <c r="S1878" s="24" t="n"/>
      <c r="T1878" s="24" t="n"/>
      <c r="V1878">
        <f>IF(A1878="","",MONTH(A1878))</f>
        <v/>
      </c>
      <c r="W1878">
        <f>N(W1877)+IF(AND(C1878&lt;&gt;"",T1878&lt;&gt;""),IF(C1878=WOCHE!$B$3,1,0),0)</f>
        <v/>
      </c>
      <c r="X1878">
        <f>N(X1877)+IF(AND(V1878&lt;&gt;"",T1878&lt;&gt;""),IF(V1878=MONAT!$AZ$3,1,0),0)</f>
        <v/>
      </c>
    </row>
    <row r="1879">
      <c r="A1879" s="19" t="n"/>
      <c r="B1879" s="20">
        <f>IF(A1879="","",CHOOSE(WEEKDAY(A1879,2),"Mo","Di","Mi","Do","Fr","Sa","So"))</f>
        <v/>
      </c>
      <c r="C1879" s="20">
        <f>IF(A1879="","",INT((A1879-DATE(YEAR(A1879-WEEKDAY(A1879-1)+4),1,3)+WEEKDAY(DATE(YEAR(A1879-WEEKDAY(A1879-1)+4),1,3))+5)/7))</f>
        <v/>
      </c>
      <c r="D1879" s="21" t="n"/>
      <c r="E1879" s="22" t="n"/>
      <c r="F1879" s="23" t="n"/>
      <c r="G1879" s="23" t="n"/>
      <c r="H1879" s="23" t="n"/>
      <c r="I1879" s="20">
        <f>IF(COUNT(F1879:H1879)=0,"",SUM(F1879:H1879))</f>
        <v/>
      </c>
      <c r="J1879" s="23" t="n"/>
      <c r="K1879" s="23" t="n"/>
      <c r="L1879" s="23" t="n"/>
      <c r="M1879" s="23" t="n"/>
      <c r="N1879" s="23" t="n"/>
      <c r="O1879" s="20">
        <f>IF(OR(I1879="",COUNT(J1879:N1879)=0),"",IF(SUM(J1879:N1879)=I1879,"✓","⚠ "&amp;SUM(J1879:N1879)&amp;" statt "&amp;I1879))</f>
        <v/>
      </c>
      <c r="P1879" s="21" t="n"/>
      <c r="Q1879" s="21" t="n"/>
      <c r="R1879" s="21" t="n"/>
      <c r="S1879" s="24" t="n"/>
      <c r="T1879" s="24" t="n"/>
      <c r="V1879">
        <f>IF(A1879="","",MONTH(A1879))</f>
        <v/>
      </c>
      <c r="W1879">
        <f>N(W1878)+IF(AND(C1879&lt;&gt;"",T1879&lt;&gt;""),IF(C1879=WOCHE!$B$3,1,0),0)</f>
        <v/>
      </c>
      <c r="X1879">
        <f>N(X1878)+IF(AND(V1879&lt;&gt;"",T1879&lt;&gt;""),IF(V1879=MONAT!$AZ$3,1,0),0)</f>
        <v/>
      </c>
    </row>
    <row r="1880">
      <c r="A1880" s="19" t="n"/>
      <c r="B1880" s="20">
        <f>IF(A1880="","",CHOOSE(WEEKDAY(A1880,2),"Mo","Di","Mi","Do","Fr","Sa","So"))</f>
        <v/>
      </c>
      <c r="C1880" s="20">
        <f>IF(A1880="","",INT((A1880-DATE(YEAR(A1880-WEEKDAY(A1880-1)+4),1,3)+WEEKDAY(DATE(YEAR(A1880-WEEKDAY(A1880-1)+4),1,3))+5)/7))</f>
        <v/>
      </c>
      <c r="D1880" s="21" t="n"/>
      <c r="E1880" s="22" t="n"/>
      <c r="F1880" s="23" t="n"/>
      <c r="G1880" s="23" t="n"/>
      <c r="H1880" s="23" t="n"/>
      <c r="I1880" s="20">
        <f>IF(COUNT(F1880:H1880)=0,"",SUM(F1880:H1880))</f>
        <v/>
      </c>
      <c r="J1880" s="23" t="n"/>
      <c r="K1880" s="23" t="n"/>
      <c r="L1880" s="23" t="n"/>
      <c r="M1880" s="23" t="n"/>
      <c r="N1880" s="23" t="n"/>
      <c r="O1880" s="20">
        <f>IF(OR(I1880="",COUNT(J1880:N1880)=0),"",IF(SUM(J1880:N1880)=I1880,"✓","⚠ "&amp;SUM(J1880:N1880)&amp;" statt "&amp;I1880))</f>
        <v/>
      </c>
      <c r="P1880" s="21" t="n"/>
      <c r="Q1880" s="21" t="n"/>
      <c r="R1880" s="21" t="n"/>
      <c r="S1880" s="24" t="n"/>
      <c r="T1880" s="24" t="n"/>
      <c r="V1880">
        <f>IF(A1880="","",MONTH(A1880))</f>
        <v/>
      </c>
      <c r="W1880">
        <f>N(W1879)+IF(AND(C1880&lt;&gt;"",T1880&lt;&gt;""),IF(C1880=WOCHE!$B$3,1,0),0)</f>
        <v/>
      </c>
      <c r="X1880">
        <f>N(X1879)+IF(AND(V1880&lt;&gt;"",T1880&lt;&gt;""),IF(V1880=MONAT!$AZ$3,1,0),0)</f>
        <v/>
      </c>
    </row>
    <row r="1881">
      <c r="A1881" s="19" t="n"/>
      <c r="B1881" s="20">
        <f>IF(A1881="","",CHOOSE(WEEKDAY(A1881,2),"Mo","Di","Mi","Do","Fr","Sa","So"))</f>
        <v/>
      </c>
      <c r="C1881" s="20">
        <f>IF(A1881="","",INT((A1881-DATE(YEAR(A1881-WEEKDAY(A1881-1)+4),1,3)+WEEKDAY(DATE(YEAR(A1881-WEEKDAY(A1881-1)+4),1,3))+5)/7))</f>
        <v/>
      </c>
      <c r="D1881" s="21" t="n"/>
      <c r="E1881" s="22" t="n"/>
      <c r="F1881" s="23" t="n"/>
      <c r="G1881" s="23" t="n"/>
      <c r="H1881" s="23" t="n"/>
      <c r="I1881" s="20">
        <f>IF(COUNT(F1881:H1881)=0,"",SUM(F1881:H1881))</f>
        <v/>
      </c>
      <c r="J1881" s="23" t="n"/>
      <c r="K1881" s="23" t="n"/>
      <c r="L1881" s="23" t="n"/>
      <c r="M1881" s="23" t="n"/>
      <c r="N1881" s="23" t="n"/>
      <c r="O1881" s="20">
        <f>IF(OR(I1881="",COUNT(J1881:N1881)=0),"",IF(SUM(J1881:N1881)=I1881,"✓","⚠ "&amp;SUM(J1881:N1881)&amp;" statt "&amp;I1881))</f>
        <v/>
      </c>
      <c r="P1881" s="21" t="n"/>
      <c r="Q1881" s="21" t="n"/>
      <c r="R1881" s="21" t="n"/>
      <c r="S1881" s="24" t="n"/>
      <c r="T1881" s="24" t="n"/>
      <c r="V1881">
        <f>IF(A1881="","",MONTH(A1881))</f>
        <v/>
      </c>
      <c r="W1881">
        <f>N(W1880)+IF(AND(C1881&lt;&gt;"",T1881&lt;&gt;""),IF(C1881=WOCHE!$B$3,1,0),0)</f>
        <v/>
      </c>
      <c r="X1881">
        <f>N(X1880)+IF(AND(V1881&lt;&gt;"",T1881&lt;&gt;""),IF(V1881=MONAT!$AZ$3,1,0),0)</f>
        <v/>
      </c>
    </row>
    <row r="1882">
      <c r="A1882" s="19" t="n"/>
      <c r="B1882" s="20">
        <f>IF(A1882="","",CHOOSE(WEEKDAY(A1882,2),"Mo","Di","Mi","Do","Fr","Sa","So"))</f>
        <v/>
      </c>
      <c r="C1882" s="20">
        <f>IF(A1882="","",INT((A1882-DATE(YEAR(A1882-WEEKDAY(A1882-1)+4),1,3)+WEEKDAY(DATE(YEAR(A1882-WEEKDAY(A1882-1)+4),1,3))+5)/7))</f>
        <v/>
      </c>
      <c r="D1882" s="21" t="n"/>
      <c r="E1882" s="22" t="n"/>
      <c r="F1882" s="23" t="n"/>
      <c r="G1882" s="23" t="n"/>
      <c r="H1882" s="23" t="n"/>
      <c r="I1882" s="20">
        <f>IF(COUNT(F1882:H1882)=0,"",SUM(F1882:H1882))</f>
        <v/>
      </c>
      <c r="J1882" s="23" t="n"/>
      <c r="K1882" s="23" t="n"/>
      <c r="L1882" s="23" t="n"/>
      <c r="M1882" s="23" t="n"/>
      <c r="N1882" s="23" t="n"/>
      <c r="O1882" s="20">
        <f>IF(OR(I1882="",COUNT(J1882:N1882)=0),"",IF(SUM(J1882:N1882)=I1882,"✓","⚠ "&amp;SUM(J1882:N1882)&amp;" statt "&amp;I1882))</f>
        <v/>
      </c>
      <c r="P1882" s="21" t="n"/>
      <c r="Q1882" s="21" t="n"/>
      <c r="R1882" s="21" t="n"/>
      <c r="S1882" s="24" t="n"/>
      <c r="T1882" s="24" t="n"/>
      <c r="V1882">
        <f>IF(A1882="","",MONTH(A1882))</f>
        <v/>
      </c>
      <c r="W1882">
        <f>N(W1881)+IF(AND(C1882&lt;&gt;"",T1882&lt;&gt;""),IF(C1882=WOCHE!$B$3,1,0),0)</f>
        <v/>
      </c>
      <c r="X1882">
        <f>N(X1881)+IF(AND(V1882&lt;&gt;"",T1882&lt;&gt;""),IF(V1882=MONAT!$AZ$3,1,0),0)</f>
        <v/>
      </c>
    </row>
    <row r="1883">
      <c r="A1883" s="19" t="n"/>
      <c r="B1883" s="20">
        <f>IF(A1883="","",CHOOSE(WEEKDAY(A1883,2),"Mo","Di","Mi","Do","Fr","Sa","So"))</f>
        <v/>
      </c>
      <c r="C1883" s="20">
        <f>IF(A1883="","",INT((A1883-DATE(YEAR(A1883-WEEKDAY(A1883-1)+4),1,3)+WEEKDAY(DATE(YEAR(A1883-WEEKDAY(A1883-1)+4),1,3))+5)/7))</f>
        <v/>
      </c>
      <c r="D1883" s="21" t="n"/>
      <c r="E1883" s="22" t="n"/>
      <c r="F1883" s="23" t="n"/>
      <c r="G1883" s="23" t="n"/>
      <c r="H1883" s="23" t="n"/>
      <c r="I1883" s="20">
        <f>IF(COUNT(F1883:H1883)=0,"",SUM(F1883:H1883))</f>
        <v/>
      </c>
      <c r="J1883" s="23" t="n"/>
      <c r="K1883" s="23" t="n"/>
      <c r="L1883" s="23" t="n"/>
      <c r="M1883" s="23" t="n"/>
      <c r="N1883" s="23" t="n"/>
      <c r="O1883" s="20">
        <f>IF(OR(I1883="",COUNT(J1883:N1883)=0),"",IF(SUM(J1883:N1883)=I1883,"✓","⚠ "&amp;SUM(J1883:N1883)&amp;" statt "&amp;I1883))</f>
        <v/>
      </c>
      <c r="P1883" s="21" t="n"/>
      <c r="Q1883" s="21" t="n"/>
      <c r="R1883" s="21" t="n"/>
      <c r="S1883" s="24" t="n"/>
      <c r="T1883" s="24" t="n"/>
      <c r="V1883">
        <f>IF(A1883="","",MONTH(A1883))</f>
        <v/>
      </c>
      <c r="W1883">
        <f>N(W1882)+IF(AND(C1883&lt;&gt;"",T1883&lt;&gt;""),IF(C1883=WOCHE!$B$3,1,0),0)</f>
        <v/>
      </c>
      <c r="X1883">
        <f>N(X1882)+IF(AND(V1883&lt;&gt;"",T1883&lt;&gt;""),IF(V1883=MONAT!$AZ$3,1,0),0)</f>
        <v/>
      </c>
    </row>
    <row r="1884">
      <c r="A1884" s="19" t="n"/>
      <c r="B1884" s="20">
        <f>IF(A1884="","",CHOOSE(WEEKDAY(A1884,2),"Mo","Di","Mi","Do","Fr","Sa","So"))</f>
        <v/>
      </c>
      <c r="C1884" s="20">
        <f>IF(A1884="","",INT((A1884-DATE(YEAR(A1884-WEEKDAY(A1884-1)+4),1,3)+WEEKDAY(DATE(YEAR(A1884-WEEKDAY(A1884-1)+4),1,3))+5)/7))</f>
        <v/>
      </c>
      <c r="D1884" s="21" t="n"/>
      <c r="E1884" s="22" t="n"/>
      <c r="F1884" s="23" t="n"/>
      <c r="G1884" s="23" t="n"/>
      <c r="H1884" s="23" t="n"/>
      <c r="I1884" s="20">
        <f>IF(COUNT(F1884:H1884)=0,"",SUM(F1884:H1884))</f>
        <v/>
      </c>
      <c r="J1884" s="23" t="n"/>
      <c r="K1884" s="23" t="n"/>
      <c r="L1884" s="23" t="n"/>
      <c r="M1884" s="23" t="n"/>
      <c r="N1884" s="23" t="n"/>
      <c r="O1884" s="20">
        <f>IF(OR(I1884="",COUNT(J1884:N1884)=0),"",IF(SUM(J1884:N1884)=I1884,"✓","⚠ "&amp;SUM(J1884:N1884)&amp;" statt "&amp;I1884))</f>
        <v/>
      </c>
      <c r="P1884" s="21" t="n"/>
      <c r="Q1884" s="21" t="n"/>
      <c r="R1884" s="21" t="n"/>
      <c r="S1884" s="24" t="n"/>
      <c r="T1884" s="24" t="n"/>
      <c r="V1884">
        <f>IF(A1884="","",MONTH(A1884))</f>
        <v/>
      </c>
      <c r="W1884">
        <f>N(W1883)+IF(AND(C1884&lt;&gt;"",T1884&lt;&gt;""),IF(C1884=WOCHE!$B$3,1,0),0)</f>
        <v/>
      </c>
      <c r="X1884">
        <f>N(X1883)+IF(AND(V1884&lt;&gt;"",T1884&lt;&gt;""),IF(V1884=MONAT!$AZ$3,1,0),0)</f>
        <v/>
      </c>
    </row>
    <row r="1885">
      <c r="A1885" s="19" t="n"/>
      <c r="B1885" s="20">
        <f>IF(A1885="","",CHOOSE(WEEKDAY(A1885,2),"Mo","Di","Mi","Do","Fr","Sa","So"))</f>
        <v/>
      </c>
      <c r="C1885" s="20">
        <f>IF(A1885="","",INT((A1885-DATE(YEAR(A1885-WEEKDAY(A1885-1)+4),1,3)+WEEKDAY(DATE(YEAR(A1885-WEEKDAY(A1885-1)+4),1,3))+5)/7))</f>
        <v/>
      </c>
      <c r="D1885" s="21" t="n"/>
      <c r="E1885" s="22" t="n"/>
      <c r="F1885" s="23" t="n"/>
      <c r="G1885" s="23" t="n"/>
      <c r="H1885" s="23" t="n"/>
      <c r="I1885" s="20">
        <f>IF(COUNT(F1885:H1885)=0,"",SUM(F1885:H1885))</f>
        <v/>
      </c>
      <c r="J1885" s="23" t="n"/>
      <c r="K1885" s="23" t="n"/>
      <c r="L1885" s="23" t="n"/>
      <c r="M1885" s="23" t="n"/>
      <c r="N1885" s="23" t="n"/>
      <c r="O1885" s="20">
        <f>IF(OR(I1885="",COUNT(J1885:N1885)=0),"",IF(SUM(J1885:N1885)=I1885,"✓","⚠ "&amp;SUM(J1885:N1885)&amp;" statt "&amp;I1885))</f>
        <v/>
      </c>
      <c r="P1885" s="21" t="n"/>
      <c r="Q1885" s="21" t="n"/>
      <c r="R1885" s="21" t="n"/>
      <c r="S1885" s="24" t="n"/>
      <c r="T1885" s="24" t="n"/>
      <c r="V1885">
        <f>IF(A1885="","",MONTH(A1885))</f>
        <v/>
      </c>
      <c r="W1885">
        <f>N(W1884)+IF(AND(C1885&lt;&gt;"",T1885&lt;&gt;""),IF(C1885=WOCHE!$B$3,1,0),0)</f>
        <v/>
      </c>
      <c r="X1885">
        <f>N(X1884)+IF(AND(V1885&lt;&gt;"",T1885&lt;&gt;""),IF(V1885=MONAT!$AZ$3,1,0),0)</f>
        <v/>
      </c>
    </row>
    <row r="1886">
      <c r="A1886" s="19" t="n"/>
      <c r="B1886" s="20">
        <f>IF(A1886="","",CHOOSE(WEEKDAY(A1886,2),"Mo","Di","Mi","Do","Fr","Sa","So"))</f>
        <v/>
      </c>
      <c r="C1886" s="20">
        <f>IF(A1886="","",INT((A1886-DATE(YEAR(A1886-WEEKDAY(A1886-1)+4),1,3)+WEEKDAY(DATE(YEAR(A1886-WEEKDAY(A1886-1)+4),1,3))+5)/7))</f>
        <v/>
      </c>
      <c r="D1886" s="21" t="n"/>
      <c r="E1886" s="22" t="n"/>
      <c r="F1886" s="23" t="n"/>
      <c r="G1886" s="23" t="n"/>
      <c r="H1886" s="23" t="n"/>
      <c r="I1886" s="20">
        <f>IF(COUNT(F1886:H1886)=0,"",SUM(F1886:H1886))</f>
        <v/>
      </c>
      <c r="J1886" s="23" t="n"/>
      <c r="K1886" s="23" t="n"/>
      <c r="L1886" s="23" t="n"/>
      <c r="M1886" s="23" t="n"/>
      <c r="N1886" s="23" t="n"/>
      <c r="O1886" s="20">
        <f>IF(OR(I1886="",COUNT(J1886:N1886)=0),"",IF(SUM(J1886:N1886)=I1886,"✓","⚠ "&amp;SUM(J1886:N1886)&amp;" statt "&amp;I1886))</f>
        <v/>
      </c>
      <c r="P1886" s="21" t="n"/>
      <c r="Q1886" s="21" t="n"/>
      <c r="R1886" s="21" t="n"/>
      <c r="S1886" s="24" t="n"/>
      <c r="T1886" s="24" t="n"/>
      <c r="V1886">
        <f>IF(A1886="","",MONTH(A1886))</f>
        <v/>
      </c>
      <c r="W1886">
        <f>N(W1885)+IF(AND(C1886&lt;&gt;"",T1886&lt;&gt;""),IF(C1886=WOCHE!$B$3,1,0),0)</f>
        <v/>
      </c>
      <c r="X1886">
        <f>N(X1885)+IF(AND(V1886&lt;&gt;"",T1886&lt;&gt;""),IF(V1886=MONAT!$AZ$3,1,0),0)</f>
        <v/>
      </c>
    </row>
    <row r="1887">
      <c r="A1887" s="19" t="n"/>
      <c r="B1887" s="20">
        <f>IF(A1887="","",CHOOSE(WEEKDAY(A1887,2),"Mo","Di","Mi","Do","Fr","Sa","So"))</f>
        <v/>
      </c>
      <c r="C1887" s="20">
        <f>IF(A1887="","",INT((A1887-DATE(YEAR(A1887-WEEKDAY(A1887-1)+4),1,3)+WEEKDAY(DATE(YEAR(A1887-WEEKDAY(A1887-1)+4),1,3))+5)/7))</f>
        <v/>
      </c>
      <c r="D1887" s="21" t="n"/>
      <c r="E1887" s="22" t="n"/>
      <c r="F1887" s="23" t="n"/>
      <c r="G1887" s="23" t="n"/>
      <c r="H1887" s="23" t="n"/>
      <c r="I1887" s="20">
        <f>IF(COUNT(F1887:H1887)=0,"",SUM(F1887:H1887))</f>
        <v/>
      </c>
      <c r="J1887" s="23" t="n"/>
      <c r="K1887" s="23" t="n"/>
      <c r="L1887" s="23" t="n"/>
      <c r="M1887" s="23" t="n"/>
      <c r="N1887" s="23" t="n"/>
      <c r="O1887" s="20">
        <f>IF(OR(I1887="",COUNT(J1887:N1887)=0),"",IF(SUM(J1887:N1887)=I1887,"✓","⚠ "&amp;SUM(J1887:N1887)&amp;" statt "&amp;I1887))</f>
        <v/>
      </c>
      <c r="P1887" s="21" t="n"/>
      <c r="Q1887" s="21" t="n"/>
      <c r="R1887" s="21" t="n"/>
      <c r="S1887" s="24" t="n"/>
      <c r="T1887" s="24" t="n"/>
      <c r="V1887">
        <f>IF(A1887="","",MONTH(A1887))</f>
        <v/>
      </c>
      <c r="W1887">
        <f>N(W1886)+IF(AND(C1887&lt;&gt;"",T1887&lt;&gt;""),IF(C1887=WOCHE!$B$3,1,0),0)</f>
        <v/>
      </c>
      <c r="X1887">
        <f>N(X1886)+IF(AND(V1887&lt;&gt;"",T1887&lt;&gt;""),IF(V1887=MONAT!$AZ$3,1,0),0)</f>
        <v/>
      </c>
    </row>
    <row r="1888">
      <c r="A1888" s="19" t="n"/>
      <c r="B1888" s="20">
        <f>IF(A1888="","",CHOOSE(WEEKDAY(A1888,2),"Mo","Di","Mi","Do","Fr","Sa","So"))</f>
        <v/>
      </c>
      <c r="C1888" s="20">
        <f>IF(A1888="","",INT((A1888-DATE(YEAR(A1888-WEEKDAY(A1888-1)+4),1,3)+WEEKDAY(DATE(YEAR(A1888-WEEKDAY(A1888-1)+4),1,3))+5)/7))</f>
        <v/>
      </c>
      <c r="D1888" s="21" t="n"/>
      <c r="E1888" s="22" t="n"/>
      <c r="F1888" s="23" t="n"/>
      <c r="G1888" s="23" t="n"/>
      <c r="H1888" s="23" t="n"/>
      <c r="I1888" s="20">
        <f>IF(COUNT(F1888:H1888)=0,"",SUM(F1888:H1888))</f>
        <v/>
      </c>
      <c r="J1888" s="23" t="n"/>
      <c r="K1888" s="23" t="n"/>
      <c r="L1888" s="23" t="n"/>
      <c r="M1888" s="23" t="n"/>
      <c r="N1888" s="23" t="n"/>
      <c r="O1888" s="20">
        <f>IF(OR(I1888="",COUNT(J1888:N1888)=0),"",IF(SUM(J1888:N1888)=I1888,"✓","⚠ "&amp;SUM(J1888:N1888)&amp;" statt "&amp;I1888))</f>
        <v/>
      </c>
      <c r="P1888" s="21" t="n"/>
      <c r="Q1888" s="21" t="n"/>
      <c r="R1888" s="21" t="n"/>
      <c r="S1888" s="24" t="n"/>
      <c r="T1888" s="24" t="n"/>
      <c r="V1888">
        <f>IF(A1888="","",MONTH(A1888))</f>
        <v/>
      </c>
      <c r="W1888">
        <f>N(W1887)+IF(AND(C1888&lt;&gt;"",T1888&lt;&gt;""),IF(C1888=WOCHE!$B$3,1,0),0)</f>
        <v/>
      </c>
      <c r="X1888">
        <f>N(X1887)+IF(AND(V1888&lt;&gt;"",T1888&lt;&gt;""),IF(V1888=MONAT!$AZ$3,1,0),0)</f>
        <v/>
      </c>
    </row>
    <row r="1889">
      <c r="A1889" s="19" t="n"/>
      <c r="B1889" s="20">
        <f>IF(A1889="","",CHOOSE(WEEKDAY(A1889,2),"Mo","Di","Mi","Do","Fr","Sa","So"))</f>
        <v/>
      </c>
      <c r="C1889" s="20">
        <f>IF(A1889="","",INT((A1889-DATE(YEAR(A1889-WEEKDAY(A1889-1)+4),1,3)+WEEKDAY(DATE(YEAR(A1889-WEEKDAY(A1889-1)+4),1,3))+5)/7))</f>
        <v/>
      </c>
      <c r="D1889" s="21" t="n"/>
      <c r="E1889" s="22" t="n"/>
      <c r="F1889" s="23" t="n"/>
      <c r="G1889" s="23" t="n"/>
      <c r="H1889" s="23" t="n"/>
      <c r="I1889" s="20">
        <f>IF(COUNT(F1889:H1889)=0,"",SUM(F1889:H1889))</f>
        <v/>
      </c>
      <c r="J1889" s="23" t="n"/>
      <c r="K1889" s="23" t="n"/>
      <c r="L1889" s="23" t="n"/>
      <c r="M1889" s="23" t="n"/>
      <c r="N1889" s="23" t="n"/>
      <c r="O1889" s="20">
        <f>IF(OR(I1889="",COUNT(J1889:N1889)=0),"",IF(SUM(J1889:N1889)=I1889,"✓","⚠ "&amp;SUM(J1889:N1889)&amp;" statt "&amp;I1889))</f>
        <v/>
      </c>
      <c r="P1889" s="21" t="n"/>
      <c r="Q1889" s="21" t="n"/>
      <c r="R1889" s="21" t="n"/>
      <c r="S1889" s="24" t="n"/>
      <c r="T1889" s="24" t="n"/>
      <c r="V1889">
        <f>IF(A1889="","",MONTH(A1889))</f>
        <v/>
      </c>
      <c r="W1889">
        <f>N(W1888)+IF(AND(C1889&lt;&gt;"",T1889&lt;&gt;""),IF(C1889=WOCHE!$B$3,1,0),0)</f>
        <v/>
      </c>
      <c r="X1889">
        <f>N(X1888)+IF(AND(V1889&lt;&gt;"",T1889&lt;&gt;""),IF(V1889=MONAT!$AZ$3,1,0),0)</f>
        <v/>
      </c>
    </row>
    <row r="1890">
      <c r="A1890" s="19" t="n"/>
      <c r="B1890" s="20">
        <f>IF(A1890="","",CHOOSE(WEEKDAY(A1890,2),"Mo","Di","Mi","Do","Fr","Sa","So"))</f>
        <v/>
      </c>
      <c r="C1890" s="20">
        <f>IF(A1890="","",INT((A1890-DATE(YEAR(A1890-WEEKDAY(A1890-1)+4),1,3)+WEEKDAY(DATE(YEAR(A1890-WEEKDAY(A1890-1)+4),1,3))+5)/7))</f>
        <v/>
      </c>
      <c r="D1890" s="21" t="n"/>
      <c r="E1890" s="22" t="n"/>
      <c r="F1890" s="23" t="n"/>
      <c r="G1890" s="23" t="n"/>
      <c r="H1890" s="23" t="n"/>
      <c r="I1890" s="20">
        <f>IF(COUNT(F1890:H1890)=0,"",SUM(F1890:H1890))</f>
        <v/>
      </c>
      <c r="J1890" s="23" t="n"/>
      <c r="K1890" s="23" t="n"/>
      <c r="L1890" s="23" t="n"/>
      <c r="M1890" s="23" t="n"/>
      <c r="N1890" s="23" t="n"/>
      <c r="O1890" s="20">
        <f>IF(OR(I1890="",COUNT(J1890:N1890)=0),"",IF(SUM(J1890:N1890)=I1890,"✓","⚠ "&amp;SUM(J1890:N1890)&amp;" statt "&amp;I1890))</f>
        <v/>
      </c>
      <c r="P1890" s="21" t="n"/>
      <c r="Q1890" s="21" t="n"/>
      <c r="R1890" s="21" t="n"/>
      <c r="S1890" s="24" t="n"/>
      <c r="T1890" s="24" t="n"/>
      <c r="V1890">
        <f>IF(A1890="","",MONTH(A1890))</f>
        <v/>
      </c>
      <c r="W1890">
        <f>N(W1889)+IF(AND(C1890&lt;&gt;"",T1890&lt;&gt;""),IF(C1890=WOCHE!$B$3,1,0),0)</f>
        <v/>
      </c>
      <c r="X1890">
        <f>N(X1889)+IF(AND(V1890&lt;&gt;"",T1890&lt;&gt;""),IF(V1890=MONAT!$AZ$3,1,0),0)</f>
        <v/>
      </c>
    </row>
    <row r="1891">
      <c r="A1891" s="19" t="n"/>
      <c r="B1891" s="20">
        <f>IF(A1891="","",CHOOSE(WEEKDAY(A1891,2),"Mo","Di","Mi","Do","Fr","Sa","So"))</f>
        <v/>
      </c>
      <c r="C1891" s="20">
        <f>IF(A1891="","",INT((A1891-DATE(YEAR(A1891-WEEKDAY(A1891-1)+4),1,3)+WEEKDAY(DATE(YEAR(A1891-WEEKDAY(A1891-1)+4),1,3))+5)/7))</f>
        <v/>
      </c>
      <c r="D1891" s="21" t="n"/>
      <c r="E1891" s="22" t="n"/>
      <c r="F1891" s="23" t="n"/>
      <c r="G1891" s="23" t="n"/>
      <c r="H1891" s="23" t="n"/>
      <c r="I1891" s="20">
        <f>IF(COUNT(F1891:H1891)=0,"",SUM(F1891:H1891))</f>
        <v/>
      </c>
      <c r="J1891" s="23" t="n"/>
      <c r="K1891" s="23" t="n"/>
      <c r="L1891" s="23" t="n"/>
      <c r="M1891" s="23" t="n"/>
      <c r="N1891" s="23" t="n"/>
      <c r="O1891" s="20">
        <f>IF(OR(I1891="",COUNT(J1891:N1891)=0),"",IF(SUM(J1891:N1891)=I1891,"✓","⚠ "&amp;SUM(J1891:N1891)&amp;" statt "&amp;I1891))</f>
        <v/>
      </c>
      <c r="P1891" s="21" t="n"/>
      <c r="Q1891" s="21" t="n"/>
      <c r="R1891" s="21" t="n"/>
      <c r="S1891" s="24" t="n"/>
      <c r="T1891" s="24" t="n"/>
      <c r="V1891">
        <f>IF(A1891="","",MONTH(A1891))</f>
        <v/>
      </c>
      <c r="W1891">
        <f>N(W1890)+IF(AND(C1891&lt;&gt;"",T1891&lt;&gt;""),IF(C1891=WOCHE!$B$3,1,0),0)</f>
        <v/>
      </c>
      <c r="X1891">
        <f>N(X1890)+IF(AND(V1891&lt;&gt;"",T1891&lt;&gt;""),IF(V1891=MONAT!$AZ$3,1,0),0)</f>
        <v/>
      </c>
    </row>
    <row r="1892">
      <c r="A1892" s="19" t="n"/>
      <c r="B1892" s="20">
        <f>IF(A1892="","",CHOOSE(WEEKDAY(A1892,2),"Mo","Di","Mi","Do","Fr","Sa","So"))</f>
        <v/>
      </c>
      <c r="C1892" s="20">
        <f>IF(A1892="","",INT((A1892-DATE(YEAR(A1892-WEEKDAY(A1892-1)+4),1,3)+WEEKDAY(DATE(YEAR(A1892-WEEKDAY(A1892-1)+4),1,3))+5)/7))</f>
        <v/>
      </c>
      <c r="D1892" s="21" t="n"/>
      <c r="E1892" s="22" t="n"/>
      <c r="F1892" s="23" t="n"/>
      <c r="G1892" s="23" t="n"/>
      <c r="H1892" s="23" t="n"/>
      <c r="I1892" s="20">
        <f>IF(COUNT(F1892:H1892)=0,"",SUM(F1892:H1892))</f>
        <v/>
      </c>
      <c r="J1892" s="23" t="n"/>
      <c r="K1892" s="23" t="n"/>
      <c r="L1892" s="23" t="n"/>
      <c r="M1892" s="23" t="n"/>
      <c r="N1892" s="23" t="n"/>
      <c r="O1892" s="20">
        <f>IF(OR(I1892="",COUNT(J1892:N1892)=0),"",IF(SUM(J1892:N1892)=I1892,"✓","⚠ "&amp;SUM(J1892:N1892)&amp;" statt "&amp;I1892))</f>
        <v/>
      </c>
      <c r="P1892" s="21" t="n"/>
      <c r="Q1892" s="21" t="n"/>
      <c r="R1892" s="21" t="n"/>
      <c r="S1892" s="24" t="n"/>
      <c r="T1892" s="24" t="n"/>
      <c r="V1892">
        <f>IF(A1892="","",MONTH(A1892))</f>
        <v/>
      </c>
      <c r="W1892">
        <f>N(W1891)+IF(AND(C1892&lt;&gt;"",T1892&lt;&gt;""),IF(C1892=WOCHE!$B$3,1,0),0)</f>
        <v/>
      </c>
      <c r="X1892">
        <f>N(X1891)+IF(AND(V1892&lt;&gt;"",T1892&lt;&gt;""),IF(V1892=MONAT!$AZ$3,1,0),0)</f>
        <v/>
      </c>
    </row>
    <row r="1893">
      <c r="A1893" s="19" t="n"/>
      <c r="B1893" s="20">
        <f>IF(A1893="","",CHOOSE(WEEKDAY(A1893,2),"Mo","Di","Mi","Do","Fr","Sa","So"))</f>
        <v/>
      </c>
      <c r="C1893" s="20">
        <f>IF(A1893="","",INT((A1893-DATE(YEAR(A1893-WEEKDAY(A1893-1)+4),1,3)+WEEKDAY(DATE(YEAR(A1893-WEEKDAY(A1893-1)+4),1,3))+5)/7))</f>
        <v/>
      </c>
      <c r="D1893" s="21" t="n"/>
      <c r="E1893" s="22" t="n"/>
      <c r="F1893" s="23" t="n"/>
      <c r="G1893" s="23" t="n"/>
      <c r="H1893" s="23" t="n"/>
      <c r="I1893" s="20">
        <f>IF(COUNT(F1893:H1893)=0,"",SUM(F1893:H1893))</f>
        <v/>
      </c>
      <c r="J1893" s="23" t="n"/>
      <c r="K1893" s="23" t="n"/>
      <c r="L1893" s="23" t="n"/>
      <c r="M1893" s="23" t="n"/>
      <c r="N1893" s="23" t="n"/>
      <c r="O1893" s="20">
        <f>IF(OR(I1893="",COUNT(J1893:N1893)=0),"",IF(SUM(J1893:N1893)=I1893,"✓","⚠ "&amp;SUM(J1893:N1893)&amp;" statt "&amp;I1893))</f>
        <v/>
      </c>
      <c r="P1893" s="21" t="n"/>
      <c r="Q1893" s="21" t="n"/>
      <c r="R1893" s="21" t="n"/>
      <c r="S1893" s="24" t="n"/>
      <c r="T1893" s="24" t="n"/>
      <c r="V1893">
        <f>IF(A1893="","",MONTH(A1893))</f>
        <v/>
      </c>
      <c r="W1893">
        <f>N(W1892)+IF(AND(C1893&lt;&gt;"",T1893&lt;&gt;""),IF(C1893=WOCHE!$B$3,1,0),0)</f>
        <v/>
      </c>
      <c r="X1893">
        <f>N(X1892)+IF(AND(V1893&lt;&gt;"",T1893&lt;&gt;""),IF(V1893=MONAT!$AZ$3,1,0),0)</f>
        <v/>
      </c>
    </row>
    <row r="1894">
      <c r="A1894" s="19" t="n"/>
      <c r="B1894" s="20">
        <f>IF(A1894="","",CHOOSE(WEEKDAY(A1894,2),"Mo","Di","Mi","Do","Fr","Sa","So"))</f>
        <v/>
      </c>
      <c r="C1894" s="20">
        <f>IF(A1894="","",INT((A1894-DATE(YEAR(A1894-WEEKDAY(A1894-1)+4),1,3)+WEEKDAY(DATE(YEAR(A1894-WEEKDAY(A1894-1)+4),1,3))+5)/7))</f>
        <v/>
      </c>
      <c r="D1894" s="21" t="n"/>
      <c r="E1894" s="22" t="n"/>
      <c r="F1894" s="23" t="n"/>
      <c r="G1894" s="23" t="n"/>
      <c r="H1894" s="23" t="n"/>
      <c r="I1894" s="20">
        <f>IF(COUNT(F1894:H1894)=0,"",SUM(F1894:H1894))</f>
        <v/>
      </c>
      <c r="J1894" s="23" t="n"/>
      <c r="K1894" s="23" t="n"/>
      <c r="L1894" s="23" t="n"/>
      <c r="M1894" s="23" t="n"/>
      <c r="N1894" s="23" t="n"/>
      <c r="O1894" s="20">
        <f>IF(OR(I1894="",COUNT(J1894:N1894)=0),"",IF(SUM(J1894:N1894)=I1894,"✓","⚠ "&amp;SUM(J1894:N1894)&amp;" statt "&amp;I1894))</f>
        <v/>
      </c>
      <c r="P1894" s="21" t="n"/>
      <c r="Q1894" s="21" t="n"/>
      <c r="R1894" s="21" t="n"/>
      <c r="S1894" s="24" t="n"/>
      <c r="T1894" s="24" t="n"/>
      <c r="V1894">
        <f>IF(A1894="","",MONTH(A1894))</f>
        <v/>
      </c>
      <c r="W1894">
        <f>N(W1893)+IF(AND(C1894&lt;&gt;"",T1894&lt;&gt;""),IF(C1894=WOCHE!$B$3,1,0),0)</f>
        <v/>
      </c>
      <c r="X1894">
        <f>N(X1893)+IF(AND(V1894&lt;&gt;"",T1894&lt;&gt;""),IF(V1894=MONAT!$AZ$3,1,0),0)</f>
        <v/>
      </c>
    </row>
    <row r="1895">
      <c r="A1895" s="19" t="n"/>
      <c r="B1895" s="20">
        <f>IF(A1895="","",CHOOSE(WEEKDAY(A1895,2),"Mo","Di","Mi","Do","Fr","Sa","So"))</f>
        <v/>
      </c>
      <c r="C1895" s="20">
        <f>IF(A1895="","",INT((A1895-DATE(YEAR(A1895-WEEKDAY(A1895-1)+4),1,3)+WEEKDAY(DATE(YEAR(A1895-WEEKDAY(A1895-1)+4),1,3))+5)/7))</f>
        <v/>
      </c>
      <c r="D1895" s="21" t="n"/>
      <c r="E1895" s="22" t="n"/>
      <c r="F1895" s="23" t="n"/>
      <c r="G1895" s="23" t="n"/>
      <c r="H1895" s="23" t="n"/>
      <c r="I1895" s="20">
        <f>IF(COUNT(F1895:H1895)=0,"",SUM(F1895:H1895))</f>
        <v/>
      </c>
      <c r="J1895" s="23" t="n"/>
      <c r="K1895" s="23" t="n"/>
      <c r="L1895" s="23" t="n"/>
      <c r="M1895" s="23" t="n"/>
      <c r="N1895" s="23" t="n"/>
      <c r="O1895" s="20">
        <f>IF(OR(I1895="",COUNT(J1895:N1895)=0),"",IF(SUM(J1895:N1895)=I1895,"✓","⚠ "&amp;SUM(J1895:N1895)&amp;" statt "&amp;I1895))</f>
        <v/>
      </c>
      <c r="P1895" s="21" t="n"/>
      <c r="Q1895" s="21" t="n"/>
      <c r="R1895" s="21" t="n"/>
      <c r="S1895" s="24" t="n"/>
      <c r="T1895" s="24" t="n"/>
      <c r="V1895">
        <f>IF(A1895="","",MONTH(A1895))</f>
        <v/>
      </c>
      <c r="W1895">
        <f>N(W1894)+IF(AND(C1895&lt;&gt;"",T1895&lt;&gt;""),IF(C1895=WOCHE!$B$3,1,0),0)</f>
        <v/>
      </c>
      <c r="X1895">
        <f>N(X1894)+IF(AND(V1895&lt;&gt;"",T1895&lt;&gt;""),IF(V1895=MONAT!$AZ$3,1,0),0)</f>
        <v/>
      </c>
    </row>
    <row r="1896">
      <c r="A1896" s="19" t="n"/>
      <c r="B1896" s="20">
        <f>IF(A1896="","",CHOOSE(WEEKDAY(A1896,2),"Mo","Di","Mi","Do","Fr","Sa","So"))</f>
        <v/>
      </c>
      <c r="C1896" s="20">
        <f>IF(A1896="","",INT((A1896-DATE(YEAR(A1896-WEEKDAY(A1896-1)+4),1,3)+WEEKDAY(DATE(YEAR(A1896-WEEKDAY(A1896-1)+4),1,3))+5)/7))</f>
        <v/>
      </c>
      <c r="D1896" s="21" t="n"/>
      <c r="E1896" s="22" t="n"/>
      <c r="F1896" s="23" t="n"/>
      <c r="G1896" s="23" t="n"/>
      <c r="H1896" s="23" t="n"/>
      <c r="I1896" s="20">
        <f>IF(COUNT(F1896:H1896)=0,"",SUM(F1896:H1896))</f>
        <v/>
      </c>
      <c r="J1896" s="23" t="n"/>
      <c r="K1896" s="23" t="n"/>
      <c r="L1896" s="23" t="n"/>
      <c r="M1896" s="23" t="n"/>
      <c r="N1896" s="23" t="n"/>
      <c r="O1896" s="20">
        <f>IF(OR(I1896="",COUNT(J1896:N1896)=0),"",IF(SUM(J1896:N1896)=I1896,"✓","⚠ "&amp;SUM(J1896:N1896)&amp;" statt "&amp;I1896))</f>
        <v/>
      </c>
      <c r="P1896" s="21" t="n"/>
      <c r="Q1896" s="21" t="n"/>
      <c r="R1896" s="21" t="n"/>
      <c r="S1896" s="24" t="n"/>
      <c r="T1896" s="24" t="n"/>
      <c r="V1896">
        <f>IF(A1896="","",MONTH(A1896))</f>
        <v/>
      </c>
      <c r="W1896">
        <f>N(W1895)+IF(AND(C1896&lt;&gt;"",T1896&lt;&gt;""),IF(C1896=WOCHE!$B$3,1,0),0)</f>
        <v/>
      </c>
      <c r="X1896">
        <f>N(X1895)+IF(AND(V1896&lt;&gt;"",T1896&lt;&gt;""),IF(V1896=MONAT!$AZ$3,1,0),0)</f>
        <v/>
      </c>
    </row>
    <row r="1897">
      <c r="A1897" s="19" t="n"/>
      <c r="B1897" s="20">
        <f>IF(A1897="","",CHOOSE(WEEKDAY(A1897,2),"Mo","Di","Mi","Do","Fr","Sa","So"))</f>
        <v/>
      </c>
      <c r="C1897" s="20">
        <f>IF(A1897="","",INT((A1897-DATE(YEAR(A1897-WEEKDAY(A1897-1)+4),1,3)+WEEKDAY(DATE(YEAR(A1897-WEEKDAY(A1897-1)+4),1,3))+5)/7))</f>
        <v/>
      </c>
      <c r="D1897" s="21" t="n"/>
      <c r="E1897" s="22" t="n"/>
      <c r="F1897" s="23" t="n"/>
      <c r="G1897" s="23" t="n"/>
      <c r="H1897" s="23" t="n"/>
      <c r="I1897" s="20">
        <f>IF(COUNT(F1897:H1897)=0,"",SUM(F1897:H1897))</f>
        <v/>
      </c>
      <c r="J1897" s="23" t="n"/>
      <c r="K1897" s="23" t="n"/>
      <c r="L1897" s="23" t="n"/>
      <c r="M1897" s="23" t="n"/>
      <c r="N1897" s="23" t="n"/>
      <c r="O1897" s="20">
        <f>IF(OR(I1897="",COUNT(J1897:N1897)=0),"",IF(SUM(J1897:N1897)=I1897,"✓","⚠ "&amp;SUM(J1897:N1897)&amp;" statt "&amp;I1897))</f>
        <v/>
      </c>
      <c r="P1897" s="21" t="n"/>
      <c r="Q1897" s="21" t="n"/>
      <c r="R1897" s="21" t="n"/>
      <c r="S1897" s="24" t="n"/>
      <c r="T1897" s="24" t="n"/>
      <c r="V1897">
        <f>IF(A1897="","",MONTH(A1897))</f>
        <v/>
      </c>
      <c r="W1897">
        <f>N(W1896)+IF(AND(C1897&lt;&gt;"",T1897&lt;&gt;""),IF(C1897=WOCHE!$B$3,1,0),0)</f>
        <v/>
      </c>
      <c r="X1897">
        <f>N(X1896)+IF(AND(V1897&lt;&gt;"",T1897&lt;&gt;""),IF(V1897=MONAT!$AZ$3,1,0),0)</f>
        <v/>
      </c>
    </row>
    <row r="1898">
      <c r="A1898" s="19" t="n"/>
      <c r="B1898" s="20">
        <f>IF(A1898="","",CHOOSE(WEEKDAY(A1898,2),"Mo","Di","Mi","Do","Fr","Sa","So"))</f>
        <v/>
      </c>
      <c r="C1898" s="20">
        <f>IF(A1898="","",INT((A1898-DATE(YEAR(A1898-WEEKDAY(A1898-1)+4),1,3)+WEEKDAY(DATE(YEAR(A1898-WEEKDAY(A1898-1)+4),1,3))+5)/7))</f>
        <v/>
      </c>
      <c r="D1898" s="21" t="n"/>
      <c r="E1898" s="22" t="n"/>
      <c r="F1898" s="23" t="n"/>
      <c r="G1898" s="23" t="n"/>
      <c r="H1898" s="23" t="n"/>
      <c r="I1898" s="20">
        <f>IF(COUNT(F1898:H1898)=0,"",SUM(F1898:H1898))</f>
        <v/>
      </c>
      <c r="J1898" s="23" t="n"/>
      <c r="K1898" s="23" t="n"/>
      <c r="L1898" s="23" t="n"/>
      <c r="M1898" s="23" t="n"/>
      <c r="N1898" s="23" t="n"/>
      <c r="O1898" s="20">
        <f>IF(OR(I1898="",COUNT(J1898:N1898)=0),"",IF(SUM(J1898:N1898)=I1898,"✓","⚠ "&amp;SUM(J1898:N1898)&amp;" statt "&amp;I1898))</f>
        <v/>
      </c>
      <c r="P1898" s="21" t="n"/>
      <c r="Q1898" s="21" t="n"/>
      <c r="R1898" s="21" t="n"/>
      <c r="S1898" s="24" t="n"/>
      <c r="T1898" s="24" t="n"/>
      <c r="V1898">
        <f>IF(A1898="","",MONTH(A1898))</f>
        <v/>
      </c>
      <c r="W1898">
        <f>N(W1897)+IF(AND(C1898&lt;&gt;"",T1898&lt;&gt;""),IF(C1898=WOCHE!$B$3,1,0),0)</f>
        <v/>
      </c>
      <c r="X1898">
        <f>N(X1897)+IF(AND(V1898&lt;&gt;"",T1898&lt;&gt;""),IF(V1898=MONAT!$AZ$3,1,0),0)</f>
        <v/>
      </c>
    </row>
    <row r="1899">
      <c r="A1899" s="19" t="n"/>
      <c r="B1899" s="20">
        <f>IF(A1899="","",CHOOSE(WEEKDAY(A1899,2),"Mo","Di","Mi","Do","Fr","Sa","So"))</f>
        <v/>
      </c>
      <c r="C1899" s="20">
        <f>IF(A1899="","",INT((A1899-DATE(YEAR(A1899-WEEKDAY(A1899-1)+4),1,3)+WEEKDAY(DATE(YEAR(A1899-WEEKDAY(A1899-1)+4),1,3))+5)/7))</f>
        <v/>
      </c>
      <c r="D1899" s="21" t="n"/>
      <c r="E1899" s="22" t="n"/>
      <c r="F1899" s="23" t="n"/>
      <c r="G1899" s="23" t="n"/>
      <c r="H1899" s="23" t="n"/>
      <c r="I1899" s="20">
        <f>IF(COUNT(F1899:H1899)=0,"",SUM(F1899:H1899))</f>
        <v/>
      </c>
      <c r="J1899" s="23" t="n"/>
      <c r="K1899" s="23" t="n"/>
      <c r="L1899" s="23" t="n"/>
      <c r="M1899" s="23" t="n"/>
      <c r="N1899" s="23" t="n"/>
      <c r="O1899" s="20">
        <f>IF(OR(I1899="",COUNT(J1899:N1899)=0),"",IF(SUM(J1899:N1899)=I1899,"✓","⚠ "&amp;SUM(J1899:N1899)&amp;" statt "&amp;I1899))</f>
        <v/>
      </c>
      <c r="P1899" s="21" t="n"/>
      <c r="Q1899" s="21" t="n"/>
      <c r="R1899" s="21" t="n"/>
      <c r="S1899" s="24" t="n"/>
      <c r="T1899" s="24" t="n"/>
      <c r="V1899">
        <f>IF(A1899="","",MONTH(A1899))</f>
        <v/>
      </c>
      <c r="W1899">
        <f>N(W1898)+IF(AND(C1899&lt;&gt;"",T1899&lt;&gt;""),IF(C1899=WOCHE!$B$3,1,0),0)</f>
        <v/>
      </c>
      <c r="X1899">
        <f>N(X1898)+IF(AND(V1899&lt;&gt;"",T1899&lt;&gt;""),IF(V1899=MONAT!$AZ$3,1,0),0)</f>
        <v/>
      </c>
    </row>
    <row r="1900">
      <c r="A1900" s="19" t="n"/>
      <c r="B1900" s="20">
        <f>IF(A1900="","",CHOOSE(WEEKDAY(A1900,2),"Mo","Di","Mi","Do","Fr","Sa","So"))</f>
        <v/>
      </c>
      <c r="C1900" s="20">
        <f>IF(A1900="","",INT((A1900-DATE(YEAR(A1900-WEEKDAY(A1900-1)+4),1,3)+WEEKDAY(DATE(YEAR(A1900-WEEKDAY(A1900-1)+4),1,3))+5)/7))</f>
        <v/>
      </c>
      <c r="D1900" s="21" t="n"/>
      <c r="E1900" s="22" t="n"/>
      <c r="F1900" s="23" t="n"/>
      <c r="G1900" s="23" t="n"/>
      <c r="H1900" s="23" t="n"/>
      <c r="I1900" s="20">
        <f>IF(COUNT(F1900:H1900)=0,"",SUM(F1900:H1900))</f>
        <v/>
      </c>
      <c r="J1900" s="23" t="n"/>
      <c r="K1900" s="23" t="n"/>
      <c r="L1900" s="23" t="n"/>
      <c r="M1900" s="23" t="n"/>
      <c r="N1900" s="23" t="n"/>
      <c r="O1900" s="20">
        <f>IF(OR(I1900="",COUNT(J1900:N1900)=0),"",IF(SUM(J1900:N1900)=I1900,"✓","⚠ "&amp;SUM(J1900:N1900)&amp;" statt "&amp;I1900))</f>
        <v/>
      </c>
      <c r="P1900" s="21" t="n"/>
      <c r="Q1900" s="21" t="n"/>
      <c r="R1900" s="21" t="n"/>
      <c r="S1900" s="24" t="n"/>
      <c r="T1900" s="24" t="n"/>
      <c r="V1900">
        <f>IF(A1900="","",MONTH(A1900))</f>
        <v/>
      </c>
      <c r="W1900">
        <f>N(W1899)+IF(AND(C1900&lt;&gt;"",T1900&lt;&gt;""),IF(C1900=WOCHE!$B$3,1,0),0)</f>
        <v/>
      </c>
      <c r="X1900">
        <f>N(X1899)+IF(AND(V1900&lt;&gt;"",T1900&lt;&gt;""),IF(V1900=MONAT!$AZ$3,1,0),0)</f>
        <v/>
      </c>
    </row>
    <row r="1901">
      <c r="A1901" s="19" t="n"/>
      <c r="B1901" s="20">
        <f>IF(A1901="","",CHOOSE(WEEKDAY(A1901,2),"Mo","Di","Mi","Do","Fr","Sa","So"))</f>
        <v/>
      </c>
      <c r="C1901" s="20">
        <f>IF(A1901="","",INT((A1901-DATE(YEAR(A1901-WEEKDAY(A1901-1)+4),1,3)+WEEKDAY(DATE(YEAR(A1901-WEEKDAY(A1901-1)+4),1,3))+5)/7))</f>
        <v/>
      </c>
      <c r="D1901" s="21" t="n"/>
      <c r="E1901" s="22" t="n"/>
      <c r="F1901" s="23" t="n"/>
      <c r="G1901" s="23" t="n"/>
      <c r="H1901" s="23" t="n"/>
      <c r="I1901" s="20">
        <f>IF(COUNT(F1901:H1901)=0,"",SUM(F1901:H1901))</f>
        <v/>
      </c>
      <c r="J1901" s="23" t="n"/>
      <c r="K1901" s="23" t="n"/>
      <c r="L1901" s="23" t="n"/>
      <c r="M1901" s="23" t="n"/>
      <c r="N1901" s="23" t="n"/>
      <c r="O1901" s="20">
        <f>IF(OR(I1901="",COUNT(J1901:N1901)=0),"",IF(SUM(J1901:N1901)=I1901,"✓","⚠ "&amp;SUM(J1901:N1901)&amp;" statt "&amp;I1901))</f>
        <v/>
      </c>
      <c r="P1901" s="21" t="n"/>
      <c r="Q1901" s="21" t="n"/>
      <c r="R1901" s="21" t="n"/>
      <c r="S1901" s="24" t="n"/>
      <c r="T1901" s="24" t="n"/>
      <c r="V1901">
        <f>IF(A1901="","",MONTH(A1901))</f>
        <v/>
      </c>
      <c r="W1901">
        <f>N(W1900)+IF(AND(C1901&lt;&gt;"",T1901&lt;&gt;""),IF(C1901=WOCHE!$B$3,1,0),0)</f>
        <v/>
      </c>
      <c r="X1901">
        <f>N(X1900)+IF(AND(V1901&lt;&gt;"",T1901&lt;&gt;""),IF(V1901=MONAT!$AZ$3,1,0),0)</f>
        <v/>
      </c>
    </row>
    <row r="1902">
      <c r="A1902" s="19" t="n"/>
      <c r="B1902" s="20">
        <f>IF(A1902="","",CHOOSE(WEEKDAY(A1902,2),"Mo","Di","Mi","Do","Fr","Sa","So"))</f>
        <v/>
      </c>
      <c r="C1902" s="20">
        <f>IF(A1902="","",INT((A1902-DATE(YEAR(A1902-WEEKDAY(A1902-1)+4),1,3)+WEEKDAY(DATE(YEAR(A1902-WEEKDAY(A1902-1)+4),1,3))+5)/7))</f>
        <v/>
      </c>
      <c r="D1902" s="21" t="n"/>
      <c r="E1902" s="22" t="n"/>
      <c r="F1902" s="23" t="n"/>
      <c r="G1902" s="23" t="n"/>
      <c r="H1902" s="23" t="n"/>
      <c r="I1902" s="20">
        <f>IF(COUNT(F1902:H1902)=0,"",SUM(F1902:H1902))</f>
        <v/>
      </c>
      <c r="J1902" s="23" t="n"/>
      <c r="K1902" s="23" t="n"/>
      <c r="L1902" s="23" t="n"/>
      <c r="M1902" s="23" t="n"/>
      <c r="N1902" s="23" t="n"/>
      <c r="O1902" s="20">
        <f>IF(OR(I1902="",COUNT(J1902:N1902)=0),"",IF(SUM(J1902:N1902)=I1902,"✓","⚠ "&amp;SUM(J1902:N1902)&amp;" statt "&amp;I1902))</f>
        <v/>
      </c>
      <c r="P1902" s="21" t="n"/>
      <c r="Q1902" s="21" t="n"/>
      <c r="R1902" s="21" t="n"/>
      <c r="S1902" s="24" t="n"/>
      <c r="T1902" s="24" t="n"/>
      <c r="V1902">
        <f>IF(A1902="","",MONTH(A1902))</f>
        <v/>
      </c>
      <c r="W1902">
        <f>N(W1901)+IF(AND(C1902&lt;&gt;"",T1902&lt;&gt;""),IF(C1902=WOCHE!$B$3,1,0),0)</f>
        <v/>
      </c>
      <c r="X1902">
        <f>N(X1901)+IF(AND(V1902&lt;&gt;"",T1902&lt;&gt;""),IF(V1902=MONAT!$AZ$3,1,0),0)</f>
        <v/>
      </c>
    </row>
    <row r="1903">
      <c r="A1903" s="19" t="n"/>
      <c r="B1903" s="20">
        <f>IF(A1903="","",CHOOSE(WEEKDAY(A1903,2),"Mo","Di","Mi","Do","Fr","Sa","So"))</f>
        <v/>
      </c>
      <c r="C1903" s="20">
        <f>IF(A1903="","",INT((A1903-DATE(YEAR(A1903-WEEKDAY(A1903-1)+4),1,3)+WEEKDAY(DATE(YEAR(A1903-WEEKDAY(A1903-1)+4),1,3))+5)/7))</f>
        <v/>
      </c>
      <c r="D1903" s="21" t="n"/>
      <c r="E1903" s="22" t="n"/>
      <c r="F1903" s="23" t="n"/>
      <c r="G1903" s="23" t="n"/>
      <c r="H1903" s="23" t="n"/>
      <c r="I1903" s="20">
        <f>IF(COUNT(F1903:H1903)=0,"",SUM(F1903:H1903))</f>
        <v/>
      </c>
      <c r="J1903" s="23" t="n"/>
      <c r="K1903" s="23" t="n"/>
      <c r="L1903" s="23" t="n"/>
      <c r="M1903" s="23" t="n"/>
      <c r="N1903" s="23" t="n"/>
      <c r="O1903" s="20">
        <f>IF(OR(I1903="",COUNT(J1903:N1903)=0),"",IF(SUM(J1903:N1903)=I1903,"✓","⚠ "&amp;SUM(J1903:N1903)&amp;" statt "&amp;I1903))</f>
        <v/>
      </c>
      <c r="P1903" s="21" t="n"/>
      <c r="Q1903" s="21" t="n"/>
      <c r="R1903" s="21" t="n"/>
      <c r="S1903" s="24" t="n"/>
      <c r="T1903" s="24" t="n"/>
      <c r="V1903">
        <f>IF(A1903="","",MONTH(A1903))</f>
        <v/>
      </c>
      <c r="W1903">
        <f>N(W1902)+IF(AND(C1903&lt;&gt;"",T1903&lt;&gt;""),IF(C1903=WOCHE!$B$3,1,0),0)</f>
        <v/>
      </c>
      <c r="X1903">
        <f>N(X1902)+IF(AND(V1903&lt;&gt;"",T1903&lt;&gt;""),IF(V1903=MONAT!$AZ$3,1,0),0)</f>
        <v/>
      </c>
    </row>
    <row r="1904">
      <c r="A1904" s="19" t="n"/>
      <c r="B1904" s="20">
        <f>IF(A1904="","",CHOOSE(WEEKDAY(A1904,2),"Mo","Di","Mi","Do","Fr","Sa","So"))</f>
        <v/>
      </c>
      <c r="C1904" s="20">
        <f>IF(A1904="","",INT((A1904-DATE(YEAR(A1904-WEEKDAY(A1904-1)+4),1,3)+WEEKDAY(DATE(YEAR(A1904-WEEKDAY(A1904-1)+4),1,3))+5)/7))</f>
        <v/>
      </c>
      <c r="D1904" s="21" t="n"/>
      <c r="E1904" s="22" t="n"/>
      <c r="F1904" s="23" t="n"/>
      <c r="G1904" s="23" t="n"/>
      <c r="H1904" s="23" t="n"/>
      <c r="I1904" s="20">
        <f>IF(COUNT(F1904:H1904)=0,"",SUM(F1904:H1904))</f>
        <v/>
      </c>
      <c r="J1904" s="23" t="n"/>
      <c r="K1904" s="23" t="n"/>
      <c r="L1904" s="23" t="n"/>
      <c r="M1904" s="23" t="n"/>
      <c r="N1904" s="23" t="n"/>
      <c r="O1904" s="20">
        <f>IF(OR(I1904="",COUNT(J1904:N1904)=0),"",IF(SUM(J1904:N1904)=I1904,"✓","⚠ "&amp;SUM(J1904:N1904)&amp;" statt "&amp;I1904))</f>
        <v/>
      </c>
      <c r="P1904" s="21" t="n"/>
      <c r="Q1904" s="21" t="n"/>
      <c r="R1904" s="21" t="n"/>
      <c r="S1904" s="24" t="n"/>
      <c r="T1904" s="24" t="n"/>
      <c r="V1904">
        <f>IF(A1904="","",MONTH(A1904))</f>
        <v/>
      </c>
      <c r="W1904">
        <f>N(W1903)+IF(AND(C1904&lt;&gt;"",T1904&lt;&gt;""),IF(C1904=WOCHE!$B$3,1,0),0)</f>
        <v/>
      </c>
      <c r="X1904">
        <f>N(X1903)+IF(AND(V1904&lt;&gt;"",T1904&lt;&gt;""),IF(V1904=MONAT!$AZ$3,1,0),0)</f>
        <v/>
      </c>
    </row>
    <row r="1905">
      <c r="A1905" s="19" t="n"/>
      <c r="B1905" s="20">
        <f>IF(A1905="","",CHOOSE(WEEKDAY(A1905,2),"Mo","Di","Mi","Do","Fr","Sa","So"))</f>
        <v/>
      </c>
      <c r="C1905" s="20">
        <f>IF(A1905="","",INT((A1905-DATE(YEAR(A1905-WEEKDAY(A1905-1)+4),1,3)+WEEKDAY(DATE(YEAR(A1905-WEEKDAY(A1905-1)+4),1,3))+5)/7))</f>
        <v/>
      </c>
      <c r="D1905" s="21" t="n"/>
      <c r="E1905" s="22" t="n"/>
      <c r="F1905" s="23" t="n"/>
      <c r="G1905" s="23" t="n"/>
      <c r="H1905" s="23" t="n"/>
      <c r="I1905" s="20">
        <f>IF(COUNT(F1905:H1905)=0,"",SUM(F1905:H1905))</f>
        <v/>
      </c>
      <c r="J1905" s="23" t="n"/>
      <c r="K1905" s="23" t="n"/>
      <c r="L1905" s="23" t="n"/>
      <c r="M1905" s="23" t="n"/>
      <c r="N1905" s="23" t="n"/>
      <c r="O1905" s="20">
        <f>IF(OR(I1905="",COUNT(J1905:N1905)=0),"",IF(SUM(J1905:N1905)=I1905,"✓","⚠ "&amp;SUM(J1905:N1905)&amp;" statt "&amp;I1905))</f>
        <v/>
      </c>
      <c r="P1905" s="21" t="n"/>
      <c r="Q1905" s="21" t="n"/>
      <c r="R1905" s="21" t="n"/>
      <c r="S1905" s="24" t="n"/>
      <c r="T1905" s="24" t="n"/>
      <c r="V1905">
        <f>IF(A1905="","",MONTH(A1905))</f>
        <v/>
      </c>
      <c r="W1905">
        <f>N(W1904)+IF(AND(C1905&lt;&gt;"",T1905&lt;&gt;""),IF(C1905=WOCHE!$B$3,1,0),0)</f>
        <v/>
      </c>
      <c r="X1905">
        <f>N(X1904)+IF(AND(V1905&lt;&gt;"",T1905&lt;&gt;""),IF(V1905=MONAT!$AZ$3,1,0),0)</f>
        <v/>
      </c>
    </row>
    <row r="1906">
      <c r="A1906" s="19" t="n"/>
      <c r="B1906" s="20">
        <f>IF(A1906="","",CHOOSE(WEEKDAY(A1906,2),"Mo","Di","Mi","Do","Fr","Sa","So"))</f>
        <v/>
      </c>
      <c r="C1906" s="20">
        <f>IF(A1906="","",INT((A1906-DATE(YEAR(A1906-WEEKDAY(A1906-1)+4),1,3)+WEEKDAY(DATE(YEAR(A1906-WEEKDAY(A1906-1)+4),1,3))+5)/7))</f>
        <v/>
      </c>
      <c r="D1906" s="21" t="n"/>
      <c r="E1906" s="22" t="n"/>
      <c r="F1906" s="23" t="n"/>
      <c r="G1906" s="23" t="n"/>
      <c r="H1906" s="23" t="n"/>
      <c r="I1906" s="20">
        <f>IF(COUNT(F1906:H1906)=0,"",SUM(F1906:H1906))</f>
        <v/>
      </c>
      <c r="J1906" s="23" t="n"/>
      <c r="K1906" s="23" t="n"/>
      <c r="L1906" s="23" t="n"/>
      <c r="M1906" s="23" t="n"/>
      <c r="N1906" s="23" t="n"/>
      <c r="O1906" s="20">
        <f>IF(OR(I1906="",COUNT(J1906:N1906)=0),"",IF(SUM(J1906:N1906)=I1906,"✓","⚠ "&amp;SUM(J1906:N1906)&amp;" statt "&amp;I1906))</f>
        <v/>
      </c>
      <c r="P1906" s="21" t="n"/>
      <c r="Q1906" s="21" t="n"/>
      <c r="R1906" s="21" t="n"/>
      <c r="S1906" s="24" t="n"/>
      <c r="T1906" s="24" t="n"/>
      <c r="V1906">
        <f>IF(A1906="","",MONTH(A1906))</f>
        <v/>
      </c>
      <c r="W1906">
        <f>N(W1905)+IF(AND(C1906&lt;&gt;"",T1906&lt;&gt;""),IF(C1906=WOCHE!$B$3,1,0),0)</f>
        <v/>
      </c>
      <c r="X1906">
        <f>N(X1905)+IF(AND(V1906&lt;&gt;"",T1906&lt;&gt;""),IF(V1906=MONAT!$AZ$3,1,0),0)</f>
        <v/>
      </c>
    </row>
    <row r="1907">
      <c r="A1907" s="19" t="n"/>
      <c r="B1907" s="20">
        <f>IF(A1907="","",CHOOSE(WEEKDAY(A1907,2),"Mo","Di","Mi","Do","Fr","Sa","So"))</f>
        <v/>
      </c>
      <c r="C1907" s="20">
        <f>IF(A1907="","",INT((A1907-DATE(YEAR(A1907-WEEKDAY(A1907-1)+4),1,3)+WEEKDAY(DATE(YEAR(A1907-WEEKDAY(A1907-1)+4),1,3))+5)/7))</f>
        <v/>
      </c>
      <c r="D1907" s="21" t="n"/>
      <c r="E1907" s="22" t="n"/>
      <c r="F1907" s="23" t="n"/>
      <c r="G1907" s="23" t="n"/>
      <c r="H1907" s="23" t="n"/>
      <c r="I1907" s="20">
        <f>IF(COUNT(F1907:H1907)=0,"",SUM(F1907:H1907))</f>
        <v/>
      </c>
      <c r="J1907" s="23" t="n"/>
      <c r="K1907" s="23" t="n"/>
      <c r="L1907" s="23" t="n"/>
      <c r="M1907" s="23" t="n"/>
      <c r="N1907" s="23" t="n"/>
      <c r="O1907" s="20">
        <f>IF(OR(I1907="",COUNT(J1907:N1907)=0),"",IF(SUM(J1907:N1907)=I1907,"✓","⚠ "&amp;SUM(J1907:N1907)&amp;" statt "&amp;I1907))</f>
        <v/>
      </c>
      <c r="P1907" s="21" t="n"/>
      <c r="Q1907" s="21" t="n"/>
      <c r="R1907" s="21" t="n"/>
      <c r="S1907" s="24" t="n"/>
      <c r="T1907" s="24" t="n"/>
      <c r="V1907">
        <f>IF(A1907="","",MONTH(A1907))</f>
        <v/>
      </c>
      <c r="W1907">
        <f>N(W1906)+IF(AND(C1907&lt;&gt;"",T1907&lt;&gt;""),IF(C1907=WOCHE!$B$3,1,0),0)</f>
        <v/>
      </c>
      <c r="X1907">
        <f>N(X1906)+IF(AND(V1907&lt;&gt;"",T1907&lt;&gt;""),IF(V1907=MONAT!$AZ$3,1,0),0)</f>
        <v/>
      </c>
    </row>
    <row r="1908">
      <c r="A1908" s="19" t="n"/>
      <c r="B1908" s="20">
        <f>IF(A1908="","",CHOOSE(WEEKDAY(A1908,2),"Mo","Di","Mi","Do","Fr","Sa","So"))</f>
        <v/>
      </c>
      <c r="C1908" s="20">
        <f>IF(A1908="","",INT((A1908-DATE(YEAR(A1908-WEEKDAY(A1908-1)+4),1,3)+WEEKDAY(DATE(YEAR(A1908-WEEKDAY(A1908-1)+4),1,3))+5)/7))</f>
        <v/>
      </c>
      <c r="D1908" s="21" t="n"/>
      <c r="E1908" s="22" t="n"/>
      <c r="F1908" s="23" t="n"/>
      <c r="G1908" s="23" t="n"/>
      <c r="H1908" s="23" t="n"/>
      <c r="I1908" s="20">
        <f>IF(COUNT(F1908:H1908)=0,"",SUM(F1908:H1908))</f>
        <v/>
      </c>
      <c r="J1908" s="23" t="n"/>
      <c r="K1908" s="23" t="n"/>
      <c r="L1908" s="23" t="n"/>
      <c r="M1908" s="23" t="n"/>
      <c r="N1908" s="23" t="n"/>
      <c r="O1908" s="20">
        <f>IF(OR(I1908="",COUNT(J1908:N1908)=0),"",IF(SUM(J1908:N1908)=I1908,"✓","⚠ "&amp;SUM(J1908:N1908)&amp;" statt "&amp;I1908))</f>
        <v/>
      </c>
      <c r="P1908" s="21" t="n"/>
      <c r="Q1908" s="21" t="n"/>
      <c r="R1908" s="21" t="n"/>
      <c r="S1908" s="24" t="n"/>
      <c r="T1908" s="24" t="n"/>
      <c r="V1908">
        <f>IF(A1908="","",MONTH(A1908))</f>
        <v/>
      </c>
      <c r="W1908">
        <f>N(W1907)+IF(AND(C1908&lt;&gt;"",T1908&lt;&gt;""),IF(C1908=WOCHE!$B$3,1,0),0)</f>
        <v/>
      </c>
      <c r="X1908">
        <f>N(X1907)+IF(AND(V1908&lt;&gt;"",T1908&lt;&gt;""),IF(V1908=MONAT!$AZ$3,1,0),0)</f>
        <v/>
      </c>
    </row>
    <row r="1909">
      <c r="A1909" s="19" t="n"/>
      <c r="B1909" s="20">
        <f>IF(A1909="","",CHOOSE(WEEKDAY(A1909,2),"Mo","Di","Mi","Do","Fr","Sa","So"))</f>
        <v/>
      </c>
      <c r="C1909" s="20">
        <f>IF(A1909="","",INT((A1909-DATE(YEAR(A1909-WEEKDAY(A1909-1)+4),1,3)+WEEKDAY(DATE(YEAR(A1909-WEEKDAY(A1909-1)+4),1,3))+5)/7))</f>
        <v/>
      </c>
      <c r="D1909" s="21" t="n"/>
      <c r="E1909" s="22" t="n"/>
      <c r="F1909" s="23" t="n"/>
      <c r="G1909" s="23" t="n"/>
      <c r="H1909" s="23" t="n"/>
      <c r="I1909" s="20">
        <f>IF(COUNT(F1909:H1909)=0,"",SUM(F1909:H1909))</f>
        <v/>
      </c>
      <c r="J1909" s="23" t="n"/>
      <c r="K1909" s="23" t="n"/>
      <c r="L1909" s="23" t="n"/>
      <c r="M1909" s="23" t="n"/>
      <c r="N1909" s="23" t="n"/>
      <c r="O1909" s="20">
        <f>IF(OR(I1909="",COUNT(J1909:N1909)=0),"",IF(SUM(J1909:N1909)=I1909,"✓","⚠ "&amp;SUM(J1909:N1909)&amp;" statt "&amp;I1909))</f>
        <v/>
      </c>
      <c r="P1909" s="21" t="n"/>
      <c r="Q1909" s="21" t="n"/>
      <c r="R1909" s="21" t="n"/>
      <c r="S1909" s="24" t="n"/>
      <c r="T1909" s="24" t="n"/>
      <c r="V1909">
        <f>IF(A1909="","",MONTH(A1909))</f>
        <v/>
      </c>
      <c r="W1909">
        <f>N(W1908)+IF(AND(C1909&lt;&gt;"",T1909&lt;&gt;""),IF(C1909=WOCHE!$B$3,1,0),0)</f>
        <v/>
      </c>
      <c r="X1909">
        <f>N(X1908)+IF(AND(V1909&lt;&gt;"",T1909&lt;&gt;""),IF(V1909=MONAT!$AZ$3,1,0),0)</f>
        <v/>
      </c>
    </row>
    <row r="1910">
      <c r="A1910" s="19" t="n"/>
      <c r="B1910" s="20">
        <f>IF(A1910="","",CHOOSE(WEEKDAY(A1910,2),"Mo","Di","Mi","Do","Fr","Sa","So"))</f>
        <v/>
      </c>
      <c r="C1910" s="20">
        <f>IF(A1910="","",INT((A1910-DATE(YEAR(A1910-WEEKDAY(A1910-1)+4),1,3)+WEEKDAY(DATE(YEAR(A1910-WEEKDAY(A1910-1)+4),1,3))+5)/7))</f>
        <v/>
      </c>
      <c r="D1910" s="21" t="n"/>
      <c r="E1910" s="22" t="n"/>
      <c r="F1910" s="23" t="n"/>
      <c r="G1910" s="23" t="n"/>
      <c r="H1910" s="23" t="n"/>
      <c r="I1910" s="20">
        <f>IF(COUNT(F1910:H1910)=0,"",SUM(F1910:H1910))</f>
        <v/>
      </c>
      <c r="J1910" s="23" t="n"/>
      <c r="K1910" s="23" t="n"/>
      <c r="L1910" s="23" t="n"/>
      <c r="M1910" s="23" t="n"/>
      <c r="N1910" s="23" t="n"/>
      <c r="O1910" s="20">
        <f>IF(OR(I1910="",COUNT(J1910:N1910)=0),"",IF(SUM(J1910:N1910)=I1910,"✓","⚠ "&amp;SUM(J1910:N1910)&amp;" statt "&amp;I1910))</f>
        <v/>
      </c>
      <c r="P1910" s="21" t="n"/>
      <c r="Q1910" s="21" t="n"/>
      <c r="R1910" s="21" t="n"/>
      <c r="S1910" s="24" t="n"/>
      <c r="T1910" s="24" t="n"/>
      <c r="V1910">
        <f>IF(A1910="","",MONTH(A1910))</f>
        <v/>
      </c>
      <c r="W1910">
        <f>N(W1909)+IF(AND(C1910&lt;&gt;"",T1910&lt;&gt;""),IF(C1910=WOCHE!$B$3,1,0),0)</f>
        <v/>
      </c>
      <c r="X1910">
        <f>N(X1909)+IF(AND(V1910&lt;&gt;"",T1910&lt;&gt;""),IF(V1910=MONAT!$AZ$3,1,0),0)</f>
        <v/>
      </c>
    </row>
    <row r="1911">
      <c r="A1911" s="19" t="n"/>
      <c r="B1911" s="20">
        <f>IF(A1911="","",CHOOSE(WEEKDAY(A1911,2),"Mo","Di","Mi","Do","Fr","Sa","So"))</f>
        <v/>
      </c>
      <c r="C1911" s="20">
        <f>IF(A1911="","",INT((A1911-DATE(YEAR(A1911-WEEKDAY(A1911-1)+4),1,3)+WEEKDAY(DATE(YEAR(A1911-WEEKDAY(A1911-1)+4),1,3))+5)/7))</f>
        <v/>
      </c>
      <c r="D1911" s="21" t="n"/>
      <c r="E1911" s="22" t="n"/>
      <c r="F1911" s="23" t="n"/>
      <c r="G1911" s="23" t="n"/>
      <c r="H1911" s="23" t="n"/>
      <c r="I1911" s="20">
        <f>IF(COUNT(F1911:H1911)=0,"",SUM(F1911:H1911))</f>
        <v/>
      </c>
      <c r="J1911" s="23" t="n"/>
      <c r="K1911" s="23" t="n"/>
      <c r="L1911" s="23" t="n"/>
      <c r="M1911" s="23" t="n"/>
      <c r="N1911" s="23" t="n"/>
      <c r="O1911" s="20">
        <f>IF(OR(I1911="",COUNT(J1911:N1911)=0),"",IF(SUM(J1911:N1911)=I1911,"✓","⚠ "&amp;SUM(J1911:N1911)&amp;" statt "&amp;I1911))</f>
        <v/>
      </c>
      <c r="P1911" s="21" t="n"/>
      <c r="Q1911" s="21" t="n"/>
      <c r="R1911" s="21" t="n"/>
      <c r="S1911" s="24" t="n"/>
      <c r="T1911" s="24" t="n"/>
      <c r="V1911">
        <f>IF(A1911="","",MONTH(A1911))</f>
        <v/>
      </c>
      <c r="W1911">
        <f>N(W1910)+IF(AND(C1911&lt;&gt;"",T1911&lt;&gt;""),IF(C1911=WOCHE!$B$3,1,0),0)</f>
        <v/>
      </c>
      <c r="X1911">
        <f>N(X1910)+IF(AND(V1911&lt;&gt;"",T1911&lt;&gt;""),IF(V1911=MONAT!$AZ$3,1,0),0)</f>
        <v/>
      </c>
    </row>
    <row r="1912">
      <c r="A1912" s="19" t="n"/>
      <c r="B1912" s="20">
        <f>IF(A1912="","",CHOOSE(WEEKDAY(A1912,2),"Mo","Di","Mi","Do","Fr","Sa","So"))</f>
        <v/>
      </c>
      <c r="C1912" s="20">
        <f>IF(A1912="","",INT((A1912-DATE(YEAR(A1912-WEEKDAY(A1912-1)+4),1,3)+WEEKDAY(DATE(YEAR(A1912-WEEKDAY(A1912-1)+4),1,3))+5)/7))</f>
        <v/>
      </c>
      <c r="D1912" s="21" t="n"/>
      <c r="E1912" s="22" t="n"/>
      <c r="F1912" s="23" t="n"/>
      <c r="G1912" s="23" t="n"/>
      <c r="H1912" s="23" t="n"/>
      <c r="I1912" s="20">
        <f>IF(COUNT(F1912:H1912)=0,"",SUM(F1912:H1912))</f>
        <v/>
      </c>
      <c r="J1912" s="23" t="n"/>
      <c r="K1912" s="23" t="n"/>
      <c r="L1912" s="23" t="n"/>
      <c r="M1912" s="23" t="n"/>
      <c r="N1912" s="23" t="n"/>
      <c r="O1912" s="20">
        <f>IF(OR(I1912="",COUNT(J1912:N1912)=0),"",IF(SUM(J1912:N1912)=I1912,"✓","⚠ "&amp;SUM(J1912:N1912)&amp;" statt "&amp;I1912))</f>
        <v/>
      </c>
      <c r="P1912" s="21" t="n"/>
      <c r="Q1912" s="21" t="n"/>
      <c r="R1912" s="21" t="n"/>
      <c r="S1912" s="24" t="n"/>
      <c r="T1912" s="24" t="n"/>
      <c r="V1912">
        <f>IF(A1912="","",MONTH(A1912))</f>
        <v/>
      </c>
      <c r="W1912">
        <f>N(W1911)+IF(AND(C1912&lt;&gt;"",T1912&lt;&gt;""),IF(C1912=WOCHE!$B$3,1,0),0)</f>
        <v/>
      </c>
      <c r="X1912">
        <f>N(X1911)+IF(AND(V1912&lt;&gt;"",T1912&lt;&gt;""),IF(V1912=MONAT!$AZ$3,1,0),0)</f>
        <v/>
      </c>
    </row>
    <row r="1913">
      <c r="A1913" s="19" t="n"/>
      <c r="B1913" s="20">
        <f>IF(A1913="","",CHOOSE(WEEKDAY(A1913,2),"Mo","Di","Mi","Do","Fr","Sa","So"))</f>
        <v/>
      </c>
      <c r="C1913" s="20">
        <f>IF(A1913="","",INT((A1913-DATE(YEAR(A1913-WEEKDAY(A1913-1)+4),1,3)+WEEKDAY(DATE(YEAR(A1913-WEEKDAY(A1913-1)+4),1,3))+5)/7))</f>
        <v/>
      </c>
      <c r="D1913" s="21" t="n"/>
      <c r="E1913" s="22" t="n"/>
      <c r="F1913" s="23" t="n"/>
      <c r="G1913" s="23" t="n"/>
      <c r="H1913" s="23" t="n"/>
      <c r="I1913" s="20">
        <f>IF(COUNT(F1913:H1913)=0,"",SUM(F1913:H1913))</f>
        <v/>
      </c>
      <c r="J1913" s="23" t="n"/>
      <c r="K1913" s="23" t="n"/>
      <c r="L1913" s="23" t="n"/>
      <c r="M1913" s="23" t="n"/>
      <c r="N1913" s="23" t="n"/>
      <c r="O1913" s="20">
        <f>IF(OR(I1913="",COUNT(J1913:N1913)=0),"",IF(SUM(J1913:N1913)=I1913,"✓","⚠ "&amp;SUM(J1913:N1913)&amp;" statt "&amp;I1913))</f>
        <v/>
      </c>
      <c r="P1913" s="21" t="n"/>
      <c r="Q1913" s="21" t="n"/>
      <c r="R1913" s="21" t="n"/>
      <c r="S1913" s="24" t="n"/>
      <c r="T1913" s="24" t="n"/>
      <c r="V1913">
        <f>IF(A1913="","",MONTH(A1913))</f>
        <v/>
      </c>
      <c r="W1913">
        <f>N(W1912)+IF(AND(C1913&lt;&gt;"",T1913&lt;&gt;""),IF(C1913=WOCHE!$B$3,1,0),0)</f>
        <v/>
      </c>
      <c r="X1913">
        <f>N(X1912)+IF(AND(V1913&lt;&gt;"",T1913&lt;&gt;""),IF(V1913=MONAT!$AZ$3,1,0),0)</f>
        <v/>
      </c>
    </row>
    <row r="1914">
      <c r="A1914" s="19" t="n"/>
      <c r="B1914" s="20">
        <f>IF(A1914="","",CHOOSE(WEEKDAY(A1914,2),"Mo","Di","Mi","Do","Fr","Sa","So"))</f>
        <v/>
      </c>
      <c r="C1914" s="20">
        <f>IF(A1914="","",INT((A1914-DATE(YEAR(A1914-WEEKDAY(A1914-1)+4),1,3)+WEEKDAY(DATE(YEAR(A1914-WEEKDAY(A1914-1)+4),1,3))+5)/7))</f>
        <v/>
      </c>
      <c r="D1914" s="21" t="n"/>
      <c r="E1914" s="22" t="n"/>
      <c r="F1914" s="23" t="n"/>
      <c r="G1914" s="23" t="n"/>
      <c r="H1914" s="23" t="n"/>
      <c r="I1914" s="20">
        <f>IF(COUNT(F1914:H1914)=0,"",SUM(F1914:H1914))</f>
        <v/>
      </c>
      <c r="J1914" s="23" t="n"/>
      <c r="K1914" s="23" t="n"/>
      <c r="L1914" s="23" t="n"/>
      <c r="M1914" s="23" t="n"/>
      <c r="N1914" s="23" t="n"/>
      <c r="O1914" s="20">
        <f>IF(OR(I1914="",COUNT(J1914:N1914)=0),"",IF(SUM(J1914:N1914)=I1914,"✓","⚠ "&amp;SUM(J1914:N1914)&amp;" statt "&amp;I1914))</f>
        <v/>
      </c>
      <c r="P1914" s="21" t="n"/>
      <c r="Q1914" s="21" t="n"/>
      <c r="R1914" s="21" t="n"/>
      <c r="S1914" s="24" t="n"/>
      <c r="T1914" s="24" t="n"/>
      <c r="V1914">
        <f>IF(A1914="","",MONTH(A1914))</f>
        <v/>
      </c>
      <c r="W1914">
        <f>N(W1913)+IF(AND(C1914&lt;&gt;"",T1914&lt;&gt;""),IF(C1914=WOCHE!$B$3,1,0),0)</f>
        <v/>
      </c>
      <c r="X1914">
        <f>N(X1913)+IF(AND(V1914&lt;&gt;"",T1914&lt;&gt;""),IF(V1914=MONAT!$AZ$3,1,0),0)</f>
        <v/>
      </c>
    </row>
    <row r="1915">
      <c r="A1915" s="19" t="n"/>
      <c r="B1915" s="20">
        <f>IF(A1915="","",CHOOSE(WEEKDAY(A1915,2),"Mo","Di","Mi","Do","Fr","Sa","So"))</f>
        <v/>
      </c>
      <c r="C1915" s="20">
        <f>IF(A1915="","",INT((A1915-DATE(YEAR(A1915-WEEKDAY(A1915-1)+4),1,3)+WEEKDAY(DATE(YEAR(A1915-WEEKDAY(A1915-1)+4),1,3))+5)/7))</f>
        <v/>
      </c>
      <c r="D1915" s="21" t="n"/>
      <c r="E1915" s="22" t="n"/>
      <c r="F1915" s="23" t="n"/>
      <c r="G1915" s="23" t="n"/>
      <c r="H1915" s="23" t="n"/>
      <c r="I1915" s="20">
        <f>IF(COUNT(F1915:H1915)=0,"",SUM(F1915:H1915))</f>
        <v/>
      </c>
      <c r="J1915" s="23" t="n"/>
      <c r="K1915" s="23" t="n"/>
      <c r="L1915" s="23" t="n"/>
      <c r="M1915" s="23" t="n"/>
      <c r="N1915" s="23" t="n"/>
      <c r="O1915" s="20">
        <f>IF(OR(I1915="",COUNT(J1915:N1915)=0),"",IF(SUM(J1915:N1915)=I1915,"✓","⚠ "&amp;SUM(J1915:N1915)&amp;" statt "&amp;I1915))</f>
        <v/>
      </c>
      <c r="P1915" s="21" t="n"/>
      <c r="Q1915" s="21" t="n"/>
      <c r="R1915" s="21" t="n"/>
      <c r="S1915" s="24" t="n"/>
      <c r="T1915" s="24" t="n"/>
      <c r="V1915">
        <f>IF(A1915="","",MONTH(A1915))</f>
        <v/>
      </c>
      <c r="W1915">
        <f>N(W1914)+IF(AND(C1915&lt;&gt;"",T1915&lt;&gt;""),IF(C1915=WOCHE!$B$3,1,0),0)</f>
        <v/>
      </c>
      <c r="X1915">
        <f>N(X1914)+IF(AND(V1915&lt;&gt;"",T1915&lt;&gt;""),IF(V1915=MONAT!$AZ$3,1,0),0)</f>
        <v/>
      </c>
    </row>
    <row r="1916">
      <c r="A1916" s="19" t="n"/>
      <c r="B1916" s="20">
        <f>IF(A1916="","",CHOOSE(WEEKDAY(A1916,2),"Mo","Di","Mi","Do","Fr","Sa","So"))</f>
        <v/>
      </c>
      <c r="C1916" s="20">
        <f>IF(A1916="","",INT((A1916-DATE(YEAR(A1916-WEEKDAY(A1916-1)+4),1,3)+WEEKDAY(DATE(YEAR(A1916-WEEKDAY(A1916-1)+4),1,3))+5)/7))</f>
        <v/>
      </c>
      <c r="D1916" s="21" t="n"/>
      <c r="E1916" s="22" t="n"/>
      <c r="F1916" s="23" t="n"/>
      <c r="G1916" s="23" t="n"/>
      <c r="H1916" s="23" t="n"/>
      <c r="I1916" s="20">
        <f>IF(COUNT(F1916:H1916)=0,"",SUM(F1916:H1916))</f>
        <v/>
      </c>
      <c r="J1916" s="23" t="n"/>
      <c r="K1916" s="23" t="n"/>
      <c r="L1916" s="23" t="n"/>
      <c r="M1916" s="23" t="n"/>
      <c r="N1916" s="23" t="n"/>
      <c r="O1916" s="20">
        <f>IF(OR(I1916="",COUNT(J1916:N1916)=0),"",IF(SUM(J1916:N1916)=I1916,"✓","⚠ "&amp;SUM(J1916:N1916)&amp;" statt "&amp;I1916))</f>
        <v/>
      </c>
      <c r="P1916" s="21" t="n"/>
      <c r="Q1916" s="21" t="n"/>
      <c r="R1916" s="21" t="n"/>
      <c r="S1916" s="24" t="n"/>
      <c r="T1916" s="24" t="n"/>
      <c r="V1916">
        <f>IF(A1916="","",MONTH(A1916))</f>
        <v/>
      </c>
      <c r="W1916">
        <f>N(W1915)+IF(AND(C1916&lt;&gt;"",T1916&lt;&gt;""),IF(C1916=WOCHE!$B$3,1,0),0)</f>
        <v/>
      </c>
      <c r="X1916">
        <f>N(X1915)+IF(AND(V1916&lt;&gt;"",T1916&lt;&gt;""),IF(V1916=MONAT!$AZ$3,1,0),0)</f>
        <v/>
      </c>
    </row>
    <row r="1917">
      <c r="A1917" s="19" t="n"/>
      <c r="B1917" s="20">
        <f>IF(A1917="","",CHOOSE(WEEKDAY(A1917,2),"Mo","Di","Mi","Do","Fr","Sa","So"))</f>
        <v/>
      </c>
      <c r="C1917" s="20">
        <f>IF(A1917="","",INT((A1917-DATE(YEAR(A1917-WEEKDAY(A1917-1)+4),1,3)+WEEKDAY(DATE(YEAR(A1917-WEEKDAY(A1917-1)+4),1,3))+5)/7))</f>
        <v/>
      </c>
      <c r="D1917" s="21" t="n"/>
      <c r="E1917" s="22" t="n"/>
      <c r="F1917" s="23" t="n"/>
      <c r="G1917" s="23" t="n"/>
      <c r="H1917" s="23" t="n"/>
      <c r="I1917" s="20">
        <f>IF(COUNT(F1917:H1917)=0,"",SUM(F1917:H1917))</f>
        <v/>
      </c>
      <c r="J1917" s="23" t="n"/>
      <c r="K1917" s="23" t="n"/>
      <c r="L1917" s="23" t="n"/>
      <c r="M1917" s="23" t="n"/>
      <c r="N1917" s="23" t="n"/>
      <c r="O1917" s="20">
        <f>IF(OR(I1917="",COUNT(J1917:N1917)=0),"",IF(SUM(J1917:N1917)=I1917,"✓","⚠ "&amp;SUM(J1917:N1917)&amp;" statt "&amp;I1917))</f>
        <v/>
      </c>
      <c r="P1917" s="21" t="n"/>
      <c r="Q1917" s="21" t="n"/>
      <c r="R1917" s="21" t="n"/>
      <c r="S1917" s="24" t="n"/>
      <c r="T1917" s="24" t="n"/>
      <c r="V1917">
        <f>IF(A1917="","",MONTH(A1917))</f>
        <v/>
      </c>
      <c r="W1917">
        <f>N(W1916)+IF(AND(C1917&lt;&gt;"",T1917&lt;&gt;""),IF(C1917=WOCHE!$B$3,1,0),0)</f>
        <v/>
      </c>
      <c r="X1917">
        <f>N(X1916)+IF(AND(V1917&lt;&gt;"",T1917&lt;&gt;""),IF(V1917=MONAT!$AZ$3,1,0),0)</f>
        <v/>
      </c>
    </row>
    <row r="1918">
      <c r="A1918" s="19" t="n"/>
      <c r="B1918" s="20">
        <f>IF(A1918="","",CHOOSE(WEEKDAY(A1918,2),"Mo","Di","Mi","Do","Fr","Sa","So"))</f>
        <v/>
      </c>
      <c r="C1918" s="20">
        <f>IF(A1918="","",INT((A1918-DATE(YEAR(A1918-WEEKDAY(A1918-1)+4),1,3)+WEEKDAY(DATE(YEAR(A1918-WEEKDAY(A1918-1)+4),1,3))+5)/7))</f>
        <v/>
      </c>
      <c r="D1918" s="21" t="n"/>
      <c r="E1918" s="22" t="n"/>
      <c r="F1918" s="23" t="n"/>
      <c r="G1918" s="23" t="n"/>
      <c r="H1918" s="23" t="n"/>
      <c r="I1918" s="20">
        <f>IF(COUNT(F1918:H1918)=0,"",SUM(F1918:H1918))</f>
        <v/>
      </c>
      <c r="J1918" s="23" t="n"/>
      <c r="K1918" s="23" t="n"/>
      <c r="L1918" s="23" t="n"/>
      <c r="M1918" s="23" t="n"/>
      <c r="N1918" s="23" t="n"/>
      <c r="O1918" s="20">
        <f>IF(OR(I1918="",COUNT(J1918:N1918)=0),"",IF(SUM(J1918:N1918)=I1918,"✓","⚠ "&amp;SUM(J1918:N1918)&amp;" statt "&amp;I1918))</f>
        <v/>
      </c>
      <c r="P1918" s="21" t="n"/>
      <c r="Q1918" s="21" t="n"/>
      <c r="R1918" s="21" t="n"/>
      <c r="S1918" s="24" t="n"/>
      <c r="T1918" s="24" t="n"/>
      <c r="V1918">
        <f>IF(A1918="","",MONTH(A1918))</f>
        <v/>
      </c>
      <c r="W1918">
        <f>N(W1917)+IF(AND(C1918&lt;&gt;"",T1918&lt;&gt;""),IF(C1918=WOCHE!$B$3,1,0),0)</f>
        <v/>
      </c>
      <c r="X1918">
        <f>N(X1917)+IF(AND(V1918&lt;&gt;"",T1918&lt;&gt;""),IF(V1918=MONAT!$AZ$3,1,0),0)</f>
        <v/>
      </c>
    </row>
    <row r="1919">
      <c r="A1919" s="19" t="n"/>
      <c r="B1919" s="20">
        <f>IF(A1919="","",CHOOSE(WEEKDAY(A1919,2),"Mo","Di","Mi","Do","Fr","Sa","So"))</f>
        <v/>
      </c>
      <c r="C1919" s="20">
        <f>IF(A1919="","",INT((A1919-DATE(YEAR(A1919-WEEKDAY(A1919-1)+4),1,3)+WEEKDAY(DATE(YEAR(A1919-WEEKDAY(A1919-1)+4),1,3))+5)/7))</f>
        <v/>
      </c>
      <c r="D1919" s="21" t="n"/>
      <c r="E1919" s="22" t="n"/>
      <c r="F1919" s="23" t="n"/>
      <c r="G1919" s="23" t="n"/>
      <c r="H1919" s="23" t="n"/>
      <c r="I1919" s="20">
        <f>IF(COUNT(F1919:H1919)=0,"",SUM(F1919:H1919))</f>
        <v/>
      </c>
      <c r="J1919" s="23" t="n"/>
      <c r="K1919" s="23" t="n"/>
      <c r="L1919" s="23" t="n"/>
      <c r="M1919" s="23" t="n"/>
      <c r="N1919" s="23" t="n"/>
      <c r="O1919" s="20">
        <f>IF(OR(I1919="",COUNT(J1919:N1919)=0),"",IF(SUM(J1919:N1919)=I1919,"✓","⚠ "&amp;SUM(J1919:N1919)&amp;" statt "&amp;I1919))</f>
        <v/>
      </c>
      <c r="P1919" s="21" t="n"/>
      <c r="Q1919" s="21" t="n"/>
      <c r="R1919" s="21" t="n"/>
      <c r="S1919" s="24" t="n"/>
      <c r="T1919" s="24" t="n"/>
      <c r="V1919">
        <f>IF(A1919="","",MONTH(A1919))</f>
        <v/>
      </c>
      <c r="W1919">
        <f>N(W1918)+IF(AND(C1919&lt;&gt;"",T1919&lt;&gt;""),IF(C1919=WOCHE!$B$3,1,0),0)</f>
        <v/>
      </c>
      <c r="X1919">
        <f>N(X1918)+IF(AND(V1919&lt;&gt;"",T1919&lt;&gt;""),IF(V1919=MONAT!$AZ$3,1,0),0)</f>
        <v/>
      </c>
    </row>
    <row r="1920">
      <c r="A1920" s="19" t="n"/>
      <c r="B1920" s="20">
        <f>IF(A1920="","",CHOOSE(WEEKDAY(A1920,2),"Mo","Di","Mi","Do","Fr","Sa","So"))</f>
        <v/>
      </c>
      <c r="C1920" s="20">
        <f>IF(A1920="","",INT((A1920-DATE(YEAR(A1920-WEEKDAY(A1920-1)+4),1,3)+WEEKDAY(DATE(YEAR(A1920-WEEKDAY(A1920-1)+4),1,3))+5)/7))</f>
        <v/>
      </c>
      <c r="D1920" s="21" t="n"/>
      <c r="E1920" s="22" t="n"/>
      <c r="F1920" s="23" t="n"/>
      <c r="G1920" s="23" t="n"/>
      <c r="H1920" s="23" t="n"/>
      <c r="I1920" s="20">
        <f>IF(COUNT(F1920:H1920)=0,"",SUM(F1920:H1920))</f>
        <v/>
      </c>
      <c r="J1920" s="23" t="n"/>
      <c r="K1920" s="23" t="n"/>
      <c r="L1920" s="23" t="n"/>
      <c r="M1920" s="23" t="n"/>
      <c r="N1920" s="23" t="n"/>
      <c r="O1920" s="20">
        <f>IF(OR(I1920="",COUNT(J1920:N1920)=0),"",IF(SUM(J1920:N1920)=I1920,"✓","⚠ "&amp;SUM(J1920:N1920)&amp;" statt "&amp;I1920))</f>
        <v/>
      </c>
      <c r="P1920" s="21" t="n"/>
      <c r="Q1920" s="21" t="n"/>
      <c r="R1920" s="21" t="n"/>
      <c r="S1920" s="24" t="n"/>
      <c r="T1920" s="24" t="n"/>
      <c r="V1920">
        <f>IF(A1920="","",MONTH(A1920))</f>
        <v/>
      </c>
      <c r="W1920">
        <f>N(W1919)+IF(AND(C1920&lt;&gt;"",T1920&lt;&gt;""),IF(C1920=WOCHE!$B$3,1,0),0)</f>
        <v/>
      </c>
      <c r="X1920">
        <f>N(X1919)+IF(AND(V1920&lt;&gt;"",T1920&lt;&gt;""),IF(V1920=MONAT!$AZ$3,1,0),0)</f>
        <v/>
      </c>
    </row>
    <row r="1921">
      <c r="A1921" s="19" t="n"/>
      <c r="B1921" s="20">
        <f>IF(A1921="","",CHOOSE(WEEKDAY(A1921,2),"Mo","Di","Mi","Do","Fr","Sa","So"))</f>
        <v/>
      </c>
      <c r="C1921" s="20">
        <f>IF(A1921="","",INT((A1921-DATE(YEAR(A1921-WEEKDAY(A1921-1)+4),1,3)+WEEKDAY(DATE(YEAR(A1921-WEEKDAY(A1921-1)+4),1,3))+5)/7))</f>
        <v/>
      </c>
      <c r="D1921" s="21" t="n"/>
      <c r="E1921" s="22" t="n"/>
      <c r="F1921" s="23" t="n"/>
      <c r="G1921" s="23" t="n"/>
      <c r="H1921" s="23" t="n"/>
      <c r="I1921" s="20">
        <f>IF(COUNT(F1921:H1921)=0,"",SUM(F1921:H1921))</f>
        <v/>
      </c>
      <c r="J1921" s="23" t="n"/>
      <c r="K1921" s="23" t="n"/>
      <c r="L1921" s="23" t="n"/>
      <c r="M1921" s="23" t="n"/>
      <c r="N1921" s="23" t="n"/>
      <c r="O1921" s="20">
        <f>IF(OR(I1921="",COUNT(J1921:N1921)=0),"",IF(SUM(J1921:N1921)=I1921,"✓","⚠ "&amp;SUM(J1921:N1921)&amp;" statt "&amp;I1921))</f>
        <v/>
      </c>
      <c r="P1921" s="21" t="n"/>
      <c r="Q1921" s="21" t="n"/>
      <c r="R1921" s="21" t="n"/>
      <c r="S1921" s="24" t="n"/>
      <c r="T1921" s="24" t="n"/>
      <c r="V1921">
        <f>IF(A1921="","",MONTH(A1921))</f>
        <v/>
      </c>
      <c r="W1921">
        <f>N(W1920)+IF(AND(C1921&lt;&gt;"",T1921&lt;&gt;""),IF(C1921=WOCHE!$B$3,1,0),0)</f>
        <v/>
      </c>
      <c r="X1921">
        <f>N(X1920)+IF(AND(V1921&lt;&gt;"",T1921&lt;&gt;""),IF(V1921=MONAT!$AZ$3,1,0),0)</f>
        <v/>
      </c>
    </row>
    <row r="1922">
      <c r="A1922" s="19" t="n"/>
      <c r="B1922" s="20">
        <f>IF(A1922="","",CHOOSE(WEEKDAY(A1922,2),"Mo","Di","Mi","Do","Fr","Sa","So"))</f>
        <v/>
      </c>
      <c r="C1922" s="20">
        <f>IF(A1922="","",INT((A1922-DATE(YEAR(A1922-WEEKDAY(A1922-1)+4),1,3)+WEEKDAY(DATE(YEAR(A1922-WEEKDAY(A1922-1)+4),1,3))+5)/7))</f>
        <v/>
      </c>
      <c r="D1922" s="21" t="n"/>
      <c r="E1922" s="22" t="n"/>
      <c r="F1922" s="23" t="n"/>
      <c r="G1922" s="23" t="n"/>
      <c r="H1922" s="23" t="n"/>
      <c r="I1922" s="20">
        <f>IF(COUNT(F1922:H1922)=0,"",SUM(F1922:H1922))</f>
        <v/>
      </c>
      <c r="J1922" s="23" t="n"/>
      <c r="K1922" s="23" t="n"/>
      <c r="L1922" s="23" t="n"/>
      <c r="M1922" s="23" t="n"/>
      <c r="N1922" s="23" t="n"/>
      <c r="O1922" s="20">
        <f>IF(OR(I1922="",COUNT(J1922:N1922)=0),"",IF(SUM(J1922:N1922)=I1922,"✓","⚠ "&amp;SUM(J1922:N1922)&amp;" statt "&amp;I1922))</f>
        <v/>
      </c>
      <c r="P1922" s="21" t="n"/>
      <c r="Q1922" s="21" t="n"/>
      <c r="R1922" s="21" t="n"/>
      <c r="S1922" s="24" t="n"/>
      <c r="T1922" s="24" t="n"/>
      <c r="V1922">
        <f>IF(A1922="","",MONTH(A1922))</f>
        <v/>
      </c>
      <c r="W1922">
        <f>N(W1921)+IF(AND(C1922&lt;&gt;"",T1922&lt;&gt;""),IF(C1922=WOCHE!$B$3,1,0),0)</f>
        <v/>
      </c>
      <c r="X1922">
        <f>N(X1921)+IF(AND(V1922&lt;&gt;"",T1922&lt;&gt;""),IF(V1922=MONAT!$AZ$3,1,0),0)</f>
        <v/>
      </c>
    </row>
    <row r="1923">
      <c r="A1923" s="19" t="n"/>
      <c r="B1923" s="20">
        <f>IF(A1923="","",CHOOSE(WEEKDAY(A1923,2),"Mo","Di","Mi","Do","Fr","Sa","So"))</f>
        <v/>
      </c>
      <c r="C1923" s="20">
        <f>IF(A1923="","",INT((A1923-DATE(YEAR(A1923-WEEKDAY(A1923-1)+4),1,3)+WEEKDAY(DATE(YEAR(A1923-WEEKDAY(A1923-1)+4),1,3))+5)/7))</f>
        <v/>
      </c>
      <c r="D1923" s="21" t="n"/>
      <c r="E1923" s="22" t="n"/>
      <c r="F1923" s="23" t="n"/>
      <c r="G1923" s="23" t="n"/>
      <c r="H1923" s="23" t="n"/>
      <c r="I1923" s="20">
        <f>IF(COUNT(F1923:H1923)=0,"",SUM(F1923:H1923))</f>
        <v/>
      </c>
      <c r="J1923" s="23" t="n"/>
      <c r="K1923" s="23" t="n"/>
      <c r="L1923" s="23" t="n"/>
      <c r="M1923" s="23" t="n"/>
      <c r="N1923" s="23" t="n"/>
      <c r="O1923" s="20">
        <f>IF(OR(I1923="",COUNT(J1923:N1923)=0),"",IF(SUM(J1923:N1923)=I1923,"✓","⚠ "&amp;SUM(J1923:N1923)&amp;" statt "&amp;I1923))</f>
        <v/>
      </c>
      <c r="P1923" s="21" t="n"/>
      <c r="Q1923" s="21" t="n"/>
      <c r="R1923" s="21" t="n"/>
      <c r="S1923" s="24" t="n"/>
      <c r="T1923" s="24" t="n"/>
      <c r="V1923">
        <f>IF(A1923="","",MONTH(A1923))</f>
        <v/>
      </c>
      <c r="W1923">
        <f>N(W1922)+IF(AND(C1923&lt;&gt;"",T1923&lt;&gt;""),IF(C1923=WOCHE!$B$3,1,0),0)</f>
        <v/>
      </c>
      <c r="X1923">
        <f>N(X1922)+IF(AND(V1923&lt;&gt;"",T1923&lt;&gt;""),IF(V1923=MONAT!$AZ$3,1,0),0)</f>
        <v/>
      </c>
    </row>
    <row r="1924">
      <c r="A1924" s="19" t="n"/>
      <c r="B1924" s="20">
        <f>IF(A1924="","",CHOOSE(WEEKDAY(A1924,2),"Mo","Di","Mi","Do","Fr","Sa","So"))</f>
        <v/>
      </c>
      <c r="C1924" s="20">
        <f>IF(A1924="","",INT((A1924-DATE(YEAR(A1924-WEEKDAY(A1924-1)+4),1,3)+WEEKDAY(DATE(YEAR(A1924-WEEKDAY(A1924-1)+4),1,3))+5)/7))</f>
        <v/>
      </c>
      <c r="D1924" s="21" t="n"/>
      <c r="E1924" s="22" t="n"/>
      <c r="F1924" s="23" t="n"/>
      <c r="G1924" s="23" t="n"/>
      <c r="H1924" s="23" t="n"/>
      <c r="I1924" s="20">
        <f>IF(COUNT(F1924:H1924)=0,"",SUM(F1924:H1924))</f>
        <v/>
      </c>
      <c r="J1924" s="23" t="n"/>
      <c r="K1924" s="23" t="n"/>
      <c r="L1924" s="23" t="n"/>
      <c r="M1924" s="23" t="n"/>
      <c r="N1924" s="23" t="n"/>
      <c r="O1924" s="20">
        <f>IF(OR(I1924="",COUNT(J1924:N1924)=0),"",IF(SUM(J1924:N1924)=I1924,"✓","⚠ "&amp;SUM(J1924:N1924)&amp;" statt "&amp;I1924))</f>
        <v/>
      </c>
      <c r="P1924" s="21" t="n"/>
      <c r="Q1924" s="21" t="n"/>
      <c r="R1924" s="21" t="n"/>
      <c r="S1924" s="24" t="n"/>
      <c r="T1924" s="24" t="n"/>
      <c r="V1924">
        <f>IF(A1924="","",MONTH(A1924))</f>
        <v/>
      </c>
      <c r="W1924">
        <f>N(W1923)+IF(AND(C1924&lt;&gt;"",T1924&lt;&gt;""),IF(C1924=WOCHE!$B$3,1,0),0)</f>
        <v/>
      </c>
      <c r="X1924">
        <f>N(X1923)+IF(AND(V1924&lt;&gt;"",T1924&lt;&gt;""),IF(V1924=MONAT!$AZ$3,1,0),0)</f>
        <v/>
      </c>
    </row>
    <row r="1925">
      <c r="A1925" s="19" t="n"/>
      <c r="B1925" s="20">
        <f>IF(A1925="","",CHOOSE(WEEKDAY(A1925,2),"Mo","Di","Mi","Do","Fr","Sa","So"))</f>
        <v/>
      </c>
      <c r="C1925" s="20">
        <f>IF(A1925="","",INT((A1925-DATE(YEAR(A1925-WEEKDAY(A1925-1)+4),1,3)+WEEKDAY(DATE(YEAR(A1925-WEEKDAY(A1925-1)+4),1,3))+5)/7))</f>
        <v/>
      </c>
      <c r="D1925" s="21" t="n"/>
      <c r="E1925" s="22" t="n"/>
      <c r="F1925" s="23" t="n"/>
      <c r="G1925" s="23" t="n"/>
      <c r="H1925" s="23" t="n"/>
      <c r="I1925" s="20">
        <f>IF(COUNT(F1925:H1925)=0,"",SUM(F1925:H1925))</f>
        <v/>
      </c>
      <c r="J1925" s="23" t="n"/>
      <c r="K1925" s="23" t="n"/>
      <c r="L1925" s="23" t="n"/>
      <c r="M1925" s="23" t="n"/>
      <c r="N1925" s="23" t="n"/>
      <c r="O1925" s="20">
        <f>IF(OR(I1925="",COUNT(J1925:N1925)=0),"",IF(SUM(J1925:N1925)=I1925,"✓","⚠ "&amp;SUM(J1925:N1925)&amp;" statt "&amp;I1925))</f>
        <v/>
      </c>
      <c r="P1925" s="21" t="n"/>
      <c r="Q1925" s="21" t="n"/>
      <c r="R1925" s="21" t="n"/>
      <c r="S1925" s="24" t="n"/>
      <c r="T1925" s="24" t="n"/>
      <c r="V1925">
        <f>IF(A1925="","",MONTH(A1925))</f>
        <v/>
      </c>
      <c r="W1925">
        <f>N(W1924)+IF(AND(C1925&lt;&gt;"",T1925&lt;&gt;""),IF(C1925=WOCHE!$B$3,1,0),0)</f>
        <v/>
      </c>
      <c r="X1925">
        <f>N(X1924)+IF(AND(V1925&lt;&gt;"",T1925&lt;&gt;""),IF(V1925=MONAT!$AZ$3,1,0),0)</f>
        <v/>
      </c>
    </row>
    <row r="1926">
      <c r="A1926" s="19" t="n"/>
      <c r="B1926" s="20">
        <f>IF(A1926="","",CHOOSE(WEEKDAY(A1926,2),"Mo","Di","Mi","Do","Fr","Sa","So"))</f>
        <v/>
      </c>
      <c r="C1926" s="20">
        <f>IF(A1926="","",INT((A1926-DATE(YEAR(A1926-WEEKDAY(A1926-1)+4),1,3)+WEEKDAY(DATE(YEAR(A1926-WEEKDAY(A1926-1)+4),1,3))+5)/7))</f>
        <v/>
      </c>
      <c r="D1926" s="21" t="n"/>
      <c r="E1926" s="22" t="n"/>
      <c r="F1926" s="23" t="n"/>
      <c r="G1926" s="23" t="n"/>
      <c r="H1926" s="23" t="n"/>
      <c r="I1926" s="20">
        <f>IF(COUNT(F1926:H1926)=0,"",SUM(F1926:H1926))</f>
        <v/>
      </c>
      <c r="J1926" s="23" t="n"/>
      <c r="K1926" s="23" t="n"/>
      <c r="L1926" s="23" t="n"/>
      <c r="M1926" s="23" t="n"/>
      <c r="N1926" s="23" t="n"/>
      <c r="O1926" s="20">
        <f>IF(OR(I1926="",COUNT(J1926:N1926)=0),"",IF(SUM(J1926:N1926)=I1926,"✓","⚠ "&amp;SUM(J1926:N1926)&amp;" statt "&amp;I1926))</f>
        <v/>
      </c>
      <c r="P1926" s="21" t="n"/>
      <c r="Q1926" s="21" t="n"/>
      <c r="R1926" s="21" t="n"/>
      <c r="S1926" s="24" t="n"/>
      <c r="T1926" s="24" t="n"/>
      <c r="V1926">
        <f>IF(A1926="","",MONTH(A1926))</f>
        <v/>
      </c>
      <c r="W1926">
        <f>N(W1925)+IF(AND(C1926&lt;&gt;"",T1926&lt;&gt;""),IF(C1926=WOCHE!$B$3,1,0),0)</f>
        <v/>
      </c>
      <c r="X1926">
        <f>N(X1925)+IF(AND(V1926&lt;&gt;"",T1926&lt;&gt;""),IF(V1926=MONAT!$AZ$3,1,0),0)</f>
        <v/>
      </c>
    </row>
    <row r="1927">
      <c r="A1927" s="19" t="n"/>
      <c r="B1927" s="20">
        <f>IF(A1927="","",CHOOSE(WEEKDAY(A1927,2),"Mo","Di","Mi","Do","Fr","Sa","So"))</f>
        <v/>
      </c>
      <c r="C1927" s="20">
        <f>IF(A1927="","",INT((A1927-DATE(YEAR(A1927-WEEKDAY(A1927-1)+4),1,3)+WEEKDAY(DATE(YEAR(A1927-WEEKDAY(A1927-1)+4),1,3))+5)/7))</f>
        <v/>
      </c>
      <c r="D1927" s="21" t="n"/>
      <c r="E1927" s="22" t="n"/>
      <c r="F1927" s="23" t="n"/>
      <c r="G1927" s="23" t="n"/>
      <c r="H1927" s="23" t="n"/>
      <c r="I1927" s="20">
        <f>IF(COUNT(F1927:H1927)=0,"",SUM(F1927:H1927))</f>
        <v/>
      </c>
      <c r="J1927" s="23" t="n"/>
      <c r="K1927" s="23" t="n"/>
      <c r="L1927" s="23" t="n"/>
      <c r="M1927" s="23" t="n"/>
      <c r="N1927" s="23" t="n"/>
      <c r="O1927" s="20">
        <f>IF(OR(I1927="",COUNT(J1927:N1927)=0),"",IF(SUM(J1927:N1927)=I1927,"✓","⚠ "&amp;SUM(J1927:N1927)&amp;" statt "&amp;I1927))</f>
        <v/>
      </c>
      <c r="P1927" s="21" t="n"/>
      <c r="Q1927" s="21" t="n"/>
      <c r="R1927" s="21" t="n"/>
      <c r="S1927" s="24" t="n"/>
      <c r="T1927" s="24" t="n"/>
      <c r="V1927">
        <f>IF(A1927="","",MONTH(A1927))</f>
        <v/>
      </c>
      <c r="W1927">
        <f>N(W1926)+IF(AND(C1927&lt;&gt;"",T1927&lt;&gt;""),IF(C1927=WOCHE!$B$3,1,0),0)</f>
        <v/>
      </c>
      <c r="X1927">
        <f>N(X1926)+IF(AND(V1927&lt;&gt;"",T1927&lt;&gt;""),IF(V1927=MONAT!$AZ$3,1,0),0)</f>
        <v/>
      </c>
    </row>
    <row r="1928">
      <c r="A1928" s="19" t="n"/>
      <c r="B1928" s="20">
        <f>IF(A1928="","",CHOOSE(WEEKDAY(A1928,2),"Mo","Di","Mi","Do","Fr","Sa","So"))</f>
        <v/>
      </c>
      <c r="C1928" s="20">
        <f>IF(A1928="","",INT((A1928-DATE(YEAR(A1928-WEEKDAY(A1928-1)+4),1,3)+WEEKDAY(DATE(YEAR(A1928-WEEKDAY(A1928-1)+4),1,3))+5)/7))</f>
        <v/>
      </c>
      <c r="D1928" s="21" t="n"/>
      <c r="E1928" s="22" t="n"/>
      <c r="F1928" s="23" t="n"/>
      <c r="G1928" s="23" t="n"/>
      <c r="H1928" s="23" t="n"/>
      <c r="I1928" s="20">
        <f>IF(COUNT(F1928:H1928)=0,"",SUM(F1928:H1928))</f>
        <v/>
      </c>
      <c r="J1928" s="23" t="n"/>
      <c r="K1928" s="23" t="n"/>
      <c r="L1928" s="23" t="n"/>
      <c r="M1928" s="23" t="n"/>
      <c r="N1928" s="23" t="n"/>
      <c r="O1928" s="20">
        <f>IF(OR(I1928="",COUNT(J1928:N1928)=0),"",IF(SUM(J1928:N1928)=I1928,"✓","⚠ "&amp;SUM(J1928:N1928)&amp;" statt "&amp;I1928))</f>
        <v/>
      </c>
      <c r="P1928" s="21" t="n"/>
      <c r="Q1928" s="21" t="n"/>
      <c r="R1928" s="21" t="n"/>
      <c r="S1928" s="24" t="n"/>
      <c r="T1928" s="24" t="n"/>
      <c r="V1928">
        <f>IF(A1928="","",MONTH(A1928))</f>
        <v/>
      </c>
      <c r="W1928">
        <f>N(W1927)+IF(AND(C1928&lt;&gt;"",T1928&lt;&gt;""),IF(C1928=WOCHE!$B$3,1,0),0)</f>
        <v/>
      </c>
      <c r="X1928">
        <f>N(X1927)+IF(AND(V1928&lt;&gt;"",T1928&lt;&gt;""),IF(V1928=MONAT!$AZ$3,1,0),0)</f>
        <v/>
      </c>
    </row>
    <row r="1929">
      <c r="A1929" s="19" t="n"/>
      <c r="B1929" s="20">
        <f>IF(A1929="","",CHOOSE(WEEKDAY(A1929,2),"Mo","Di","Mi","Do","Fr","Sa","So"))</f>
        <v/>
      </c>
      <c r="C1929" s="20">
        <f>IF(A1929="","",INT((A1929-DATE(YEAR(A1929-WEEKDAY(A1929-1)+4),1,3)+WEEKDAY(DATE(YEAR(A1929-WEEKDAY(A1929-1)+4),1,3))+5)/7))</f>
        <v/>
      </c>
      <c r="D1929" s="21" t="n"/>
      <c r="E1929" s="22" t="n"/>
      <c r="F1929" s="23" t="n"/>
      <c r="G1929" s="23" t="n"/>
      <c r="H1929" s="23" t="n"/>
      <c r="I1929" s="20">
        <f>IF(COUNT(F1929:H1929)=0,"",SUM(F1929:H1929))</f>
        <v/>
      </c>
      <c r="J1929" s="23" t="n"/>
      <c r="K1929" s="23" t="n"/>
      <c r="L1929" s="23" t="n"/>
      <c r="M1929" s="23" t="n"/>
      <c r="N1929" s="23" t="n"/>
      <c r="O1929" s="20">
        <f>IF(OR(I1929="",COUNT(J1929:N1929)=0),"",IF(SUM(J1929:N1929)=I1929,"✓","⚠ "&amp;SUM(J1929:N1929)&amp;" statt "&amp;I1929))</f>
        <v/>
      </c>
      <c r="P1929" s="21" t="n"/>
      <c r="Q1929" s="21" t="n"/>
      <c r="R1929" s="21" t="n"/>
      <c r="S1929" s="24" t="n"/>
      <c r="T1929" s="24" t="n"/>
      <c r="V1929">
        <f>IF(A1929="","",MONTH(A1929))</f>
        <v/>
      </c>
      <c r="W1929">
        <f>N(W1928)+IF(AND(C1929&lt;&gt;"",T1929&lt;&gt;""),IF(C1929=WOCHE!$B$3,1,0),0)</f>
        <v/>
      </c>
      <c r="X1929">
        <f>N(X1928)+IF(AND(V1929&lt;&gt;"",T1929&lt;&gt;""),IF(V1929=MONAT!$AZ$3,1,0),0)</f>
        <v/>
      </c>
    </row>
    <row r="1930">
      <c r="A1930" s="19" t="n"/>
      <c r="B1930" s="20">
        <f>IF(A1930="","",CHOOSE(WEEKDAY(A1930,2),"Mo","Di","Mi","Do","Fr","Sa","So"))</f>
        <v/>
      </c>
      <c r="C1930" s="20">
        <f>IF(A1930="","",INT((A1930-DATE(YEAR(A1930-WEEKDAY(A1930-1)+4),1,3)+WEEKDAY(DATE(YEAR(A1930-WEEKDAY(A1930-1)+4),1,3))+5)/7))</f>
        <v/>
      </c>
      <c r="D1930" s="21" t="n"/>
      <c r="E1930" s="22" t="n"/>
      <c r="F1930" s="23" t="n"/>
      <c r="G1930" s="23" t="n"/>
      <c r="H1930" s="23" t="n"/>
      <c r="I1930" s="20">
        <f>IF(COUNT(F1930:H1930)=0,"",SUM(F1930:H1930))</f>
        <v/>
      </c>
      <c r="J1930" s="23" t="n"/>
      <c r="K1930" s="23" t="n"/>
      <c r="L1930" s="23" t="n"/>
      <c r="M1930" s="23" t="n"/>
      <c r="N1930" s="23" t="n"/>
      <c r="O1930" s="20">
        <f>IF(OR(I1930="",COUNT(J1930:N1930)=0),"",IF(SUM(J1930:N1930)=I1930,"✓","⚠ "&amp;SUM(J1930:N1930)&amp;" statt "&amp;I1930))</f>
        <v/>
      </c>
      <c r="P1930" s="21" t="n"/>
      <c r="Q1930" s="21" t="n"/>
      <c r="R1930" s="21" t="n"/>
      <c r="S1930" s="24" t="n"/>
      <c r="T1930" s="24" t="n"/>
      <c r="V1930">
        <f>IF(A1930="","",MONTH(A1930))</f>
        <v/>
      </c>
      <c r="W1930">
        <f>N(W1929)+IF(AND(C1930&lt;&gt;"",T1930&lt;&gt;""),IF(C1930=WOCHE!$B$3,1,0),0)</f>
        <v/>
      </c>
      <c r="X1930">
        <f>N(X1929)+IF(AND(V1930&lt;&gt;"",T1930&lt;&gt;""),IF(V1930=MONAT!$AZ$3,1,0),0)</f>
        <v/>
      </c>
    </row>
    <row r="1931">
      <c r="A1931" s="19" t="n"/>
      <c r="B1931" s="20">
        <f>IF(A1931="","",CHOOSE(WEEKDAY(A1931,2),"Mo","Di","Mi","Do","Fr","Sa","So"))</f>
        <v/>
      </c>
      <c r="C1931" s="20">
        <f>IF(A1931="","",INT((A1931-DATE(YEAR(A1931-WEEKDAY(A1931-1)+4),1,3)+WEEKDAY(DATE(YEAR(A1931-WEEKDAY(A1931-1)+4),1,3))+5)/7))</f>
        <v/>
      </c>
      <c r="D1931" s="21" t="n"/>
      <c r="E1931" s="22" t="n"/>
      <c r="F1931" s="23" t="n"/>
      <c r="G1931" s="23" t="n"/>
      <c r="H1931" s="23" t="n"/>
      <c r="I1931" s="20">
        <f>IF(COUNT(F1931:H1931)=0,"",SUM(F1931:H1931))</f>
        <v/>
      </c>
      <c r="J1931" s="23" t="n"/>
      <c r="K1931" s="23" t="n"/>
      <c r="L1931" s="23" t="n"/>
      <c r="M1931" s="23" t="n"/>
      <c r="N1931" s="23" t="n"/>
      <c r="O1931" s="20">
        <f>IF(OR(I1931="",COUNT(J1931:N1931)=0),"",IF(SUM(J1931:N1931)=I1931,"✓","⚠ "&amp;SUM(J1931:N1931)&amp;" statt "&amp;I1931))</f>
        <v/>
      </c>
      <c r="P1931" s="21" t="n"/>
      <c r="Q1931" s="21" t="n"/>
      <c r="R1931" s="21" t="n"/>
      <c r="S1931" s="24" t="n"/>
      <c r="T1931" s="24" t="n"/>
      <c r="V1931">
        <f>IF(A1931="","",MONTH(A1931))</f>
        <v/>
      </c>
      <c r="W1931">
        <f>N(W1930)+IF(AND(C1931&lt;&gt;"",T1931&lt;&gt;""),IF(C1931=WOCHE!$B$3,1,0),0)</f>
        <v/>
      </c>
      <c r="X1931">
        <f>N(X1930)+IF(AND(V1931&lt;&gt;"",T1931&lt;&gt;""),IF(V1931=MONAT!$AZ$3,1,0),0)</f>
        <v/>
      </c>
    </row>
    <row r="1932">
      <c r="A1932" s="19" t="n"/>
      <c r="B1932" s="20">
        <f>IF(A1932="","",CHOOSE(WEEKDAY(A1932,2),"Mo","Di","Mi","Do","Fr","Sa","So"))</f>
        <v/>
      </c>
      <c r="C1932" s="20">
        <f>IF(A1932="","",INT((A1932-DATE(YEAR(A1932-WEEKDAY(A1932-1)+4),1,3)+WEEKDAY(DATE(YEAR(A1932-WEEKDAY(A1932-1)+4),1,3))+5)/7))</f>
        <v/>
      </c>
      <c r="D1932" s="21" t="n"/>
      <c r="E1932" s="22" t="n"/>
      <c r="F1932" s="23" t="n"/>
      <c r="G1932" s="23" t="n"/>
      <c r="H1932" s="23" t="n"/>
      <c r="I1932" s="20">
        <f>IF(COUNT(F1932:H1932)=0,"",SUM(F1932:H1932))</f>
        <v/>
      </c>
      <c r="J1932" s="23" t="n"/>
      <c r="K1932" s="23" t="n"/>
      <c r="L1932" s="23" t="n"/>
      <c r="M1932" s="23" t="n"/>
      <c r="N1932" s="23" t="n"/>
      <c r="O1932" s="20">
        <f>IF(OR(I1932="",COUNT(J1932:N1932)=0),"",IF(SUM(J1932:N1932)=I1932,"✓","⚠ "&amp;SUM(J1932:N1932)&amp;" statt "&amp;I1932))</f>
        <v/>
      </c>
      <c r="P1932" s="21" t="n"/>
      <c r="Q1932" s="21" t="n"/>
      <c r="R1932" s="21" t="n"/>
      <c r="S1932" s="24" t="n"/>
      <c r="T1932" s="24" t="n"/>
      <c r="V1932">
        <f>IF(A1932="","",MONTH(A1932))</f>
        <v/>
      </c>
      <c r="W1932">
        <f>N(W1931)+IF(AND(C1932&lt;&gt;"",T1932&lt;&gt;""),IF(C1932=WOCHE!$B$3,1,0),0)</f>
        <v/>
      </c>
      <c r="X1932">
        <f>N(X1931)+IF(AND(V1932&lt;&gt;"",T1932&lt;&gt;""),IF(V1932=MONAT!$AZ$3,1,0),0)</f>
        <v/>
      </c>
    </row>
    <row r="1933">
      <c r="A1933" s="19" t="n"/>
      <c r="B1933" s="20">
        <f>IF(A1933="","",CHOOSE(WEEKDAY(A1933,2),"Mo","Di","Mi","Do","Fr","Sa","So"))</f>
        <v/>
      </c>
      <c r="C1933" s="20">
        <f>IF(A1933="","",INT((A1933-DATE(YEAR(A1933-WEEKDAY(A1933-1)+4),1,3)+WEEKDAY(DATE(YEAR(A1933-WEEKDAY(A1933-1)+4),1,3))+5)/7))</f>
        <v/>
      </c>
      <c r="D1933" s="21" t="n"/>
      <c r="E1933" s="22" t="n"/>
      <c r="F1933" s="23" t="n"/>
      <c r="G1933" s="23" t="n"/>
      <c r="H1933" s="23" t="n"/>
      <c r="I1933" s="20">
        <f>IF(COUNT(F1933:H1933)=0,"",SUM(F1933:H1933))</f>
        <v/>
      </c>
      <c r="J1933" s="23" t="n"/>
      <c r="K1933" s="23" t="n"/>
      <c r="L1933" s="23" t="n"/>
      <c r="M1933" s="23" t="n"/>
      <c r="N1933" s="23" t="n"/>
      <c r="O1933" s="20">
        <f>IF(OR(I1933="",COUNT(J1933:N1933)=0),"",IF(SUM(J1933:N1933)=I1933,"✓","⚠ "&amp;SUM(J1933:N1933)&amp;" statt "&amp;I1933))</f>
        <v/>
      </c>
      <c r="P1933" s="21" t="n"/>
      <c r="Q1933" s="21" t="n"/>
      <c r="R1933" s="21" t="n"/>
      <c r="S1933" s="24" t="n"/>
      <c r="T1933" s="24" t="n"/>
      <c r="V1933">
        <f>IF(A1933="","",MONTH(A1933))</f>
        <v/>
      </c>
      <c r="W1933">
        <f>N(W1932)+IF(AND(C1933&lt;&gt;"",T1933&lt;&gt;""),IF(C1933=WOCHE!$B$3,1,0),0)</f>
        <v/>
      </c>
      <c r="X1933">
        <f>N(X1932)+IF(AND(V1933&lt;&gt;"",T1933&lt;&gt;""),IF(V1933=MONAT!$AZ$3,1,0),0)</f>
        <v/>
      </c>
    </row>
    <row r="1934">
      <c r="A1934" s="19" t="n"/>
      <c r="B1934" s="20">
        <f>IF(A1934="","",CHOOSE(WEEKDAY(A1934,2),"Mo","Di","Mi","Do","Fr","Sa","So"))</f>
        <v/>
      </c>
      <c r="C1934" s="20">
        <f>IF(A1934="","",INT((A1934-DATE(YEAR(A1934-WEEKDAY(A1934-1)+4),1,3)+WEEKDAY(DATE(YEAR(A1934-WEEKDAY(A1934-1)+4),1,3))+5)/7))</f>
        <v/>
      </c>
      <c r="D1934" s="21" t="n"/>
      <c r="E1934" s="22" t="n"/>
      <c r="F1934" s="23" t="n"/>
      <c r="G1934" s="23" t="n"/>
      <c r="H1934" s="23" t="n"/>
      <c r="I1934" s="20">
        <f>IF(COUNT(F1934:H1934)=0,"",SUM(F1934:H1934))</f>
        <v/>
      </c>
      <c r="J1934" s="23" t="n"/>
      <c r="K1934" s="23" t="n"/>
      <c r="L1934" s="23" t="n"/>
      <c r="M1934" s="23" t="n"/>
      <c r="N1934" s="23" t="n"/>
      <c r="O1934" s="20">
        <f>IF(OR(I1934="",COUNT(J1934:N1934)=0),"",IF(SUM(J1934:N1934)=I1934,"✓","⚠ "&amp;SUM(J1934:N1934)&amp;" statt "&amp;I1934))</f>
        <v/>
      </c>
      <c r="P1934" s="21" t="n"/>
      <c r="Q1934" s="21" t="n"/>
      <c r="R1934" s="21" t="n"/>
      <c r="S1934" s="24" t="n"/>
      <c r="T1934" s="24" t="n"/>
      <c r="V1934">
        <f>IF(A1934="","",MONTH(A1934))</f>
        <v/>
      </c>
      <c r="W1934">
        <f>N(W1933)+IF(AND(C1934&lt;&gt;"",T1934&lt;&gt;""),IF(C1934=WOCHE!$B$3,1,0),0)</f>
        <v/>
      </c>
      <c r="X1934">
        <f>N(X1933)+IF(AND(V1934&lt;&gt;"",T1934&lt;&gt;""),IF(V1934=MONAT!$AZ$3,1,0),0)</f>
        <v/>
      </c>
    </row>
    <row r="1935">
      <c r="A1935" s="19" t="n"/>
      <c r="B1935" s="20">
        <f>IF(A1935="","",CHOOSE(WEEKDAY(A1935,2),"Mo","Di","Mi","Do","Fr","Sa","So"))</f>
        <v/>
      </c>
      <c r="C1935" s="20">
        <f>IF(A1935="","",INT((A1935-DATE(YEAR(A1935-WEEKDAY(A1935-1)+4),1,3)+WEEKDAY(DATE(YEAR(A1935-WEEKDAY(A1935-1)+4),1,3))+5)/7))</f>
        <v/>
      </c>
      <c r="D1935" s="21" t="n"/>
      <c r="E1935" s="22" t="n"/>
      <c r="F1935" s="23" t="n"/>
      <c r="G1935" s="23" t="n"/>
      <c r="H1935" s="23" t="n"/>
      <c r="I1935" s="20">
        <f>IF(COUNT(F1935:H1935)=0,"",SUM(F1935:H1935))</f>
        <v/>
      </c>
      <c r="J1935" s="23" t="n"/>
      <c r="K1935" s="23" t="n"/>
      <c r="L1935" s="23" t="n"/>
      <c r="M1935" s="23" t="n"/>
      <c r="N1935" s="23" t="n"/>
      <c r="O1935" s="20">
        <f>IF(OR(I1935="",COUNT(J1935:N1935)=0),"",IF(SUM(J1935:N1935)=I1935,"✓","⚠ "&amp;SUM(J1935:N1935)&amp;" statt "&amp;I1935))</f>
        <v/>
      </c>
      <c r="P1935" s="21" t="n"/>
      <c r="Q1935" s="21" t="n"/>
      <c r="R1935" s="21" t="n"/>
      <c r="S1935" s="24" t="n"/>
      <c r="T1935" s="24" t="n"/>
      <c r="V1935">
        <f>IF(A1935="","",MONTH(A1935))</f>
        <v/>
      </c>
      <c r="W1935">
        <f>N(W1934)+IF(AND(C1935&lt;&gt;"",T1935&lt;&gt;""),IF(C1935=WOCHE!$B$3,1,0),0)</f>
        <v/>
      </c>
      <c r="X1935">
        <f>N(X1934)+IF(AND(V1935&lt;&gt;"",T1935&lt;&gt;""),IF(V1935=MONAT!$AZ$3,1,0),0)</f>
        <v/>
      </c>
    </row>
    <row r="1936">
      <c r="A1936" s="19" t="n"/>
      <c r="B1936" s="20">
        <f>IF(A1936="","",CHOOSE(WEEKDAY(A1936,2),"Mo","Di","Mi","Do","Fr","Sa","So"))</f>
        <v/>
      </c>
      <c r="C1936" s="20">
        <f>IF(A1936="","",INT((A1936-DATE(YEAR(A1936-WEEKDAY(A1936-1)+4),1,3)+WEEKDAY(DATE(YEAR(A1936-WEEKDAY(A1936-1)+4),1,3))+5)/7))</f>
        <v/>
      </c>
      <c r="D1936" s="21" t="n"/>
      <c r="E1936" s="22" t="n"/>
      <c r="F1936" s="23" t="n"/>
      <c r="G1936" s="23" t="n"/>
      <c r="H1936" s="23" t="n"/>
      <c r="I1936" s="20">
        <f>IF(COUNT(F1936:H1936)=0,"",SUM(F1936:H1936))</f>
        <v/>
      </c>
      <c r="J1936" s="23" t="n"/>
      <c r="K1936" s="23" t="n"/>
      <c r="L1936" s="23" t="n"/>
      <c r="M1936" s="23" t="n"/>
      <c r="N1936" s="23" t="n"/>
      <c r="O1936" s="20">
        <f>IF(OR(I1936="",COUNT(J1936:N1936)=0),"",IF(SUM(J1936:N1936)=I1936,"✓","⚠ "&amp;SUM(J1936:N1936)&amp;" statt "&amp;I1936))</f>
        <v/>
      </c>
      <c r="P1936" s="21" t="n"/>
      <c r="Q1936" s="21" t="n"/>
      <c r="R1936" s="21" t="n"/>
      <c r="S1936" s="24" t="n"/>
      <c r="T1936" s="24" t="n"/>
      <c r="V1936">
        <f>IF(A1936="","",MONTH(A1936))</f>
        <v/>
      </c>
      <c r="W1936">
        <f>N(W1935)+IF(AND(C1936&lt;&gt;"",T1936&lt;&gt;""),IF(C1936=WOCHE!$B$3,1,0),0)</f>
        <v/>
      </c>
      <c r="X1936">
        <f>N(X1935)+IF(AND(V1936&lt;&gt;"",T1936&lt;&gt;""),IF(V1936=MONAT!$AZ$3,1,0),0)</f>
        <v/>
      </c>
    </row>
    <row r="1937">
      <c r="A1937" s="19" t="n"/>
      <c r="B1937" s="20">
        <f>IF(A1937="","",CHOOSE(WEEKDAY(A1937,2),"Mo","Di","Mi","Do","Fr","Sa","So"))</f>
        <v/>
      </c>
      <c r="C1937" s="20">
        <f>IF(A1937="","",INT((A1937-DATE(YEAR(A1937-WEEKDAY(A1937-1)+4),1,3)+WEEKDAY(DATE(YEAR(A1937-WEEKDAY(A1937-1)+4),1,3))+5)/7))</f>
        <v/>
      </c>
      <c r="D1937" s="21" t="n"/>
      <c r="E1937" s="22" t="n"/>
      <c r="F1937" s="23" t="n"/>
      <c r="G1937" s="23" t="n"/>
      <c r="H1937" s="23" t="n"/>
      <c r="I1937" s="20">
        <f>IF(COUNT(F1937:H1937)=0,"",SUM(F1937:H1937))</f>
        <v/>
      </c>
      <c r="J1937" s="23" t="n"/>
      <c r="K1937" s="23" t="n"/>
      <c r="L1937" s="23" t="n"/>
      <c r="M1937" s="23" t="n"/>
      <c r="N1937" s="23" t="n"/>
      <c r="O1937" s="20">
        <f>IF(OR(I1937="",COUNT(J1937:N1937)=0),"",IF(SUM(J1937:N1937)=I1937,"✓","⚠ "&amp;SUM(J1937:N1937)&amp;" statt "&amp;I1937))</f>
        <v/>
      </c>
      <c r="P1937" s="21" t="n"/>
      <c r="Q1937" s="21" t="n"/>
      <c r="R1937" s="21" t="n"/>
      <c r="S1937" s="24" t="n"/>
      <c r="T1937" s="24" t="n"/>
      <c r="V1937">
        <f>IF(A1937="","",MONTH(A1937))</f>
        <v/>
      </c>
      <c r="W1937">
        <f>N(W1936)+IF(AND(C1937&lt;&gt;"",T1937&lt;&gt;""),IF(C1937=WOCHE!$B$3,1,0),0)</f>
        <v/>
      </c>
      <c r="X1937">
        <f>N(X1936)+IF(AND(V1937&lt;&gt;"",T1937&lt;&gt;""),IF(V1937=MONAT!$AZ$3,1,0),0)</f>
        <v/>
      </c>
    </row>
    <row r="1938">
      <c r="A1938" s="19" t="n"/>
      <c r="B1938" s="20">
        <f>IF(A1938="","",CHOOSE(WEEKDAY(A1938,2),"Mo","Di","Mi","Do","Fr","Sa","So"))</f>
        <v/>
      </c>
      <c r="C1938" s="20">
        <f>IF(A1938="","",INT((A1938-DATE(YEAR(A1938-WEEKDAY(A1938-1)+4),1,3)+WEEKDAY(DATE(YEAR(A1938-WEEKDAY(A1938-1)+4),1,3))+5)/7))</f>
        <v/>
      </c>
      <c r="D1938" s="21" t="n"/>
      <c r="E1938" s="22" t="n"/>
      <c r="F1938" s="23" t="n"/>
      <c r="G1938" s="23" t="n"/>
      <c r="H1938" s="23" t="n"/>
      <c r="I1938" s="20">
        <f>IF(COUNT(F1938:H1938)=0,"",SUM(F1938:H1938))</f>
        <v/>
      </c>
      <c r="J1938" s="23" t="n"/>
      <c r="K1938" s="23" t="n"/>
      <c r="L1938" s="23" t="n"/>
      <c r="M1938" s="23" t="n"/>
      <c r="N1938" s="23" t="n"/>
      <c r="O1938" s="20">
        <f>IF(OR(I1938="",COUNT(J1938:N1938)=0),"",IF(SUM(J1938:N1938)=I1938,"✓","⚠ "&amp;SUM(J1938:N1938)&amp;" statt "&amp;I1938))</f>
        <v/>
      </c>
      <c r="P1938" s="21" t="n"/>
      <c r="Q1938" s="21" t="n"/>
      <c r="R1938" s="21" t="n"/>
      <c r="S1938" s="24" t="n"/>
      <c r="T1938" s="24" t="n"/>
      <c r="V1938">
        <f>IF(A1938="","",MONTH(A1938))</f>
        <v/>
      </c>
      <c r="W1938">
        <f>N(W1937)+IF(AND(C1938&lt;&gt;"",T1938&lt;&gt;""),IF(C1938=WOCHE!$B$3,1,0),0)</f>
        <v/>
      </c>
      <c r="X1938">
        <f>N(X1937)+IF(AND(V1938&lt;&gt;"",T1938&lt;&gt;""),IF(V1938=MONAT!$AZ$3,1,0),0)</f>
        <v/>
      </c>
    </row>
    <row r="1939">
      <c r="A1939" s="19" t="n"/>
      <c r="B1939" s="20">
        <f>IF(A1939="","",CHOOSE(WEEKDAY(A1939,2),"Mo","Di","Mi","Do","Fr","Sa","So"))</f>
        <v/>
      </c>
      <c r="C1939" s="20">
        <f>IF(A1939="","",INT((A1939-DATE(YEAR(A1939-WEEKDAY(A1939-1)+4),1,3)+WEEKDAY(DATE(YEAR(A1939-WEEKDAY(A1939-1)+4),1,3))+5)/7))</f>
        <v/>
      </c>
      <c r="D1939" s="21" t="n"/>
      <c r="E1939" s="22" t="n"/>
      <c r="F1939" s="23" t="n"/>
      <c r="G1939" s="23" t="n"/>
      <c r="H1939" s="23" t="n"/>
      <c r="I1939" s="20">
        <f>IF(COUNT(F1939:H1939)=0,"",SUM(F1939:H1939))</f>
        <v/>
      </c>
      <c r="J1939" s="23" t="n"/>
      <c r="K1939" s="23" t="n"/>
      <c r="L1939" s="23" t="n"/>
      <c r="M1939" s="23" t="n"/>
      <c r="N1939" s="23" t="n"/>
      <c r="O1939" s="20">
        <f>IF(OR(I1939="",COUNT(J1939:N1939)=0),"",IF(SUM(J1939:N1939)=I1939,"✓","⚠ "&amp;SUM(J1939:N1939)&amp;" statt "&amp;I1939))</f>
        <v/>
      </c>
      <c r="P1939" s="21" t="n"/>
      <c r="Q1939" s="21" t="n"/>
      <c r="R1939" s="21" t="n"/>
      <c r="S1939" s="24" t="n"/>
      <c r="T1939" s="24" t="n"/>
      <c r="V1939">
        <f>IF(A1939="","",MONTH(A1939))</f>
        <v/>
      </c>
      <c r="W1939">
        <f>N(W1938)+IF(AND(C1939&lt;&gt;"",T1939&lt;&gt;""),IF(C1939=WOCHE!$B$3,1,0),0)</f>
        <v/>
      </c>
      <c r="X1939">
        <f>N(X1938)+IF(AND(V1939&lt;&gt;"",T1939&lt;&gt;""),IF(V1939=MONAT!$AZ$3,1,0),0)</f>
        <v/>
      </c>
    </row>
    <row r="1940">
      <c r="A1940" s="19" t="n"/>
      <c r="B1940" s="20">
        <f>IF(A1940="","",CHOOSE(WEEKDAY(A1940,2),"Mo","Di","Mi","Do","Fr","Sa","So"))</f>
        <v/>
      </c>
      <c r="C1940" s="20">
        <f>IF(A1940="","",INT((A1940-DATE(YEAR(A1940-WEEKDAY(A1940-1)+4),1,3)+WEEKDAY(DATE(YEAR(A1940-WEEKDAY(A1940-1)+4),1,3))+5)/7))</f>
        <v/>
      </c>
      <c r="D1940" s="21" t="n"/>
      <c r="E1940" s="22" t="n"/>
      <c r="F1940" s="23" t="n"/>
      <c r="G1940" s="23" t="n"/>
      <c r="H1940" s="23" t="n"/>
      <c r="I1940" s="20">
        <f>IF(COUNT(F1940:H1940)=0,"",SUM(F1940:H1940))</f>
        <v/>
      </c>
      <c r="J1940" s="23" t="n"/>
      <c r="K1940" s="23" t="n"/>
      <c r="L1940" s="23" t="n"/>
      <c r="M1940" s="23" t="n"/>
      <c r="N1940" s="23" t="n"/>
      <c r="O1940" s="20">
        <f>IF(OR(I1940="",COUNT(J1940:N1940)=0),"",IF(SUM(J1940:N1940)=I1940,"✓","⚠ "&amp;SUM(J1940:N1940)&amp;" statt "&amp;I1940))</f>
        <v/>
      </c>
      <c r="P1940" s="21" t="n"/>
      <c r="Q1940" s="21" t="n"/>
      <c r="R1940" s="21" t="n"/>
      <c r="S1940" s="24" t="n"/>
      <c r="T1940" s="24" t="n"/>
      <c r="V1940">
        <f>IF(A1940="","",MONTH(A1940))</f>
        <v/>
      </c>
      <c r="W1940">
        <f>N(W1939)+IF(AND(C1940&lt;&gt;"",T1940&lt;&gt;""),IF(C1940=WOCHE!$B$3,1,0),0)</f>
        <v/>
      </c>
      <c r="X1940">
        <f>N(X1939)+IF(AND(V1940&lt;&gt;"",T1940&lt;&gt;""),IF(V1940=MONAT!$AZ$3,1,0),0)</f>
        <v/>
      </c>
    </row>
    <row r="1941">
      <c r="A1941" s="19" t="n"/>
      <c r="B1941" s="20">
        <f>IF(A1941="","",CHOOSE(WEEKDAY(A1941,2),"Mo","Di","Mi","Do","Fr","Sa","So"))</f>
        <v/>
      </c>
      <c r="C1941" s="20">
        <f>IF(A1941="","",INT((A1941-DATE(YEAR(A1941-WEEKDAY(A1941-1)+4),1,3)+WEEKDAY(DATE(YEAR(A1941-WEEKDAY(A1941-1)+4),1,3))+5)/7))</f>
        <v/>
      </c>
      <c r="D1941" s="21" t="n"/>
      <c r="E1941" s="22" t="n"/>
      <c r="F1941" s="23" t="n"/>
      <c r="G1941" s="23" t="n"/>
      <c r="H1941" s="23" t="n"/>
      <c r="I1941" s="20">
        <f>IF(COUNT(F1941:H1941)=0,"",SUM(F1941:H1941))</f>
        <v/>
      </c>
      <c r="J1941" s="23" t="n"/>
      <c r="K1941" s="23" t="n"/>
      <c r="L1941" s="23" t="n"/>
      <c r="M1941" s="23" t="n"/>
      <c r="N1941" s="23" t="n"/>
      <c r="O1941" s="20">
        <f>IF(OR(I1941="",COUNT(J1941:N1941)=0),"",IF(SUM(J1941:N1941)=I1941,"✓","⚠ "&amp;SUM(J1941:N1941)&amp;" statt "&amp;I1941))</f>
        <v/>
      </c>
      <c r="P1941" s="21" t="n"/>
      <c r="Q1941" s="21" t="n"/>
      <c r="R1941" s="21" t="n"/>
      <c r="S1941" s="24" t="n"/>
      <c r="T1941" s="24" t="n"/>
      <c r="V1941">
        <f>IF(A1941="","",MONTH(A1941))</f>
        <v/>
      </c>
      <c r="W1941">
        <f>N(W1940)+IF(AND(C1941&lt;&gt;"",T1941&lt;&gt;""),IF(C1941=WOCHE!$B$3,1,0),0)</f>
        <v/>
      </c>
      <c r="X1941">
        <f>N(X1940)+IF(AND(V1941&lt;&gt;"",T1941&lt;&gt;""),IF(V1941=MONAT!$AZ$3,1,0),0)</f>
        <v/>
      </c>
    </row>
    <row r="1942">
      <c r="A1942" s="19" t="n"/>
      <c r="B1942" s="20">
        <f>IF(A1942="","",CHOOSE(WEEKDAY(A1942,2),"Mo","Di","Mi","Do","Fr","Sa","So"))</f>
        <v/>
      </c>
      <c r="C1942" s="20">
        <f>IF(A1942="","",INT((A1942-DATE(YEAR(A1942-WEEKDAY(A1942-1)+4),1,3)+WEEKDAY(DATE(YEAR(A1942-WEEKDAY(A1942-1)+4),1,3))+5)/7))</f>
        <v/>
      </c>
      <c r="D1942" s="21" t="n"/>
      <c r="E1942" s="22" t="n"/>
      <c r="F1942" s="23" t="n"/>
      <c r="G1942" s="23" t="n"/>
      <c r="H1942" s="23" t="n"/>
      <c r="I1942" s="20">
        <f>IF(COUNT(F1942:H1942)=0,"",SUM(F1942:H1942))</f>
        <v/>
      </c>
      <c r="J1942" s="23" t="n"/>
      <c r="K1942" s="23" t="n"/>
      <c r="L1942" s="23" t="n"/>
      <c r="M1942" s="23" t="n"/>
      <c r="N1942" s="23" t="n"/>
      <c r="O1942" s="20">
        <f>IF(OR(I1942="",COUNT(J1942:N1942)=0),"",IF(SUM(J1942:N1942)=I1942,"✓","⚠ "&amp;SUM(J1942:N1942)&amp;" statt "&amp;I1942))</f>
        <v/>
      </c>
      <c r="P1942" s="21" t="n"/>
      <c r="Q1942" s="21" t="n"/>
      <c r="R1942" s="21" t="n"/>
      <c r="S1942" s="24" t="n"/>
      <c r="T1942" s="24" t="n"/>
      <c r="V1942">
        <f>IF(A1942="","",MONTH(A1942))</f>
        <v/>
      </c>
      <c r="W1942">
        <f>N(W1941)+IF(AND(C1942&lt;&gt;"",T1942&lt;&gt;""),IF(C1942=WOCHE!$B$3,1,0),0)</f>
        <v/>
      </c>
      <c r="X1942">
        <f>N(X1941)+IF(AND(V1942&lt;&gt;"",T1942&lt;&gt;""),IF(V1942=MONAT!$AZ$3,1,0),0)</f>
        <v/>
      </c>
    </row>
    <row r="1943">
      <c r="A1943" s="19" t="n"/>
      <c r="B1943" s="20">
        <f>IF(A1943="","",CHOOSE(WEEKDAY(A1943,2),"Mo","Di","Mi","Do","Fr","Sa","So"))</f>
        <v/>
      </c>
      <c r="C1943" s="20">
        <f>IF(A1943="","",INT((A1943-DATE(YEAR(A1943-WEEKDAY(A1943-1)+4),1,3)+WEEKDAY(DATE(YEAR(A1943-WEEKDAY(A1943-1)+4),1,3))+5)/7))</f>
        <v/>
      </c>
      <c r="D1943" s="21" t="n"/>
      <c r="E1943" s="22" t="n"/>
      <c r="F1943" s="23" t="n"/>
      <c r="G1943" s="23" t="n"/>
      <c r="H1943" s="23" t="n"/>
      <c r="I1943" s="20">
        <f>IF(COUNT(F1943:H1943)=0,"",SUM(F1943:H1943))</f>
        <v/>
      </c>
      <c r="J1943" s="23" t="n"/>
      <c r="K1943" s="23" t="n"/>
      <c r="L1943" s="23" t="n"/>
      <c r="M1943" s="23" t="n"/>
      <c r="N1943" s="23" t="n"/>
      <c r="O1943" s="20">
        <f>IF(OR(I1943="",COUNT(J1943:N1943)=0),"",IF(SUM(J1943:N1943)=I1943,"✓","⚠ "&amp;SUM(J1943:N1943)&amp;" statt "&amp;I1943))</f>
        <v/>
      </c>
      <c r="P1943" s="21" t="n"/>
      <c r="Q1943" s="21" t="n"/>
      <c r="R1943" s="21" t="n"/>
      <c r="S1943" s="24" t="n"/>
      <c r="T1943" s="24" t="n"/>
      <c r="V1943">
        <f>IF(A1943="","",MONTH(A1943))</f>
        <v/>
      </c>
      <c r="W1943">
        <f>N(W1942)+IF(AND(C1943&lt;&gt;"",T1943&lt;&gt;""),IF(C1943=WOCHE!$B$3,1,0),0)</f>
        <v/>
      </c>
      <c r="X1943">
        <f>N(X1942)+IF(AND(V1943&lt;&gt;"",T1943&lt;&gt;""),IF(V1943=MONAT!$AZ$3,1,0),0)</f>
        <v/>
      </c>
    </row>
    <row r="1944">
      <c r="A1944" s="19" t="n"/>
      <c r="B1944" s="20">
        <f>IF(A1944="","",CHOOSE(WEEKDAY(A1944,2),"Mo","Di","Mi","Do","Fr","Sa","So"))</f>
        <v/>
      </c>
      <c r="C1944" s="20">
        <f>IF(A1944="","",INT((A1944-DATE(YEAR(A1944-WEEKDAY(A1944-1)+4),1,3)+WEEKDAY(DATE(YEAR(A1944-WEEKDAY(A1944-1)+4),1,3))+5)/7))</f>
        <v/>
      </c>
      <c r="D1944" s="21" t="n"/>
      <c r="E1944" s="22" t="n"/>
      <c r="F1944" s="23" t="n"/>
      <c r="G1944" s="23" t="n"/>
      <c r="H1944" s="23" t="n"/>
      <c r="I1944" s="20">
        <f>IF(COUNT(F1944:H1944)=0,"",SUM(F1944:H1944))</f>
        <v/>
      </c>
      <c r="J1944" s="23" t="n"/>
      <c r="K1944" s="23" t="n"/>
      <c r="L1944" s="23" t="n"/>
      <c r="M1944" s="23" t="n"/>
      <c r="N1944" s="23" t="n"/>
      <c r="O1944" s="20">
        <f>IF(OR(I1944="",COUNT(J1944:N1944)=0),"",IF(SUM(J1944:N1944)=I1944,"✓","⚠ "&amp;SUM(J1944:N1944)&amp;" statt "&amp;I1944))</f>
        <v/>
      </c>
      <c r="P1944" s="21" t="n"/>
      <c r="Q1944" s="21" t="n"/>
      <c r="R1944" s="21" t="n"/>
      <c r="S1944" s="24" t="n"/>
      <c r="T1944" s="24" t="n"/>
      <c r="V1944">
        <f>IF(A1944="","",MONTH(A1944))</f>
        <v/>
      </c>
      <c r="W1944">
        <f>N(W1943)+IF(AND(C1944&lt;&gt;"",T1944&lt;&gt;""),IF(C1944=WOCHE!$B$3,1,0),0)</f>
        <v/>
      </c>
      <c r="X1944">
        <f>N(X1943)+IF(AND(V1944&lt;&gt;"",T1944&lt;&gt;""),IF(V1944=MONAT!$AZ$3,1,0),0)</f>
        <v/>
      </c>
    </row>
    <row r="1945">
      <c r="A1945" s="19" t="n"/>
      <c r="B1945" s="20">
        <f>IF(A1945="","",CHOOSE(WEEKDAY(A1945,2),"Mo","Di","Mi","Do","Fr","Sa","So"))</f>
        <v/>
      </c>
      <c r="C1945" s="20">
        <f>IF(A1945="","",INT((A1945-DATE(YEAR(A1945-WEEKDAY(A1945-1)+4),1,3)+WEEKDAY(DATE(YEAR(A1945-WEEKDAY(A1945-1)+4),1,3))+5)/7))</f>
        <v/>
      </c>
      <c r="D1945" s="21" t="n"/>
      <c r="E1945" s="22" t="n"/>
      <c r="F1945" s="23" t="n"/>
      <c r="G1945" s="23" t="n"/>
      <c r="H1945" s="23" t="n"/>
      <c r="I1945" s="20">
        <f>IF(COUNT(F1945:H1945)=0,"",SUM(F1945:H1945))</f>
        <v/>
      </c>
      <c r="J1945" s="23" t="n"/>
      <c r="K1945" s="23" t="n"/>
      <c r="L1945" s="23" t="n"/>
      <c r="M1945" s="23" t="n"/>
      <c r="N1945" s="23" t="n"/>
      <c r="O1945" s="20">
        <f>IF(OR(I1945="",COUNT(J1945:N1945)=0),"",IF(SUM(J1945:N1945)=I1945,"✓","⚠ "&amp;SUM(J1945:N1945)&amp;" statt "&amp;I1945))</f>
        <v/>
      </c>
      <c r="P1945" s="21" t="n"/>
      <c r="Q1945" s="21" t="n"/>
      <c r="R1945" s="21" t="n"/>
      <c r="S1945" s="24" t="n"/>
      <c r="T1945" s="24" t="n"/>
      <c r="V1945">
        <f>IF(A1945="","",MONTH(A1945))</f>
        <v/>
      </c>
      <c r="W1945">
        <f>N(W1944)+IF(AND(C1945&lt;&gt;"",T1945&lt;&gt;""),IF(C1945=WOCHE!$B$3,1,0),0)</f>
        <v/>
      </c>
      <c r="X1945">
        <f>N(X1944)+IF(AND(V1945&lt;&gt;"",T1945&lt;&gt;""),IF(V1945=MONAT!$AZ$3,1,0),0)</f>
        <v/>
      </c>
    </row>
    <row r="1946">
      <c r="A1946" s="19" t="n"/>
      <c r="B1946" s="20">
        <f>IF(A1946="","",CHOOSE(WEEKDAY(A1946,2),"Mo","Di","Mi","Do","Fr","Sa","So"))</f>
        <v/>
      </c>
      <c r="C1946" s="20">
        <f>IF(A1946="","",INT((A1946-DATE(YEAR(A1946-WEEKDAY(A1946-1)+4),1,3)+WEEKDAY(DATE(YEAR(A1946-WEEKDAY(A1946-1)+4),1,3))+5)/7))</f>
        <v/>
      </c>
      <c r="D1946" s="21" t="n"/>
      <c r="E1946" s="22" t="n"/>
      <c r="F1946" s="23" t="n"/>
      <c r="G1946" s="23" t="n"/>
      <c r="H1946" s="23" t="n"/>
      <c r="I1946" s="20">
        <f>IF(COUNT(F1946:H1946)=0,"",SUM(F1946:H1946))</f>
        <v/>
      </c>
      <c r="J1946" s="23" t="n"/>
      <c r="K1946" s="23" t="n"/>
      <c r="L1946" s="23" t="n"/>
      <c r="M1946" s="23" t="n"/>
      <c r="N1946" s="23" t="n"/>
      <c r="O1946" s="20">
        <f>IF(OR(I1946="",COUNT(J1946:N1946)=0),"",IF(SUM(J1946:N1946)=I1946,"✓","⚠ "&amp;SUM(J1946:N1946)&amp;" statt "&amp;I1946))</f>
        <v/>
      </c>
      <c r="P1946" s="21" t="n"/>
      <c r="Q1946" s="21" t="n"/>
      <c r="R1946" s="21" t="n"/>
      <c r="S1946" s="24" t="n"/>
      <c r="T1946" s="24" t="n"/>
      <c r="V1946">
        <f>IF(A1946="","",MONTH(A1946))</f>
        <v/>
      </c>
      <c r="W1946">
        <f>N(W1945)+IF(AND(C1946&lt;&gt;"",T1946&lt;&gt;""),IF(C1946=WOCHE!$B$3,1,0),0)</f>
        <v/>
      </c>
      <c r="X1946">
        <f>N(X1945)+IF(AND(V1946&lt;&gt;"",T1946&lt;&gt;""),IF(V1946=MONAT!$AZ$3,1,0),0)</f>
        <v/>
      </c>
    </row>
    <row r="1947">
      <c r="A1947" s="19" t="n"/>
      <c r="B1947" s="20">
        <f>IF(A1947="","",CHOOSE(WEEKDAY(A1947,2),"Mo","Di","Mi","Do","Fr","Sa","So"))</f>
        <v/>
      </c>
      <c r="C1947" s="20">
        <f>IF(A1947="","",INT((A1947-DATE(YEAR(A1947-WEEKDAY(A1947-1)+4),1,3)+WEEKDAY(DATE(YEAR(A1947-WEEKDAY(A1947-1)+4),1,3))+5)/7))</f>
        <v/>
      </c>
      <c r="D1947" s="21" t="n"/>
      <c r="E1947" s="22" t="n"/>
      <c r="F1947" s="23" t="n"/>
      <c r="G1947" s="23" t="n"/>
      <c r="H1947" s="23" t="n"/>
      <c r="I1947" s="20">
        <f>IF(COUNT(F1947:H1947)=0,"",SUM(F1947:H1947))</f>
        <v/>
      </c>
      <c r="J1947" s="23" t="n"/>
      <c r="K1947" s="23" t="n"/>
      <c r="L1947" s="23" t="n"/>
      <c r="M1947" s="23" t="n"/>
      <c r="N1947" s="23" t="n"/>
      <c r="O1947" s="20">
        <f>IF(OR(I1947="",COUNT(J1947:N1947)=0),"",IF(SUM(J1947:N1947)=I1947,"✓","⚠ "&amp;SUM(J1947:N1947)&amp;" statt "&amp;I1947))</f>
        <v/>
      </c>
      <c r="P1947" s="21" t="n"/>
      <c r="Q1947" s="21" t="n"/>
      <c r="R1947" s="21" t="n"/>
      <c r="S1947" s="24" t="n"/>
      <c r="T1947" s="24" t="n"/>
      <c r="V1947">
        <f>IF(A1947="","",MONTH(A1947))</f>
        <v/>
      </c>
      <c r="W1947">
        <f>N(W1946)+IF(AND(C1947&lt;&gt;"",T1947&lt;&gt;""),IF(C1947=WOCHE!$B$3,1,0),0)</f>
        <v/>
      </c>
      <c r="X1947">
        <f>N(X1946)+IF(AND(V1947&lt;&gt;"",T1947&lt;&gt;""),IF(V1947=MONAT!$AZ$3,1,0),0)</f>
        <v/>
      </c>
    </row>
    <row r="1948">
      <c r="A1948" s="19" t="n"/>
      <c r="B1948" s="20">
        <f>IF(A1948="","",CHOOSE(WEEKDAY(A1948,2),"Mo","Di","Mi","Do","Fr","Sa","So"))</f>
        <v/>
      </c>
      <c r="C1948" s="20">
        <f>IF(A1948="","",INT((A1948-DATE(YEAR(A1948-WEEKDAY(A1948-1)+4),1,3)+WEEKDAY(DATE(YEAR(A1948-WEEKDAY(A1948-1)+4),1,3))+5)/7))</f>
        <v/>
      </c>
      <c r="D1948" s="21" t="n"/>
      <c r="E1948" s="22" t="n"/>
      <c r="F1948" s="23" t="n"/>
      <c r="G1948" s="23" t="n"/>
      <c r="H1948" s="23" t="n"/>
      <c r="I1948" s="20">
        <f>IF(COUNT(F1948:H1948)=0,"",SUM(F1948:H1948))</f>
        <v/>
      </c>
      <c r="J1948" s="23" t="n"/>
      <c r="K1948" s="23" t="n"/>
      <c r="L1948" s="23" t="n"/>
      <c r="M1948" s="23" t="n"/>
      <c r="N1948" s="23" t="n"/>
      <c r="O1948" s="20">
        <f>IF(OR(I1948="",COUNT(J1948:N1948)=0),"",IF(SUM(J1948:N1948)=I1948,"✓","⚠ "&amp;SUM(J1948:N1948)&amp;" statt "&amp;I1948))</f>
        <v/>
      </c>
      <c r="P1948" s="21" t="n"/>
      <c r="Q1948" s="21" t="n"/>
      <c r="R1948" s="21" t="n"/>
      <c r="S1948" s="24" t="n"/>
      <c r="T1948" s="24" t="n"/>
      <c r="V1948">
        <f>IF(A1948="","",MONTH(A1948))</f>
        <v/>
      </c>
      <c r="W1948">
        <f>N(W1947)+IF(AND(C1948&lt;&gt;"",T1948&lt;&gt;""),IF(C1948=WOCHE!$B$3,1,0),0)</f>
        <v/>
      </c>
      <c r="X1948">
        <f>N(X1947)+IF(AND(V1948&lt;&gt;"",T1948&lt;&gt;""),IF(V1948=MONAT!$AZ$3,1,0),0)</f>
        <v/>
      </c>
    </row>
    <row r="1949">
      <c r="A1949" s="19" t="n"/>
      <c r="B1949" s="20">
        <f>IF(A1949="","",CHOOSE(WEEKDAY(A1949,2),"Mo","Di","Mi","Do","Fr","Sa","So"))</f>
        <v/>
      </c>
      <c r="C1949" s="20">
        <f>IF(A1949="","",INT((A1949-DATE(YEAR(A1949-WEEKDAY(A1949-1)+4),1,3)+WEEKDAY(DATE(YEAR(A1949-WEEKDAY(A1949-1)+4),1,3))+5)/7))</f>
        <v/>
      </c>
      <c r="D1949" s="21" t="n"/>
      <c r="E1949" s="22" t="n"/>
      <c r="F1949" s="23" t="n"/>
      <c r="G1949" s="23" t="n"/>
      <c r="H1949" s="23" t="n"/>
      <c r="I1949" s="20">
        <f>IF(COUNT(F1949:H1949)=0,"",SUM(F1949:H1949))</f>
        <v/>
      </c>
      <c r="J1949" s="23" t="n"/>
      <c r="K1949" s="23" t="n"/>
      <c r="L1949" s="23" t="n"/>
      <c r="M1949" s="23" t="n"/>
      <c r="N1949" s="23" t="n"/>
      <c r="O1949" s="20">
        <f>IF(OR(I1949="",COUNT(J1949:N1949)=0),"",IF(SUM(J1949:N1949)=I1949,"✓","⚠ "&amp;SUM(J1949:N1949)&amp;" statt "&amp;I1949))</f>
        <v/>
      </c>
      <c r="P1949" s="21" t="n"/>
      <c r="Q1949" s="21" t="n"/>
      <c r="R1949" s="21" t="n"/>
      <c r="S1949" s="24" t="n"/>
      <c r="T1949" s="24" t="n"/>
      <c r="V1949">
        <f>IF(A1949="","",MONTH(A1949))</f>
        <v/>
      </c>
      <c r="W1949">
        <f>N(W1948)+IF(AND(C1949&lt;&gt;"",T1949&lt;&gt;""),IF(C1949=WOCHE!$B$3,1,0),0)</f>
        <v/>
      </c>
      <c r="X1949">
        <f>N(X1948)+IF(AND(V1949&lt;&gt;"",T1949&lt;&gt;""),IF(V1949=MONAT!$AZ$3,1,0),0)</f>
        <v/>
      </c>
    </row>
    <row r="1950">
      <c r="A1950" s="19" t="n"/>
      <c r="B1950" s="20">
        <f>IF(A1950="","",CHOOSE(WEEKDAY(A1950,2),"Mo","Di","Mi","Do","Fr","Sa","So"))</f>
        <v/>
      </c>
      <c r="C1950" s="20">
        <f>IF(A1950="","",INT((A1950-DATE(YEAR(A1950-WEEKDAY(A1950-1)+4),1,3)+WEEKDAY(DATE(YEAR(A1950-WEEKDAY(A1950-1)+4),1,3))+5)/7))</f>
        <v/>
      </c>
      <c r="D1950" s="21" t="n"/>
      <c r="E1950" s="22" t="n"/>
      <c r="F1950" s="23" t="n"/>
      <c r="G1950" s="23" t="n"/>
      <c r="H1950" s="23" t="n"/>
      <c r="I1950" s="20">
        <f>IF(COUNT(F1950:H1950)=0,"",SUM(F1950:H1950))</f>
        <v/>
      </c>
      <c r="J1950" s="23" t="n"/>
      <c r="K1950" s="23" t="n"/>
      <c r="L1950" s="23" t="n"/>
      <c r="M1950" s="23" t="n"/>
      <c r="N1950" s="23" t="n"/>
      <c r="O1950" s="20">
        <f>IF(OR(I1950="",COUNT(J1950:N1950)=0),"",IF(SUM(J1950:N1950)=I1950,"✓","⚠ "&amp;SUM(J1950:N1950)&amp;" statt "&amp;I1950))</f>
        <v/>
      </c>
      <c r="P1950" s="21" t="n"/>
      <c r="Q1950" s="21" t="n"/>
      <c r="R1950" s="21" t="n"/>
      <c r="S1950" s="24" t="n"/>
      <c r="T1950" s="24" t="n"/>
      <c r="V1950">
        <f>IF(A1950="","",MONTH(A1950))</f>
        <v/>
      </c>
      <c r="W1950">
        <f>N(W1949)+IF(AND(C1950&lt;&gt;"",T1950&lt;&gt;""),IF(C1950=WOCHE!$B$3,1,0),0)</f>
        <v/>
      </c>
      <c r="X1950">
        <f>N(X1949)+IF(AND(V1950&lt;&gt;"",T1950&lt;&gt;""),IF(V1950=MONAT!$AZ$3,1,0),0)</f>
        <v/>
      </c>
    </row>
    <row r="1951">
      <c r="A1951" s="19" t="n"/>
      <c r="B1951" s="20">
        <f>IF(A1951="","",CHOOSE(WEEKDAY(A1951,2),"Mo","Di","Mi","Do","Fr","Sa","So"))</f>
        <v/>
      </c>
      <c r="C1951" s="20">
        <f>IF(A1951="","",INT((A1951-DATE(YEAR(A1951-WEEKDAY(A1951-1)+4),1,3)+WEEKDAY(DATE(YEAR(A1951-WEEKDAY(A1951-1)+4),1,3))+5)/7))</f>
        <v/>
      </c>
      <c r="D1951" s="21" t="n"/>
      <c r="E1951" s="22" t="n"/>
      <c r="F1951" s="23" t="n"/>
      <c r="G1951" s="23" t="n"/>
      <c r="H1951" s="23" t="n"/>
      <c r="I1951" s="20">
        <f>IF(COUNT(F1951:H1951)=0,"",SUM(F1951:H1951))</f>
        <v/>
      </c>
      <c r="J1951" s="23" t="n"/>
      <c r="K1951" s="23" t="n"/>
      <c r="L1951" s="23" t="n"/>
      <c r="M1951" s="23" t="n"/>
      <c r="N1951" s="23" t="n"/>
      <c r="O1951" s="20">
        <f>IF(OR(I1951="",COUNT(J1951:N1951)=0),"",IF(SUM(J1951:N1951)=I1951,"✓","⚠ "&amp;SUM(J1951:N1951)&amp;" statt "&amp;I1951))</f>
        <v/>
      </c>
      <c r="P1951" s="21" t="n"/>
      <c r="Q1951" s="21" t="n"/>
      <c r="R1951" s="21" t="n"/>
      <c r="S1951" s="24" t="n"/>
      <c r="T1951" s="24" t="n"/>
      <c r="V1951">
        <f>IF(A1951="","",MONTH(A1951))</f>
        <v/>
      </c>
      <c r="W1951">
        <f>N(W1950)+IF(AND(C1951&lt;&gt;"",T1951&lt;&gt;""),IF(C1951=WOCHE!$B$3,1,0),0)</f>
        <v/>
      </c>
      <c r="X1951">
        <f>N(X1950)+IF(AND(V1951&lt;&gt;"",T1951&lt;&gt;""),IF(V1951=MONAT!$AZ$3,1,0),0)</f>
        <v/>
      </c>
    </row>
    <row r="1952">
      <c r="A1952" s="19" t="n"/>
      <c r="B1952" s="20">
        <f>IF(A1952="","",CHOOSE(WEEKDAY(A1952,2),"Mo","Di","Mi","Do","Fr","Sa","So"))</f>
        <v/>
      </c>
      <c r="C1952" s="20">
        <f>IF(A1952="","",INT((A1952-DATE(YEAR(A1952-WEEKDAY(A1952-1)+4),1,3)+WEEKDAY(DATE(YEAR(A1952-WEEKDAY(A1952-1)+4),1,3))+5)/7))</f>
        <v/>
      </c>
      <c r="D1952" s="21" t="n"/>
      <c r="E1952" s="22" t="n"/>
      <c r="F1952" s="23" t="n"/>
      <c r="G1952" s="23" t="n"/>
      <c r="H1952" s="23" t="n"/>
      <c r="I1952" s="20">
        <f>IF(COUNT(F1952:H1952)=0,"",SUM(F1952:H1952))</f>
        <v/>
      </c>
      <c r="J1952" s="23" t="n"/>
      <c r="K1952" s="23" t="n"/>
      <c r="L1952" s="23" t="n"/>
      <c r="M1952" s="23" t="n"/>
      <c r="N1952" s="23" t="n"/>
      <c r="O1952" s="20">
        <f>IF(OR(I1952="",COUNT(J1952:N1952)=0),"",IF(SUM(J1952:N1952)=I1952,"✓","⚠ "&amp;SUM(J1952:N1952)&amp;" statt "&amp;I1952))</f>
        <v/>
      </c>
      <c r="P1952" s="21" t="n"/>
      <c r="Q1952" s="21" t="n"/>
      <c r="R1952" s="21" t="n"/>
      <c r="S1952" s="24" t="n"/>
      <c r="T1952" s="24" t="n"/>
      <c r="V1952">
        <f>IF(A1952="","",MONTH(A1952))</f>
        <v/>
      </c>
      <c r="W1952">
        <f>N(W1951)+IF(AND(C1952&lt;&gt;"",T1952&lt;&gt;""),IF(C1952=WOCHE!$B$3,1,0),0)</f>
        <v/>
      </c>
      <c r="X1952">
        <f>N(X1951)+IF(AND(V1952&lt;&gt;"",T1952&lt;&gt;""),IF(V1952=MONAT!$AZ$3,1,0),0)</f>
        <v/>
      </c>
    </row>
    <row r="1953">
      <c r="A1953" s="19" t="n"/>
      <c r="B1953" s="20">
        <f>IF(A1953="","",CHOOSE(WEEKDAY(A1953,2),"Mo","Di","Mi","Do","Fr","Sa","So"))</f>
        <v/>
      </c>
      <c r="C1953" s="20">
        <f>IF(A1953="","",INT((A1953-DATE(YEAR(A1953-WEEKDAY(A1953-1)+4),1,3)+WEEKDAY(DATE(YEAR(A1953-WEEKDAY(A1953-1)+4),1,3))+5)/7))</f>
        <v/>
      </c>
      <c r="D1953" s="21" t="n"/>
      <c r="E1953" s="22" t="n"/>
      <c r="F1953" s="23" t="n"/>
      <c r="G1953" s="23" t="n"/>
      <c r="H1953" s="23" t="n"/>
      <c r="I1953" s="20">
        <f>IF(COUNT(F1953:H1953)=0,"",SUM(F1953:H1953))</f>
        <v/>
      </c>
      <c r="J1953" s="23" t="n"/>
      <c r="K1953" s="23" t="n"/>
      <c r="L1953" s="23" t="n"/>
      <c r="M1953" s="23" t="n"/>
      <c r="N1953" s="23" t="n"/>
      <c r="O1953" s="20">
        <f>IF(OR(I1953="",COUNT(J1953:N1953)=0),"",IF(SUM(J1953:N1953)=I1953,"✓","⚠ "&amp;SUM(J1953:N1953)&amp;" statt "&amp;I1953))</f>
        <v/>
      </c>
      <c r="P1953" s="21" t="n"/>
      <c r="Q1953" s="21" t="n"/>
      <c r="R1953" s="21" t="n"/>
      <c r="S1953" s="24" t="n"/>
      <c r="T1953" s="24" t="n"/>
      <c r="V1953">
        <f>IF(A1953="","",MONTH(A1953))</f>
        <v/>
      </c>
      <c r="W1953">
        <f>N(W1952)+IF(AND(C1953&lt;&gt;"",T1953&lt;&gt;""),IF(C1953=WOCHE!$B$3,1,0),0)</f>
        <v/>
      </c>
      <c r="X1953">
        <f>N(X1952)+IF(AND(V1953&lt;&gt;"",T1953&lt;&gt;""),IF(V1953=MONAT!$AZ$3,1,0),0)</f>
        <v/>
      </c>
    </row>
    <row r="1954">
      <c r="A1954" s="19" t="n"/>
      <c r="B1954" s="20">
        <f>IF(A1954="","",CHOOSE(WEEKDAY(A1954,2),"Mo","Di","Mi","Do","Fr","Sa","So"))</f>
        <v/>
      </c>
      <c r="C1954" s="20">
        <f>IF(A1954="","",INT((A1954-DATE(YEAR(A1954-WEEKDAY(A1954-1)+4),1,3)+WEEKDAY(DATE(YEAR(A1954-WEEKDAY(A1954-1)+4),1,3))+5)/7))</f>
        <v/>
      </c>
      <c r="D1954" s="21" t="n"/>
      <c r="E1954" s="22" t="n"/>
      <c r="F1954" s="23" t="n"/>
      <c r="G1954" s="23" t="n"/>
      <c r="H1954" s="23" t="n"/>
      <c r="I1954" s="20">
        <f>IF(COUNT(F1954:H1954)=0,"",SUM(F1954:H1954))</f>
        <v/>
      </c>
      <c r="J1954" s="23" t="n"/>
      <c r="K1954" s="23" t="n"/>
      <c r="L1954" s="23" t="n"/>
      <c r="M1954" s="23" t="n"/>
      <c r="N1954" s="23" t="n"/>
      <c r="O1954" s="20">
        <f>IF(OR(I1954="",COUNT(J1954:N1954)=0),"",IF(SUM(J1954:N1954)=I1954,"✓","⚠ "&amp;SUM(J1954:N1954)&amp;" statt "&amp;I1954))</f>
        <v/>
      </c>
      <c r="P1954" s="21" t="n"/>
      <c r="Q1954" s="21" t="n"/>
      <c r="R1954" s="21" t="n"/>
      <c r="S1954" s="24" t="n"/>
      <c r="T1954" s="24" t="n"/>
      <c r="V1954">
        <f>IF(A1954="","",MONTH(A1954))</f>
        <v/>
      </c>
      <c r="W1954">
        <f>N(W1953)+IF(AND(C1954&lt;&gt;"",T1954&lt;&gt;""),IF(C1954=WOCHE!$B$3,1,0),0)</f>
        <v/>
      </c>
      <c r="X1954">
        <f>N(X1953)+IF(AND(V1954&lt;&gt;"",T1954&lt;&gt;""),IF(V1954=MONAT!$AZ$3,1,0),0)</f>
        <v/>
      </c>
    </row>
    <row r="1955">
      <c r="A1955" s="19" t="n"/>
      <c r="B1955" s="20">
        <f>IF(A1955="","",CHOOSE(WEEKDAY(A1955,2),"Mo","Di","Mi","Do","Fr","Sa","So"))</f>
        <v/>
      </c>
      <c r="C1955" s="20">
        <f>IF(A1955="","",INT((A1955-DATE(YEAR(A1955-WEEKDAY(A1955-1)+4),1,3)+WEEKDAY(DATE(YEAR(A1955-WEEKDAY(A1955-1)+4),1,3))+5)/7))</f>
        <v/>
      </c>
      <c r="D1955" s="21" t="n"/>
      <c r="E1955" s="22" t="n"/>
      <c r="F1955" s="23" t="n"/>
      <c r="G1955" s="23" t="n"/>
      <c r="H1955" s="23" t="n"/>
      <c r="I1955" s="20">
        <f>IF(COUNT(F1955:H1955)=0,"",SUM(F1955:H1955))</f>
        <v/>
      </c>
      <c r="J1955" s="23" t="n"/>
      <c r="K1955" s="23" t="n"/>
      <c r="L1955" s="23" t="n"/>
      <c r="M1955" s="23" t="n"/>
      <c r="N1955" s="23" t="n"/>
      <c r="O1955" s="20">
        <f>IF(OR(I1955="",COUNT(J1955:N1955)=0),"",IF(SUM(J1955:N1955)=I1955,"✓","⚠ "&amp;SUM(J1955:N1955)&amp;" statt "&amp;I1955))</f>
        <v/>
      </c>
      <c r="P1955" s="21" t="n"/>
      <c r="Q1955" s="21" t="n"/>
      <c r="R1955" s="21" t="n"/>
      <c r="S1955" s="24" t="n"/>
      <c r="T1955" s="24" t="n"/>
      <c r="V1955">
        <f>IF(A1955="","",MONTH(A1955))</f>
        <v/>
      </c>
      <c r="W1955">
        <f>N(W1954)+IF(AND(C1955&lt;&gt;"",T1955&lt;&gt;""),IF(C1955=WOCHE!$B$3,1,0),0)</f>
        <v/>
      </c>
      <c r="X1955">
        <f>N(X1954)+IF(AND(V1955&lt;&gt;"",T1955&lt;&gt;""),IF(V1955=MONAT!$AZ$3,1,0),0)</f>
        <v/>
      </c>
    </row>
    <row r="1956">
      <c r="A1956" s="19" t="n"/>
      <c r="B1956" s="20">
        <f>IF(A1956="","",CHOOSE(WEEKDAY(A1956,2),"Mo","Di","Mi","Do","Fr","Sa","So"))</f>
        <v/>
      </c>
      <c r="C1956" s="20">
        <f>IF(A1956="","",INT((A1956-DATE(YEAR(A1956-WEEKDAY(A1956-1)+4),1,3)+WEEKDAY(DATE(YEAR(A1956-WEEKDAY(A1956-1)+4),1,3))+5)/7))</f>
        <v/>
      </c>
      <c r="D1956" s="21" t="n"/>
      <c r="E1956" s="22" t="n"/>
      <c r="F1956" s="23" t="n"/>
      <c r="G1956" s="23" t="n"/>
      <c r="H1956" s="23" t="n"/>
      <c r="I1956" s="20">
        <f>IF(COUNT(F1956:H1956)=0,"",SUM(F1956:H1956))</f>
        <v/>
      </c>
      <c r="J1956" s="23" t="n"/>
      <c r="K1956" s="23" t="n"/>
      <c r="L1956" s="23" t="n"/>
      <c r="M1956" s="23" t="n"/>
      <c r="N1956" s="23" t="n"/>
      <c r="O1956" s="20">
        <f>IF(OR(I1956="",COUNT(J1956:N1956)=0),"",IF(SUM(J1956:N1956)=I1956,"✓","⚠ "&amp;SUM(J1956:N1956)&amp;" statt "&amp;I1956))</f>
        <v/>
      </c>
      <c r="P1956" s="21" t="n"/>
      <c r="Q1956" s="21" t="n"/>
      <c r="R1956" s="21" t="n"/>
      <c r="S1956" s="24" t="n"/>
      <c r="T1956" s="24" t="n"/>
      <c r="V1956">
        <f>IF(A1956="","",MONTH(A1956))</f>
        <v/>
      </c>
      <c r="W1956">
        <f>N(W1955)+IF(AND(C1956&lt;&gt;"",T1956&lt;&gt;""),IF(C1956=WOCHE!$B$3,1,0),0)</f>
        <v/>
      </c>
      <c r="X1956">
        <f>N(X1955)+IF(AND(V1956&lt;&gt;"",T1956&lt;&gt;""),IF(V1956=MONAT!$AZ$3,1,0),0)</f>
        <v/>
      </c>
    </row>
    <row r="1957">
      <c r="A1957" s="19" t="n"/>
      <c r="B1957" s="20">
        <f>IF(A1957="","",CHOOSE(WEEKDAY(A1957,2),"Mo","Di","Mi","Do","Fr","Sa","So"))</f>
        <v/>
      </c>
      <c r="C1957" s="20">
        <f>IF(A1957="","",INT((A1957-DATE(YEAR(A1957-WEEKDAY(A1957-1)+4),1,3)+WEEKDAY(DATE(YEAR(A1957-WEEKDAY(A1957-1)+4),1,3))+5)/7))</f>
        <v/>
      </c>
      <c r="D1957" s="21" t="n"/>
      <c r="E1957" s="22" t="n"/>
      <c r="F1957" s="23" t="n"/>
      <c r="G1957" s="23" t="n"/>
      <c r="H1957" s="23" t="n"/>
      <c r="I1957" s="20">
        <f>IF(COUNT(F1957:H1957)=0,"",SUM(F1957:H1957))</f>
        <v/>
      </c>
      <c r="J1957" s="23" t="n"/>
      <c r="K1957" s="23" t="n"/>
      <c r="L1957" s="23" t="n"/>
      <c r="M1957" s="23" t="n"/>
      <c r="N1957" s="23" t="n"/>
      <c r="O1957" s="20">
        <f>IF(OR(I1957="",COUNT(J1957:N1957)=0),"",IF(SUM(J1957:N1957)=I1957,"✓","⚠ "&amp;SUM(J1957:N1957)&amp;" statt "&amp;I1957))</f>
        <v/>
      </c>
      <c r="P1957" s="21" t="n"/>
      <c r="Q1957" s="21" t="n"/>
      <c r="R1957" s="21" t="n"/>
      <c r="S1957" s="24" t="n"/>
      <c r="T1957" s="24" t="n"/>
      <c r="V1957">
        <f>IF(A1957="","",MONTH(A1957))</f>
        <v/>
      </c>
      <c r="W1957">
        <f>N(W1956)+IF(AND(C1957&lt;&gt;"",T1957&lt;&gt;""),IF(C1957=WOCHE!$B$3,1,0),0)</f>
        <v/>
      </c>
      <c r="X1957">
        <f>N(X1956)+IF(AND(V1957&lt;&gt;"",T1957&lt;&gt;""),IF(V1957=MONAT!$AZ$3,1,0),0)</f>
        <v/>
      </c>
    </row>
    <row r="1958">
      <c r="A1958" s="19" t="n"/>
      <c r="B1958" s="20">
        <f>IF(A1958="","",CHOOSE(WEEKDAY(A1958,2),"Mo","Di","Mi","Do","Fr","Sa","So"))</f>
        <v/>
      </c>
      <c r="C1958" s="20">
        <f>IF(A1958="","",INT((A1958-DATE(YEAR(A1958-WEEKDAY(A1958-1)+4),1,3)+WEEKDAY(DATE(YEAR(A1958-WEEKDAY(A1958-1)+4),1,3))+5)/7))</f>
        <v/>
      </c>
      <c r="D1958" s="21" t="n"/>
      <c r="E1958" s="22" t="n"/>
      <c r="F1958" s="23" t="n"/>
      <c r="G1958" s="23" t="n"/>
      <c r="H1958" s="23" t="n"/>
      <c r="I1958" s="20">
        <f>IF(COUNT(F1958:H1958)=0,"",SUM(F1958:H1958))</f>
        <v/>
      </c>
      <c r="J1958" s="23" t="n"/>
      <c r="K1958" s="23" t="n"/>
      <c r="L1958" s="23" t="n"/>
      <c r="M1958" s="23" t="n"/>
      <c r="N1958" s="23" t="n"/>
      <c r="O1958" s="20">
        <f>IF(OR(I1958="",COUNT(J1958:N1958)=0),"",IF(SUM(J1958:N1958)=I1958,"✓","⚠ "&amp;SUM(J1958:N1958)&amp;" statt "&amp;I1958))</f>
        <v/>
      </c>
      <c r="P1958" s="21" t="n"/>
      <c r="Q1958" s="21" t="n"/>
      <c r="R1958" s="21" t="n"/>
      <c r="S1958" s="24" t="n"/>
      <c r="T1958" s="24" t="n"/>
      <c r="V1958">
        <f>IF(A1958="","",MONTH(A1958))</f>
        <v/>
      </c>
      <c r="W1958">
        <f>N(W1957)+IF(AND(C1958&lt;&gt;"",T1958&lt;&gt;""),IF(C1958=WOCHE!$B$3,1,0),0)</f>
        <v/>
      </c>
      <c r="X1958">
        <f>N(X1957)+IF(AND(V1958&lt;&gt;"",T1958&lt;&gt;""),IF(V1958=MONAT!$AZ$3,1,0),0)</f>
        <v/>
      </c>
    </row>
    <row r="1959">
      <c r="A1959" s="19" t="n"/>
      <c r="B1959" s="20">
        <f>IF(A1959="","",CHOOSE(WEEKDAY(A1959,2),"Mo","Di","Mi","Do","Fr","Sa","So"))</f>
        <v/>
      </c>
      <c r="C1959" s="20">
        <f>IF(A1959="","",INT((A1959-DATE(YEAR(A1959-WEEKDAY(A1959-1)+4),1,3)+WEEKDAY(DATE(YEAR(A1959-WEEKDAY(A1959-1)+4),1,3))+5)/7))</f>
        <v/>
      </c>
      <c r="D1959" s="21" t="n"/>
      <c r="E1959" s="22" t="n"/>
      <c r="F1959" s="23" t="n"/>
      <c r="G1959" s="23" t="n"/>
      <c r="H1959" s="23" t="n"/>
      <c r="I1959" s="20">
        <f>IF(COUNT(F1959:H1959)=0,"",SUM(F1959:H1959))</f>
        <v/>
      </c>
      <c r="J1959" s="23" t="n"/>
      <c r="K1959" s="23" t="n"/>
      <c r="L1959" s="23" t="n"/>
      <c r="M1959" s="23" t="n"/>
      <c r="N1959" s="23" t="n"/>
      <c r="O1959" s="20">
        <f>IF(OR(I1959="",COUNT(J1959:N1959)=0),"",IF(SUM(J1959:N1959)=I1959,"✓","⚠ "&amp;SUM(J1959:N1959)&amp;" statt "&amp;I1959))</f>
        <v/>
      </c>
      <c r="P1959" s="21" t="n"/>
      <c r="Q1959" s="21" t="n"/>
      <c r="R1959" s="21" t="n"/>
      <c r="S1959" s="24" t="n"/>
      <c r="T1959" s="24" t="n"/>
      <c r="V1959">
        <f>IF(A1959="","",MONTH(A1959))</f>
        <v/>
      </c>
      <c r="W1959">
        <f>N(W1958)+IF(AND(C1959&lt;&gt;"",T1959&lt;&gt;""),IF(C1959=WOCHE!$B$3,1,0),0)</f>
        <v/>
      </c>
      <c r="X1959">
        <f>N(X1958)+IF(AND(V1959&lt;&gt;"",T1959&lt;&gt;""),IF(V1959=MONAT!$AZ$3,1,0),0)</f>
        <v/>
      </c>
    </row>
    <row r="1960">
      <c r="A1960" s="19" t="n"/>
      <c r="B1960" s="20">
        <f>IF(A1960="","",CHOOSE(WEEKDAY(A1960,2),"Mo","Di","Mi","Do","Fr","Sa","So"))</f>
        <v/>
      </c>
      <c r="C1960" s="20">
        <f>IF(A1960="","",INT((A1960-DATE(YEAR(A1960-WEEKDAY(A1960-1)+4),1,3)+WEEKDAY(DATE(YEAR(A1960-WEEKDAY(A1960-1)+4),1,3))+5)/7))</f>
        <v/>
      </c>
      <c r="D1960" s="21" t="n"/>
      <c r="E1960" s="22" t="n"/>
      <c r="F1960" s="23" t="n"/>
      <c r="G1960" s="23" t="n"/>
      <c r="H1960" s="23" t="n"/>
      <c r="I1960" s="20">
        <f>IF(COUNT(F1960:H1960)=0,"",SUM(F1960:H1960))</f>
        <v/>
      </c>
      <c r="J1960" s="23" t="n"/>
      <c r="K1960" s="23" t="n"/>
      <c r="L1960" s="23" t="n"/>
      <c r="M1960" s="23" t="n"/>
      <c r="N1960" s="23" t="n"/>
      <c r="O1960" s="20">
        <f>IF(OR(I1960="",COUNT(J1960:N1960)=0),"",IF(SUM(J1960:N1960)=I1960,"✓","⚠ "&amp;SUM(J1960:N1960)&amp;" statt "&amp;I1960))</f>
        <v/>
      </c>
      <c r="P1960" s="21" t="n"/>
      <c r="Q1960" s="21" t="n"/>
      <c r="R1960" s="21" t="n"/>
      <c r="S1960" s="24" t="n"/>
      <c r="T1960" s="24" t="n"/>
      <c r="V1960">
        <f>IF(A1960="","",MONTH(A1960))</f>
        <v/>
      </c>
      <c r="W1960">
        <f>N(W1959)+IF(AND(C1960&lt;&gt;"",T1960&lt;&gt;""),IF(C1960=WOCHE!$B$3,1,0),0)</f>
        <v/>
      </c>
      <c r="X1960">
        <f>N(X1959)+IF(AND(V1960&lt;&gt;"",T1960&lt;&gt;""),IF(V1960=MONAT!$AZ$3,1,0),0)</f>
        <v/>
      </c>
    </row>
    <row r="1961">
      <c r="A1961" s="19" t="n"/>
      <c r="B1961" s="20">
        <f>IF(A1961="","",CHOOSE(WEEKDAY(A1961,2),"Mo","Di","Mi","Do","Fr","Sa","So"))</f>
        <v/>
      </c>
      <c r="C1961" s="20">
        <f>IF(A1961="","",INT((A1961-DATE(YEAR(A1961-WEEKDAY(A1961-1)+4),1,3)+WEEKDAY(DATE(YEAR(A1961-WEEKDAY(A1961-1)+4),1,3))+5)/7))</f>
        <v/>
      </c>
      <c r="D1961" s="21" t="n"/>
      <c r="E1961" s="22" t="n"/>
      <c r="F1961" s="23" t="n"/>
      <c r="G1961" s="23" t="n"/>
      <c r="H1961" s="23" t="n"/>
      <c r="I1961" s="20">
        <f>IF(COUNT(F1961:H1961)=0,"",SUM(F1961:H1961))</f>
        <v/>
      </c>
      <c r="J1961" s="23" t="n"/>
      <c r="K1961" s="23" t="n"/>
      <c r="L1961" s="23" t="n"/>
      <c r="M1961" s="23" t="n"/>
      <c r="N1961" s="23" t="n"/>
      <c r="O1961" s="20">
        <f>IF(OR(I1961="",COUNT(J1961:N1961)=0),"",IF(SUM(J1961:N1961)=I1961,"✓","⚠ "&amp;SUM(J1961:N1961)&amp;" statt "&amp;I1961))</f>
        <v/>
      </c>
      <c r="P1961" s="21" t="n"/>
      <c r="Q1961" s="21" t="n"/>
      <c r="R1961" s="21" t="n"/>
      <c r="S1961" s="24" t="n"/>
      <c r="T1961" s="24" t="n"/>
      <c r="V1961">
        <f>IF(A1961="","",MONTH(A1961))</f>
        <v/>
      </c>
      <c r="W1961">
        <f>N(W1960)+IF(AND(C1961&lt;&gt;"",T1961&lt;&gt;""),IF(C1961=WOCHE!$B$3,1,0),0)</f>
        <v/>
      </c>
      <c r="X1961">
        <f>N(X1960)+IF(AND(V1961&lt;&gt;"",T1961&lt;&gt;""),IF(V1961=MONAT!$AZ$3,1,0),0)</f>
        <v/>
      </c>
    </row>
    <row r="1962">
      <c r="A1962" s="19" t="n"/>
      <c r="B1962" s="20">
        <f>IF(A1962="","",CHOOSE(WEEKDAY(A1962,2),"Mo","Di","Mi","Do","Fr","Sa","So"))</f>
        <v/>
      </c>
      <c r="C1962" s="20">
        <f>IF(A1962="","",INT((A1962-DATE(YEAR(A1962-WEEKDAY(A1962-1)+4),1,3)+WEEKDAY(DATE(YEAR(A1962-WEEKDAY(A1962-1)+4),1,3))+5)/7))</f>
        <v/>
      </c>
      <c r="D1962" s="21" t="n"/>
      <c r="E1962" s="22" t="n"/>
      <c r="F1962" s="23" t="n"/>
      <c r="G1962" s="23" t="n"/>
      <c r="H1962" s="23" t="n"/>
      <c r="I1962" s="20">
        <f>IF(COUNT(F1962:H1962)=0,"",SUM(F1962:H1962))</f>
        <v/>
      </c>
      <c r="J1962" s="23" t="n"/>
      <c r="K1962" s="23" t="n"/>
      <c r="L1962" s="23" t="n"/>
      <c r="M1962" s="23" t="n"/>
      <c r="N1962" s="23" t="n"/>
      <c r="O1962" s="20">
        <f>IF(OR(I1962="",COUNT(J1962:N1962)=0),"",IF(SUM(J1962:N1962)=I1962,"✓","⚠ "&amp;SUM(J1962:N1962)&amp;" statt "&amp;I1962))</f>
        <v/>
      </c>
      <c r="P1962" s="21" t="n"/>
      <c r="Q1962" s="21" t="n"/>
      <c r="R1962" s="21" t="n"/>
      <c r="S1962" s="24" t="n"/>
      <c r="T1962" s="24" t="n"/>
      <c r="V1962">
        <f>IF(A1962="","",MONTH(A1962))</f>
        <v/>
      </c>
      <c r="W1962">
        <f>N(W1961)+IF(AND(C1962&lt;&gt;"",T1962&lt;&gt;""),IF(C1962=WOCHE!$B$3,1,0),0)</f>
        <v/>
      </c>
      <c r="X1962">
        <f>N(X1961)+IF(AND(V1962&lt;&gt;"",T1962&lt;&gt;""),IF(V1962=MONAT!$AZ$3,1,0),0)</f>
        <v/>
      </c>
    </row>
    <row r="1963">
      <c r="A1963" s="19" t="n"/>
      <c r="B1963" s="20">
        <f>IF(A1963="","",CHOOSE(WEEKDAY(A1963,2),"Mo","Di","Mi","Do","Fr","Sa","So"))</f>
        <v/>
      </c>
      <c r="C1963" s="20">
        <f>IF(A1963="","",INT((A1963-DATE(YEAR(A1963-WEEKDAY(A1963-1)+4),1,3)+WEEKDAY(DATE(YEAR(A1963-WEEKDAY(A1963-1)+4),1,3))+5)/7))</f>
        <v/>
      </c>
      <c r="D1963" s="21" t="n"/>
      <c r="E1963" s="22" t="n"/>
      <c r="F1963" s="23" t="n"/>
      <c r="G1963" s="23" t="n"/>
      <c r="H1963" s="23" t="n"/>
      <c r="I1963" s="20">
        <f>IF(COUNT(F1963:H1963)=0,"",SUM(F1963:H1963))</f>
        <v/>
      </c>
      <c r="J1963" s="23" t="n"/>
      <c r="K1963" s="23" t="n"/>
      <c r="L1963" s="23" t="n"/>
      <c r="M1963" s="23" t="n"/>
      <c r="N1963" s="23" t="n"/>
      <c r="O1963" s="20">
        <f>IF(OR(I1963="",COUNT(J1963:N1963)=0),"",IF(SUM(J1963:N1963)=I1963,"✓","⚠ "&amp;SUM(J1963:N1963)&amp;" statt "&amp;I1963))</f>
        <v/>
      </c>
      <c r="P1963" s="21" t="n"/>
      <c r="Q1963" s="21" t="n"/>
      <c r="R1963" s="21" t="n"/>
      <c r="S1963" s="24" t="n"/>
      <c r="T1963" s="24" t="n"/>
      <c r="V1963">
        <f>IF(A1963="","",MONTH(A1963))</f>
        <v/>
      </c>
      <c r="W1963">
        <f>N(W1962)+IF(AND(C1963&lt;&gt;"",T1963&lt;&gt;""),IF(C1963=WOCHE!$B$3,1,0),0)</f>
        <v/>
      </c>
      <c r="X1963">
        <f>N(X1962)+IF(AND(V1963&lt;&gt;"",T1963&lt;&gt;""),IF(V1963=MONAT!$AZ$3,1,0),0)</f>
        <v/>
      </c>
    </row>
    <row r="1964">
      <c r="A1964" s="19" t="n"/>
      <c r="B1964" s="20">
        <f>IF(A1964="","",CHOOSE(WEEKDAY(A1964,2),"Mo","Di","Mi","Do","Fr","Sa","So"))</f>
        <v/>
      </c>
      <c r="C1964" s="20">
        <f>IF(A1964="","",INT((A1964-DATE(YEAR(A1964-WEEKDAY(A1964-1)+4),1,3)+WEEKDAY(DATE(YEAR(A1964-WEEKDAY(A1964-1)+4),1,3))+5)/7))</f>
        <v/>
      </c>
      <c r="D1964" s="21" t="n"/>
      <c r="E1964" s="22" t="n"/>
      <c r="F1964" s="23" t="n"/>
      <c r="G1964" s="23" t="n"/>
      <c r="H1964" s="23" t="n"/>
      <c r="I1964" s="20">
        <f>IF(COUNT(F1964:H1964)=0,"",SUM(F1964:H1964))</f>
        <v/>
      </c>
      <c r="J1964" s="23" t="n"/>
      <c r="K1964" s="23" t="n"/>
      <c r="L1964" s="23" t="n"/>
      <c r="M1964" s="23" t="n"/>
      <c r="N1964" s="23" t="n"/>
      <c r="O1964" s="20">
        <f>IF(OR(I1964="",COUNT(J1964:N1964)=0),"",IF(SUM(J1964:N1964)=I1964,"✓","⚠ "&amp;SUM(J1964:N1964)&amp;" statt "&amp;I1964))</f>
        <v/>
      </c>
      <c r="P1964" s="21" t="n"/>
      <c r="Q1964" s="21" t="n"/>
      <c r="R1964" s="21" t="n"/>
      <c r="S1964" s="24" t="n"/>
      <c r="T1964" s="24" t="n"/>
      <c r="V1964">
        <f>IF(A1964="","",MONTH(A1964))</f>
        <v/>
      </c>
      <c r="W1964">
        <f>N(W1963)+IF(AND(C1964&lt;&gt;"",T1964&lt;&gt;""),IF(C1964=WOCHE!$B$3,1,0),0)</f>
        <v/>
      </c>
      <c r="X1964">
        <f>N(X1963)+IF(AND(V1964&lt;&gt;"",T1964&lt;&gt;""),IF(V1964=MONAT!$AZ$3,1,0),0)</f>
        <v/>
      </c>
    </row>
    <row r="1965">
      <c r="A1965" s="19" t="n"/>
      <c r="B1965" s="20">
        <f>IF(A1965="","",CHOOSE(WEEKDAY(A1965,2),"Mo","Di","Mi","Do","Fr","Sa","So"))</f>
        <v/>
      </c>
      <c r="C1965" s="20">
        <f>IF(A1965="","",INT((A1965-DATE(YEAR(A1965-WEEKDAY(A1965-1)+4),1,3)+WEEKDAY(DATE(YEAR(A1965-WEEKDAY(A1965-1)+4),1,3))+5)/7))</f>
        <v/>
      </c>
      <c r="D1965" s="21" t="n"/>
      <c r="E1965" s="22" t="n"/>
      <c r="F1965" s="23" t="n"/>
      <c r="G1965" s="23" t="n"/>
      <c r="H1965" s="23" t="n"/>
      <c r="I1965" s="20">
        <f>IF(COUNT(F1965:H1965)=0,"",SUM(F1965:H1965))</f>
        <v/>
      </c>
      <c r="J1965" s="23" t="n"/>
      <c r="K1965" s="23" t="n"/>
      <c r="L1965" s="23" t="n"/>
      <c r="M1965" s="23" t="n"/>
      <c r="N1965" s="23" t="n"/>
      <c r="O1965" s="20">
        <f>IF(OR(I1965="",COUNT(J1965:N1965)=0),"",IF(SUM(J1965:N1965)=I1965,"✓","⚠ "&amp;SUM(J1965:N1965)&amp;" statt "&amp;I1965))</f>
        <v/>
      </c>
      <c r="P1965" s="21" t="n"/>
      <c r="Q1965" s="21" t="n"/>
      <c r="R1965" s="21" t="n"/>
      <c r="S1965" s="24" t="n"/>
      <c r="T1965" s="24" t="n"/>
      <c r="V1965">
        <f>IF(A1965="","",MONTH(A1965))</f>
        <v/>
      </c>
      <c r="W1965">
        <f>N(W1964)+IF(AND(C1965&lt;&gt;"",T1965&lt;&gt;""),IF(C1965=WOCHE!$B$3,1,0),0)</f>
        <v/>
      </c>
      <c r="X1965">
        <f>N(X1964)+IF(AND(V1965&lt;&gt;"",T1965&lt;&gt;""),IF(V1965=MONAT!$AZ$3,1,0),0)</f>
        <v/>
      </c>
    </row>
    <row r="1966">
      <c r="A1966" s="19" t="n"/>
      <c r="B1966" s="20">
        <f>IF(A1966="","",CHOOSE(WEEKDAY(A1966,2),"Mo","Di","Mi","Do","Fr","Sa","So"))</f>
        <v/>
      </c>
      <c r="C1966" s="20">
        <f>IF(A1966="","",INT((A1966-DATE(YEAR(A1966-WEEKDAY(A1966-1)+4),1,3)+WEEKDAY(DATE(YEAR(A1966-WEEKDAY(A1966-1)+4),1,3))+5)/7))</f>
        <v/>
      </c>
      <c r="D1966" s="21" t="n"/>
      <c r="E1966" s="22" t="n"/>
      <c r="F1966" s="23" t="n"/>
      <c r="G1966" s="23" t="n"/>
      <c r="H1966" s="23" t="n"/>
      <c r="I1966" s="20">
        <f>IF(COUNT(F1966:H1966)=0,"",SUM(F1966:H1966))</f>
        <v/>
      </c>
      <c r="J1966" s="23" t="n"/>
      <c r="K1966" s="23" t="n"/>
      <c r="L1966" s="23" t="n"/>
      <c r="M1966" s="23" t="n"/>
      <c r="N1966" s="23" t="n"/>
      <c r="O1966" s="20">
        <f>IF(OR(I1966="",COUNT(J1966:N1966)=0),"",IF(SUM(J1966:N1966)=I1966,"✓","⚠ "&amp;SUM(J1966:N1966)&amp;" statt "&amp;I1966))</f>
        <v/>
      </c>
      <c r="P1966" s="21" t="n"/>
      <c r="Q1966" s="21" t="n"/>
      <c r="R1966" s="21" t="n"/>
      <c r="S1966" s="24" t="n"/>
      <c r="T1966" s="24" t="n"/>
      <c r="V1966">
        <f>IF(A1966="","",MONTH(A1966))</f>
        <v/>
      </c>
      <c r="W1966">
        <f>N(W1965)+IF(AND(C1966&lt;&gt;"",T1966&lt;&gt;""),IF(C1966=WOCHE!$B$3,1,0),0)</f>
        <v/>
      </c>
      <c r="X1966">
        <f>N(X1965)+IF(AND(V1966&lt;&gt;"",T1966&lt;&gt;""),IF(V1966=MONAT!$AZ$3,1,0),0)</f>
        <v/>
      </c>
    </row>
    <row r="1967">
      <c r="A1967" s="19" t="n"/>
      <c r="B1967" s="20">
        <f>IF(A1967="","",CHOOSE(WEEKDAY(A1967,2),"Mo","Di","Mi","Do","Fr","Sa","So"))</f>
        <v/>
      </c>
      <c r="C1967" s="20">
        <f>IF(A1967="","",INT((A1967-DATE(YEAR(A1967-WEEKDAY(A1967-1)+4),1,3)+WEEKDAY(DATE(YEAR(A1967-WEEKDAY(A1967-1)+4),1,3))+5)/7))</f>
        <v/>
      </c>
      <c r="D1967" s="21" t="n"/>
      <c r="E1967" s="22" t="n"/>
      <c r="F1967" s="23" t="n"/>
      <c r="G1967" s="23" t="n"/>
      <c r="H1967" s="23" t="n"/>
      <c r="I1967" s="20">
        <f>IF(COUNT(F1967:H1967)=0,"",SUM(F1967:H1967))</f>
        <v/>
      </c>
      <c r="J1967" s="23" t="n"/>
      <c r="K1967" s="23" t="n"/>
      <c r="L1967" s="23" t="n"/>
      <c r="M1967" s="23" t="n"/>
      <c r="N1967" s="23" t="n"/>
      <c r="O1967" s="20">
        <f>IF(OR(I1967="",COUNT(J1967:N1967)=0),"",IF(SUM(J1967:N1967)=I1967,"✓","⚠ "&amp;SUM(J1967:N1967)&amp;" statt "&amp;I1967))</f>
        <v/>
      </c>
      <c r="P1967" s="21" t="n"/>
      <c r="Q1967" s="21" t="n"/>
      <c r="R1967" s="21" t="n"/>
      <c r="S1967" s="24" t="n"/>
      <c r="T1967" s="24" t="n"/>
      <c r="V1967">
        <f>IF(A1967="","",MONTH(A1967))</f>
        <v/>
      </c>
      <c r="W1967">
        <f>N(W1966)+IF(AND(C1967&lt;&gt;"",T1967&lt;&gt;""),IF(C1967=WOCHE!$B$3,1,0),0)</f>
        <v/>
      </c>
      <c r="X1967">
        <f>N(X1966)+IF(AND(V1967&lt;&gt;"",T1967&lt;&gt;""),IF(V1967=MONAT!$AZ$3,1,0),0)</f>
        <v/>
      </c>
    </row>
    <row r="1968">
      <c r="A1968" s="19" t="n"/>
      <c r="B1968" s="20">
        <f>IF(A1968="","",CHOOSE(WEEKDAY(A1968,2),"Mo","Di","Mi","Do","Fr","Sa","So"))</f>
        <v/>
      </c>
      <c r="C1968" s="20">
        <f>IF(A1968="","",INT((A1968-DATE(YEAR(A1968-WEEKDAY(A1968-1)+4),1,3)+WEEKDAY(DATE(YEAR(A1968-WEEKDAY(A1968-1)+4),1,3))+5)/7))</f>
        <v/>
      </c>
      <c r="D1968" s="21" t="n"/>
      <c r="E1968" s="22" t="n"/>
      <c r="F1968" s="23" t="n"/>
      <c r="G1968" s="23" t="n"/>
      <c r="H1968" s="23" t="n"/>
      <c r="I1968" s="20">
        <f>IF(COUNT(F1968:H1968)=0,"",SUM(F1968:H1968))</f>
        <v/>
      </c>
      <c r="J1968" s="23" t="n"/>
      <c r="K1968" s="23" t="n"/>
      <c r="L1968" s="23" t="n"/>
      <c r="M1968" s="23" t="n"/>
      <c r="N1968" s="23" t="n"/>
      <c r="O1968" s="20">
        <f>IF(OR(I1968="",COUNT(J1968:N1968)=0),"",IF(SUM(J1968:N1968)=I1968,"✓","⚠ "&amp;SUM(J1968:N1968)&amp;" statt "&amp;I1968))</f>
        <v/>
      </c>
      <c r="P1968" s="21" t="n"/>
      <c r="Q1968" s="21" t="n"/>
      <c r="R1968" s="21" t="n"/>
      <c r="S1968" s="24" t="n"/>
      <c r="T1968" s="24" t="n"/>
      <c r="V1968">
        <f>IF(A1968="","",MONTH(A1968))</f>
        <v/>
      </c>
      <c r="W1968">
        <f>N(W1967)+IF(AND(C1968&lt;&gt;"",T1968&lt;&gt;""),IF(C1968=WOCHE!$B$3,1,0),0)</f>
        <v/>
      </c>
      <c r="X1968">
        <f>N(X1967)+IF(AND(V1968&lt;&gt;"",T1968&lt;&gt;""),IF(V1968=MONAT!$AZ$3,1,0),0)</f>
        <v/>
      </c>
    </row>
    <row r="1969">
      <c r="A1969" s="19" t="n"/>
      <c r="B1969" s="20">
        <f>IF(A1969="","",CHOOSE(WEEKDAY(A1969,2),"Mo","Di","Mi","Do","Fr","Sa","So"))</f>
        <v/>
      </c>
      <c r="C1969" s="20">
        <f>IF(A1969="","",INT((A1969-DATE(YEAR(A1969-WEEKDAY(A1969-1)+4),1,3)+WEEKDAY(DATE(YEAR(A1969-WEEKDAY(A1969-1)+4),1,3))+5)/7))</f>
        <v/>
      </c>
      <c r="D1969" s="21" t="n"/>
      <c r="E1969" s="22" t="n"/>
      <c r="F1969" s="23" t="n"/>
      <c r="G1969" s="23" t="n"/>
      <c r="H1969" s="23" t="n"/>
      <c r="I1969" s="20">
        <f>IF(COUNT(F1969:H1969)=0,"",SUM(F1969:H1969))</f>
        <v/>
      </c>
      <c r="J1969" s="23" t="n"/>
      <c r="K1969" s="23" t="n"/>
      <c r="L1969" s="23" t="n"/>
      <c r="M1969" s="23" t="n"/>
      <c r="N1969" s="23" t="n"/>
      <c r="O1969" s="20">
        <f>IF(OR(I1969="",COUNT(J1969:N1969)=0),"",IF(SUM(J1969:N1969)=I1969,"✓","⚠ "&amp;SUM(J1969:N1969)&amp;" statt "&amp;I1969))</f>
        <v/>
      </c>
      <c r="P1969" s="21" t="n"/>
      <c r="Q1969" s="21" t="n"/>
      <c r="R1969" s="21" t="n"/>
      <c r="S1969" s="24" t="n"/>
      <c r="T1969" s="24" t="n"/>
      <c r="V1969">
        <f>IF(A1969="","",MONTH(A1969))</f>
        <v/>
      </c>
      <c r="W1969">
        <f>N(W1968)+IF(AND(C1969&lt;&gt;"",T1969&lt;&gt;""),IF(C1969=WOCHE!$B$3,1,0),0)</f>
        <v/>
      </c>
      <c r="X1969">
        <f>N(X1968)+IF(AND(V1969&lt;&gt;"",T1969&lt;&gt;""),IF(V1969=MONAT!$AZ$3,1,0),0)</f>
        <v/>
      </c>
    </row>
    <row r="1970">
      <c r="A1970" s="19" t="n"/>
      <c r="B1970" s="20">
        <f>IF(A1970="","",CHOOSE(WEEKDAY(A1970,2),"Mo","Di","Mi","Do","Fr","Sa","So"))</f>
        <v/>
      </c>
      <c r="C1970" s="20">
        <f>IF(A1970="","",INT((A1970-DATE(YEAR(A1970-WEEKDAY(A1970-1)+4),1,3)+WEEKDAY(DATE(YEAR(A1970-WEEKDAY(A1970-1)+4),1,3))+5)/7))</f>
        <v/>
      </c>
      <c r="D1970" s="21" t="n"/>
      <c r="E1970" s="22" t="n"/>
      <c r="F1970" s="23" t="n"/>
      <c r="G1970" s="23" t="n"/>
      <c r="H1970" s="23" t="n"/>
      <c r="I1970" s="20">
        <f>IF(COUNT(F1970:H1970)=0,"",SUM(F1970:H1970))</f>
        <v/>
      </c>
      <c r="J1970" s="23" t="n"/>
      <c r="K1970" s="23" t="n"/>
      <c r="L1970" s="23" t="n"/>
      <c r="M1970" s="23" t="n"/>
      <c r="N1970" s="23" t="n"/>
      <c r="O1970" s="20">
        <f>IF(OR(I1970="",COUNT(J1970:N1970)=0),"",IF(SUM(J1970:N1970)=I1970,"✓","⚠ "&amp;SUM(J1970:N1970)&amp;" statt "&amp;I1970))</f>
        <v/>
      </c>
      <c r="P1970" s="21" t="n"/>
      <c r="Q1970" s="21" t="n"/>
      <c r="R1970" s="21" t="n"/>
      <c r="S1970" s="24" t="n"/>
      <c r="T1970" s="24" t="n"/>
      <c r="V1970">
        <f>IF(A1970="","",MONTH(A1970))</f>
        <v/>
      </c>
      <c r="W1970">
        <f>N(W1969)+IF(AND(C1970&lt;&gt;"",T1970&lt;&gt;""),IF(C1970=WOCHE!$B$3,1,0),0)</f>
        <v/>
      </c>
      <c r="X1970">
        <f>N(X1969)+IF(AND(V1970&lt;&gt;"",T1970&lt;&gt;""),IF(V1970=MONAT!$AZ$3,1,0),0)</f>
        <v/>
      </c>
    </row>
    <row r="1971">
      <c r="A1971" s="19" t="n"/>
      <c r="B1971" s="20">
        <f>IF(A1971="","",CHOOSE(WEEKDAY(A1971,2),"Mo","Di","Mi","Do","Fr","Sa","So"))</f>
        <v/>
      </c>
      <c r="C1971" s="20">
        <f>IF(A1971="","",INT((A1971-DATE(YEAR(A1971-WEEKDAY(A1971-1)+4),1,3)+WEEKDAY(DATE(YEAR(A1971-WEEKDAY(A1971-1)+4),1,3))+5)/7))</f>
        <v/>
      </c>
      <c r="D1971" s="21" t="n"/>
      <c r="E1971" s="22" t="n"/>
      <c r="F1971" s="23" t="n"/>
      <c r="G1971" s="23" t="n"/>
      <c r="H1971" s="23" t="n"/>
      <c r="I1971" s="20">
        <f>IF(COUNT(F1971:H1971)=0,"",SUM(F1971:H1971))</f>
        <v/>
      </c>
      <c r="J1971" s="23" t="n"/>
      <c r="K1971" s="23" t="n"/>
      <c r="L1971" s="23" t="n"/>
      <c r="M1971" s="23" t="n"/>
      <c r="N1971" s="23" t="n"/>
      <c r="O1971" s="20">
        <f>IF(OR(I1971="",COUNT(J1971:N1971)=0),"",IF(SUM(J1971:N1971)=I1971,"✓","⚠ "&amp;SUM(J1971:N1971)&amp;" statt "&amp;I1971))</f>
        <v/>
      </c>
      <c r="P1971" s="21" t="n"/>
      <c r="Q1971" s="21" t="n"/>
      <c r="R1971" s="21" t="n"/>
      <c r="S1971" s="24" t="n"/>
      <c r="T1971" s="24" t="n"/>
      <c r="V1971">
        <f>IF(A1971="","",MONTH(A1971))</f>
        <v/>
      </c>
      <c r="W1971">
        <f>N(W1970)+IF(AND(C1971&lt;&gt;"",T1971&lt;&gt;""),IF(C1971=WOCHE!$B$3,1,0),0)</f>
        <v/>
      </c>
      <c r="X1971">
        <f>N(X1970)+IF(AND(V1971&lt;&gt;"",T1971&lt;&gt;""),IF(V1971=MONAT!$AZ$3,1,0),0)</f>
        <v/>
      </c>
    </row>
    <row r="1972">
      <c r="A1972" s="19" t="n"/>
      <c r="B1972" s="20">
        <f>IF(A1972="","",CHOOSE(WEEKDAY(A1972,2),"Mo","Di","Mi","Do","Fr","Sa","So"))</f>
        <v/>
      </c>
      <c r="C1972" s="20">
        <f>IF(A1972="","",INT((A1972-DATE(YEAR(A1972-WEEKDAY(A1972-1)+4),1,3)+WEEKDAY(DATE(YEAR(A1972-WEEKDAY(A1972-1)+4),1,3))+5)/7))</f>
        <v/>
      </c>
      <c r="D1972" s="21" t="n"/>
      <c r="E1972" s="22" t="n"/>
      <c r="F1972" s="23" t="n"/>
      <c r="G1972" s="23" t="n"/>
      <c r="H1972" s="23" t="n"/>
      <c r="I1972" s="20">
        <f>IF(COUNT(F1972:H1972)=0,"",SUM(F1972:H1972))</f>
        <v/>
      </c>
      <c r="J1972" s="23" t="n"/>
      <c r="K1972" s="23" t="n"/>
      <c r="L1972" s="23" t="n"/>
      <c r="M1972" s="23" t="n"/>
      <c r="N1972" s="23" t="n"/>
      <c r="O1972" s="20">
        <f>IF(OR(I1972="",COUNT(J1972:N1972)=0),"",IF(SUM(J1972:N1972)=I1972,"✓","⚠ "&amp;SUM(J1972:N1972)&amp;" statt "&amp;I1972))</f>
        <v/>
      </c>
      <c r="P1972" s="21" t="n"/>
      <c r="Q1972" s="21" t="n"/>
      <c r="R1972" s="21" t="n"/>
      <c r="S1972" s="24" t="n"/>
      <c r="T1972" s="24" t="n"/>
      <c r="V1972">
        <f>IF(A1972="","",MONTH(A1972))</f>
        <v/>
      </c>
      <c r="W1972">
        <f>N(W1971)+IF(AND(C1972&lt;&gt;"",T1972&lt;&gt;""),IF(C1972=WOCHE!$B$3,1,0),0)</f>
        <v/>
      </c>
      <c r="X1972">
        <f>N(X1971)+IF(AND(V1972&lt;&gt;"",T1972&lt;&gt;""),IF(V1972=MONAT!$AZ$3,1,0),0)</f>
        <v/>
      </c>
    </row>
    <row r="1973">
      <c r="A1973" s="19" t="n"/>
      <c r="B1973" s="20">
        <f>IF(A1973="","",CHOOSE(WEEKDAY(A1973,2),"Mo","Di","Mi","Do","Fr","Sa","So"))</f>
        <v/>
      </c>
      <c r="C1973" s="20">
        <f>IF(A1973="","",INT((A1973-DATE(YEAR(A1973-WEEKDAY(A1973-1)+4),1,3)+WEEKDAY(DATE(YEAR(A1973-WEEKDAY(A1973-1)+4),1,3))+5)/7))</f>
        <v/>
      </c>
      <c r="D1973" s="21" t="n"/>
      <c r="E1973" s="22" t="n"/>
      <c r="F1973" s="23" t="n"/>
      <c r="G1973" s="23" t="n"/>
      <c r="H1973" s="23" t="n"/>
      <c r="I1973" s="20">
        <f>IF(COUNT(F1973:H1973)=0,"",SUM(F1973:H1973))</f>
        <v/>
      </c>
      <c r="J1973" s="23" t="n"/>
      <c r="K1973" s="23" t="n"/>
      <c r="L1973" s="23" t="n"/>
      <c r="M1973" s="23" t="n"/>
      <c r="N1973" s="23" t="n"/>
      <c r="O1973" s="20">
        <f>IF(OR(I1973="",COUNT(J1973:N1973)=0),"",IF(SUM(J1973:N1973)=I1973,"✓","⚠ "&amp;SUM(J1973:N1973)&amp;" statt "&amp;I1973))</f>
        <v/>
      </c>
      <c r="P1973" s="21" t="n"/>
      <c r="Q1973" s="21" t="n"/>
      <c r="R1973" s="21" t="n"/>
      <c r="S1973" s="24" t="n"/>
      <c r="T1973" s="24" t="n"/>
      <c r="V1973">
        <f>IF(A1973="","",MONTH(A1973))</f>
        <v/>
      </c>
      <c r="W1973">
        <f>N(W1972)+IF(AND(C1973&lt;&gt;"",T1973&lt;&gt;""),IF(C1973=WOCHE!$B$3,1,0),0)</f>
        <v/>
      </c>
      <c r="X1973">
        <f>N(X1972)+IF(AND(V1973&lt;&gt;"",T1973&lt;&gt;""),IF(V1973=MONAT!$AZ$3,1,0),0)</f>
        <v/>
      </c>
    </row>
    <row r="1974">
      <c r="A1974" s="19" t="n"/>
      <c r="B1974" s="20">
        <f>IF(A1974="","",CHOOSE(WEEKDAY(A1974,2),"Mo","Di","Mi","Do","Fr","Sa","So"))</f>
        <v/>
      </c>
      <c r="C1974" s="20">
        <f>IF(A1974="","",INT((A1974-DATE(YEAR(A1974-WEEKDAY(A1974-1)+4),1,3)+WEEKDAY(DATE(YEAR(A1974-WEEKDAY(A1974-1)+4),1,3))+5)/7))</f>
        <v/>
      </c>
      <c r="D1974" s="21" t="n"/>
      <c r="E1974" s="22" t="n"/>
      <c r="F1974" s="23" t="n"/>
      <c r="G1974" s="23" t="n"/>
      <c r="H1974" s="23" t="n"/>
      <c r="I1974" s="20">
        <f>IF(COUNT(F1974:H1974)=0,"",SUM(F1974:H1974))</f>
        <v/>
      </c>
      <c r="J1974" s="23" t="n"/>
      <c r="K1974" s="23" t="n"/>
      <c r="L1974" s="23" t="n"/>
      <c r="M1974" s="23" t="n"/>
      <c r="N1974" s="23" t="n"/>
      <c r="O1974" s="20">
        <f>IF(OR(I1974="",COUNT(J1974:N1974)=0),"",IF(SUM(J1974:N1974)=I1974,"✓","⚠ "&amp;SUM(J1974:N1974)&amp;" statt "&amp;I1974))</f>
        <v/>
      </c>
      <c r="P1974" s="21" t="n"/>
      <c r="Q1974" s="21" t="n"/>
      <c r="R1974" s="21" t="n"/>
      <c r="S1974" s="24" t="n"/>
      <c r="T1974" s="24" t="n"/>
      <c r="V1974">
        <f>IF(A1974="","",MONTH(A1974))</f>
        <v/>
      </c>
      <c r="W1974">
        <f>N(W1973)+IF(AND(C1974&lt;&gt;"",T1974&lt;&gt;""),IF(C1974=WOCHE!$B$3,1,0),0)</f>
        <v/>
      </c>
      <c r="X1974">
        <f>N(X1973)+IF(AND(V1974&lt;&gt;"",T1974&lt;&gt;""),IF(V1974=MONAT!$AZ$3,1,0),0)</f>
        <v/>
      </c>
    </row>
    <row r="1975">
      <c r="A1975" s="19" t="n"/>
      <c r="B1975" s="20">
        <f>IF(A1975="","",CHOOSE(WEEKDAY(A1975,2),"Mo","Di","Mi","Do","Fr","Sa","So"))</f>
        <v/>
      </c>
      <c r="C1975" s="20">
        <f>IF(A1975="","",INT((A1975-DATE(YEAR(A1975-WEEKDAY(A1975-1)+4),1,3)+WEEKDAY(DATE(YEAR(A1975-WEEKDAY(A1975-1)+4),1,3))+5)/7))</f>
        <v/>
      </c>
      <c r="D1975" s="21" t="n"/>
      <c r="E1975" s="22" t="n"/>
      <c r="F1975" s="23" t="n"/>
      <c r="G1975" s="23" t="n"/>
      <c r="H1975" s="23" t="n"/>
      <c r="I1975" s="20">
        <f>IF(COUNT(F1975:H1975)=0,"",SUM(F1975:H1975))</f>
        <v/>
      </c>
      <c r="J1975" s="23" t="n"/>
      <c r="K1975" s="23" t="n"/>
      <c r="L1975" s="23" t="n"/>
      <c r="M1975" s="23" t="n"/>
      <c r="N1975" s="23" t="n"/>
      <c r="O1975" s="20">
        <f>IF(OR(I1975="",COUNT(J1975:N1975)=0),"",IF(SUM(J1975:N1975)=I1975,"✓","⚠ "&amp;SUM(J1975:N1975)&amp;" statt "&amp;I1975))</f>
        <v/>
      </c>
      <c r="P1975" s="21" t="n"/>
      <c r="Q1975" s="21" t="n"/>
      <c r="R1975" s="21" t="n"/>
      <c r="S1975" s="24" t="n"/>
      <c r="T1975" s="24" t="n"/>
      <c r="V1975">
        <f>IF(A1975="","",MONTH(A1975))</f>
        <v/>
      </c>
      <c r="W1975">
        <f>N(W1974)+IF(AND(C1975&lt;&gt;"",T1975&lt;&gt;""),IF(C1975=WOCHE!$B$3,1,0),0)</f>
        <v/>
      </c>
      <c r="X1975">
        <f>N(X1974)+IF(AND(V1975&lt;&gt;"",T1975&lt;&gt;""),IF(V1975=MONAT!$AZ$3,1,0),0)</f>
        <v/>
      </c>
    </row>
    <row r="1976">
      <c r="A1976" s="19" t="n"/>
      <c r="B1976" s="20">
        <f>IF(A1976="","",CHOOSE(WEEKDAY(A1976,2),"Mo","Di","Mi","Do","Fr","Sa","So"))</f>
        <v/>
      </c>
      <c r="C1976" s="20">
        <f>IF(A1976="","",INT((A1976-DATE(YEAR(A1976-WEEKDAY(A1976-1)+4),1,3)+WEEKDAY(DATE(YEAR(A1976-WEEKDAY(A1976-1)+4),1,3))+5)/7))</f>
        <v/>
      </c>
      <c r="D1976" s="21" t="n"/>
      <c r="E1976" s="22" t="n"/>
      <c r="F1976" s="23" t="n"/>
      <c r="G1976" s="23" t="n"/>
      <c r="H1976" s="23" t="n"/>
      <c r="I1976" s="20">
        <f>IF(COUNT(F1976:H1976)=0,"",SUM(F1976:H1976))</f>
        <v/>
      </c>
      <c r="J1976" s="23" t="n"/>
      <c r="K1976" s="23" t="n"/>
      <c r="L1976" s="23" t="n"/>
      <c r="M1976" s="23" t="n"/>
      <c r="N1976" s="23" t="n"/>
      <c r="O1976" s="20">
        <f>IF(OR(I1976="",COUNT(J1976:N1976)=0),"",IF(SUM(J1976:N1976)=I1976,"✓","⚠ "&amp;SUM(J1976:N1976)&amp;" statt "&amp;I1976))</f>
        <v/>
      </c>
      <c r="P1976" s="21" t="n"/>
      <c r="Q1976" s="21" t="n"/>
      <c r="R1976" s="21" t="n"/>
      <c r="S1976" s="24" t="n"/>
      <c r="T1976" s="24" t="n"/>
      <c r="V1976">
        <f>IF(A1976="","",MONTH(A1976))</f>
        <v/>
      </c>
      <c r="W1976">
        <f>N(W1975)+IF(AND(C1976&lt;&gt;"",T1976&lt;&gt;""),IF(C1976=WOCHE!$B$3,1,0),0)</f>
        <v/>
      </c>
      <c r="X1976">
        <f>N(X1975)+IF(AND(V1976&lt;&gt;"",T1976&lt;&gt;""),IF(V1976=MONAT!$AZ$3,1,0),0)</f>
        <v/>
      </c>
    </row>
    <row r="1977">
      <c r="A1977" s="19" t="n"/>
      <c r="B1977" s="20">
        <f>IF(A1977="","",CHOOSE(WEEKDAY(A1977,2),"Mo","Di","Mi","Do","Fr","Sa","So"))</f>
        <v/>
      </c>
      <c r="C1977" s="20">
        <f>IF(A1977="","",INT((A1977-DATE(YEAR(A1977-WEEKDAY(A1977-1)+4),1,3)+WEEKDAY(DATE(YEAR(A1977-WEEKDAY(A1977-1)+4),1,3))+5)/7))</f>
        <v/>
      </c>
      <c r="D1977" s="21" t="n"/>
      <c r="E1977" s="22" t="n"/>
      <c r="F1977" s="23" t="n"/>
      <c r="G1977" s="23" t="n"/>
      <c r="H1977" s="23" t="n"/>
      <c r="I1977" s="20">
        <f>IF(COUNT(F1977:H1977)=0,"",SUM(F1977:H1977))</f>
        <v/>
      </c>
      <c r="J1977" s="23" t="n"/>
      <c r="K1977" s="23" t="n"/>
      <c r="L1977" s="23" t="n"/>
      <c r="M1977" s="23" t="n"/>
      <c r="N1977" s="23" t="n"/>
      <c r="O1977" s="20">
        <f>IF(OR(I1977="",COUNT(J1977:N1977)=0),"",IF(SUM(J1977:N1977)=I1977,"✓","⚠ "&amp;SUM(J1977:N1977)&amp;" statt "&amp;I1977))</f>
        <v/>
      </c>
      <c r="P1977" s="21" t="n"/>
      <c r="Q1977" s="21" t="n"/>
      <c r="R1977" s="21" t="n"/>
      <c r="S1977" s="24" t="n"/>
      <c r="T1977" s="24" t="n"/>
      <c r="V1977">
        <f>IF(A1977="","",MONTH(A1977))</f>
        <v/>
      </c>
      <c r="W1977">
        <f>N(W1976)+IF(AND(C1977&lt;&gt;"",T1977&lt;&gt;""),IF(C1977=WOCHE!$B$3,1,0),0)</f>
        <v/>
      </c>
      <c r="X1977">
        <f>N(X1976)+IF(AND(V1977&lt;&gt;"",T1977&lt;&gt;""),IF(V1977=MONAT!$AZ$3,1,0),0)</f>
        <v/>
      </c>
    </row>
    <row r="1978">
      <c r="A1978" s="19" t="n"/>
      <c r="B1978" s="20">
        <f>IF(A1978="","",CHOOSE(WEEKDAY(A1978,2),"Mo","Di","Mi","Do","Fr","Sa","So"))</f>
        <v/>
      </c>
      <c r="C1978" s="20">
        <f>IF(A1978="","",INT((A1978-DATE(YEAR(A1978-WEEKDAY(A1978-1)+4),1,3)+WEEKDAY(DATE(YEAR(A1978-WEEKDAY(A1978-1)+4),1,3))+5)/7))</f>
        <v/>
      </c>
      <c r="D1978" s="21" t="n"/>
      <c r="E1978" s="22" t="n"/>
      <c r="F1978" s="23" t="n"/>
      <c r="G1978" s="23" t="n"/>
      <c r="H1978" s="23" t="n"/>
      <c r="I1978" s="20">
        <f>IF(COUNT(F1978:H1978)=0,"",SUM(F1978:H1978))</f>
        <v/>
      </c>
      <c r="J1978" s="23" t="n"/>
      <c r="K1978" s="23" t="n"/>
      <c r="L1978" s="23" t="n"/>
      <c r="M1978" s="23" t="n"/>
      <c r="N1978" s="23" t="n"/>
      <c r="O1978" s="20">
        <f>IF(OR(I1978="",COUNT(J1978:N1978)=0),"",IF(SUM(J1978:N1978)=I1978,"✓","⚠ "&amp;SUM(J1978:N1978)&amp;" statt "&amp;I1978))</f>
        <v/>
      </c>
      <c r="P1978" s="21" t="n"/>
      <c r="Q1978" s="21" t="n"/>
      <c r="R1978" s="21" t="n"/>
      <c r="S1978" s="24" t="n"/>
      <c r="T1978" s="24" t="n"/>
      <c r="V1978">
        <f>IF(A1978="","",MONTH(A1978))</f>
        <v/>
      </c>
      <c r="W1978">
        <f>N(W1977)+IF(AND(C1978&lt;&gt;"",T1978&lt;&gt;""),IF(C1978=WOCHE!$B$3,1,0),0)</f>
        <v/>
      </c>
      <c r="X1978">
        <f>N(X1977)+IF(AND(V1978&lt;&gt;"",T1978&lt;&gt;""),IF(V1978=MONAT!$AZ$3,1,0),0)</f>
        <v/>
      </c>
    </row>
    <row r="1979">
      <c r="A1979" s="19" t="n"/>
      <c r="B1979" s="20">
        <f>IF(A1979="","",CHOOSE(WEEKDAY(A1979,2),"Mo","Di","Mi","Do","Fr","Sa","So"))</f>
        <v/>
      </c>
      <c r="C1979" s="20">
        <f>IF(A1979="","",INT((A1979-DATE(YEAR(A1979-WEEKDAY(A1979-1)+4),1,3)+WEEKDAY(DATE(YEAR(A1979-WEEKDAY(A1979-1)+4),1,3))+5)/7))</f>
        <v/>
      </c>
      <c r="D1979" s="21" t="n"/>
      <c r="E1979" s="22" t="n"/>
      <c r="F1979" s="23" t="n"/>
      <c r="G1979" s="23" t="n"/>
      <c r="H1979" s="23" t="n"/>
      <c r="I1979" s="20">
        <f>IF(COUNT(F1979:H1979)=0,"",SUM(F1979:H1979))</f>
        <v/>
      </c>
      <c r="J1979" s="23" t="n"/>
      <c r="K1979" s="23" t="n"/>
      <c r="L1979" s="23" t="n"/>
      <c r="M1979" s="23" t="n"/>
      <c r="N1979" s="23" t="n"/>
      <c r="O1979" s="20">
        <f>IF(OR(I1979="",COUNT(J1979:N1979)=0),"",IF(SUM(J1979:N1979)=I1979,"✓","⚠ "&amp;SUM(J1979:N1979)&amp;" statt "&amp;I1979))</f>
        <v/>
      </c>
      <c r="P1979" s="21" t="n"/>
      <c r="Q1979" s="21" t="n"/>
      <c r="R1979" s="21" t="n"/>
      <c r="S1979" s="24" t="n"/>
      <c r="T1979" s="24" t="n"/>
      <c r="V1979">
        <f>IF(A1979="","",MONTH(A1979))</f>
        <v/>
      </c>
      <c r="W1979">
        <f>N(W1978)+IF(AND(C1979&lt;&gt;"",T1979&lt;&gt;""),IF(C1979=WOCHE!$B$3,1,0),0)</f>
        <v/>
      </c>
      <c r="X1979">
        <f>N(X1978)+IF(AND(V1979&lt;&gt;"",T1979&lt;&gt;""),IF(V1979=MONAT!$AZ$3,1,0),0)</f>
        <v/>
      </c>
    </row>
    <row r="1980">
      <c r="A1980" s="19" t="n"/>
      <c r="B1980" s="20">
        <f>IF(A1980="","",CHOOSE(WEEKDAY(A1980,2),"Mo","Di","Mi","Do","Fr","Sa","So"))</f>
        <v/>
      </c>
      <c r="C1980" s="20">
        <f>IF(A1980="","",INT((A1980-DATE(YEAR(A1980-WEEKDAY(A1980-1)+4),1,3)+WEEKDAY(DATE(YEAR(A1980-WEEKDAY(A1980-1)+4),1,3))+5)/7))</f>
        <v/>
      </c>
      <c r="D1980" s="21" t="n"/>
      <c r="E1980" s="22" t="n"/>
      <c r="F1980" s="23" t="n"/>
      <c r="G1980" s="23" t="n"/>
      <c r="H1980" s="23" t="n"/>
      <c r="I1980" s="20">
        <f>IF(COUNT(F1980:H1980)=0,"",SUM(F1980:H1980))</f>
        <v/>
      </c>
      <c r="J1980" s="23" t="n"/>
      <c r="K1980" s="23" t="n"/>
      <c r="L1980" s="23" t="n"/>
      <c r="M1980" s="23" t="n"/>
      <c r="N1980" s="23" t="n"/>
      <c r="O1980" s="20">
        <f>IF(OR(I1980="",COUNT(J1980:N1980)=0),"",IF(SUM(J1980:N1980)=I1980,"✓","⚠ "&amp;SUM(J1980:N1980)&amp;" statt "&amp;I1980))</f>
        <v/>
      </c>
      <c r="P1980" s="21" t="n"/>
      <c r="Q1980" s="21" t="n"/>
      <c r="R1980" s="21" t="n"/>
      <c r="S1980" s="24" t="n"/>
      <c r="T1980" s="24" t="n"/>
      <c r="V1980">
        <f>IF(A1980="","",MONTH(A1980))</f>
        <v/>
      </c>
      <c r="W1980">
        <f>N(W1979)+IF(AND(C1980&lt;&gt;"",T1980&lt;&gt;""),IF(C1980=WOCHE!$B$3,1,0),0)</f>
        <v/>
      </c>
      <c r="X1980">
        <f>N(X1979)+IF(AND(V1980&lt;&gt;"",T1980&lt;&gt;""),IF(V1980=MONAT!$AZ$3,1,0),0)</f>
        <v/>
      </c>
    </row>
    <row r="1981">
      <c r="A1981" s="19" t="n"/>
      <c r="B1981" s="20">
        <f>IF(A1981="","",CHOOSE(WEEKDAY(A1981,2),"Mo","Di","Mi","Do","Fr","Sa","So"))</f>
        <v/>
      </c>
      <c r="C1981" s="20">
        <f>IF(A1981="","",INT((A1981-DATE(YEAR(A1981-WEEKDAY(A1981-1)+4),1,3)+WEEKDAY(DATE(YEAR(A1981-WEEKDAY(A1981-1)+4),1,3))+5)/7))</f>
        <v/>
      </c>
      <c r="D1981" s="21" t="n"/>
      <c r="E1981" s="22" t="n"/>
      <c r="F1981" s="23" t="n"/>
      <c r="G1981" s="23" t="n"/>
      <c r="H1981" s="23" t="n"/>
      <c r="I1981" s="20">
        <f>IF(COUNT(F1981:H1981)=0,"",SUM(F1981:H1981))</f>
        <v/>
      </c>
      <c r="J1981" s="23" t="n"/>
      <c r="K1981" s="23" t="n"/>
      <c r="L1981" s="23" t="n"/>
      <c r="M1981" s="23" t="n"/>
      <c r="N1981" s="23" t="n"/>
      <c r="O1981" s="20">
        <f>IF(OR(I1981="",COUNT(J1981:N1981)=0),"",IF(SUM(J1981:N1981)=I1981,"✓","⚠ "&amp;SUM(J1981:N1981)&amp;" statt "&amp;I1981))</f>
        <v/>
      </c>
      <c r="P1981" s="21" t="n"/>
      <c r="Q1981" s="21" t="n"/>
      <c r="R1981" s="21" t="n"/>
      <c r="S1981" s="24" t="n"/>
      <c r="T1981" s="24" t="n"/>
      <c r="V1981">
        <f>IF(A1981="","",MONTH(A1981))</f>
        <v/>
      </c>
      <c r="W1981">
        <f>N(W1980)+IF(AND(C1981&lt;&gt;"",T1981&lt;&gt;""),IF(C1981=WOCHE!$B$3,1,0),0)</f>
        <v/>
      </c>
      <c r="X1981">
        <f>N(X1980)+IF(AND(V1981&lt;&gt;"",T1981&lt;&gt;""),IF(V1981=MONAT!$AZ$3,1,0),0)</f>
        <v/>
      </c>
    </row>
    <row r="1982">
      <c r="A1982" s="19" t="n"/>
      <c r="B1982" s="20">
        <f>IF(A1982="","",CHOOSE(WEEKDAY(A1982,2),"Mo","Di","Mi","Do","Fr","Sa","So"))</f>
        <v/>
      </c>
      <c r="C1982" s="20">
        <f>IF(A1982="","",INT((A1982-DATE(YEAR(A1982-WEEKDAY(A1982-1)+4),1,3)+WEEKDAY(DATE(YEAR(A1982-WEEKDAY(A1982-1)+4),1,3))+5)/7))</f>
        <v/>
      </c>
      <c r="D1982" s="21" t="n"/>
      <c r="E1982" s="22" t="n"/>
      <c r="F1982" s="23" t="n"/>
      <c r="G1982" s="23" t="n"/>
      <c r="H1982" s="23" t="n"/>
      <c r="I1982" s="20">
        <f>IF(COUNT(F1982:H1982)=0,"",SUM(F1982:H1982))</f>
        <v/>
      </c>
      <c r="J1982" s="23" t="n"/>
      <c r="K1982" s="23" t="n"/>
      <c r="L1982" s="23" t="n"/>
      <c r="M1982" s="23" t="n"/>
      <c r="N1982" s="23" t="n"/>
      <c r="O1982" s="20">
        <f>IF(OR(I1982="",COUNT(J1982:N1982)=0),"",IF(SUM(J1982:N1982)=I1982,"✓","⚠ "&amp;SUM(J1982:N1982)&amp;" statt "&amp;I1982))</f>
        <v/>
      </c>
      <c r="P1982" s="21" t="n"/>
      <c r="Q1982" s="21" t="n"/>
      <c r="R1982" s="21" t="n"/>
      <c r="S1982" s="24" t="n"/>
      <c r="T1982" s="24" t="n"/>
      <c r="V1982">
        <f>IF(A1982="","",MONTH(A1982))</f>
        <v/>
      </c>
      <c r="W1982">
        <f>N(W1981)+IF(AND(C1982&lt;&gt;"",T1982&lt;&gt;""),IF(C1982=WOCHE!$B$3,1,0),0)</f>
        <v/>
      </c>
      <c r="X1982">
        <f>N(X1981)+IF(AND(V1982&lt;&gt;"",T1982&lt;&gt;""),IF(V1982=MONAT!$AZ$3,1,0),0)</f>
        <v/>
      </c>
    </row>
    <row r="1983">
      <c r="A1983" s="19" t="n"/>
      <c r="B1983" s="20">
        <f>IF(A1983="","",CHOOSE(WEEKDAY(A1983,2),"Mo","Di","Mi","Do","Fr","Sa","So"))</f>
        <v/>
      </c>
      <c r="C1983" s="20">
        <f>IF(A1983="","",INT((A1983-DATE(YEAR(A1983-WEEKDAY(A1983-1)+4),1,3)+WEEKDAY(DATE(YEAR(A1983-WEEKDAY(A1983-1)+4),1,3))+5)/7))</f>
        <v/>
      </c>
      <c r="D1983" s="21" t="n"/>
      <c r="E1983" s="22" t="n"/>
      <c r="F1983" s="23" t="n"/>
      <c r="G1983" s="23" t="n"/>
      <c r="H1983" s="23" t="n"/>
      <c r="I1983" s="20">
        <f>IF(COUNT(F1983:H1983)=0,"",SUM(F1983:H1983))</f>
        <v/>
      </c>
      <c r="J1983" s="23" t="n"/>
      <c r="K1983" s="23" t="n"/>
      <c r="L1983" s="23" t="n"/>
      <c r="M1983" s="23" t="n"/>
      <c r="N1983" s="23" t="n"/>
      <c r="O1983" s="20">
        <f>IF(OR(I1983="",COUNT(J1983:N1983)=0),"",IF(SUM(J1983:N1983)=I1983,"✓","⚠ "&amp;SUM(J1983:N1983)&amp;" statt "&amp;I1983))</f>
        <v/>
      </c>
      <c r="P1983" s="21" t="n"/>
      <c r="Q1983" s="21" t="n"/>
      <c r="R1983" s="21" t="n"/>
      <c r="S1983" s="24" t="n"/>
      <c r="T1983" s="24" t="n"/>
      <c r="V1983">
        <f>IF(A1983="","",MONTH(A1983))</f>
        <v/>
      </c>
      <c r="W1983">
        <f>N(W1982)+IF(AND(C1983&lt;&gt;"",T1983&lt;&gt;""),IF(C1983=WOCHE!$B$3,1,0),0)</f>
        <v/>
      </c>
      <c r="X1983">
        <f>N(X1982)+IF(AND(V1983&lt;&gt;"",T1983&lt;&gt;""),IF(V1983=MONAT!$AZ$3,1,0),0)</f>
        <v/>
      </c>
    </row>
    <row r="1984">
      <c r="A1984" s="19" t="n"/>
      <c r="B1984" s="20">
        <f>IF(A1984="","",CHOOSE(WEEKDAY(A1984,2),"Mo","Di","Mi","Do","Fr","Sa","So"))</f>
        <v/>
      </c>
      <c r="C1984" s="20">
        <f>IF(A1984="","",INT((A1984-DATE(YEAR(A1984-WEEKDAY(A1984-1)+4),1,3)+WEEKDAY(DATE(YEAR(A1984-WEEKDAY(A1984-1)+4),1,3))+5)/7))</f>
        <v/>
      </c>
      <c r="D1984" s="21" t="n"/>
      <c r="E1984" s="22" t="n"/>
      <c r="F1984" s="23" t="n"/>
      <c r="G1984" s="23" t="n"/>
      <c r="H1984" s="23" t="n"/>
      <c r="I1984" s="20">
        <f>IF(COUNT(F1984:H1984)=0,"",SUM(F1984:H1984))</f>
        <v/>
      </c>
      <c r="J1984" s="23" t="n"/>
      <c r="K1984" s="23" t="n"/>
      <c r="L1984" s="23" t="n"/>
      <c r="M1984" s="23" t="n"/>
      <c r="N1984" s="23" t="n"/>
      <c r="O1984" s="20">
        <f>IF(OR(I1984="",COUNT(J1984:N1984)=0),"",IF(SUM(J1984:N1984)=I1984,"✓","⚠ "&amp;SUM(J1984:N1984)&amp;" statt "&amp;I1984))</f>
        <v/>
      </c>
      <c r="P1984" s="21" t="n"/>
      <c r="Q1984" s="21" t="n"/>
      <c r="R1984" s="21" t="n"/>
      <c r="S1984" s="24" t="n"/>
      <c r="T1984" s="24" t="n"/>
      <c r="V1984">
        <f>IF(A1984="","",MONTH(A1984))</f>
        <v/>
      </c>
      <c r="W1984">
        <f>N(W1983)+IF(AND(C1984&lt;&gt;"",T1984&lt;&gt;""),IF(C1984=WOCHE!$B$3,1,0),0)</f>
        <v/>
      </c>
      <c r="X1984">
        <f>N(X1983)+IF(AND(V1984&lt;&gt;"",T1984&lt;&gt;""),IF(V1984=MONAT!$AZ$3,1,0),0)</f>
        <v/>
      </c>
    </row>
    <row r="1985">
      <c r="A1985" s="19" t="n"/>
      <c r="B1985" s="20">
        <f>IF(A1985="","",CHOOSE(WEEKDAY(A1985,2),"Mo","Di","Mi","Do","Fr","Sa","So"))</f>
        <v/>
      </c>
      <c r="C1985" s="20">
        <f>IF(A1985="","",INT((A1985-DATE(YEAR(A1985-WEEKDAY(A1985-1)+4),1,3)+WEEKDAY(DATE(YEAR(A1985-WEEKDAY(A1985-1)+4),1,3))+5)/7))</f>
        <v/>
      </c>
      <c r="D1985" s="21" t="n"/>
      <c r="E1985" s="22" t="n"/>
      <c r="F1985" s="23" t="n"/>
      <c r="G1985" s="23" t="n"/>
      <c r="H1985" s="23" t="n"/>
      <c r="I1985" s="20">
        <f>IF(COUNT(F1985:H1985)=0,"",SUM(F1985:H1985))</f>
        <v/>
      </c>
      <c r="J1985" s="23" t="n"/>
      <c r="K1985" s="23" t="n"/>
      <c r="L1985" s="23" t="n"/>
      <c r="M1985" s="23" t="n"/>
      <c r="N1985" s="23" t="n"/>
      <c r="O1985" s="20">
        <f>IF(OR(I1985="",COUNT(J1985:N1985)=0),"",IF(SUM(J1985:N1985)=I1985,"✓","⚠ "&amp;SUM(J1985:N1985)&amp;" statt "&amp;I1985))</f>
        <v/>
      </c>
      <c r="P1985" s="21" t="n"/>
      <c r="Q1985" s="21" t="n"/>
      <c r="R1985" s="21" t="n"/>
      <c r="S1985" s="24" t="n"/>
      <c r="T1985" s="24" t="n"/>
      <c r="V1985">
        <f>IF(A1985="","",MONTH(A1985))</f>
        <v/>
      </c>
      <c r="W1985">
        <f>N(W1984)+IF(AND(C1985&lt;&gt;"",T1985&lt;&gt;""),IF(C1985=WOCHE!$B$3,1,0),0)</f>
        <v/>
      </c>
      <c r="X1985">
        <f>N(X1984)+IF(AND(V1985&lt;&gt;"",T1985&lt;&gt;""),IF(V1985=MONAT!$AZ$3,1,0),0)</f>
        <v/>
      </c>
    </row>
    <row r="1986">
      <c r="A1986" s="19" t="n"/>
      <c r="B1986" s="20">
        <f>IF(A1986="","",CHOOSE(WEEKDAY(A1986,2),"Mo","Di","Mi","Do","Fr","Sa","So"))</f>
        <v/>
      </c>
      <c r="C1986" s="20">
        <f>IF(A1986="","",INT((A1986-DATE(YEAR(A1986-WEEKDAY(A1986-1)+4),1,3)+WEEKDAY(DATE(YEAR(A1986-WEEKDAY(A1986-1)+4),1,3))+5)/7))</f>
        <v/>
      </c>
      <c r="D1986" s="21" t="n"/>
      <c r="E1986" s="22" t="n"/>
      <c r="F1986" s="23" t="n"/>
      <c r="G1986" s="23" t="n"/>
      <c r="H1986" s="23" t="n"/>
      <c r="I1986" s="20">
        <f>IF(COUNT(F1986:H1986)=0,"",SUM(F1986:H1986))</f>
        <v/>
      </c>
      <c r="J1986" s="23" t="n"/>
      <c r="K1986" s="23" t="n"/>
      <c r="L1986" s="23" t="n"/>
      <c r="M1986" s="23" t="n"/>
      <c r="N1986" s="23" t="n"/>
      <c r="O1986" s="20">
        <f>IF(OR(I1986="",COUNT(J1986:N1986)=0),"",IF(SUM(J1986:N1986)=I1986,"✓","⚠ "&amp;SUM(J1986:N1986)&amp;" statt "&amp;I1986))</f>
        <v/>
      </c>
      <c r="P1986" s="21" t="n"/>
      <c r="Q1986" s="21" t="n"/>
      <c r="R1986" s="21" t="n"/>
      <c r="S1986" s="24" t="n"/>
      <c r="T1986" s="24" t="n"/>
      <c r="V1986">
        <f>IF(A1986="","",MONTH(A1986))</f>
        <v/>
      </c>
      <c r="W1986">
        <f>N(W1985)+IF(AND(C1986&lt;&gt;"",T1986&lt;&gt;""),IF(C1986=WOCHE!$B$3,1,0),0)</f>
        <v/>
      </c>
      <c r="X1986">
        <f>N(X1985)+IF(AND(V1986&lt;&gt;"",T1986&lt;&gt;""),IF(V1986=MONAT!$AZ$3,1,0),0)</f>
        <v/>
      </c>
    </row>
    <row r="1987">
      <c r="A1987" s="19" t="n"/>
      <c r="B1987" s="20">
        <f>IF(A1987="","",CHOOSE(WEEKDAY(A1987,2),"Mo","Di","Mi","Do","Fr","Sa","So"))</f>
        <v/>
      </c>
      <c r="C1987" s="20">
        <f>IF(A1987="","",INT((A1987-DATE(YEAR(A1987-WEEKDAY(A1987-1)+4),1,3)+WEEKDAY(DATE(YEAR(A1987-WEEKDAY(A1987-1)+4),1,3))+5)/7))</f>
        <v/>
      </c>
      <c r="D1987" s="21" t="n"/>
      <c r="E1987" s="22" t="n"/>
      <c r="F1987" s="23" t="n"/>
      <c r="G1987" s="23" t="n"/>
      <c r="H1987" s="23" t="n"/>
      <c r="I1987" s="20">
        <f>IF(COUNT(F1987:H1987)=0,"",SUM(F1987:H1987))</f>
        <v/>
      </c>
      <c r="J1987" s="23" t="n"/>
      <c r="K1987" s="23" t="n"/>
      <c r="L1987" s="23" t="n"/>
      <c r="M1987" s="23" t="n"/>
      <c r="N1987" s="23" t="n"/>
      <c r="O1987" s="20">
        <f>IF(OR(I1987="",COUNT(J1987:N1987)=0),"",IF(SUM(J1987:N1987)=I1987,"✓","⚠ "&amp;SUM(J1987:N1987)&amp;" statt "&amp;I1987))</f>
        <v/>
      </c>
      <c r="P1987" s="21" t="n"/>
      <c r="Q1987" s="21" t="n"/>
      <c r="R1987" s="21" t="n"/>
      <c r="S1987" s="24" t="n"/>
      <c r="T1987" s="24" t="n"/>
      <c r="V1987">
        <f>IF(A1987="","",MONTH(A1987))</f>
        <v/>
      </c>
      <c r="W1987">
        <f>N(W1986)+IF(AND(C1987&lt;&gt;"",T1987&lt;&gt;""),IF(C1987=WOCHE!$B$3,1,0),0)</f>
        <v/>
      </c>
      <c r="X1987">
        <f>N(X1986)+IF(AND(V1987&lt;&gt;"",T1987&lt;&gt;""),IF(V1987=MONAT!$AZ$3,1,0),0)</f>
        <v/>
      </c>
    </row>
    <row r="1988">
      <c r="A1988" s="19" t="n"/>
      <c r="B1988" s="20">
        <f>IF(A1988="","",CHOOSE(WEEKDAY(A1988,2),"Mo","Di","Mi","Do","Fr","Sa","So"))</f>
        <v/>
      </c>
      <c r="C1988" s="20">
        <f>IF(A1988="","",INT((A1988-DATE(YEAR(A1988-WEEKDAY(A1988-1)+4),1,3)+WEEKDAY(DATE(YEAR(A1988-WEEKDAY(A1988-1)+4),1,3))+5)/7))</f>
        <v/>
      </c>
      <c r="D1988" s="21" t="n"/>
      <c r="E1988" s="22" t="n"/>
      <c r="F1988" s="23" t="n"/>
      <c r="G1988" s="23" t="n"/>
      <c r="H1988" s="23" t="n"/>
      <c r="I1988" s="20">
        <f>IF(COUNT(F1988:H1988)=0,"",SUM(F1988:H1988))</f>
        <v/>
      </c>
      <c r="J1988" s="23" t="n"/>
      <c r="K1988" s="23" t="n"/>
      <c r="L1988" s="23" t="n"/>
      <c r="M1988" s="23" t="n"/>
      <c r="N1988" s="23" t="n"/>
      <c r="O1988" s="20">
        <f>IF(OR(I1988="",COUNT(J1988:N1988)=0),"",IF(SUM(J1988:N1988)=I1988,"✓","⚠ "&amp;SUM(J1988:N1988)&amp;" statt "&amp;I1988))</f>
        <v/>
      </c>
      <c r="P1988" s="21" t="n"/>
      <c r="Q1988" s="21" t="n"/>
      <c r="R1988" s="21" t="n"/>
      <c r="S1988" s="24" t="n"/>
      <c r="T1988" s="24" t="n"/>
      <c r="V1988">
        <f>IF(A1988="","",MONTH(A1988))</f>
        <v/>
      </c>
      <c r="W1988">
        <f>N(W1987)+IF(AND(C1988&lt;&gt;"",T1988&lt;&gt;""),IF(C1988=WOCHE!$B$3,1,0),0)</f>
        <v/>
      </c>
      <c r="X1988">
        <f>N(X1987)+IF(AND(V1988&lt;&gt;"",T1988&lt;&gt;""),IF(V1988=MONAT!$AZ$3,1,0),0)</f>
        <v/>
      </c>
    </row>
    <row r="1989">
      <c r="A1989" s="19" t="n"/>
      <c r="B1989" s="20">
        <f>IF(A1989="","",CHOOSE(WEEKDAY(A1989,2),"Mo","Di","Mi","Do","Fr","Sa","So"))</f>
        <v/>
      </c>
      <c r="C1989" s="20">
        <f>IF(A1989="","",INT((A1989-DATE(YEAR(A1989-WEEKDAY(A1989-1)+4),1,3)+WEEKDAY(DATE(YEAR(A1989-WEEKDAY(A1989-1)+4),1,3))+5)/7))</f>
        <v/>
      </c>
      <c r="D1989" s="21" t="n"/>
      <c r="E1989" s="22" t="n"/>
      <c r="F1989" s="23" t="n"/>
      <c r="G1989" s="23" t="n"/>
      <c r="H1989" s="23" t="n"/>
      <c r="I1989" s="20">
        <f>IF(COUNT(F1989:H1989)=0,"",SUM(F1989:H1989))</f>
        <v/>
      </c>
      <c r="J1989" s="23" t="n"/>
      <c r="K1989" s="23" t="n"/>
      <c r="L1989" s="23" t="n"/>
      <c r="M1989" s="23" t="n"/>
      <c r="N1989" s="23" t="n"/>
      <c r="O1989" s="20">
        <f>IF(OR(I1989="",COUNT(J1989:N1989)=0),"",IF(SUM(J1989:N1989)=I1989,"✓","⚠ "&amp;SUM(J1989:N1989)&amp;" statt "&amp;I1989))</f>
        <v/>
      </c>
      <c r="P1989" s="21" t="n"/>
      <c r="Q1989" s="21" t="n"/>
      <c r="R1989" s="21" t="n"/>
      <c r="S1989" s="24" t="n"/>
      <c r="T1989" s="24" t="n"/>
      <c r="V1989">
        <f>IF(A1989="","",MONTH(A1989))</f>
        <v/>
      </c>
      <c r="W1989">
        <f>N(W1988)+IF(AND(C1989&lt;&gt;"",T1989&lt;&gt;""),IF(C1989=WOCHE!$B$3,1,0),0)</f>
        <v/>
      </c>
      <c r="X1989">
        <f>N(X1988)+IF(AND(V1989&lt;&gt;"",T1989&lt;&gt;""),IF(V1989=MONAT!$AZ$3,1,0),0)</f>
        <v/>
      </c>
    </row>
    <row r="1990">
      <c r="A1990" s="19" t="n"/>
      <c r="B1990" s="20">
        <f>IF(A1990="","",CHOOSE(WEEKDAY(A1990,2),"Mo","Di","Mi","Do","Fr","Sa","So"))</f>
        <v/>
      </c>
      <c r="C1990" s="20">
        <f>IF(A1990="","",INT((A1990-DATE(YEAR(A1990-WEEKDAY(A1990-1)+4),1,3)+WEEKDAY(DATE(YEAR(A1990-WEEKDAY(A1990-1)+4),1,3))+5)/7))</f>
        <v/>
      </c>
      <c r="D1990" s="21" t="n"/>
      <c r="E1990" s="22" t="n"/>
      <c r="F1990" s="23" t="n"/>
      <c r="G1990" s="23" t="n"/>
      <c r="H1990" s="23" t="n"/>
      <c r="I1990" s="20">
        <f>IF(COUNT(F1990:H1990)=0,"",SUM(F1990:H1990))</f>
        <v/>
      </c>
      <c r="J1990" s="23" t="n"/>
      <c r="K1990" s="23" t="n"/>
      <c r="L1990" s="23" t="n"/>
      <c r="M1990" s="23" t="n"/>
      <c r="N1990" s="23" t="n"/>
      <c r="O1990" s="20">
        <f>IF(OR(I1990="",COUNT(J1990:N1990)=0),"",IF(SUM(J1990:N1990)=I1990,"✓","⚠ "&amp;SUM(J1990:N1990)&amp;" statt "&amp;I1990))</f>
        <v/>
      </c>
      <c r="P1990" s="21" t="n"/>
      <c r="Q1990" s="21" t="n"/>
      <c r="R1990" s="21" t="n"/>
      <c r="S1990" s="24" t="n"/>
      <c r="T1990" s="24" t="n"/>
      <c r="V1990">
        <f>IF(A1990="","",MONTH(A1990))</f>
        <v/>
      </c>
      <c r="W1990">
        <f>N(W1989)+IF(AND(C1990&lt;&gt;"",T1990&lt;&gt;""),IF(C1990=WOCHE!$B$3,1,0),0)</f>
        <v/>
      </c>
      <c r="X1990">
        <f>N(X1989)+IF(AND(V1990&lt;&gt;"",T1990&lt;&gt;""),IF(V1990=MONAT!$AZ$3,1,0),0)</f>
        <v/>
      </c>
    </row>
    <row r="1991">
      <c r="A1991" s="19" t="n"/>
      <c r="B1991" s="20">
        <f>IF(A1991="","",CHOOSE(WEEKDAY(A1991,2),"Mo","Di","Mi","Do","Fr","Sa","So"))</f>
        <v/>
      </c>
      <c r="C1991" s="20">
        <f>IF(A1991="","",INT((A1991-DATE(YEAR(A1991-WEEKDAY(A1991-1)+4),1,3)+WEEKDAY(DATE(YEAR(A1991-WEEKDAY(A1991-1)+4),1,3))+5)/7))</f>
        <v/>
      </c>
      <c r="D1991" s="21" t="n"/>
      <c r="E1991" s="22" t="n"/>
      <c r="F1991" s="23" t="n"/>
      <c r="G1991" s="23" t="n"/>
      <c r="H1991" s="23" t="n"/>
      <c r="I1991" s="20">
        <f>IF(COUNT(F1991:H1991)=0,"",SUM(F1991:H1991))</f>
        <v/>
      </c>
      <c r="J1991" s="23" t="n"/>
      <c r="K1991" s="23" t="n"/>
      <c r="L1991" s="23" t="n"/>
      <c r="M1991" s="23" t="n"/>
      <c r="N1991" s="23" t="n"/>
      <c r="O1991" s="20">
        <f>IF(OR(I1991="",COUNT(J1991:N1991)=0),"",IF(SUM(J1991:N1991)=I1991,"✓","⚠ "&amp;SUM(J1991:N1991)&amp;" statt "&amp;I1991))</f>
        <v/>
      </c>
      <c r="P1991" s="21" t="n"/>
      <c r="Q1991" s="21" t="n"/>
      <c r="R1991" s="21" t="n"/>
      <c r="S1991" s="24" t="n"/>
      <c r="T1991" s="24" t="n"/>
      <c r="V1991">
        <f>IF(A1991="","",MONTH(A1991))</f>
        <v/>
      </c>
      <c r="W1991">
        <f>N(W1990)+IF(AND(C1991&lt;&gt;"",T1991&lt;&gt;""),IF(C1991=WOCHE!$B$3,1,0),0)</f>
        <v/>
      </c>
      <c r="X1991">
        <f>N(X1990)+IF(AND(V1991&lt;&gt;"",T1991&lt;&gt;""),IF(V1991=MONAT!$AZ$3,1,0),0)</f>
        <v/>
      </c>
    </row>
    <row r="1992">
      <c r="A1992" s="19" t="n"/>
      <c r="B1992" s="20">
        <f>IF(A1992="","",CHOOSE(WEEKDAY(A1992,2),"Mo","Di","Mi","Do","Fr","Sa","So"))</f>
        <v/>
      </c>
      <c r="C1992" s="20">
        <f>IF(A1992="","",INT((A1992-DATE(YEAR(A1992-WEEKDAY(A1992-1)+4),1,3)+WEEKDAY(DATE(YEAR(A1992-WEEKDAY(A1992-1)+4),1,3))+5)/7))</f>
        <v/>
      </c>
      <c r="D1992" s="21" t="n"/>
      <c r="E1992" s="22" t="n"/>
      <c r="F1992" s="23" t="n"/>
      <c r="G1992" s="23" t="n"/>
      <c r="H1992" s="23" t="n"/>
      <c r="I1992" s="20">
        <f>IF(COUNT(F1992:H1992)=0,"",SUM(F1992:H1992))</f>
        <v/>
      </c>
      <c r="J1992" s="23" t="n"/>
      <c r="K1992" s="23" t="n"/>
      <c r="L1992" s="23" t="n"/>
      <c r="M1992" s="23" t="n"/>
      <c r="N1992" s="23" t="n"/>
      <c r="O1992" s="20">
        <f>IF(OR(I1992="",COUNT(J1992:N1992)=0),"",IF(SUM(J1992:N1992)=I1992,"✓","⚠ "&amp;SUM(J1992:N1992)&amp;" statt "&amp;I1992))</f>
        <v/>
      </c>
      <c r="P1992" s="21" t="n"/>
      <c r="Q1992" s="21" t="n"/>
      <c r="R1992" s="21" t="n"/>
      <c r="S1992" s="24" t="n"/>
      <c r="T1992" s="24" t="n"/>
      <c r="V1992">
        <f>IF(A1992="","",MONTH(A1992))</f>
        <v/>
      </c>
      <c r="W1992">
        <f>N(W1991)+IF(AND(C1992&lt;&gt;"",T1992&lt;&gt;""),IF(C1992=WOCHE!$B$3,1,0),0)</f>
        <v/>
      </c>
      <c r="X1992">
        <f>N(X1991)+IF(AND(V1992&lt;&gt;"",T1992&lt;&gt;""),IF(V1992=MONAT!$AZ$3,1,0),0)</f>
        <v/>
      </c>
    </row>
    <row r="1993">
      <c r="A1993" s="19" t="n"/>
      <c r="B1993" s="20">
        <f>IF(A1993="","",CHOOSE(WEEKDAY(A1993,2),"Mo","Di","Mi","Do","Fr","Sa","So"))</f>
        <v/>
      </c>
      <c r="C1993" s="20">
        <f>IF(A1993="","",INT((A1993-DATE(YEAR(A1993-WEEKDAY(A1993-1)+4),1,3)+WEEKDAY(DATE(YEAR(A1993-WEEKDAY(A1993-1)+4),1,3))+5)/7))</f>
        <v/>
      </c>
      <c r="D1993" s="21" t="n"/>
      <c r="E1993" s="22" t="n"/>
      <c r="F1993" s="23" t="n"/>
      <c r="G1993" s="23" t="n"/>
      <c r="H1993" s="23" t="n"/>
      <c r="I1993" s="20">
        <f>IF(COUNT(F1993:H1993)=0,"",SUM(F1993:H1993))</f>
        <v/>
      </c>
      <c r="J1993" s="23" t="n"/>
      <c r="K1993" s="23" t="n"/>
      <c r="L1993" s="23" t="n"/>
      <c r="M1993" s="23" t="n"/>
      <c r="N1993" s="23" t="n"/>
      <c r="O1993" s="20">
        <f>IF(OR(I1993="",COUNT(J1993:N1993)=0),"",IF(SUM(J1993:N1993)=I1993,"✓","⚠ "&amp;SUM(J1993:N1993)&amp;" statt "&amp;I1993))</f>
        <v/>
      </c>
      <c r="P1993" s="21" t="n"/>
      <c r="Q1993" s="21" t="n"/>
      <c r="R1993" s="21" t="n"/>
      <c r="S1993" s="24" t="n"/>
      <c r="T1993" s="24" t="n"/>
      <c r="V1993">
        <f>IF(A1993="","",MONTH(A1993))</f>
        <v/>
      </c>
      <c r="W1993">
        <f>N(W1992)+IF(AND(C1993&lt;&gt;"",T1993&lt;&gt;""),IF(C1993=WOCHE!$B$3,1,0),0)</f>
        <v/>
      </c>
      <c r="X1993">
        <f>N(X1992)+IF(AND(V1993&lt;&gt;"",T1993&lt;&gt;""),IF(V1993=MONAT!$AZ$3,1,0),0)</f>
        <v/>
      </c>
    </row>
    <row r="1994">
      <c r="A1994" s="19" t="n"/>
      <c r="B1994" s="20">
        <f>IF(A1994="","",CHOOSE(WEEKDAY(A1994,2),"Mo","Di","Mi","Do","Fr","Sa","So"))</f>
        <v/>
      </c>
      <c r="C1994" s="20">
        <f>IF(A1994="","",INT((A1994-DATE(YEAR(A1994-WEEKDAY(A1994-1)+4),1,3)+WEEKDAY(DATE(YEAR(A1994-WEEKDAY(A1994-1)+4),1,3))+5)/7))</f>
        <v/>
      </c>
      <c r="D1994" s="21" t="n"/>
      <c r="E1994" s="22" t="n"/>
      <c r="F1994" s="23" t="n"/>
      <c r="G1994" s="23" t="n"/>
      <c r="H1994" s="23" t="n"/>
      <c r="I1994" s="20">
        <f>IF(COUNT(F1994:H1994)=0,"",SUM(F1994:H1994))</f>
        <v/>
      </c>
      <c r="J1994" s="23" t="n"/>
      <c r="K1994" s="23" t="n"/>
      <c r="L1994" s="23" t="n"/>
      <c r="M1994" s="23" t="n"/>
      <c r="N1994" s="23" t="n"/>
      <c r="O1994" s="20">
        <f>IF(OR(I1994="",COUNT(J1994:N1994)=0),"",IF(SUM(J1994:N1994)=I1994,"✓","⚠ "&amp;SUM(J1994:N1994)&amp;" statt "&amp;I1994))</f>
        <v/>
      </c>
      <c r="P1994" s="21" t="n"/>
      <c r="Q1994" s="21" t="n"/>
      <c r="R1994" s="21" t="n"/>
      <c r="S1994" s="24" t="n"/>
      <c r="T1994" s="24" t="n"/>
      <c r="V1994">
        <f>IF(A1994="","",MONTH(A1994))</f>
        <v/>
      </c>
      <c r="W1994">
        <f>N(W1993)+IF(AND(C1994&lt;&gt;"",T1994&lt;&gt;""),IF(C1994=WOCHE!$B$3,1,0),0)</f>
        <v/>
      </c>
      <c r="X1994">
        <f>N(X1993)+IF(AND(V1994&lt;&gt;"",T1994&lt;&gt;""),IF(V1994=MONAT!$AZ$3,1,0),0)</f>
        <v/>
      </c>
    </row>
    <row r="1995">
      <c r="A1995" s="19" t="n"/>
      <c r="B1995" s="20">
        <f>IF(A1995="","",CHOOSE(WEEKDAY(A1995,2),"Mo","Di","Mi","Do","Fr","Sa","So"))</f>
        <v/>
      </c>
      <c r="C1995" s="20">
        <f>IF(A1995="","",INT((A1995-DATE(YEAR(A1995-WEEKDAY(A1995-1)+4),1,3)+WEEKDAY(DATE(YEAR(A1995-WEEKDAY(A1995-1)+4),1,3))+5)/7))</f>
        <v/>
      </c>
      <c r="D1995" s="21" t="n"/>
      <c r="E1995" s="22" t="n"/>
      <c r="F1995" s="23" t="n"/>
      <c r="G1995" s="23" t="n"/>
      <c r="H1995" s="23" t="n"/>
      <c r="I1995" s="20">
        <f>IF(COUNT(F1995:H1995)=0,"",SUM(F1995:H1995))</f>
        <v/>
      </c>
      <c r="J1995" s="23" t="n"/>
      <c r="K1995" s="23" t="n"/>
      <c r="L1995" s="23" t="n"/>
      <c r="M1995" s="23" t="n"/>
      <c r="N1995" s="23" t="n"/>
      <c r="O1995" s="20">
        <f>IF(OR(I1995="",COUNT(J1995:N1995)=0),"",IF(SUM(J1995:N1995)=I1995,"✓","⚠ "&amp;SUM(J1995:N1995)&amp;" statt "&amp;I1995))</f>
        <v/>
      </c>
      <c r="P1995" s="21" t="n"/>
      <c r="Q1995" s="21" t="n"/>
      <c r="R1995" s="21" t="n"/>
      <c r="S1995" s="24" t="n"/>
      <c r="T1995" s="24" t="n"/>
      <c r="V1995">
        <f>IF(A1995="","",MONTH(A1995))</f>
        <v/>
      </c>
      <c r="W1995">
        <f>N(W1994)+IF(AND(C1995&lt;&gt;"",T1995&lt;&gt;""),IF(C1995=WOCHE!$B$3,1,0),0)</f>
        <v/>
      </c>
      <c r="X1995">
        <f>N(X1994)+IF(AND(V1995&lt;&gt;"",T1995&lt;&gt;""),IF(V1995=MONAT!$AZ$3,1,0),0)</f>
        <v/>
      </c>
    </row>
    <row r="1996">
      <c r="A1996" s="19" t="n"/>
      <c r="B1996" s="20">
        <f>IF(A1996="","",CHOOSE(WEEKDAY(A1996,2),"Mo","Di","Mi","Do","Fr","Sa","So"))</f>
        <v/>
      </c>
      <c r="C1996" s="20">
        <f>IF(A1996="","",INT((A1996-DATE(YEAR(A1996-WEEKDAY(A1996-1)+4),1,3)+WEEKDAY(DATE(YEAR(A1996-WEEKDAY(A1996-1)+4),1,3))+5)/7))</f>
        <v/>
      </c>
      <c r="D1996" s="21" t="n"/>
      <c r="E1996" s="22" t="n"/>
      <c r="F1996" s="23" t="n"/>
      <c r="G1996" s="23" t="n"/>
      <c r="H1996" s="23" t="n"/>
      <c r="I1996" s="20">
        <f>IF(COUNT(F1996:H1996)=0,"",SUM(F1996:H1996))</f>
        <v/>
      </c>
      <c r="J1996" s="23" t="n"/>
      <c r="K1996" s="23" t="n"/>
      <c r="L1996" s="23" t="n"/>
      <c r="M1996" s="23" t="n"/>
      <c r="N1996" s="23" t="n"/>
      <c r="O1996" s="20">
        <f>IF(OR(I1996="",COUNT(J1996:N1996)=0),"",IF(SUM(J1996:N1996)=I1996,"✓","⚠ "&amp;SUM(J1996:N1996)&amp;" statt "&amp;I1996))</f>
        <v/>
      </c>
      <c r="P1996" s="21" t="n"/>
      <c r="Q1996" s="21" t="n"/>
      <c r="R1996" s="21" t="n"/>
      <c r="S1996" s="24" t="n"/>
      <c r="T1996" s="24" t="n"/>
      <c r="V1996">
        <f>IF(A1996="","",MONTH(A1996))</f>
        <v/>
      </c>
      <c r="W1996">
        <f>N(W1995)+IF(AND(C1996&lt;&gt;"",T1996&lt;&gt;""),IF(C1996=WOCHE!$B$3,1,0),0)</f>
        <v/>
      </c>
      <c r="X1996">
        <f>N(X1995)+IF(AND(V1996&lt;&gt;"",T1996&lt;&gt;""),IF(V1996=MONAT!$AZ$3,1,0),0)</f>
        <v/>
      </c>
    </row>
    <row r="1997">
      <c r="A1997" s="19" t="n"/>
      <c r="B1997" s="20">
        <f>IF(A1997="","",CHOOSE(WEEKDAY(A1997,2),"Mo","Di","Mi","Do","Fr","Sa","So"))</f>
        <v/>
      </c>
      <c r="C1997" s="20">
        <f>IF(A1997="","",INT((A1997-DATE(YEAR(A1997-WEEKDAY(A1997-1)+4),1,3)+WEEKDAY(DATE(YEAR(A1997-WEEKDAY(A1997-1)+4),1,3))+5)/7))</f>
        <v/>
      </c>
      <c r="D1997" s="21" t="n"/>
      <c r="E1997" s="22" t="n"/>
      <c r="F1997" s="23" t="n"/>
      <c r="G1997" s="23" t="n"/>
      <c r="H1997" s="23" t="n"/>
      <c r="I1997" s="20">
        <f>IF(COUNT(F1997:H1997)=0,"",SUM(F1997:H1997))</f>
        <v/>
      </c>
      <c r="J1997" s="23" t="n"/>
      <c r="K1997" s="23" t="n"/>
      <c r="L1997" s="23" t="n"/>
      <c r="M1997" s="23" t="n"/>
      <c r="N1997" s="23" t="n"/>
      <c r="O1997" s="20">
        <f>IF(OR(I1997="",COUNT(J1997:N1997)=0),"",IF(SUM(J1997:N1997)=I1997,"✓","⚠ "&amp;SUM(J1997:N1997)&amp;" statt "&amp;I1997))</f>
        <v/>
      </c>
      <c r="P1997" s="21" t="n"/>
      <c r="Q1997" s="21" t="n"/>
      <c r="R1997" s="21" t="n"/>
      <c r="S1997" s="24" t="n"/>
      <c r="T1997" s="24" t="n"/>
      <c r="V1997">
        <f>IF(A1997="","",MONTH(A1997))</f>
        <v/>
      </c>
      <c r="W1997">
        <f>N(W1996)+IF(AND(C1997&lt;&gt;"",T1997&lt;&gt;""),IF(C1997=WOCHE!$B$3,1,0),0)</f>
        <v/>
      </c>
      <c r="X1997">
        <f>N(X1996)+IF(AND(V1997&lt;&gt;"",T1997&lt;&gt;""),IF(V1997=MONAT!$AZ$3,1,0),0)</f>
        <v/>
      </c>
    </row>
    <row r="1998">
      <c r="A1998" s="19" t="n"/>
      <c r="B1998" s="20">
        <f>IF(A1998="","",CHOOSE(WEEKDAY(A1998,2),"Mo","Di","Mi","Do","Fr","Sa","So"))</f>
        <v/>
      </c>
      <c r="C1998" s="20">
        <f>IF(A1998="","",INT((A1998-DATE(YEAR(A1998-WEEKDAY(A1998-1)+4),1,3)+WEEKDAY(DATE(YEAR(A1998-WEEKDAY(A1998-1)+4),1,3))+5)/7))</f>
        <v/>
      </c>
      <c r="D1998" s="21" t="n"/>
      <c r="E1998" s="22" t="n"/>
      <c r="F1998" s="23" t="n"/>
      <c r="G1998" s="23" t="n"/>
      <c r="H1998" s="23" t="n"/>
      <c r="I1998" s="20">
        <f>IF(COUNT(F1998:H1998)=0,"",SUM(F1998:H1998))</f>
        <v/>
      </c>
      <c r="J1998" s="23" t="n"/>
      <c r="K1998" s="23" t="n"/>
      <c r="L1998" s="23" t="n"/>
      <c r="M1998" s="23" t="n"/>
      <c r="N1998" s="23" t="n"/>
      <c r="O1998" s="20">
        <f>IF(OR(I1998="",COUNT(J1998:N1998)=0),"",IF(SUM(J1998:N1998)=I1998,"✓","⚠ "&amp;SUM(J1998:N1998)&amp;" statt "&amp;I1998))</f>
        <v/>
      </c>
      <c r="P1998" s="21" t="n"/>
      <c r="Q1998" s="21" t="n"/>
      <c r="R1998" s="21" t="n"/>
      <c r="S1998" s="24" t="n"/>
      <c r="T1998" s="24" t="n"/>
      <c r="V1998">
        <f>IF(A1998="","",MONTH(A1998))</f>
        <v/>
      </c>
      <c r="W1998">
        <f>N(W1997)+IF(AND(C1998&lt;&gt;"",T1998&lt;&gt;""),IF(C1998=WOCHE!$B$3,1,0),0)</f>
        <v/>
      </c>
      <c r="X1998">
        <f>N(X1997)+IF(AND(V1998&lt;&gt;"",T1998&lt;&gt;""),IF(V1998=MONAT!$AZ$3,1,0),0)</f>
        <v/>
      </c>
    </row>
    <row r="1999">
      <c r="A1999" s="19" t="n"/>
      <c r="B1999" s="20">
        <f>IF(A1999="","",CHOOSE(WEEKDAY(A1999,2),"Mo","Di","Mi","Do","Fr","Sa","So"))</f>
        <v/>
      </c>
      <c r="C1999" s="20">
        <f>IF(A1999="","",INT((A1999-DATE(YEAR(A1999-WEEKDAY(A1999-1)+4),1,3)+WEEKDAY(DATE(YEAR(A1999-WEEKDAY(A1999-1)+4),1,3))+5)/7))</f>
        <v/>
      </c>
      <c r="D1999" s="21" t="n"/>
      <c r="E1999" s="22" t="n"/>
      <c r="F1999" s="23" t="n"/>
      <c r="G1999" s="23" t="n"/>
      <c r="H1999" s="23" t="n"/>
      <c r="I1999" s="20">
        <f>IF(COUNT(F1999:H1999)=0,"",SUM(F1999:H1999))</f>
        <v/>
      </c>
      <c r="J1999" s="23" t="n"/>
      <c r="K1999" s="23" t="n"/>
      <c r="L1999" s="23" t="n"/>
      <c r="M1999" s="23" t="n"/>
      <c r="N1999" s="23" t="n"/>
      <c r="O1999" s="20">
        <f>IF(OR(I1999="",COUNT(J1999:N1999)=0),"",IF(SUM(J1999:N1999)=I1999,"✓","⚠ "&amp;SUM(J1999:N1999)&amp;" statt "&amp;I1999))</f>
        <v/>
      </c>
      <c r="P1999" s="21" t="n"/>
      <c r="Q1999" s="21" t="n"/>
      <c r="R1999" s="21" t="n"/>
      <c r="S1999" s="24" t="n"/>
      <c r="T1999" s="24" t="n"/>
      <c r="V1999">
        <f>IF(A1999="","",MONTH(A1999))</f>
        <v/>
      </c>
      <c r="W1999">
        <f>N(W1998)+IF(AND(C1999&lt;&gt;"",T1999&lt;&gt;""),IF(C1999=WOCHE!$B$3,1,0),0)</f>
        <v/>
      </c>
      <c r="X1999">
        <f>N(X1998)+IF(AND(V1999&lt;&gt;"",T1999&lt;&gt;""),IF(V1999=MONAT!$AZ$3,1,0),0)</f>
        <v/>
      </c>
    </row>
    <row r="2000">
      <c r="A2000" s="19" t="n"/>
      <c r="B2000" s="20">
        <f>IF(A2000="","",CHOOSE(WEEKDAY(A2000,2),"Mo","Di","Mi","Do","Fr","Sa","So"))</f>
        <v/>
      </c>
      <c r="C2000" s="20">
        <f>IF(A2000="","",INT((A2000-DATE(YEAR(A2000-WEEKDAY(A2000-1)+4),1,3)+WEEKDAY(DATE(YEAR(A2000-WEEKDAY(A2000-1)+4),1,3))+5)/7))</f>
        <v/>
      </c>
      <c r="D2000" s="21" t="n"/>
      <c r="E2000" s="22" t="n"/>
      <c r="F2000" s="23" t="n"/>
      <c r="G2000" s="23" t="n"/>
      <c r="H2000" s="23" t="n"/>
      <c r="I2000" s="20">
        <f>IF(COUNT(F2000:H2000)=0,"",SUM(F2000:H2000))</f>
        <v/>
      </c>
      <c r="J2000" s="23" t="n"/>
      <c r="K2000" s="23" t="n"/>
      <c r="L2000" s="23" t="n"/>
      <c r="M2000" s="23" t="n"/>
      <c r="N2000" s="23" t="n"/>
      <c r="O2000" s="20">
        <f>IF(OR(I2000="",COUNT(J2000:N2000)=0),"",IF(SUM(J2000:N2000)=I2000,"✓","⚠ "&amp;SUM(J2000:N2000)&amp;" statt "&amp;I2000))</f>
        <v/>
      </c>
      <c r="P2000" s="21" t="n"/>
      <c r="Q2000" s="21" t="n"/>
      <c r="R2000" s="21" t="n"/>
      <c r="S2000" s="24" t="n"/>
      <c r="T2000" s="24" t="n"/>
      <c r="V2000">
        <f>IF(A2000="","",MONTH(A2000))</f>
        <v/>
      </c>
      <c r="W2000">
        <f>N(W1999)+IF(AND(C2000&lt;&gt;"",T2000&lt;&gt;""),IF(C2000=WOCHE!$B$3,1,0),0)</f>
        <v/>
      </c>
      <c r="X2000">
        <f>N(X1999)+IF(AND(V2000&lt;&gt;"",T2000&lt;&gt;""),IF(V2000=MONAT!$AZ$3,1,0),0)</f>
        <v/>
      </c>
    </row>
    <row r="2001">
      <c r="A2001" s="19" t="n"/>
      <c r="B2001" s="20">
        <f>IF(A2001="","",CHOOSE(WEEKDAY(A2001,2),"Mo","Di","Mi","Do","Fr","Sa","So"))</f>
        <v/>
      </c>
      <c r="C2001" s="20">
        <f>IF(A2001="","",INT((A2001-DATE(YEAR(A2001-WEEKDAY(A2001-1)+4),1,3)+WEEKDAY(DATE(YEAR(A2001-WEEKDAY(A2001-1)+4),1,3))+5)/7))</f>
        <v/>
      </c>
      <c r="D2001" s="21" t="n"/>
      <c r="E2001" s="22" t="n"/>
      <c r="F2001" s="23" t="n"/>
      <c r="G2001" s="23" t="n"/>
      <c r="H2001" s="23" t="n"/>
      <c r="I2001" s="20">
        <f>IF(COUNT(F2001:H2001)=0,"",SUM(F2001:H2001))</f>
        <v/>
      </c>
      <c r="J2001" s="23" t="n"/>
      <c r="K2001" s="23" t="n"/>
      <c r="L2001" s="23" t="n"/>
      <c r="M2001" s="23" t="n"/>
      <c r="N2001" s="23" t="n"/>
      <c r="O2001" s="20">
        <f>IF(OR(I2001="",COUNT(J2001:N2001)=0),"",IF(SUM(J2001:N2001)=I2001,"✓","⚠ "&amp;SUM(J2001:N2001)&amp;" statt "&amp;I2001))</f>
        <v/>
      </c>
      <c r="P2001" s="21" t="n"/>
      <c r="Q2001" s="21" t="n"/>
      <c r="R2001" s="21" t="n"/>
      <c r="S2001" s="24" t="n"/>
      <c r="T2001" s="24" t="n"/>
      <c r="V2001">
        <f>IF(A2001="","",MONTH(A2001))</f>
        <v/>
      </c>
      <c r="W2001">
        <f>N(W2000)+IF(AND(C2001&lt;&gt;"",T2001&lt;&gt;""),IF(C2001=WOCHE!$B$3,1,0),0)</f>
        <v/>
      </c>
      <c r="X2001">
        <f>N(X2000)+IF(AND(V2001&lt;&gt;"",T2001&lt;&gt;""),IF(V2001=MONAT!$AZ$3,1,0),0)</f>
        <v/>
      </c>
    </row>
    <row r="2002">
      <c r="A2002" s="19" t="n"/>
      <c r="B2002" s="20">
        <f>IF(A2002="","",CHOOSE(WEEKDAY(A2002,2),"Mo","Di","Mi","Do","Fr","Sa","So"))</f>
        <v/>
      </c>
      <c r="C2002" s="20">
        <f>IF(A2002="","",INT((A2002-DATE(YEAR(A2002-WEEKDAY(A2002-1)+4),1,3)+WEEKDAY(DATE(YEAR(A2002-WEEKDAY(A2002-1)+4),1,3))+5)/7))</f>
        <v/>
      </c>
      <c r="D2002" s="21" t="n"/>
      <c r="E2002" s="22" t="n"/>
      <c r="F2002" s="23" t="n"/>
      <c r="G2002" s="23" t="n"/>
      <c r="H2002" s="23" t="n"/>
      <c r="I2002" s="20">
        <f>IF(COUNT(F2002:H2002)=0,"",SUM(F2002:H2002))</f>
        <v/>
      </c>
      <c r="J2002" s="23" t="n"/>
      <c r="K2002" s="23" t="n"/>
      <c r="L2002" s="23" t="n"/>
      <c r="M2002" s="23" t="n"/>
      <c r="N2002" s="23" t="n"/>
      <c r="O2002" s="20">
        <f>IF(OR(I2002="",COUNT(J2002:N2002)=0),"",IF(SUM(J2002:N2002)=I2002,"✓","⚠ "&amp;SUM(J2002:N2002)&amp;" statt "&amp;I2002))</f>
        <v/>
      </c>
      <c r="P2002" s="21" t="n"/>
      <c r="Q2002" s="21" t="n"/>
      <c r="R2002" s="21" t="n"/>
      <c r="S2002" s="24" t="n"/>
      <c r="T2002" s="24" t="n"/>
      <c r="V2002">
        <f>IF(A2002="","",MONTH(A2002))</f>
        <v/>
      </c>
      <c r="W2002">
        <f>N(W2001)+IF(AND(C2002&lt;&gt;"",T2002&lt;&gt;""),IF(C2002=WOCHE!$B$3,1,0),0)</f>
        <v/>
      </c>
      <c r="X2002">
        <f>N(X2001)+IF(AND(V2002&lt;&gt;"",T2002&lt;&gt;""),IF(V2002=MONAT!$AZ$3,1,0),0)</f>
        <v/>
      </c>
    </row>
    <row r="2003">
      <c r="A2003" s="19" t="n"/>
      <c r="B2003" s="20">
        <f>IF(A2003="","",CHOOSE(WEEKDAY(A2003,2),"Mo","Di","Mi","Do","Fr","Sa","So"))</f>
        <v/>
      </c>
      <c r="C2003" s="20">
        <f>IF(A2003="","",INT((A2003-DATE(YEAR(A2003-WEEKDAY(A2003-1)+4),1,3)+WEEKDAY(DATE(YEAR(A2003-WEEKDAY(A2003-1)+4),1,3))+5)/7))</f>
        <v/>
      </c>
      <c r="D2003" s="21" t="n"/>
      <c r="E2003" s="22" t="n"/>
      <c r="F2003" s="23" t="n"/>
      <c r="G2003" s="23" t="n"/>
      <c r="H2003" s="23" t="n"/>
      <c r="I2003" s="20">
        <f>IF(COUNT(F2003:H2003)=0,"",SUM(F2003:H2003))</f>
        <v/>
      </c>
      <c r="J2003" s="23" t="n"/>
      <c r="K2003" s="23" t="n"/>
      <c r="L2003" s="23" t="n"/>
      <c r="M2003" s="23" t="n"/>
      <c r="N2003" s="23" t="n"/>
      <c r="O2003" s="20">
        <f>IF(OR(I2003="",COUNT(J2003:N2003)=0),"",IF(SUM(J2003:N2003)=I2003,"✓","⚠ "&amp;SUM(J2003:N2003)&amp;" statt "&amp;I2003))</f>
        <v/>
      </c>
      <c r="P2003" s="21" t="n"/>
      <c r="Q2003" s="21" t="n"/>
      <c r="R2003" s="21" t="n"/>
      <c r="S2003" s="24" t="n"/>
      <c r="T2003" s="24" t="n"/>
      <c r="V2003">
        <f>IF(A2003="","",MONTH(A2003))</f>
        <v/>
      </c>
      <c r="W2003">
        <f>N(W2002)+IF(AND(C2003&lt;&gt;"",T2003&lt;&gt;""),IF(C2003=WOCHE!$B$3,1,0),0)</f>
        <v/>
      </c>
      <c r="X2003">
        <f>N(X2002)+IF(AND(V2003&lt;&gt;"",T2003&lt;&gt;""),IF(V2003=MONAT!$AZ$3,1,0),0)</f>
        <v/>
      </c>
    </row>
    <row r="2004">
      <c r="A2004" s="19" t="n"/>
      <c r="B2004" s="20">
        <f>IF(A2004="","",CHOOSE(WEEKDAY(A2004,2),"Mo","Di","Mi","Do","Fr","Sa","So"))</f>
        <v/>
      </c>
      <c r="C2004" s="20">
        <f>IF(A2004="","",INT((A2004-DATE(YEAR(A2004-WEEKDAY(A2004-1)+4),1,3)+WEEKDAY(DATE(YEAR(A2004-WEEKDAY(A2004-1)+4),1,3))+5)/7))</f>
        <v/>
      </c>
      <c r="D2004" s="21" t="n"/>
      <c r="E2004" s="22" t="n"/>
      <c r="F2004" s="23" t="n"/>
      <c r="G2004" s="23" t="n"/>
      <c r="H2004" s="23" t="n"/>
      <c r="I2004" s="20">
        <f>IF(COUNT(F2004:H2004)=0,"",SUM(F2004:H2004))</f>
        <v/>
      </c>
      <c r="J2004" s="23" t="n"/>
      <c r="K2004" s="23" t="n"/>
      <c r="L2004" s="23" t="n"/>
      <c r="M2004" s="23" t="n"/>
      <c r="N2004" s="23" t="n"/>
      <c r="O2004" s="20">
        <f>IF(OR(I2004="",COUNT(J2004:N2004)=0),"",IF(SUM(J2004:N2004)=I2004,"✓","⚠ "&amp;SUM(J2004:N2004)&amp;" statt "&amp;I2004))</f>
        <v/>
      </c>
      <c r="P2004" s="21" t="n"/>
      <c r="Q2004" s="21" t="n"/>
      <c r="R2004" s="21" t="n"/>
      <c r="S2004" s="24" t="n"/>
      <c r="T2004" s="24" t="n"/>
      <c r="V2004">
        <f>IF(A2004="","",MONTH(A2004))</f>
        <v/>
      </c>
      <c r="W2004">
        <f>N(W2003)+IF(AND(C2004&lt;&gt;"",T2004&lt;&gt;""),IF(C2004=WOCHE!$B$3,1,0),0)</f>
        <v/>
      </c>
      <c r="X2004">
        <f>N(X2003)+IF(AND(V2004&lt;&gt;"",T2004&lt;&gt;""),IF(V2004=MONAT!$AZ$3,1,0),0)</f>
        <v/>
      </c>
    </row>
    <row r="2005">
      <c r="A2005" s="19" t="n"/>
      <c r="B2005" s="20">
        <f>IF(A2005="","",CHOOSE(WEEKDAY(A2005,2),"Mo","Di","Mi","Do","Fr","Sa","So"))</f>
        <v/>
      </c>
      <c r="C2005" s="20">
        <f>IF(A2005="","",INT((A2005-DATE(YEAR(A2005-WEEKDAY(A2005-1)+4),1,3)+WEEKDAY(DATE(YEAR(A2005-WEEKDAY(A2005-1)+4),1,3))+5)/7))</f>
        <v/>
      </c>
      <c r="D2005" s="21" t="n"/>
      <c r="E2005" s="22" t="n"/>
      <c r="F2005" s="23" t="n"/>
      <c r="G2005" s="23" t="n"/>
      <c r="H2005" s="23" t="n"/>
      <c r="I2005" s="20">
        <f>IF(COUNT(F2005:H2005)=0,"",SUM(F2005:H2005))</f>
        <v/>
      </c>
      <c r="J2005" s="23" t="n"/>
      <c r="K2005" s="23" t="n"/>
      <c r="L2005" s="23" t="n"/>
      <c r="M2005" s="23" t="n"/>
      <c r="N2005" s="23" t="n"/>
      <c r="O2005" s="20">
        <f>IF(OR(I2005="",COUNT(J2005:N2005)=0),"",IF(SUM(J2005:N2005)=I2005,"✓","⚠ "&amp;SUM(J2005:N2005)&amp;" statt "&amp;I2005))</f>
        <v/>
      </c>
      <c r="P2005" s="21" t="n"/>
      <c r="Q2005" s="21" t="n"/>
      <c r="R2005" s="21" t="n"/>
      <c r="S2005" s="24" t="n"/>
      <c r="T2005" s="24" t="n"/>
      <c r="V2005">
        <f>IF(A2005="","",MONTH(A2005))</f>
        <v/>
      </c>
      <c r="W2005">
        <f>N(W2004)+IF(AND(C2005&lt;&gt;"",T2005&lt;&gt;""),IF(C2005=WOCHE!$B$3,1,0),0)</f>
        <v/>
      </c>
      <c r="X2005">
        <f>N(X2004)+IF(AND(V2005&lt;&gt;"",T2005&lt;&gt;""),IF(V2005=MONAT!$AZ$3,1,0),0)</f>
        <v/>
      </c>
    </row>
    <row r="2006">
      <c r="A2006" s="19" t="n"/>
      <c r="B2006" s="20">
        <f>IF(A2006="","",CHOOSE(WEEKDAY(A2006,2),"Mo","Di","Mi","Do","Fr","Sa","So"))</f>
        <v/>
      </c>
      <c r="C2006" s="20">
        <f>IF(A2006="","",INT((A2006-DATE(YEAR(A2006-WEEKDAY(A2006-1)+4),1,3)+WEEKDAY(DATE(YEAR(A2006-WEEKDAY(A2006-1)+4),1,3))+5)/7))</f>
        <v/>
      </c>
      <c r="D2006" s="21" t="n"/>
      <c r="E2006" s="22" t="n"/>
      <c r="F2006" s="23" t="n"/>
      <c r="G2006" s="23" t="n"/>
      <c r="H2006" s="23" t="n"/>
      <c r="I2006" s="20">
        <f>IF(COUNT(F2006:H2006)=0,"",SUM(F2006:H2006))</f>
        <v/>
      </c>
      <c r="J2006" s="23" t="n"/>
      <c r="K2006" s="23" t="n"/>
      <c r="L2006" s="23" t="n"/>
      <c r="M2006" s="23" t="n"/>
      <c r="N2006" s="23" t="n"/>
      <c r="O2006" s="20">
        <f>IF(OR(I2006="",COUNT(J2006:N2006)=0),"",IF(SUM(J2006:N2006)=I2006,"✓","⚠ "&amp;SUM(J2006:N2006)&amp;" statt "&amp;I2006))</f>
        <v/>
      </c>
      <c r="P2006" s="21" t="n"/>
      <c r="Q2006" s="21" t="n"/>
      <c r="R2006" s="21" t="n"/>
      <c r="S2006" s="24" t="n"/>
      <c r="T2006" s="24" t="n"/>
      <c r="V2006">
        <f>IF(A2006="","",MONTH(A2006))</f>
        <v/>
      </c>
      <c r="W2006">
        <f>N(W2005)+IF(AND(C2006&lt;&gt;"",T2006&lt;&gt;""),IF(C2006=WOCHE!$B$3,1,0),0)</f>
        <v/>
      </c>
      <c r="X2006">
        <f>N(X2005)+IF(AND(V2006&lt;&gt;"",T2006&lt;&gt;""),IF(V2006=MONAT!$AZ$3,1,0),0)</f>
        <v/>
      </c>
    </row>
    <row r="2007">
      <c r="A2007" s="19" t="n"/>
      <c r="B2007" s="20">
        <f>IF(A2007="","",CHOOSE(WEEKDAY(A2007,2),"Mo","Di","Mi","Do","Fr","Sa","So"))</f>
        <v/>
      </c>
      <c r="C2007" s="20">
        <f>IF(A2007="","",INT((A2007-DATE(YEAR(A2007-WEEKDAY(A2007-1)+4),1,3)+WEEKDAY(DATE(YEAR(A2007-WEEKDAY(A2007-1)+4),1,3))+5)/7))</f>
        <v/>
      </c>
      <c r="D2007" s="21" t="n"/>
      <c r="E2007" s="22" t="n"/>
      <c r="F2007" s="23" t="n"/>
      <c r="G2007" s="23" t="n"/>
      <c r="H2007" s="23" t="n"/>
      <c r="I2007" s="20">
        <f>IF(COUNT(F2007:H2007)=0,"",SUM(F2007:H2007))</f>
        <v/>
      </c>
      <c r="J2007" s="23" t="n"/>
      <c r="K2007" s="23" t="n"/>
      <c r="L2007" s="23" t="n"/>
      <c r="M2007" s="23" t="n"/>
      <c r="N2007" s="23" t="n"/>
      <c r="O2007" s="20">
        <f>IF(OR(I2007="",COUNT(J2007:N2007)=0),"",IF(SUM(J2007:N2007)=I2007,"✓","⚠ "&amp;SUM(J2007:N2007)&amp;" statt "&amp;I2007))</f>
        <v/>
      </c>
      <c r="P2007" s="21" t="n"/>
      <c r="Q2007" s="21" t="n"/>
      <c r="R2007" s="21" t="n"/>
      <c r="S2007" s="24" t="n"/>
      <c r="T2007" s="24" t="n"/>
      <c r="V2007">
        <f>IF(A2007="","",MONTH(A2007))</f>
        <v/>
      </c>
      <c r="W2007">
        <f>N(W2006)+IF(AND(C2007&lt;&gt;"",T2007&lt;&gt;""),IF(C2007=WOCHE!$B$3,1,0),0)</f>
        <v/>
      </c>
      <c r="X2007">
        <f>N(X2006)+IF(AND(V2007&lt;&gt;"",T2007&lt;&gt;""),IF(V2007=MONAT!$AZ$3,1,0),0)</f>
        <v/>
      </c>
    </row>
    <row r="2008">
      <c r="A2008" s="19" t="n"/>
      <c r="B2008" s="20">
        <f>IF(A2008="","",CHOOSE(WEEKDAY(A2008,2),"Mo","Di","Mi","Do","Fr","Sa","So"))</f>
        <v/>
      </c>
      <c r="C2008" s="20">
        <f>IF(A2008="","",INT((A2008-DATE(YEAR(A2008-WEEKDAY(A2008-1)+4),1,3)+WEEKDAY(DATE(YEAR(A2008-WEEKDAY(A2008-1)+4),1,3))+5)/7))</f>
        <v/>
      </c>
      <c r="D2008" s="21" t="n"/>
      <c r="E2008" s="22" t="n"/>
      <c r="F2008" s="23" t="n"/>
      <c r="G2008" s="23" t="n"/>
      <c r="H2008" s="23" t="n"/>
      <c r="I2008" s="20">
        <f>IF(COUNT(F2008:H2008)=0,"",SUM(F2008:H2008))</f>
        <v/>
      </c>
      <c r="J2008" s="23" t="n"/>
      <c r="K2008" s="23" t="n"/>
      <c r="L2008" s="23" t="n"/>
      <c r="M2008" s="23" t="n"/>
      <c r="N2008" s="23" t="n"/>
      <c r="O2008" s="20">
        <f>IF(OR(I2008="",COUNT(J2008:N2008)=0),"",IF(SUM(J2008:N2008)=I2008,"✓","⚠ "&amp;SUM(J2008:N2008)&amp;" statt "&amp;I2008))</f>
        <v/>
      </c>
      <c r="P2008" s="21" t="n"/>
      <c r="Q2008" s="21" t="n"/>
      <c r="R2008" s="21" t="n"/>
      <c r="S2008" s="24" t="n"/>
      <c r="T2008" s="24" t="n"/>
      <c r="V2008">
        <f>IF(A2008="","",MONTH(A2008))</f>
        <v/>
      </c>
      <c r="W2008">
        <f>N(W2007)+IF(AND(C2008&lt;&gt;"",T2008&lt;&gt;""),IF(C2008=WOCHE!$B$3,1,0),0)</f>
        <v/>
      </c>
      <c r="X2008">
        <f>N(X2007)+IF(AND(V2008&lt;&gt;"",T2008&lt;&gt;""),IF(V2008=MONAT!$AZ$3,1,0),0)</f>
        <v/>
      </c>
    </row>
    <row r="2009">
      <c r="A2009" s="19" t="n"/>
      <c r="B2009" s="20">
        <f>IF(A2009="","",CHOOSE(WEEKDAY(A2009,2),"Mo","Di","Mi","Do","Fr","Sa","So"))</f>
        <v/>
      </c>
      <c r="C2009" s="20">
        <f>IF(A2009="","",INT((A2009-DATE(YEAR(A2009-WEEKDAY(A2009-1)+4),1,3)+WEEKDAY(DATE(YEAR(A2009-WEEKDAY(A2009-1)+4),1,3))+5)/7))</f>
        <v/>
      </c>
      <c r="D2009" s="21" t="n"/>
      <c r="E2009" s="22" t="n"/>
      <c r="F2009" s="23" t="n"/>
      <c r="G2009" s="23" t="n"/>
      <c r="H2009" s="23" t="n"/>
      <c r="I2009" s="20">
        <f>IF(COUNT(F2009:H2009)=0,"",SUM(F2009:H2009))</f>
        <v/>
      </c>
      <c r="J2009" s="23" t="n"/>
      <c r="K2009" s="23" t="n"/>
      <c r="L2009" s="23" t="n"/>
      <c r="M2009" s="23" t="n"/>
      <c r="N2009" s="23" t="n"/>
      <c r="O2009" s="20">
        <f>IF(OR(I2009="",COUNT(J2009:N2009)=0),"",IF(SUM(J2009:N2009)=I2009,"✓","⚠ "&amp;SUM(J2009:N2009)&amp;" statt "&amp;I2009))</f>
        <v/>
      </c>
      <c r="P2009" s="21" t="n"/>
      <c r="Q2009" s="21" t="n"/>
      <c r="R2009" s="21" t="n"/>
      <c r="S2009" s="24" t="n"/>
      <c r="T2009" s="24" t="n"/>
      <c r="V2009">
        <f>IF(A2009="","",MONTH(A2009))</f>
        <v/>
      </c>
      <c r="W2009">
        <f>N(W2008)+IF(AND(C2009&lt;&gt;"",T2009&lt;&gt;""),IF(C2009=WOCHE!$B$3,1,0),0)</f>
        <v/>
      </c>
      <c r="X2009">
        <f>N(X2008)+IF(AND(V2009&lt;&gt;"",T2009&lt;&gt;""),IF(V2009=MONAT!$AZ$3,1,0),0)</f>
        <v/>
      </c>
    </row>
    <row r="2010">
      <c r="A2010" s="19" t="n"/>
      <c r="B2010" s="20">
        <f>IF(A2010="","",CHOOSE(WEEKDAY(A2010,2),"Mo","Di","Mi","Do","Fr","Sa","So"))</f>
        <v/>
      </c>
      <c r="C2010" s="20">
        <f>IF(A2010="","",INT((A2010-DATE(YEAR(A2010-WEEKDAY(A2010-1)+4),1,3)+WEEKDAY(DATE(YEAR(A2010-WEEKDAY(A2010-1)+4),1,3))+5)/7))</f>
        <v/>
      </c>
      <c r="D2010" s="21" t="n"/>
      <c r="E2010" s="22" t="n"/>
      <c r="F2010" s="23" t="n"/>
      <c r="G2010" s="23" t="n"/>
      <c r="H2010" s="23" t="n"/>
      <c r="I2010" s="20">
        <f>IF(COUNT(F2010:H2010)=0,"",SUM(F2010:H2010))</f>
        <v/>
      </c>
      <c r="J2010" s="23" t="n"/>
      <c r="K2010" s="23" t="n"/>
      <c r="L2010" s="23" t="n"/>
      <c r="M2010" s="23" t="n"/>
      <c r="N2010" s="23" t="n"/>
      <c r="O2010" s="20">
        <f>IF(OR(I2010="",COUNT(J2010:N2010)=0),"",IF(SUM(J2010:N2010)=I2010,"✓","⚠ "&amp;SUM(J2010:N2010)&amp;" statt "&amp;I2010))</f>
        <v/>
      </c>
      <c r="P2010" s="21" t="n"/>
      <c r="Q2010" s="21" t="n"/>
      <c r="R2010" s="21" t="n"/>
      <c r="S2010" s="24" t="n"/>
      <c r="T2010" s="24" t="n"/>
      <c r="V2010">
        <f>IF(A2010="","",MONTH(A2010))</f>
        <v/>
      </c>
      <c r="W2010">
        <f>N(W2009)+IF(AND(C2010&lt;&gt;"",T2010&lt;&gt;""),IF(C2010=WOCHE!$B$3,1,0),0)</f>
        <v/>
      </c>
      <c r="X2010">
        <f>N(X2009)+IF(AND(V2010&lt;&gt;"",T2010&lt;&gt;""),IF(V2010=MONAT!$AZ$3,1,0),0)</f>
        <v/>
      </c>
    </row>
    <row r="2011">
      <c r="A2011" s="19" t="n"/>
      <c r="B2011" s="20">
        <f>IF(A2011="","",CHOOSE(WEEKDAY(A2011,2),"Mo","Di","Mi","Do","Fr","Sa","So"))</f>
        <v/>
      </c>
      <c r="C2011" s="20">
        <f>IF(A2011="","",INT((A2011-DATE(YEAR(A2011-WEEKDAY(A2011-1)+4),1,3)+WEEKDAY(DATE(YEAR(A2011-WEEKDAY(A2011-1)+4),1,3))+5)/7))</f>
        <v/>
      </c>
      <c r="D2011" s="21" t="n"/>
      <c r="E2011" s="22" t="n"/>
      <c r="F2011" s="23" t="n"/>
      <c r="G2011" s="23" t="n"/>
      <c r="H2011" s="23" t="n"/>
      <c r="I2011" s="20">
        <f>IF(COUNT(F2011:H2011)=0,"",SUM(F2011:H2011))</f>
        <v/>
      </c>
      <c r="J2011" s="23" t="n"/>
      <c r="K2011" s="23" t="n"/>
      <c r="L2011" s="23" t="n"/>
      <c r="M2011" s="23" t="n"/>
      <c r="N2011" s="23" t="n"/>
      <c r="O2011" s="20">
        <f>IF(OR(I2011="",COUNT(J2011:N2011)=0),"",IF(SUM(J2011:N2011)=I2011,"✓","⚠ "&amp;SUM(J2011:N2011)&amp;" statt "&amp;I2011))</f>
        <v/>
      </c>
      <c r="P2011" s="21" t="n"/>
      <c r="Q2011" s="21" t="n"/>
      <c r="R2011" s="21" t="n"/>
      <c r="S2011" s="24" t="n"/>
      <c r="T2011" s="24" t="n"/>
      <c r="V2011">
        <f>IF(A2011="","",MONTH(A2011))</f>
        <v/>
      </c>
      <c r="W2011">
        <f>N(W2010)+IF(AND(C2011&lt;&gt;"",T2011&lt;&gt;""),IF(C2011=WOCHE!$B$3,1,0),0)</f>
        <v/>
      </c>
      <c r="X2011">
        <f>N(X2010)+IF(AND(V2011&lt;&gt;"",T2011&lt;&gt;""),IF(V2011=MONAT!$AZ$3,1,0),0)</f>
        <v/>
      </c>
    </row>
    <row r="2012">
      <c r="A2012" s="19" t="n"/>
      <c r="B2012" s="20">
        <f>IF(A2012="","",CHOOSE(WEEKDAY(A2012,2),"Mo","Di","Mi","Do","Fr","Sa","So"))</f>
        <v/>
      </c>
      <c r="C2012" s="20">
        <f>IF(A2012="","",INT((A2012-DATE(YEAR(A2012-WEEKDAY(A2012-1)+4),1,3)+WEEKDAY(DATE(YEAR(A2012-WEEKDAY(A2012-1)+4),1,3))+5)/7))</f>
        <v/>
      </c>
      <c r="D2012" s="21" t="n"/>
      <c r="E2012" s="22" t="n"/>
      <c r="F2012" s="23" t="n"/>
      <c r="G2012" s="23" t="n"/>
      <c r="H2012" s="23" t="n"/>
      <c r="I2012" s="20">
        <f>IF(COUNT(F2012:H2012)=0,"",SUM(F2012:H2012))</f>
        <v/>
      </c>
      <c r="J2012" s="23" t="n"/>
      <c r="K2012" s="23" t="n"/>
      <c r="L2012" s="23" t="n"/>
      <c r="M2012" s="23" t="n"/>
      <c r="N2012" s="23" t="n"/>
      <c r="O2012" s="20">
        <f>IF(OR(I2012="",COUNT(J2012:N2012)=0),"",IF(SUM(J2012:N2012)=I2012,"✓","⚠ "&amp;SUM(J2012:N2012)&amp;" statt "&amp;I2012))</f>
        <v/>
      </c>
      <c r="P2012" s="21" t="n"/>
      <c r="Q2012" s="21" t="n"/>
      <c r="R2012" s="21" t="n"/>
      <c r="S2012" s="24" t="n"/>
      <c r="T2012" s="24" t="n"/>
      <c r="V2012">
        <f>IF(A2012="","",MONTH(A2012))</f>
        <v/>
      </c>
      <c r="W2012">
        <f>N(W2011)+IF(AND(C2012&lt;&gt;"",T2012&lt;&gt;""),IF(C2012=WOCHE!$B$3,1,0),0)</f>
        <v/>
      </c>
      <c r="X2012">
        <f>N(X2011)+IF(AND(V2012&lt;&gt;"",T2012&lt;&gt;""),IF(V2012=MONAT!$AZ$3,1,0),0)</f>
        <v/>
      </c>
    </row>
    <row r="2013">
      <c r="A2013" s="19" t="n"/>
      <c r="B2013" s="20">
        <f>IF(A2013="","",CHOOSE(WEEKDAY(A2013,2),"Mo","Di","Mi","Do","Fr","Sa","So"))</f>
        <v/>
      </c>
      <c r="C2013" s="20">
        <f>IF(A2013="","",INT((A2013-DATE(YEAR(A2013-WEEKDAY(A2013-1)+4),1,3)+WEEKDAY(DATE(YEAR(A2013-WEEKDAY(A2013-1)+4),1,3))+5)/7))</f>
        <v/>
      </c>
      <c r="D2013" s="21" t="n"/>
      <c r="E2013" s="22" t="n"/>
      <c r="F2013" s="23" t="n"/>
      <c r="G2013" s="23" t="n"/>
      <c r="H2013" s="23" t="n"/>
      <c r="I2013" s="20">
        <f>IF(COUNT(F2013:H2013)=0,"",SUM(F2013:H2013))</f>
        <v/>
      </c>
      <c r="J2013" s="23" t="n"/>
      <c r="K2013" s="23" t="n"/>
      <c r="L2013" s="23" t="n"/>
      <c r="M2013" s="23" t="n"/>
      <c r="N2013" s="23" t="n"/>
      <c r="O2013" s="20">
        <f>IF(OR(I2013="",COUNT(J2013:N2013)=0),"",IF(SUM(J2013:N2013)=I2013,"✓","⚠ "&amp;SUM(J2013:N2013)&amp;" statt "&amp;I2013))</f>
        <v/>
      </c>
      <c r="P2013" s="21" t="n"/>
      <c r="Q2013" s="21" t="n"/>
      <c r="R2013" s="21" t="n"/>
      <c r="S2013" s="24" t="n"/>
      <c r="T2013" s="24" t="n"/>
      <c r="V2013">
        <f>IF(A2013="","",MONTH(A2013))</f>
        <v/>
      </c>
      <c r="W2013">
        <f>N(W2012)+IF(AND(C2013&lt;&gt;"",T2013&lt;&gt;""),IF(C2013=WOCHE!$B$3,1,0),0)</f>
        <v/>
      </c>
      <c r="X2013">
        <f>N(X2012)+IF(AND(V2013&lt;&gt;"",T2013&lt;&gt;""),IF(V2013=MONAT!$AZ$3,1,0),0)</f>
        <v/>
      </c>
    </row>
    <row r="2014">
      <c r="A2014" s="19" t="n"/>
      <c r="B2014" s="20">
        <f>IF(A2014="","",CHOOSE(WEEKDAY(A2014,2),"Mo","Di","Mi","Do","Fr","Sa","So"))</f>
        <v/>
      </c>
      <c r="C2014" s="20">
        <f>IF(A2014="","",INT((A2014-DATE(YEAR(A2014-WEEKDAY(A2014-1)+4),1,3)+WEEKDAY(DATE(YEAR(A2014-WEEKDAY(A2014-1)+4),1,3))+5)/7))</f>
        <v/>
      </c>
      <c r="D2014" s="21" t="n"/>
      <c r="E2014" s="22" t="n"/>
      <c r="F2014" s="23" t="n"/>
      <c r="G2014" s="23" t="n"/>
      <c r="H2014" s="23" t="n"/>
      <c r="I2014" s="20">
        <f>IF(COUNT(F2014:H2014)=0,"",SUM(F2014:H2014))</f>
        <v/>
      </c>
      <c r="J2014" s="23" t="n"/>
      <c r="K2014" s="23" t="n"/>
      <c r="L2014" s="23" t="n"/>
      <c r="M2014" s="23" t="n"/>
      <c r="N2014" s="23" t="n"/>
      <c r="O2014" s="20">
        <f>IF(OR(I2014="",COUNT(J2014:N2014)=0),"",IF(SUM(J2014:N2014)=I2014,"✓","⚠ "&amp;SUM(J2014:N2014)&amp;" statt "&amp;I2014))</f>
        <v/>
      </c>
      <c r="P2014" s="21" t="n"/>
      <c r="Q2014" s="21" t="n"/>
      <c r="R2014" s="21" t="n"/>
      <c r="S2014" s="24" t="n"/>
      <c r="T2014" s="24" t="n"/>
      <c r="V2014">
        <f>IF(A2014="","",MONTH(A2014))</f>
        <v/>
      </c>
      <c r="W2014">
        <f>N(W2013)+IF(AND(C2014&lt;&gt;"",T2014&lt;&gt;""),IF(C2014=WOCHE!$B$3,1,0),0)</f>
        <v/>
      </c>
      <c r="X2014">
        <f>N(X2013)+IF(AND(V2014&lt;&gt;"",T2014&lt;&gt;""),IF(V2014=MONAT!$AZ$3,1,0),0)</f>
        <v/>
      </c>
    </row>
    <row r="2015">
      <c r="A2015" s="19" t="n"/>
      <c r="B2015" s="20">
        <f>IF(A2015="","",CHOOSE(WEEKDAY(A2015,2),"Mo","Di","Mi","Do","Fr","Sa","So"))</f>
        <v/>
      </c>
      <c r="C2015" s="20">
        <f>IF(A2015="","",INT((A2015-DATE(YEAR(A2015-WEEKDAY(A2015-1)+4),1,3)+WEEKDAY(DATE(YEAR(A2015-WEEKDAY(A2015-1)+4),1,3))+5)/7))</f>
        <v/>
      </c>
      <c r="D2015" s="21" t="n"/>
      <c r="E2015" s="22" t="n"/>
      <c r="F2015" s="23" t="n"/>
      <c r="G2015" s="23" t="n"/>
      <c r="H2015" s="23" t="n"/>
      <c r="I2015" s="20">
        <f>IF(COUNT(F2015:H2015)=0,"",SUM(F2015:H2015))</f>
        <v/>
      </c>
      <c r="J2015" s="23" t="n"/>
      <c r="K2015" s="23" t="n"/>
      <c r="L2015" s="23" t="n"/>
      <c r="M2015" s="23" t="n"/>
      <c r="N2015" s="23" t="n"/>
      <c r="O2015" s="20">
        <f>IF(OR(I2015="",COUNT(J2015:N2015)=0),"",IF(SUM(J2015:N2015)=I2015,"✓","⚠ "&amp;SUM(J2015:N2015)&amp;" statt "&amp;I2015))</f>
        <v/>
      </c>
      <c r="P2015" s="21" t="n"/>
      <c r="Q2015" s="21" t="n"/>
      <c r="R2015" s="21" t="n"/>
      <c r="S2015" s="24" t="n"/>
      <c r="T2015" s="24" t="n"/>
      <c r="V2015">
        <f>IF(A2015="","",MONTH(A2015))</f>
        <v/>
      </c>
      <c r="W2015">
        <f>N(W2014)+IF(AND(C2015&lt;&gt;"",T2015&lt;&gt;""),IF(C2015=WOCHE!$B$3,1,0),0)</f>
        <v/>
      </c>
      <c r="X2015">
        <f>N(X2014)+IF(AND(V2015&lt;&gt;"",T2015&lt;&gt;""),IF(V2015=MONAT!$AZ$3,1,0),0)</f>
        <v/>
      </c>
    </row>
    <row r="2016">
      <c r="A2016" s="19" t="n"/>
      <c r="B2016" s="20">
        <f>IF(A2016="","",CHOOSE(WEEKDAY(A2016,2),"Mo","Di","Mi","Do","Fr","Sa","So"))</f>
        <v/>
      </c>
      <c r="C2016" s="20">
        <f>IF(A2016="","",INT((A2016-DATE(YEAR(A2016-WEEKDAY(A2016-1)+4),1,3)+WEEKDAY(DATE(YEAR(A2016-WEEKDAY(A2016-1)+4),1,3))+5)/7))</f>
        <v/>
      </c>
      <c r="D2016" s="21" t="n"/>
      <c r="E2016" s="22" t="n"/>
      <c r="F2016" s="23" t="n"/>
      <c r="G2016" s="23" t="n"/>
      <c r="H2016" s="23" t="n"/>
      <c r="I2016" s="20">
        <f>IF(COUNT(F2016:H2016)=0,"",SUM(F2016:H2016))</f>
        <v/>
      </c>
      <c r="J2016" s="23" t="n"/>
      <c r="K2016" s="23" t="n"/>
      <c r="L2016" s="23" t="n"/>
      <c r="M2016" s="23" t="n"/>
      <c r="N2016" s="23" t="n"/>
      <c r="O2016" s="20">
        <f>IF(OR(I2016="",COUNT(J2016:N2016)=0),"",IF(SUM(J2016:N2016)=I2016,"✓","⚠ "&amp;SUM(J2016:N2016)&amp;" statt "&amp;I2016))</f>
        <v/>
      </c>
      <c r="P2016" s="21" t="n"/>
      <c r="Q2016" s="21" t="n"/>
      <c r="R2016" s="21" t="n"/>
      <c r="S2016" s="24" t="n"/>
      <c r="T2016" s="24" t="n"/>
      <c r="V2016">
        <f>IF(A2016="","",MONTH(A2016))</f>
        <v/>
      </c>
      <c r="W2016">
        <f>N(W2015)+IF(AND(C2016&lt;&gt;"",T2016&lt;&gt;""),IF(C2016=WOCHE!$B$3,1,0),0)</f>
        <v/>
      </c>
      <c r="X2016">
        <f>N(X2015)+IF(AND(V2016&lt;&gt;"",T2016&lt;&gt;""),IF(V2016=MONAT!$AZ$3,1,0),0)</f>
        <v/>
      </c>
    </row>
    <row r="2017">
      <c r="A2017" s="19" t="n"/>
      <c r="B2017" s="20">
        <f>IF(A2017="","",CHOOSE(WEEKDAY(A2017,2),"Mo","Di","Mi","Do","Fr","Sa","So"))</f>
        <v/>
      </c>
      <c r="C2017" s="20">
        <f>IF(A2017="","",INT((A2017-DATE(YEAR(A2017-WEEKDAY(A2017-1)+4),1,3)+WEEKDAY(DATE(YEAR(A2017-WEEKDAY(A2017-1)+4),1,3))+5)/7))</f>
        <v/>
      </c>
      <c r="D2017" s="21" t="n"/>
      <c r="E2017" s="22" t="n"/>
      <c r="F2017" s="23" t="n"/>
      <c r="G2017" s="23" t="n"/>
      <c r="H2017" s="23" t="n"/>
      <c r="I2017" s="20">
        <f>IF(COUNT(F2017:H2017)=0,"",SUM(F2017:H2017))</f>
        <v/>
      </c>
      <c r="J2017" s="23" t="n"/>
      <c r="K2017" s="23" t="n"/>
      <c r="L2017" s="23" t="n"/>
      <c r="M2017" s="23" t="n"/>
      <c r="N2017" s="23" t="n"/>
      <c r="O2017" s="20">
        <f>IF(OR(I2017="",COUNT(J2017:N2017)=0),"",IF(SUM(J2017:N2017)=I2017,"✓","⚠ "&amp;SUM(J2017:N2017)&amp;" statt "&amp;I2017))</f>
        <v/>
      </c>
      <c r="P2017" s="21" t="n"/>
      <c r="Q2017" s="21" t="n"/>
      <c r="R2017" s="21" t="n"/>
      <c r="S2017" s="24" t="n"/>
      <c r="T2017" s="24" t="n"/>
      <c r="V2017">
        <f>IF(A2017="","",MONTH(A2017))</f>
        <v/>
      </c>
      <c r="W2017">
        <f>N(W2016)+IF(AND(C2017&lt;&gt;"",T2017&lt;&gt;""),IF(C2017=WOCHE!$B$3,1,0),0)</f>
        <v/>
      </c>
      <c r="X2017">
        <f>N(X2016)+IF(AND(V2017&lt;&gt;"",T2017&lt;&gt;""),IF(V2017=MONAT!$AZ$3,1,0),0)</f>
        <v/>
      </c>
    </row>
    <row r="2018">
      <c r="A2018" s="19" t="n"/>
      <c r="B2018" s="20">
        <f>IF(A2018="","",CHOOSE(WEEKDAY(A2018,2),"Mo","Di","Mi","Do","Fr","Sa","So"))</f>
        <v/>
      </c>
      <c r="C2018" s="20">
        <f>IF(A2018="","",INT((A2018-DATE(YEAR(A2018-WEEKDAY(A2018-1)+4),1,3)+WEEKDAY(DATE(YEAR(A2018-WEEKDAY(A2018-1)+4),1,3))+5)/7))</f>
        <v/>
      </c>
      <c r="D2018" s="21" t="n"/>
      <c r="E2018" s="22" t="n"/>
      <c r="F2018" s="23" t="n"/>
      <c r="G2018" s="23" t="n"/>
      <c r="H2018" s="23" t="n"/>
      <c r="I2018" s="20">
        <f>IF(COUNT(F2018:H2018)=0,"",SUM(F2018:H2018))</f>
        <v/>
      </c>
      <c r="J2018" s="23" t="n"/>
      <c r="K2018" s="23" t="n"/>
      <c r="L2018" s="23" t="n"/>
      <c r="M2018" s="23" t="n"/>
      <c r="N2018" s="23" t="n"/>
      <c r="O2018" s="20">
        <f>IF(OR(I2018="",COUNT(J2018:N2018)=0),"",IF(SUM(J2018:N2018)=I2018,"✓","⚠ "&amp;SUM(J2018:N2018)&amp;" statt "&amp;I2018))</f>
        <v/>
      </c>
      <c r="P2018" s="21" t="n"/>
      <c r="Q2018" s="21" t="n"/>
      <c r="R2018" s="21" t="n"/>
      <c r="S2018" s="24" t="n"/>
      <c r="T2018" s="24" t="n"/>
      <c r="V2018">
        <f>IF(A2018="","",MONTH(A2018))</f>
        <v/>
      </c>
      <c r="W2018">
        <f>N(W2017)+IF(AND(C2018&lt;&gt;"",T2018&lt;&gt;""),IF(C2018=WOCHE!$B$3,1,0),0)</f>
        <v/>
      </c>
      <c r="X2018">
        <f>N(X2017)+IF(AND(V2018&lt;&gt;"",T2018&lt;&gt;""),IF(V2018=MONAT!$AZ$3,1,0),0)</f>
        <v/>
      </c>
    </row>
    <row r="2019">
      <c r="A2019" s="19" t="n"/>
      <c r="B2019" s="20">
        <f>IF(A2019="","",CHOOSE(WEEKDAY(A2019,2),"Mo","Di","Mi","Do","Fr","Sa","So"))</f>
        <v/>
      </c>
      <c r="C2019" s="20">
        <f>IF(A2019="","",INT((A2019-DATE(YEAR(A2019-WEEKDAY(A2019-1)+4),1,3)+WEEKDAY(DATE(YEAR(A2019-WEEKDAY(A2019-1)+4),1,3))+5)/7))</f>
        <v/>
      </c>
      <c r="D2019" s="21" t="n"/>
      <c r="E2019" s="22" t="n"/>
      <c r="F2019" s="23" t="n"/>
      <c r="G2019" s="23" t="n"/>
      <c r="H2019" s="23" t="n"/>
      <c r="I2019" s="20">
        <f>IF(COUNT(F2019:H2019)=0,"",SUM(F2019:H2019))</f>
        <v/>
      </c>
      <c r="J2019" s="23" t="n"/>
      <c r="K2019" s="23" t="n"/>
      <c r="L2019" s="23" t="n"/>
      <c r="M2019" s="23" t="n"/>
      <c r="N2019" s="23" t="n"/>
      <c r="O2019" s="20">
        <f>IF(OR(I2019="",COUNT(J2019:N2019)=0),"",IF(SUM(J2019:N2019)=I2019,"✓","⚠ "&amp;SUM(J2019:N2019)&amp;" statt "&amp;I2019))</f>
        <v/>
      </c>
      <c r="P2019" s="21" t="n"/>
      <c r="Q2019" s="21" t="n"/>
      <c r="R2019" s="21" t="n"/>
      <c r="S2019" s="24" t="n"/>
      <c r="T2019" s="24" t="n"/>
      <c r="V2019">
        <f>IF(A2019="","",MONTH(A2019))</f>
        <v/>
      </c>
      <c r="W2019">
        <f>N(W2018)+IF(AND(C2019&lt;&gt;"",T2019&lt;&gt;""),IF(C2019=WOCHE!$B$3,1,0),0)</f>
        <v/>
      </c>
      <c r="X2019">
        <f>N(X2018)+IF(AND(V2019&lt;&gt;"",T2019&lt;&gt;""),IF(V2019=MONAT!$AZ$3,1,0),0)</f>
        <v/>
      </c>
    </row>
    <row r="2020">
      <c r="A2020" s="19" t="n"/>
      <c r="B2020" s="20">
        <f>IF(A2020="","",CHOOSE(WEEKDAY(A2020,2),"Mo","Di","Mi","Do","Fr","Sa","So"))</f>
        <v/>
      </c>
      <c r="C2020" s="20">
        <f>IF(A2020="","",INT((A2020-DATE(YEAR(A2020-WEEKDAY(A2020-1)+4),1,3)+WEEKDAY(DATE(YEAR(A2020-WEEKDAY(A2020-1)+4),1,3))+5)/7))</f>
        <v/>
      </c>
      <c r="D2020" s="21" t="n"/>
      <c r="E2020" s="22" t="n"/>
      <c r="F2020" s="23" t="n"/>
      <c r="G2020" s="23" t="n"/>
      <c r="H2020" s="23" t="n"/>
      <c r="I2020" s="20">
        <f>IF(COUNT(F2020:H2020)=0,"",SUM(F2020:H2020))</f>
        <v/>
      </c>
      <c r="J2020" s="23" t="n"/>
      <c r="K2020" s="23" t="n"/>
      <c r="L2020" s="23" t="n"/>
      <c r="M2020" s="23" t="n"/>
      <c r="N2020" s="23" t="n"/>
      <c r="O2020" s="20">
        <f>IF(OR(I2020="",COUNT(J2020:N2020)=0),"",IF(SUM(J2020:N2020)=I2020,"✓","⚠ "&amp;SUM(J2020:N2020)&amp;" statt "&amp;I2020))</f>
        <v/>
      </c>
      <c r="P2020" s="21" t="n"/>
      <c r="Q2020" s="21" t="n"/>
      <c r="R2020" s="21" t="n"/>
      <c r="S2020" s="24" t="n"/>
      <c r="T2020" s="24" t="n"/>
      <c r="V2020">
        <f>IF(A2020="","",MONTH(A2020))</f>
        <v/>
      </c>
      <c r="W2020">
        <f>N(W2019)+IF(AND(C2020&lt;&gt;"",T2020&lt;&gt;""),IF(C2020=WOCHE!$B$3,1,0),0)</f>
        <v/>
      </c>
      <c r="X2020">
        <f>N(X2019)+IF(AND(V2020&lt;&gt;"",T2020&lt;&gt;""),IF(V2020=MONAT!$AZ$3,1,0),0)</f>
        <v/>
      </c>
    </row>
    <row r="2021">
      <c r="A2021" s="19" t="n"/>
      <c r="B2021" s="20">
        <f>IF(A2021="","",CHOOSE(WEEKDAY(A2021,2),"Mo","Di","Mi","Do","Fr","Sa","So"))</f>
        <v/>
      </c>
      <c r="C2021" s="20">
        <f>IF(A2021="","",INT((A2021-DATE(YEAR(A2021-WEEKDAY(A2021-1)+4),1,3)+WEEKDAY(DATE(YEAR(A2021-WEEKDAY(A2021-1)+4),1,3))+5)/7))</f>
        <v/>
      </c>
      <c r="D2021" s="21" t="n"/>
      <c r="E2021" s="22" t="n"/>
      <c r="F2021" s="23" t="n"/>
      <c r="G2021" s="23" t="n"/>
      <c r="H2021" s="23" t="n"/>
      <c r="I2021" s="20">
        <f>IF(COUNT(F2021:H2021)=0,"",SUM(F2021:H2021))</f>
        <v/>
      </c>
      <c r="J2021" s="23" t="n"/>
      <c r="K2021" s="23" t="n"/>
      <c r="L2021" s="23" t="n"/>
      <c r="M2021" s="23" t="n"/>
      <c r="N2021" s="23" t="n"/>
      <c r="O2021" s="20">
        <f>IF(OR(I2021="",COUNT(J2021:N2021)=0),"",IF(SUM(J2021:N2021)=I2021,"✓","⚠ "&amp;SUM(J2021:N2021)&amp;" statt "&amp;I2021))</f>
        <v/>
      </c>
      <c r="P2021" s="21" t="n"/>
      <c r="Q2021" s="21" t="n"/>
      <c r="R2021" s="21" t="n"/>
      <c r="S2021" s="24" t="n"/>
      <c r="T2021" s="24" t="n"/>
      <c r="V2021">
        <f>IF(A2021="","",MONTH(A2021))</f>
        <v/>
      </c>
      <c r="W2021">
        <f>N(W2020)+IF(AND(C2021&lt;&gt;"",T2021&lt;&gt;""),IF(C2021=WOCHE!$B$3,1,0),0)</f>
        <v/>
      </c>
      <c r="X2021">
        <f>N(X2020)+IF(AND(V2021&lt;&gt;"",T2021&lt;&gt;""),IF(V2021=MONAT!$AZ$3,1,0),0)</f>
        <v/>
      </c>
    </row>
    <row r="2022">
      <c r="A2022" s="19" t="n"/>
      <c r="B2022" s="20">
        <f>IF(A2022="","",CHOOSE(WEEKDAY(A2022,2),"Mo","Di","Mi","Do","Fr","Sa","So"))</f>
        <v/>
      </c>
      <c r="C2022" s="20">
        <f>IF(A2022="","",INT((A2022-DATE(YEAR(A2022-WEEKDAY(A2022-1)+4),1,3)+WEEKDAY(DATE(YEAR(A2022-WEEKDAY(A2022-1)+4),1,3))+5)/7))</f>
        <v/>
      </c>
      <c r="D2022" s="21" t="n"/>
      <c r="E2022" s="22" t="n"/>
      <c r="F2022" s="23" t="n"/>
      <c r="G2022" s="23" t="n"/>
      <c r="H2022" s="23" t="n"/>
      <c r="I2022" s="20">
        <f>IF(COUNT(F2022:H2022)=0,"",SUM(F2022:H2022))</f>
        <v/>
      </c>
      <c r="J2022" s="23" t="n"/>
      <c r="K2022" s="23" t="n"/>
      <c r="L2022" s="23" t="n"/>
      <c r="M2022" s="23" t="n"/>
      <c r="N2022" s="23" t="n"/>
      <c r="O2022" s="20">
        <f>IF(OR(I2022="",COUNT(J2022:N2022)=0),"",IF(SUM(J2022:N2022)=I2022,"✓","⚠ "&amp;SUM(J2022:N2022)&amp;" statt "&amp;I2022))</f>
        <v/>
      </c>
      <c r="P2022" s="21" t="n"/>
      <c r="Q2022" s="21" t="n"/>
      <c r="R2022" s="21" t="n"/>
      <c r="S2022" s="24" t="n"/>
      <c r="T2022" s="24" t="n"/>
      <c r="V2022">
        <f>IF(A2022="","",MONTH(A2022))</f>
        <v/>
      </c>
      <c r="W2022">
        <f>N(W2021)+IF(AND(C2022&lt;&gt;"",T2022&lt;&gt;""),IF(C2022=WOCHE!$B$3,1,0),0)</f>
        <v/>
      </c>
      <c r="X2022">
        <f>N(X2021)+IF(AND(V2022&lt;&gt;"",T2022&lt;&gt;""),IF(V2022=MONAT!$AZ$3,1,0),0)</f>
        <v/>
      </c>
    </row>
    <row r="2023">
      <c r="A2023" s="19" t="n"/>
      <c r="B2023" s="20">
        <f>IF(A2023="","",CHOOSE(WEEKDAY(A2023,2),"Mo","Di","Mi","Do","Fr","Sa","So"))</f>
        <v/>
      </c>
      <c r="C2023" s="20">
        <f>IF(A2023="","",INT((A2023-DATE(YEAR(A2023-WEEKDAY(A2023-1)+4),1,3)+WEEKDAY(DATE(YEAR(A2023-WEEKDAY(A2023-1)+4),1,3))+5)/7))</f>
        <v/>
      </c>
      <c r="D2023" s="21" t="n"/>
      <c r="E2023" s="22" t="n"/>
      <c r="F2023" s="23" t="n"/>
      <c r="G2023" s="23" t="n"/>
      <c r="H2023" s="23" t="n"/>
      <c r="I2023" s="20">
        <f>IF(COUNT(F2023:H2023)=0,"",SUM(F2023:H2023))</f>
        <v/>
      </c>
      <c r="J2023" s="23" t="n"/>
      <c r="K2023" s="23" t="n"/>
      <c r="L2023" s="23" t="n"/>
      <c r="M2023" s="23" t="n"/>
      <c r="N2023" s="23" t="n"/>
      <c r="O2023" s="20">
        <f>IF(OR(I2023="",COUNT(J2023:N2023)=0),"",IF(SUM(J2023:N2023)=I2023,"✓","⚠ "&amp;SUM(J2023:N2023)&amp;" statt "&amp;I2023))</f>
        <v/>
      </c>
      <c r="P2023" s="21" t="n"/>
      <c r="Q2023" s="21" t="n"/>
      <c r="R2023" s="21" t="n"/>
      <c r="S2023" s="24" t="n"/>
      <c r="T2023" s="24" t="n"/>
      <c r="V2023">
        <f>IF(A2023="","",MONTH(A2023))</f>
        <v/>
      </c>
      <c r="W2023">
        <f>N(W2022)+IF(AND(C2023&lt;&gt;"",T2023&lt;&gt;""),IF(C2023=WOCHE!$B$3,1,0),0)</f>
        <v/>
      </c>
      <c r="X2023">
        <f>N(X2022)+IF(AND(V2023&lt;&gt;"",T2023&lt;&gt;""),IF(V2023=MONAT!$AZ$3,1,0),0)</f>
        <v/>
      </c>
    </row>
    <row r="2024">
      <c r="A2024" s="19" t="n"/>
      <c r="B2024" s="20">
        <f>IF(A2024="","",CHOOSE(WEEKDAY(A2024,2),"Mo","Di","Mi","Do","Fr","Sa","So"))</f>
        <v/>
      </c>
      <c r="C2024" s="20">
        <f>IF(A2024="","",INT((A2024-DATE(YEAR(A2024-WEEKDAY(A2024-1)+4),1,3)+WEEKDAY(DATE(YEAR(A2024-WEEKDAY(A2024-1)+4),1,3))+5)/7))</f>
        <v/>
      </c>
      <c r="D2024" s="21" t="n"/>
      <c r="E2024" s="22" t="n"/>
      <c r="F2024" s="23" t="n"/>
      <c r="G2024" s="23" t="n"/>
      <c r="H2024" s="23" t="n"/>
      <c r="I2024" s="20">
        <f>IF(COUNT(F2024:H2024)=0,"",SUM(F2024:H2024))</f>
        <v/>
      </c>
      <c r="J2024" s="23" t="n"/>
      <c r="K2024" s="23" t="n"/>
      <c r="L2024" s="23" t="n"/>
      <c r="M2024" s="23" t="n"/>
      <c r="N2024" s="23" t="n"/>
      <c r="O2024" s="20">
        <f>IF(OR(I2024="",COUNT(J2024:N2024)=0),"",IF(SUM(J2024:N2024)=I2024,"✓","⚠ "&amp;SUM(J2024:N2024)&amp;" statt "&amp;I2024))</f>
        <v/>
      </c>
      <c r="P2024" s="21" t="n"/>
      <c r="Q2024" s="21" t="n"/>
      <c r="R2024" s="21" t="n"/>
      <c r="S2024" s="24" t="n"/>
      <c r="T2024" s="24" t="n"/>
      <c r="V2024">
        <f>IF(A2024="","",MONTH(A2024))</f>
        <v/>
      </c>
      <c r="W2024">
        <f>N(W2023)+IF(AND(C2024&lt;&gt;"",T2024&lt;&gt;""),IF(C2024=WOCHE!$B$3,1,0),0)</f>
        <v/>
      </c>
      <c r="X2024">
        <f>N(X2023)+IF(AND(V2024&lt;&gt;"",T2024&lt;&gt;""),IF(V2024=MONAT!$AZ$3,1,0),0)</f>
        <v/>
      </c>
    </row>
    <row r="2025">
      <c r="A2025" s="19" t="n"/>
      <c r="B2025" s="20">
        <f>IF(A2025="","",CHOOSE(WEEKDAY(A2025,2),"Mo","Di","Mi","Do","Fr","Sa","So"))</f>
        <v/>
      </c>
      <c r="C2025" s="20">
        <f>IF(A2025="","",INT((A2025-DATE(YEAR(A2025-WEEKDAY(A2025-1)+4),1,3)+WEEKDAY(DATE(YEAR(A2025-WEEKDAY(A2025-1)+4),1,3))+5)/7))</f>
        <v/>
      </c>
      <c r="D2025" s="21" t="n"/>
      <c r="E2025" s="22" t="n"/>
      <c r="F2025" s="23" t="n"/>
      <c r="G2025" s="23" t="n"/>
      <c r="H2025" s="23" t="n"/>
      <c r="I2025" s="20">
        <f>IF(COUNT(F2025:H2025)=0,"",SUM(F2025:H2025))</f>
        <v/>
      </c>
      <c r="J2025" s="23" t="n"/>
      <c r="K2025" s="23" t="n"/>
      <c r="L2025" s="23" t="n"/>
      <c r="M2025" s="23" t="n"/>
      <c r="N2025" s="23" t="n"/>
      <c r="O2025" s="20">
        <f>IF(OR(I2025="",COUNT(J2025:N2025)=0),"",IF(SUM(J2025:N2025)=I2025,"✓","⚠ "&amp;SUM(J2025:N2025)&amp;" statt "&amp;I2025))</f>
        <v/>
      </c>
      <c r="P2025" s="21" t="n"/>
      <c r="Q2025" s="21" t="n"/>
      <c r="R2025" s="21" t="n"/>
      <c r="S2025" s="24" t="n"/>
      <c r="T2025" s="24" t="n"/>
      <c r="V2025">
        <f>IF(A2025="","",MONTH(A2025))</f>
        <v/>
      </c>
      <c r="W2025">
        <f>N(W2024)+IF(AND(C2025&lt;&gt;"",T2025&lt;&gt;""),IF(C2025=WOCHE!$B$3,1,0),0)</f>
        <v/>
      </c>
      <c r="X2025">
        <f>N(X2024)+IF(AND(V2025&lt;&gt;"",T2025&lt;&gt;""),IF(V2025=MONAT!$AZ$3,1,0),0)</f>
        <v/>
      </c>
    </row>
    <row r="2026">
      <c r="A2026" s="19" t="n"/>
      <c r="B2026" s="20">
        <f>IF(A2026="","",CHOOSE(WEEKDAY(A2026,2),"Mo","Di","Mi","Do","Fr","Sa","So"))</f>
        <v/>
      </c>
      <c r="C2026" s="20">
        <f>IF(A2026="","",INT((A2026-DATE(YEAR(A2026-WEEKDAY(A2026-1)+4),1,3)+WEEKDAY(DATE(YEAR(A2026-WEEKDAY(A2026-1)+4),1,3))+5)/7))</f>
        <v/>
      </c>
      <c r="D2026" s="21" t="n"/>
      <c r="E2026" s="22" t="n"/>
      <c r="F2026" s="23" t="n"/>
      <c r="G2026" s="23" t="n"/>
      <c r="H2026" s="23" t="n"/>
      <c r="I2026" s="20">
        <f>IF(COUNT(F2026:H2026)=0,"",SUM(F2026:H2026))</f>
        <v/>
      </c>
      <c r="J2026" s="23" t="n"/>
      <c r="K2026" s="23" t="n"/>
      <c r="L2026" s="23" t="n"/>
      <c r="M2026" s="23" t="n"/>
      <c r="N2026" s="23" t="n"/>
      <c r="O2026" s="20">
        <f>IF(OR(I2026="",COUNT(J2026:N2026)=0),"",IF(SUM(J2026:N2026)=I2026,"✓","⚠ "&amp;SUM(J2026:N2026)&amp;" statt "&amp;I2026))</f>
        <v/>
      </c>
      <c r="P2026" s="21" t="n"/>
      <c r="Q2026" s="21" t="n"/>
      <c r="R2026" s="21" t="n"/>
      <c r="S2026" s="24" t="n"/>
      <c r="T2026" s="24" t="n"/>
      <c r="V2026">
        <f>IF(A2026="","",MONTH(A2026))</f>
        <v/>
      </c>
      <c r="W2026">
        <f>N(W2025)+IF(AND(C2026&lt;&gt;"",T2026&lt;&gt;""),IF(C2026=WOCHE!$B$3,1,0),0)</f>
        <v/>
      </c>
      <c r="X2026">
        <f>N(X2025)+IF(AND(V2026&lt;&gt;"",T2026&lt;&gt;""),IF(V2026=MONAT!$AZ$3,1,0),0)</f>
        <v/>
      </c>
    </row>
    <row r="2027">
      <c r="A2027" s="19" t="n"/>
      <c r="B2027" s="20">
        <f>IF(A2027="","",CHOOSE(WEEKDAY(A2027,2),"Mo","Di","Mi","Do","Fr","Sa","So"))</f>
        <v/>
      </c>
      <c r="C2027" s="20">
        <f>IF(A2027="","",INT((A2027-DATE(YEAR(A2027-WEEKDAY(A2027-1)+4),1,3)+WEEKDAY(DATE(YEAR(A2027-WEEKDAY(A2027-1)+4),1,3))+5)/7))</f>
        <v/>
      </c>
      <c r="D2027" s="21" t="n"/>
      <c r="E2027" s="22" t="n"/>
      <c r="F2027" s="23" t="n"/>
      <c r="G2027" s="23" t="n"/>
      <c r="H2027" s="23" t="n"/>
      <c r="I2027" s="20">
        <f>IF(COUNT(F2027:H2027)=0,"",SUM(F2027:H2027))</f>
        <v/>
      </c>
      <c r="J2027" s="23" t="n"/>
      <c r="K2027" s="23" t="n"/>
      <c r="L2027" s="23" t="n"/>
      <c r="M2027" s="23" t="n"/>
      <c r="N2027" s="23" t="n"/>
      <c r="O2027" s="20">
        <f>IF(OR(I2027="",COUNT(J2027:N2027)=0),"",IF(SUM(J2027:N2027)=I2027,"✓","⚠ "&amp;SUM(J2027:N2027)&amp;" statt "&amp;I2027))</f>
        <v/>
      </c>
      <c r="P2027" s="21" t="n"/>
      <c r="Q2027" s="21" t="n"/>
      <c r="R2027" s="21" t="n"/>
      <c r="S2027" s="24" t="n"/>
      <c r="T2027" s="24" t="n"/>
      <c r="V2027">
        <f>IF(A2027="","",MONTH(A2027))</f>
        <v/>
      </c>
      <c r="W2027">
        <f>N(W2026)+IF(AND(C2027&lt;&gt;"",T2027&lt;&gt;""),IF(C2027=WOCHE!$B$3,1,0),0)</f>
        <v/>
      </c>
      <c r="X2027">
        <f>N(X2026)+IF(AND(V2027&lt;&gt;"",T2027&lt;&gt;""),IF(V2027=MONAT!$AZ$3,1,0),0)</f>
        <v/>
      </c>
    </row>
    <row r="2028">
      <c r="A2028" s="19" t="n"/>
      <c r="B2028" s="20">
        <f>IF(A2028="","",CHOOSE(WEEKDAY(A2028,2),"Mo","Di","Mi","Do","Fr","Sa","So"))</f>
        <v/>
      </c>
      <c r="C2028" s="20">
        <f>IF(A2028="","",INT((A2028-DATE(YEAR(A2028-WEEKDAY(A2028-1)+4),1,3)+WEEKDAY(DATE(YEAR(A2028-WEEKDAY(A2028-1)+4),1,3))+5)/7))</f>
        <v/>
      </c>
      <c r="D2028" s="21" t="n"/>
      <c r="E2028" s="22" t="n"/>
      <c r="F2028" s="23" t="n"/>
      <c r="G2028" s="23" t="n"/>
      <c r="H2028" s="23" t="n"/>
      <c r="I2028" s="20">
        <f>IF(COUNT(F2028:H2028)=0,"",SUM(F2028:H2028))</f>
        <v/>
      </c>
      <c r="J2028" s="23" t="n"/>
      <c r="K2028" s="23" t="n"/>
      <c r="L2028" s="23" t="n"/>
      <c r="M2028" s="23" t="n"/>
      <c r="N2028" s="23" t="n"/>
      <c r="O2028" s="20">
        <f>IF(OR(I2028="",COUNT(J2028:N2028)=0),"",IF(SUM(J2028:N2028)=I2028,"✓","⚠ "&amp;SUM(J2028:N2028)&amp;" statt "&amp;I2028))</f>
        <v/>
      </c>
      <c r="P2028" s="21" t="n"/>
      <c r="Q2028" s="21" t="n"/>
      <c r="R2028" s="21" t="n"/>
      <c r="S2028" s="24" t="n"/>
      <c r="T2028" s="24" t="n"/>
      <c r="V2028">
        <f>IF(A2028="","",MONTH(A2028))</f>
        <v/>
      </c>
      <c r="W2028">
        <f>N(W2027)+IF(AND(C2028&lt;&gt;"",T2028&lt;&gt;""),IF(C2028=WOCHE!$B$3,1,0),0)</f>
        <v/>
      </c>
      <c r="X2028">
        <f>N(X2027)+IF(AND(V2028&lt;&gt;"",T2028&lt;&gt;""),IF(V2028=MONAT!$AZ$3,1,0),0)</f>
        <v/>
      </c>
    </row>
    <row r="2029">
      <c r="A2029" s="19" t="n"/>
      <c r="B2029" s="20">
        <f>IF(A2029="","",CHOOSE(WEEKDAY(A2029,2),"Mo","Di","Mi","Do","Fr","Sa","So"))</f>
        <v/>
      </c>
      <c r="C2029" s="20">
        <f>IF(A2029="","",INT((A2029-DATE(YEAR(A2029-WEEKDAY(A2029-1)+4),1,3)+WEEKDAY(DATE(YEAR(A2029-WEEKDAY(A2029-1)+4),1,3))+5)/7))</f>
        <v/>
      </c>
      <c r="D2029" s="21" t="n"/>
      <c r="E2029" s="22" t="n"/>
      <c r="F2029" s="23" t="n"/>
      <c r="G2029" s="23" t="n"/>
      <c r="H2029" s="23" t="n"/>
      <c r="I2029" s="20">
        <f>IF(COUNT(F2029:H2029)=0,"",SUM(F2029:H2029))</f>
        <v/>
      </c>
      <c r="J2029" s="23" t="n"/>
      <c r="K2029" s="23" t="n"/>
      <c r="L2029" s="23" t="n"/>
      <c r="M2029" s="23" t="n"/>
      <c r="N2029" s="23" t="n"/>
      <c r="O2029" s="20">
        <f>IF(OR(I2029="",COUNT(J2029:N2029)=0),"",IF(SUM(J2029:N2029)=I2029,"✓","⚠ "&amp;SUM(J2029:N2029)&amp;" statt "&amp;I2029))</f>
        <v/>
      </c>
      <c r="P2029" s="21" t="n"/>
      <c r="Q2029" s="21" t="n"/>
      <c r="R2029" s="21" t="n"/>
      <c r="S2029" s="24" t="n"/>
      <c r="T2029" s="24" t="n"/>
      <c r="V2029">
        <f>IF(A2029="","",MONTH(A2029))</f>
        <v/>
      </c>
      <c r="W2029">
        <f>N(W2028)+IF(AND(C2029&lt;&gt;"",T2029&lt;&gt;""),IF(C2029=WOCHE!$B$3,1,0),0)</f>
        <v/>
      </c>
      <c r="X2029">
        <f>N(X2028)+IF(AND(V2029&lt;&gt;"",T2029&lt;&gt;""),IF(V2029=MONAT!$AZ$3,1,0),0)</f>
        <v/>
      </c>
    </row>
    <row r="2030">
      <c r="A2030" s="19" t="n"/>
      <c r="B2030" s="20">
        <f>IF(A2030="","",CHOOSE(WEEKDAY(A2030,2),"Mo","Di","Mi","Do","Fr","Sa","So"))</f>
        <v/>
      </c>
      <c r="C2030" s="20">
        <f>IF(A2030="","",INT((A2030-DATE(YEAR(A2030-WEEKDAY(A2030-1)+4),1,3)+WEEKDAY(DATE(YEAR(A2030-WEEKDAY(A2030-1)+4),1,3))+5)/7))</f>
        <v/>
      </c>
      <c r="D2030" s="21" t="n"/>
      <c r="E2030" s="22" t="n"/>
      <c r="F2030" s="23" t="n"/>
      <c r="G2030" s="23" t="n"/>
      <c r="H2030" s="23" t="n"/>
      <c r="I2030" s="20">
        <f>IF(COUNT(F2030:H2030)=0,"",SUM(F2030:H2030))</f>
        <v/>
      </c>
      <c r="J2030" s="23" t="n"/>
      <c r="K2030" s="23" t="n"/>
      <c r="L2030" s="23" t="n"/>
      <c r="M2030" s="23" t="n"/>
      <c r="N2030" s="23" t="n"/>
      <c r="O2030" s="20">
        <f>IF(OR(I2030="",COUNT(J2030:N2030)=0),"",IF(SUM(J2030:N2030)=I2030,"✓","⚠ "&amp;SUM(J2030:N2030)&amp;" statt "&amp;I2030))</f>
        <v/>
      </c>
      <c r="P2030" s="21" t="n"/>
      <c r="Q2030" s="21" t="n"/>
      <c r="R2030" s="21" t="n"/>
      <c r="S2030" s="24" t="n"/>
      <c r="T2030" s="24" t="n"/>
      <c r="V2030">
        <f>IF(A2030="","",MONTH(A2030))</f>
        <v/>
      </c>
      <c r="W2030">
        <f>N(W2029)+IF(AND(C2030&lt;&gt;"",T2030&lt;&gt;""),IF(C2030=WOCHE!$B$3,1,0),0)</f>
        <v/>
      </c>
      <c r="X2030">
        <f>N(X2029)+IF(AND(V2030&lt;&gt;"",T2030&lt;&gt;""),IF(V2030=MONAT!$AZ$3,1,0),0)</f>
        <v/>
      </c>
    </row>
    <row r="2031">
      <c r="A2031" s="19" t="n"/>
      <c r="B2031" s="20">
        <f>IF(A2031="","",CHOOSE(WEEKDAY(A2031,2),"Mo","Di","Mi","Do","Fr","Sa","So"))</f>
        <v/>
      </c>
      <c r="C2031" s="20">
        <f>IF(A2031="","",INT((A2031-DATE(YEAR(A2031-WEEKDAY(A2031-1)+4),1,3)+WEEKDAY(DATE(YEAR(A2031-WEEKDAY(A2031-1)+4),1,3))+5)/7))</f>
        <v/>
      </c>
      <c r="D2031" s="21" t="n"/>
      <c r="E2031" s="22" t="n"/>
      <c r="F2031" s="23" t="n"/>
      <c r="G2031" s="23" t="n"/>
      <c r="H2031" s="23" t="n"/>
      <c r="I2031" s="20">
        <f>IF(COUNT(F2031:H2031)=0,"",SUM(F2031:H2031))</f>
        <v/>
      </c>
      <c r="J2031" s="23" t="n"/>
      <c r="K2031" s="23" t="n"/>
      <c r="L2031" s="23" t="n"/>
      <c r="M2031" s="23" t="n"/>
      <c r="N2031" s="23" t="n"/>
      <c r="O2031" s="20">
        <f>IF(OR(I2031="",COUNT(J2031:N2031)=0),"",IF(SUM(J2031:N2031)=I2031,"✓","⚠ "&amp;SUM(J2031:N2031)&amp;" statt "&amp;I2031))</f>
        <v/>
      </c>
      <c r="P2031" s="21" t="n"/>
      <c r="Q2031" s="21" t="n"/>
      <c r="R2031" s="21" t="n"/>
      <c r="S2031" s="24" t="n"/>
      <c r="T2031" s="24" t="n"/>
      <c r="V2031">
        <f>IF(A2031="","",MONTH(A2031))</f>
        <v/>
      </c>
      <c r="W2031">
        <f>N(W2030)+IF(AND(C2031&lt;&gt;"",T2031&lt;&gt;""),IF(C2031=WOCHE!$B$3,1,0),0)</f>
        <v/>
      </c>
      <c r="X2031">
        <f>N(X2030)+IF(AND(V2031&lt;&gt;"",T2031&lt;&gt;""),IF(V2031=MONAT!$AZ$3,1,0),0)</f>
        <v/>
      </c>
    </row>
    <row r="2032">
      <c r="A2032" s="19" t="n"/>
      <c r="B2032" s="20">
        <f>IF(A2032="","",CHOOSE(WEEKDAY(A2032,2),"Mo","Di","Mi","Do","Fr","Sa","So"))</f>
        <v/>
      </c>
      <c r="C2032" s="20">
        <f>IF(A2032="","",INT((A2032-DATE(YEAR(A2032-WEEKDAY(A2032-1)+4),1,3)+WEEKDAY(DATE(YEAR(A2032-WEEKDAY(A2032-1)+4),1,3))+5)/7))</f>
        <v/>
      </c>
      <c r="D2032" s="21" t="n"/>
      <c r="E2032" s="22" t="n"/>
      <c r="F2032" s="23" t="n"/>
      <c r="G2032" s="23" t="n"/>
      <c r="H2032" s="23" t="n"/>
      <c r="I2032" s="20">
        <f>IF(COUNT(F2032:H2032)=0,"",SUM(F2032:H2032))</f>
        <v/>
      </c>
      <c r="J2032" s="23" t="n"/>
      <c r="K2032" s="23" t="n"/>
      <c r="L2032" s="23" t="n"/>
      <c r="M2032" s="23" t="n"/>
      <c r="N2032" s="23" t="n"/>
      <c r="O2032" s="20">
        <f>IF(OR(I2032="",COUNT(J2032:N2032)=0),"",IF(SUM(J2032:N2032)=I2032,"✓","⚠ "&amp;SUM(J2032:N2032)&amp;" statt "&amp;I2032))</f>
        <v/>
      </c>
      <c r="P2032" s="21" t="n"/>
      <c r="Q2032" s="21" t="n"/>
      <c r="R2032" s="21" t="n"/>
      <c r="S2032" s="24" t="n"/>
      <c r="T2032" s="24" t="n"/>
      <c r="V2032">
        <f>IF(A2032="","",MONTH(A2032))</f>
        <v/>
      </c>
      <c r="W2032">
        <f>N(W2031)+IF(AND(C2032&lt;&gt;"",T2032&lt;&gt;""),IF(C2032=WOCHE!$B$3,1,0),0)</f>
        <v/>
      </c>
      <c r="X2032">
        <f>N(X2031)+IF(AND(V2032&lt;&gt;"",T2032&lt;&gt;""),IF(V2032=MONAT!$AZ$3,1,0),0)</f>
        <v/>
      </c>
    </row>
    <row r="2033">
      <c r="A2033" s="19" t="n"/>
      <c r="B2033" s="20">
        <f>IF(A2033="","",CHOOSE(WEEKDAY(A2033,2),"Mo","Di","Mi","Do","Fr","Sa","So"))</f>
        <v/>
      </c>
      <c r="C2033" s="20">
        <f>IF(A2033="","",INT((A2033-DATE(YEAR(A2033-WEEKDAY(A2033-1)+4),1,3)+WEEKDAY(DATE(YEAR(A2033-WEEKDAY(A2033-1)+4),1,3))+5)/7))</f>
        <v/>
      </c>
      <c r="D2033" s="21" t="n"/>
      <c r="E2033" s="22" t="n"/>
      <c r="F2033" s="23" t="n"/>
      <c r="G2033" s="23" t="n"/>
      <c r="H2033" s="23" t="n"/>
      <c r="I2033" s="20">
        <f>IF(COUNT(F2033:H2033)=0,"",SUM(F2033:H2033))</f>
        <v/>
      </c>
      <c r="J2033" s="23" t="n"/>
      <c r="K2033" s="23" t="n"/>
      <c r="L2033" s="23" t="n"/>
      <c r="M2033" s="23" t="n"/>
      <c r="N2033" s="23" t="n"/>
      <c r="O2033" s="20">
        <f>IF(OR(I2033="",COUNT(J2033:N2033)=0),"",IF(SUM(J2033:N2033)=I2033,"✓","⚠ "&amp;SUM(J2033:N2033)&amp;" statt "&amp;I2033))</f>
        <v/>
      </c>
      <c r="P2033" s="21" t="n"/>
      <c r="Q2033" s="21" t="n"/>
      <c r="R2033" s="21" t="n"/>
      <c r="S2033" s="24" t="n"/>
      <c r="T2033" s="24" t="n"/>
      <c r="V2033">
        <f>IF(A2033="","",MONTH(A2033))</f>
        <v/>
      </c>
      <c r="W2033">
        <f>N(W2032)+IF(AND(C2033&lt;&gt;"",T2033&lt;&gt;""),IF(C2033=WOCHE!$B$3,1,0),0)</f>
        <v/>
      </c>
      <c r="X2033">
        <f>N(X2032)+IF(AND(V2033&lt;&gt;"",T2033&lt;&gt;""),IF(V2033=MONAT!$AZ$3,1,0),0)</f>
        <v/>
      </c>
    </row>
    <row r="2034">
      <c r="A2034" s="19" t="n"/>
      <c r="B2034" s="20">
        <f>IF(A2034="","",CHOOSE(WEEKDAY(A2034,2),"Mo","Di","Mi","Do","Fr","Sa","So"))</f>
        <v/>
      </c>
      <c r="C2034" s="20">
        <f>IF(A2034="","",INT((A2034-DATE(YEAR(A2034-WEEKDAY(A2034-1)+4),1,3)+WEEKDAY(DATE(YEAR(A2034-WEEKDAY(A2034-1)+4),1,3))+5)/7))</f>
        <v/>
      </c>
      <c r="D2034" s="21" t="n"/>
      <c r="E2034" s="22" t="n"/>
      <c r="F2034" s="23" t="n"/>
      <c r="G2034" s="23" t="n"/>
      <c r="H2034" s="23" t="n"/>
      <c r="I2034" s="20">
        <f>IF(COUNT(F2034:H2034)=0,"",SUM(F2034:H2034))</f>
        <v/>
      </c>
      <c r="J2034" s="23" t="n"/>
      <c r="K2034" s="23" t="n"/>
      <c r="L2034" s="23" t="n"/>
      <c r="M2034" s="23" t="n"/>
      <c r="N2034" s="23" t="n"/>
      <c r="O2034" s="20">
        <f>IF(OR(I2034="",COUNT(J2034:N2034)=0),"",IF(SUM(J2034:N2034)=I2034,"✓","⚠ "&amp;SUM(J2034:N2034)&amp;" statt "&amp;I2034))</f>
        <v/>
      </c>
      <c r="P2034" s="21" t="n"/>
      <c r="Q2034" s="21" t="n"/>
      <c r="R2034" s="21" t="n"/>
      <c r="S2034" s="24" t="n"/>
      <c r="T2034" s="24" t="n"/>
      <c r="V2034">
        <f>IF(A2034="","",MONTH(A2034))</f>
        <v/>
      </c>
      <c r="W2034">
        <f>N(W2033)+IF(AND(C2034&lt;&gt;"",T2034&lt;&gt;""),IF(C2034=WOCHE!$B$3,1,0),0)</f>
        <v/>
      </c>
      <c r="X2034">
        <f>N(X2033)+IF(AND(V2034&lt;&gt;"",T2034&lt;&gt;""),IF(V2034=MONAT!$AZ$3,1,0),0)</f>
        <v/>
      </c>
    </row>
    <row r="2035">
      <c r="A2035" s="19" t="n"/>
      <c r="B2035" s="20">
        <f>IF(A2035="","",CHOOSE(WEEKDAY(A2035,2),"Mo","Di","Mi","Do","Fr","Sa","So"))</f>
        <v/>
      </c>
      <c r="C2035" s="20">
        <f>IF(A2035="","",INT((A2035-DATE(YEAR(A2035-WEEKDAY(A2035-1)+4),1,3)+WEEKDAY(DATE(YEAR(A2035-WEEKDAY(A2035-1)+4),1,3))+5)/7))</f>
        <v/>
      </c>
      <c r="D2035" s="21" t="n"/>
      <c r="E2035" s="22" t="n"/>
      <c r="F2035" s="23" t="n"/>
      <c r="G2035" s="23" t="n"/>
      <c r="H2035" s="23" t="n"/>
      <c r="I2035" s="20">
        <f>IF(COUNT(F2035:H2035)=0,"",SUM(F2035:H2035))</f>
        <v/>
      </c>
      <c r="J2035" s="23" t="n"/>
      <c r="K2035" s="23" t="n"/>
      <c r="L2035" s="23" t="n"/>
      <c r="M2035" s="23" t="n"/>
      <c r="N2035" s="23" t="n"/>
      <c r="O2035" s="20">
        <f>IF(OR(I2035="",COUNT(J2035:N2035)=0),"",IF(SUM(J2035:N2035)=I2035,"✓","⚠ "&amp;SUM(J2035:N2035)&amp;" statt "&amp;I2035))</f>
        <v/>
      </c>
      <c r="P2035" s="21" t="n"/>
      <c r="Q2035" s="21" t="n"/>
      <c r="R2035" s="21" t="n"/>
      <c r="S2035" s="24" t="n"/>
      <c r="T2035" s="24" t="n"/>
      <c r="V2035">
        <f>IF(A2035="","",MONTH(A2035))</f>
        <v/>
      </c>
      <c r="W2035">
        <f>N(W2034)+IF(AND(C2035&lt;&gt;"",T2035&lt;&gt;""),IF(C2035=WOCHE!$B$3,1,0),0)</f>
        <v/>
      </c>
      <c r="X2035">
        <f>N(X2034)+IF(AND(V2035&lt;&gt;"",T2035&lt;&gt;""),IF(V2035=MONAT!$AZ$3,1,0),0)</f>
        <v/>
      </c>
    </row>
    <row r="2036">
      <c r="A2036" s="19" t="n"/>
      <c r="B2036" s="20">
        <f>IF(A2036="","",CHOOSE(WEEKDAY(A2036,2),"Mo","Di","Mi","Do","Fr","Sa","So"))</f>
        <v/>
      </c>
      <c r="C2036" s="20">
        <f>IF(A2036="","",INT((A2036-DATE(YEAR(A2036-WEEKDAY(A2036-1)+4),1,3)+WEEKDAY(DATE(YEAR(A2036-WEEKDAY(A2036-1)+4),1,3))+5)/7))</f>
        <v/>
      </c>
      <c r="D2036" s="21" t="n"/>
      <c r="E2036" s="22" t="n"/>
      <c r="F2036" s="23" t="n"/>
      <c r="G2036" s="23" t="n"/>
      <c r="H2036" s="23" t="n"/>
      <c r="I2036" s="20">
        <f>IF(COUNT(F2036:H2036)=0,"",SUM(F2036:H2036))</f>
        <v/>
      </c>
      <c r="J2036" s="23" t="n"/>
      <c r="K2036" s="23" t="n"/>
      <c r="L2036" s="23" t="n"/>
      <c r="M2036" s="23" t="n"/>
      <c r="N2036" s="23" t="n"/>
      <c r="O2036" s="20">
        <f>IF(OR(I2036="",COUNT(J2036:N2036)=0),"",IF(SUM(J2036:N2036)=I2036,"✓","⚠ "&amp;SUM(J2036:N2036)&amp;" statt "&amp;I2036))</f>
        <v/>
      </c>
      <c r="P2036" s="21" t="n"/>
      <c r="Q2036" s="21" t="n"/>
      <c r="R2036" s="21" t="n"/>
      <c r="S2036" s="24" t="n"/>
      <c r="T2036" s="24" t="n"/>
      <c r="V2036">
        <f>IF(A2036="","",MONTH(A2036))</f>
        <v/>
      </c>
      <c r="W2036">
        <f>N(W2035)+IF(AND(C2036&lt;&gt;"",T2036&lt;&gt;""),IF(C2036=WOCHE!$B$3,1,0),0)</f>
        <v/>
      </c>
      <c r="X2036">
        <f>N(X2035)+IF(AND(V2036&lt;&gt;"",T2036&lt;&gt;""),IF(V2036=MONAT!$AZ$3,1,0),0)</f>
        <v/>
      </c>
    </row>
    <row r="2037">
      <c r="A2037" s="19" t="n"/>
      <c r="B2037" s="20">
        <f>IF(A2037="","",CHOOSE(WEEKDAY(A2037,2),"Mo","Di","Mi","Do","Fr","Sa","So"))</f>
        <v/>
      </c>
      <c r="C2037" s="20">
        <f>IF(A2037="","",INT((A2037-DATE(YEAR(A2037-WEEKDAY(A2037-1)+4),1,3)+WEEKDAY(DATE(YEAR(A2037-WEEKDAY(A2037-1)+4),1,3))+5)/7))</f>
        <v/>
      </c>
      <c r="D2037" s="21" t="n"/>
      <c r="E2037" s="22" t="n"/>
      <c r="F2037" s="23" t="n"/>
      <c r="G2037" s="23" t="n"/>
      <c r="H2037" s="23" t="n"/>
      <c r="I2037" s="20">
        <f>IF(COUNT(F2037:H2037)=0,"",SUM(F2037:H2037))</f>
        <v/>
      </c>
      <c r="J2037" s="23" t="n"/>
      <c r="K2037" s="23" t="n"/>
      <c r="L2037" s="23" t="n"/>
      <c r="M2037" s="23" t="n"/>
      <c r="N2037" s="23" t="n"/>
      <c r="O2037" s="20">
        <f>IF(OR(I2037="",COUNT(J2037:N2037)=0),"",IF(SUM(J2037:N2037)=I2037,"✓","⚠ "&amp;SUM(J2037:N2037)&amp;" statt "&amp;I2037))</f>
        <v/>
      </c>
      <c r="P2037" s="21" t="n"/>
      <c r="Q2037" s="21" t="n"/>
      <c r="R2037" s="21" t="n"/>
      <c r="S2037" s="24" t="n"/>
      <c r="T2037" s="24" t="n"/>
      <c r="V2037">
        <f>IF(A2037="","",MONTH(A2037))</f>
        <v/>
      </c>
      <c r="W2037">
        <f>N(W2036)+IF(AND(C2037&lt;&gt;"",T2037&lt;&gt;""),IF(C2037=WOCHE!$B$3,1,0),0)</f>
        <v/>
      </c>
      <c r="X2037">
        <f>N(X2036)+IF(AND(V2037&lt;&gt;"",T2037&lt;&gt;""),IF(V2037=MONAT!$AZ$3,1,0),0)</f>
        <v/>
      </c>
    </row>
    <row r="2038">
      <c r="A2038" s="19" t="n"/>
      <c r="B2038" s="20">
        <f>IF(A2038="","",CHOOSE(WEEKDAY(A2038,2),"Mo","Di","Mi","Do","Fr","Sa","So"))</f>
        <v/>
      </c>
      <c r="C2038" s="20">
        <f>IF(A2038="","",INT((A2038-DATE(YEAR(A2038-WEEKDAY(A2038-1)+4),1,3)+WEEKDAY(DATE(YEAR(A2038-WEEKDAY(A2038-1)+4),1,3))+5)/7))</f>
        <v/>
      </c>
      <c r="D2038" s="21" t="n"/>
      <c r="E2038" s="22" t="n"/>
      <c r="F2038" s="23" t="n"/>
      <c r="G2038" s="23" t="n"/>
      <c r="H2038" s="23" t="n"/>
      <c r="I2038" s="20">
        <f>IF(COUNT(F2038:H2038)=0,"",SUM(F2038:H2038))</f>
        <v/>
      </c>
      <c r="J2038" s="23" t="n"/>
      <c r="K2038" s="23" t="n"/>
      <c r="L2038" s="23" t="n"/>
      <c r="M2038" s="23" t="n"/>
      <c r="N2038" s="23" t="n"/>
      <c r="O2038" s="20">
        <f>IF(OR(I2038="",COUNT(J2038:N2038)=0),"",IF(SUM(J2038:N2038)=I2038,"✓","⚠ "&amp;SUM(J2038:N2038)&amp;" statt "&amp;I2038))</f>
        <v/>
      </c>
      <c r="P2038" s="21" t="n"/>
      <c r="Q2038" s="21" t="n"/>
      <c r="R2038" s="21" t="n"/>
      <c r="S2038" s="24" t="n"/>
      <c r="T2038" s="24" t="n"/>
      <c r="V2038">
        <f>IF(A2038="","",MONTH(A2038))</f>
        <v/>
      </c>
      <c r="W2038">
        <f>N(W2037)+IF(AND(C2038&lt;&gt;"",T2038&lt;&gt;""),IF(C2038=WOCHE!$B$3,1,0),0)</f>
        <v/>
      </c>
      <c r="X2038">
        <f>N(X2037)+IF(AND(V2038&lt;&gt;"",T2038&lt;&gt;""),IF(V2038=MONAT!$AZ$3,1,0),0)</f>
        <v/>
      </c>
    </row>
    <row r="2039">
      <c r="A2039" s="19" t="n"/>
      <c r="B2039" s="20">
        <f>IF(A2039="","",CHOOSE(WEEKDAY(A2039,2),"Mo","Di","Mi","Do","Fr","Sa","So"))</f>
        <v/>
      </c>
      <c r="C2039" s="20">
        <f>IF(A2039="","",INT((A2039-DATE(YEAR(A2039-WEEKDAY(A2039-1)+4),1,3)+WEEKDAY(DATE(YEAR(A2039-WEEKDAY(A2039-1)+4),1,3))+5)/7))</f>
        <v/>
      </c>
      <c r="D2039" s="21" t="n"/>
      <c r="E2039" s="22" t="n"/>
      <c r="F2039" s="23" t="n"/>
      <c r="G2039" s="23" t="n"/>
      <c r="H2039" s="23" t="n"/>
      <c r="I2039" s="20">
        <f>IF(COUNT(F2039:H2039)=0,"",SUM(F2039:H2039))</f>
        <v/>
      </c>
      <c r="J2039" s="23" t="n"/>
      <c r="K2039" s="23" t="n"/>
      <c r="L2039" s="23" t="n"/>
      <c r="M2039" s="23" t="n"/>
      <c r="N2039" s="23" t="n"/>
      <c r="O2039" s="20">
        <f>IF(OR(I2039="",COUNT(J2039:N2039)=0),"",IF(SUM(J2039:N2039)=I2039,"✓","⚠ "&amp;SUM(J2039:N2039)&amp;" statt "&amp;I2039))</f>
        <v/>
      </c>
      <c r="P2039" s="21" t="n"/>
      <c r="Q2039" s="21" t="n"/>
      <c r="R2039" s="21" t="n"/>
      <c r="S2039" s="24" t="n"/>
      <c r="T2039" s="24" t="n"/>
      <c r="V2039">
        <f>IF(A2039="","",MONTH(A2039))</f>
        <v/>
      </c>
      <c r="W2039">
        <f>N(W2038)+IF(AND(C2039&lt;&gt;"",T2039&lt;&gt;""),IF(C2039=WOCHE!$B$3,1,0),0)</f>
        <v/>
      </c>
      <c r="X2039">
        <f>N(X2038)+IF(AND(V2039&lt;&gt;"",T2039&lt;&gt;""),IF(V2039=MONAT!$AZ$3,1,0),0)</f>
        <v/>
      </c>
    </row>
    <row r="2040">
      <c r="A2040" s="19" t="n"/>
      <c r="B2040" s="20">
        <f>IF(A2040="","",CHOOSE(WEEKDAY(A2040,2),"Mo","Di","Mi","Do","Fr","Sa","So"))</f>
        <v/>
      </c>
      <c r="C2040" s="20">
        <f>IF(A2040="","",INT((A2040-DATE(YEAR(A2040-WEEKDAY(A2040-1)+4),1,3)+WEEKDAY(DATE(YEAR(A2040-WEEKDAY(A2040-1)+4),1,3))+5)/7))</f>
        <v/>
      </c>
      <c r="D2040" s="21" t="n"/>
      <c r="E2040" s="22" t="n"/>
      <c r="F2040" s="23" t="n"/>
      <c r="G2040" s="23" t="n"/>
      <c r="H2040" s="23" t="n"/>
      <c r="I2040" s="20">
        <f>IF(COUNT(F2040:H2040)=0,"",SUM(F2040:H2040))</f>
        <v/>
      </c>
      <c r="J2040" s="23" t="n"/>
      <c r="K2040" s="23" t="n"/>
      <c r="L2040" s="23" t="n"/>
      <c r="M2040" s="23" t="n"/>
      <c r="N2040" s="23" t="n"/>
      <c r="O2040" s="20">
        <f>IF(OR(I2040="",COUNT(J2040:N2040)=0),"",IF(SUM(J2040:N2040)=I2040,"✓","⚠ "&amp;SUM(J2040:N2040)&amp;" statt "&amp;I2040))</f>
        <v/>
      </c>
      <c r="P2040" s="21" t="n"/>
      <c r="Q2040" s="21" t="n"/>
      <c r="R2040" s="21" t="n"/>
      <c r="S2040" s="24" t="n"/>
      <c r="T2040" s="24" t="n"/>
      <c r="V2040">
        <f>IF(A2040="","",MONTH(A2040))</f>
        <v/>
      </c>
      <c r="W2040">
        <f>N(W2039)+IF(AND(C2040&lt;&gt;"",T2040&lt;&gt;""),IF(C2040=WOCHE!$B$3,1,0),0)</f>
        <v/>
      </c>
      <c r="X2040">
        <f>N(X2039)+IF(AND(V2040&lt;&gt;"",T2040&lt;&gt;""),IF(V2040=MONAT!$AZ$3,1,0),0)</f>
        <v/>
      </c>
    </row>
    <row r="2041">
      <c r="A2041" s="19" t="n"/>
      <c r="B2041" s="20">
        <f>IF(A2041="","",CHOOSE(WEEKDAY(A2041,2),"Mo","Di","Mi","Do","Fr","Sa","So"))</f>
        <v/>
      </c>
      <c r="C2041" s="20">
        <f>IF(A2041="","",INT((A2041-DATE(YEAR(A2041-WEEKDAY(A2041-1)+4),1,3)+WEEKDAY(DATE(YEAR(A2041-WEEKDAY(A2041-1)+4),1,3))+5)/7))</f>
        <v/>
      </c>
      <c r="D2041" s="21" t="n"/>
      <c r="E2041" s="22" t="n"/>
      <c r="F2041" s="23" t="n"/>
      <c r="G2041" s="23" t="n"/>
      <c r="H2041" s="23" t="n"/>
      <c r="I2041" s="20">
        <f>IF(COUNT(F2041:H2041)=0,"",SUM(F2041:H2041))</f>
        <v/>
      </c>
      <c r="J2041" s="23" t="n"/>
      <c r="K2041" s="23" t="n"/>
      <c r="L2041" s="23" t="n"/>
      <c r="M2041" s="23" t="n"/>
      <c r="N2041" s="23" t="n"/>
      <c r="O2041" s="20">
        <f>IF(OR(I2041="",COUNT(J2041:N2041)=0),"",IF(SUM(J2041:N2041)=I2041,"✓","⚠ "&amp;SUM(J2041:N2041)&amp;" statt "&amp;I2041))</f>
        <v/>
      </c>
      <c r="P2041" s="21" t="n"/>
      <c r="Q2041" s="21" t="n"/>
      <c r="R2041" s="21" t="n"/>
      <c r="S2041" s="24" t="n"/>
      <c r="T2041" s="24" t="n"/>
      <c r="V2041">
        <f>IF(A2041="","",MONTH(A2041))</f>
        <v/>
      </c>
      <c r="W2041">
        <f>N(W2040)+IF(AND(C2041&lt;&gt;"",T2041&lt;&gt;""),IF(C2041=WOCHE!$B$3,1,0),0)</f>
        <v/>
      </c>
      <c r="X2041">
        <f>N(X2040)+IF(AND(V2041&lt;&gt;"",T2041&lt;&gt;""),IF(V2041=MONAT!$AZ$3,1,0),0)</f>
        <v/>
      </c>
    </row>
    <row r="2042">
      <c r="A2042" s="19" t="n"/>
      <c r="B2042" s="20">
        <f>IF(A2042="","",CHOOSE(WEEKDAY(A2042,2),"Mo","Di","Mi","Do","Fr","Sa","So"))</f>
        <v/>
      </c>
      <c r="C2042" s="20">
        <f>IF(A2042="","",INT((A2042-DATE(YEAR(A2042-WEEKDAY(A2042-1)+4),1,3)+WEEKDAY(DATE(YEAR(A2042-WEEKDAY(A2042-1)+4),1,3))+5)/7))</f>
        <v/>
      </c>
      <c r="D2042" s="21" t="n"/>
      <c r="E2042" s="22" t="n"/>
      <c r="F2042" s="23" t="n"/>
      <c r="G2042" s="23" t="n"/>
      <c r="H2042" s="23" t="n"/>
      <c r="I2042" s="20">
        <f>IF(COUNT(F2042:H2042)=0,"",SUM(F2042:H2042))</f>
        <v/>
      </c>
      <c r="J2042" s="23" t="n"/>
      <c r="K2042" s="23" t="n"/>
      <c r="L2042" s="23" t="n"/>
      <c r="M2042" s="23" t="n"/>
      <c r="N2042" s="23" t="n"/>
      <c r="O2042" s="20">
        <f>IF(OR(I2042="",COUNT(J2042:N2042)=0),"",IF(SUM(J2042:N2042)=I2042,"✓","⚠ "&amp;SUM(J2042:N2042)&amp;" statt "&amp;I2042))</f>
        <v/>
      </c>
      <c r="P2042" s="21" t="n"/>
      <c r="Q2042" s="21" t="n"/>
      <c r="R2042" s="21" t="n"/>
      <c r="S2042" s="24" t="n"/>
      <c r="T2042" s="24" t="n"/>
      <c r="V2042">
        <f>IF(A2042="","",MONTH(A2042))</f>
        <v/>
      </c>
      <c r="W2042">
        <f>N(W2041)+IF(AND(C2042&lt;&gt;"",T2042&lt;&gt;""),IF(C2042=WOCHE!$B$3,1,0),0)</f>
        <v/>
      </c>
      <c r="X2042">
        <f>N(X2041)+IF(AND(V2042&lt;&gt;"",T2042&lt;&gt;""),IF(V2042=MONAT!$AZ$3,1,0),0)</f>
        <v/>
      </c>
    </row>
    <row r="2043">
      <c r="A2043" s="19" t="n"/>
      <c r="B2043" s="20">
        <f>IF(A2043="","",CHOOSE(WEEKDAY(A2043,2),"Mo","Di","Mi","Do","Fr","Sa","So"))</f>
        <v/>
      </c>
      <c r="C2043" s="20">
        <f>IF(A2043="","",INT((A2043-DATE(YEAR(A2043-WEEKDAY(A2043-1)+4),1,3)+WEEKDAY(DATE(YEAR(A2043-WEEKDAY(A2043-1)+4),1,3))+5)/7))</f>
        <v/>
      </c>
      <c r="D2043" s="21" t="n"/>
      <c r="E2043" s="22" t="n"/>
      <c r="F2043" s="23" t="n"/>
      <c r="G2043" s="23" t="n"/>
      <c r="H2043" s="23" t="n"/>
      <c r="I2043" s="20">
        <f>IF(COUNT(F2043:H2043)=0,"",SUM(F2043:H2043))</f>
        <v/>
      </c>
      <c r="J2043" s="23" t="n"/>
      <c r="K2043" s="23" t="n"/>
      <c r="L2043" s="23" t="n"/>
      <c r="M2043" s="23" t="n"/>
      <c r="N2043" s="23" t="n"/>
      <c r="O2043" s="20">
        <f>IF(OR(I2043="",COUNT(J2043:N2043)=0),"",IF(SUM(J2043:N2043)=I2043,"✓","⚠ "&amp;SUM(J2043:N2043)&amp;" statt "&amp;I2043))</f>
        <v/>
      </c>
      <c r="P2043" s="21" t="n"/>
      <c r="Q2043" s="21" t="n"/>
      <c r="R2043" s="21" t="n"/>
      <c r="S2043" s="24" t="n"/>
      <c r="T2043" s="24" t="n"/>
      <c r="V2043">
        <f>IF(A2043="","",MONTH(A2043))</f>
        <v/>
      </c>
      <c r="W2043">
        <f>N(W2042)+IF(AND(C2043&lt;&gt;"",T2043&lt;&gt;""),IF(C2043=WOCHE!$B$3,1,0),0)</f>
        <v/>
      </c>
      <c r="X2043">
        <f>N(X2042)+IF(AND(V2043&lt;&gt;"",T2043&lt;&gt;""),IF(V2043=MONAT!$AZ$3,1,0),0)</f>
        <v/>
      </c>
    </row>
    <row r="2044">
      <c r="A2044" s="19" t="n"/>
      <c r="B2044" s="20">
        <f>IF(A2044="","",CHOOSE(WEEKDAY(A2044,2),"Mo","Di","Mi","Do","Fr","Sa","So"))</f>
        <v/>
      </c>
      <c r="C2044" s="20">
        <f>IF(A2044="","",INT((A2044-DATE(YEAR(A2044-WEEKDAY(A2044-1)+4),1,3)+WEEKDAY(DATE(YEAR(A2044-WEEKDAY(A2044-1)+4),1,3))+5)/7))</f>
        <v/>
      </c>
      <c r="D2044" s="21" t="n"/>
      <c r="E2044" s="22" t="n"/>
      <c r="F2044" s="23" t="n"/>
      <c r="G2044" s="23" t="n"/>
      <c r="H2044" s="23" t="n"/>
      <c r="I2044" s="20">
        <f>IF(COUNT(F2044:H2044)=0,"",SUM(F2044:H2044))</f>
        <v/>
      </c>
      <c r="J2044" s="23" t="n"/>
      <c r="K2044" s="23" t="n"/>
      <c r="L2044" s="23" t="n"/>
      <c r="M2044" s="23" t="n"/>
      <c r="N2044" s="23" t="n"/>
      <c r="O2044" s="20">
        <f>IF(OR(I2044="",COUNT(J2044:N2044)=0),"",IF(SUM(J2044:N2044)=I2044,"✓","⚠ "&amp;SUM(J2044:N2044)&amp;" statt "&amp;I2044))</f>
        <v/>
      </c>
      <c r="P2044" s="21" t="n"/>
      <c r="Q2044" s="21" t="n"/>
      <c r="R2044" s="21" t="n"/>
      <c r="S2044" s="24" t="n"/>
      <c r="T2044" s="24" t="n"/>
      <c r="V2044">
        <f>IF(A2044="","",MONTH(A2044))</f>
        <v/>
      </c>
      <c r="W2044">
        <f>N(W2043)+IF(AND(C2044&lt;&gt;"",T2044&lt;&gt;""),IF(C2044=WOCHE!$B$3,1,0),0)</f>
        <v/>
      </c>
      <c r="X2044">
        <f>N(X2043)+IF(AND(V2044&lt;&gt;"",T2044&lt;&gt;""),IF(V2044=MONAT!$AZ$3,1,0),0)</f>
        <v/>
      </c>
    </row>
    <row r="2045">
      <c r="A2045" s="19" t="n"/>
      <c r="B2045" s="20">
        <f>IF(A2045="","",CHOOSE(WEEKDAY(A2045,2),"Mo","Di","Mi","Do","Fr","Sa","So"))</f>
        <v/>
      </c>
      <c r="C2045" s="20">
        <f>IF(A2045="","",INT((A2045-DATE(YEAR(A2045-WEEKDAY(A2045-1)+4),1,3)+WEEKDAY(DATE(YEAR(A2045-WEEKDAY(A2045-1)+4),1,3))+5)/7))</f>
        <v/>
      </c>
      <c r="D2045" s="21" t="n"/>
      <c r="E2045" s="22" t="n"/>
      <c r="F2045" s="23" t="n"/>
      <c r="G2045" s="23" t="n"/>
      <c r="H2045" s="23" t="n"/>
      <c r="I2045" s="20">
        <f>IF(COUNT(F2045:H2045)=0,"",SUM(F2045:H2045))</f>
        <v/>
      </c>
      <c r="J2045" s="23" t="n"/>
      <c r="K2045" s="23" t="n"/>
      <c r="L2045" s="23" t="n"/>
      <c r="M2045" s="23" t="n"/>
      <c r="N2045" s="23" t="n"/>
      <c r="O2045" s="20">
        <f>IF(OR(I2045="",COUNT(J2045:N2045)=0),"",IF(SUM(J2045:N2045)=I2045,"✓","⚠ "&amp;SUM(J2045:N2045)&amp;" statt "&amp;I2045))</f>
        <v/>
      </c>
      <c r="P2045" s="21" t="n"/>
      <c r="Q2045" s="21" t="n"/>
      <c r="R2045" s="21" t="n"/>
      <c r="S2045" s="24" t="n"/>
      <c r="T2045" s="24" t="n"/>
      <c r="V2045">
        <f>IF(A2045="","",MONTH(A2045))</f>
        <v/>
      </c>
      <c r="W2045">
        <f>N(W2044)+IF(AND(C2045&lt;&gt;"",T2045&lt;&gt;""),IF(C2045=WOCHE!$B$3,1,0),0)</f>
        <v/>
      </c>
      <c r="X2045">
        <f>N(X2044)+IF(AND(V2045&lt;&gt;"",T2045&lt;&gt;""),IF(V2045=MONAT!$AZ$3,1,0),0)</f>
        <v/>
      </c>
    </row>
    <row r="2046">
      <c r="A2046" s="19" t="n"/>
      <c r="B2046" s="20">
        <f>IF(A2046="","",CHOOSE(WEEKDAY(A2046,2),"Mo","Di","Mi","Do","Fr","Sa","So"))</f>
        <v/>
      </c>
      <c r="C2046" s="20">
        <f>IF(A2046="","",INT((A2046-DATE(YEAR(A2046-WEEKDAY(A2046-1)+4),1,3)+WEEKDAY(DATE(YEAR(A2046-WEEKDAY(A2046-1)+4),1,3))+5)/7))</f>
        <v/>
      </c>
      <c r="D2046" s="21" t="n"/>
      <c r="E2046" s="22" t="n"/>
      <c r="F2046" s="23" t="n"/>
      <c r="G2046" s="23" t="n"/>
      <c r="H2046" s="23" t="n"/>
      <c r="I2046" s="20">
        <f>IF(COUNT(F2046:H2046)=0,"",SUM(F2046:H2046))</f>
        <v/>
      </c>
      <c r="J2046" s="23" t="n"/>
      <c r="K2046" s="23" t="n"/>
      <c r="L2046" s="23" t="n"/>
      <c r="M2046" s="23" t="n"/>
      <c r="N2046" s="23" t="n"/>
      <c r="O2046" s="20">
        <f>IF(OR(I2046="",COUNT(J2046:N2046)=0),"",IF(SUM(J2046:N2046)=I2046,"✓","⚠ "&amp;SUM(J2046:N2046)&amp;" statt "&amp;I2046))</f>
        <v/>
      </c>
      <c r="P2046" s="21" t="n"/>
      <c r="Q2046" s="21" t="n"/>
      <c r="R2046" s="21" t="n"/>
      <c r="S2046" s="24" t="n"/>
      <c r="T2046" s="24" t="n"/>
      <c r="V2046">
        <f>IF(A2046="","",MONTH(A2046))</f>
        <v/>
      </c>
      <c r="W2046">
        <f>N(W2045)+IF(AND(C2046&lt;&gt;"",T2046&lt;&gt;""),IF(C2046=WOCHE!$B$3,1,0),0)</f>
        <v/>
      </c>
      <c r="X2046">
        <f>N(X2045)+IF(AND(V2046&lt;&gt;"",T2046&lt;&gt;""),IF(V2046=MONAT!$AZ$3,1,0),0)</f>
        <v/>
      </c>
    </row>
    <row r="2047">
      <c r="A2047" s="19" t="n"/>
      <c r="B2047" s="20">
        <f>IF(A2047="","",CHOOSE(WEEKDAY(A2047,2),"Mo","Di","Mi","Do","Fr","Sa","So"))</f>
        <v/>
      </c>
      <c r="C2047" s="20">
        <f>IF(A2047="","",INT((A2047-DATE(YEAR(A2047-WEEKDAY(A2047-1)+4),1,3)+WEEKDAY(DATE(YEAR(A2047-WEEKDAY(A2047-1)+4),1,3))+5)/7))</f>
        <v/>
      </c>
      <c r="D2047" s="21" t="n"/>
      <c r="E2047" s="22" t="n"/>
      <c r="F2047" s="23" t="n"/>
      <c r="G2047" s="23" t="n"/>
      <c r="H2047" s="23" t="n"/>
      <c r="I2047" s="20">
        <f>IF(COUNT(F2047:H2047)=0,"",SUM(F2047:H2047))</f>
        <v/>
      </c>
      <c r="J2047" s="23" t="n"/>
      <c r="K2047" s="23" t="n"/>
      <c r="L2047" s="23" t="n"/>
      <c r="M2047" s="23" t="n"/>
      <c r="N2047" s="23" t="n"/>
      <c r="O2047" s="20">
        <f>IF(OR(I2047="",COUNT(J2047:N2047)=0),"",IF(SUM(J2047:N2047)=I2047,"✓","⚠ "&amp;SUM(J2047:N2047)&amp;" statt "&amp;I2047))</f>
        <v/>
      </c>
      <c r="P2047" s="21" t="n"/>
      <c r="Q2047" s="21" t="n"/>
      <c r="R2047" s="21" t="n"/>
      <c r="S2047" s="24" t="n"/>
      <c r="T2047" s="24" t="n"/>
      <c r="V2047">
        <f>IF(A2047="","",MONTH(A2047))</f>
        <v/>
      </c>
      <c r="W2047">
        <f>N(W2046)+IF(AND(C2047&lt;&gt;"",T2047&lt;&gt;""),IF(C2047=WOCHE!$B$3,1,0),0)</f>
        <v/>
      </c>
      <c r="X2047">
        <f>N(X2046)+IF(AND(V2047&lt;&gt;"",T2047&lt;&gt;""),IF(V2047=MONAT!$AZ$3,1,0),0)</f>
        <v/>
      </c>
    </row>
    <row r="2048">
      <c r="A2048" s="19" t="n"/>
      <c r="B2048" s="20">
        <f>IF(A2048="","",CHOOSE(WEEKDAY(A2048,2),"Mo","Di","Mi","Do","Fr","Sa","So"))</f>
        <v/>
      </c>
      <c r="C2048" s="20">
        <f>IF(A2048="","",INT((A2048-DATE(YEAR(A2048-WEEKDAY(A2048-1)+4),1,3)+WEEKDAY(DATE(YEAR(A2048-WEEKDAY(A2048-1)+4),1,3))+5)/7))</f>
        <v/>
      </c>
      <c r="D2048" s="21" t="n"/>
      <c r="E2048" s="22" t="n"/>
      <c r="F2048" s="23" t="n"/>
      <c r="G2048" s="23" t="n"/>
      <c r="H2048" s="23" t="n"/>
      <c r="I2048" s="20">
        <f>IF(COUNT(F2048:H2048)=0,"",SUM(F2048:H2048))</f>
        <v/>
      </c>
      <c r="J2048" s="23" t="n"/>
      <c r="K2048" s="23" t="n"/>
      <c r="L2048" s="23" t="n"/>
      <c r="M2048" s="23" t="n"/>
      <c r="N2048" s="23" t="n"/>
      <c r="O2048" s="20">
        <f>IF(OR(I2048="",COUNT(J2048:N2048)=0),"",IF(SUM(J2048:N2048)=I2048,"✓","⚠ "&amp;SUM(J2048:N2048)&amp;" statt "&amp;I2048))</f>
        <v/>
      </c>
      <c r="P2048" s="21" t="n"/>
      <c r="Q2048" s="21" t="n"/>
      <c r="R2048" s="21" t="n"/>
      <c r="S2048" s="24" t="n"/>
      <c r="T2048" s="24" t="n"/>
      <c r="V2048">
        <f>IF(A2048="","",MONTH(A2048))</f>
        <v/>
      </c>
      <c r="W2048">
        <f>N(W2047)+IF(AND(C2048&lt;&gt;"",T2048&lt;&gt;""),IF(C2048=WOCHE!$B$3,1,0),0)</f>
        <v/>
      </c>
      <c r="X2048">
        <f>N(X2047)+IF(AND(V2048&lt;&gt;"",T2048&lt;&gt;""),IF(V2048=MONAT!$AZ$3,1,0),0)</f>
        <v/>
      </c>
    </row>
    <row r="2049">
      <c r="A2049" s="19" t="n"/>
      <c r="B2049" s="20">
        <f>IF(A2049="","",CHOOSE(WEEKDAY(A2049,2),"Mo","Di","Mi","Do","Fr","Sa","So"))</f>
        <v/>
      </c>
      <c r="C2049" s="20">
        <f>IF(A2049="","",INT((A2049-DATE(YEAR(A2049-WEEKDAY(A2049-1)+4),1,3)+WEEKDAY(DATE(YEAR(A2049-WEEKDAY(A2049-1)+4),1,3))+5)/7))</f>
        <v/>
      </c>
      <c r="D2049" s="21" t="n"/>
      <c r="E2049" s="22" t="n"/>
      <c r="F2049" s="23" t="n"/>
      <c r="G2049" s="23" t="n"/>
      <c r="H2049" s="23" t="n"/>
      <c r="I2049" s="20">
        <f>IF(COUNT(F2049:H2049)=0,"",SUM(F2049:H2049))</f>
        <v/>
      </c>
      <c r="J2049" s="23" t="n"/>
      <c r="K2049" s="23" t="n"/>
      <c r="L2049" s="23" t="n"/>
      <c r="M2049" s="23" t="n"/>
      <c r="N2049" s="23" t="n"/>
      <c r="O2049" s="20">
        <f>IF(OR(I2049="",COUNT(J2049:N2049)=0),"",IF(SUM(J2049:N2049)=I2049,"✓","⚠ "&amp;SUM(J2049:N2049)&amp;" statt "&amp;I2049))</f>
        <v/>
      </c>
      <c r="P2049" s="21" t="n"/>
      <c r="Q2049" s="21" t="n"/>
      <c r="R2049" s="21" t="n"/>
      <c r="S2049" s="24" t="n"/>
      <c r="T2049" s="24" t="n"/>
      <c r="V2049">
        <f>IF(A2049="","",MONTH(A2049))</f>
        <v/>
      </c>
      <c r="W2049">
        <f>N(W2048)+IF(AND(C2049&lt;&gt;"",T2049&lt;&gt;""),IF(C2049=WOCHE!$B$3,1,0),0)</f>
        <v/>
      </c>
      <c r="X2049">
        <f>N(X2048)+IF(AND(V2049&lt;&gt;"",T2049&lt;&gt;""),IF(V2049=MONAT!$AZ$3,1,0),0)</f>
        <v/>
      </c>
    </row>
    <row r="2050">
      <c r="A2050" s="19" t="n"/>
      <c r="B2050" s="20">
        <f>IF(A2050="","",CHOOSE(WEEKDAY(A2050,2),"Mo","Di","Mi","Do","Fr","Sa","So"))</f>
        <v/>
      </c>
      <c r="C2050" s="20">
        <f>IF(A2050="","",INT((A2050-DATE(YEAR(A2050-WEEKDAY(A2050-1)+4),1,3)+WEEKDAY(DATE(YEAR(A2050-WEEKDAY(A2050-1)+4),1,3))+5)/7))</f>
        <v/>
      </c>
      <c r="D2050" s="21" t="n"/>
      <c r="E2050" s="22" t="n"/>
      <c r="F2050" s="23" t="n"/>
      <c r="G2050" s="23" t="n"/>
      <c r="H2050" s="23" t="n"/>
      <c r="I2050" s="20">
        <f>IF(COUNT(F2050:H2050)=0,"",SUM(F2050:H2050))</f>
        <v/>
      </c>
      <c r="J2050" s="23" t="n"/>
      <c r="K2050" s="23" t="n"/>
      <c r="L2050" s="23" t="n"/>
      <c r="M2050" s="23" t="n"/>
      <c r="N2050" s="23" t="n"/>
      <c r="O2050" s="20">
        <f>IF(OR(I2050="",COUNT(J2050:N2050)=0),"",IF(SUM(J2050:N2050)=I2050,"✓","⚠ "&amp;SUM(J2050:N2050)&amp;" statt "&amp;I2050))</f>
        <v/>
      </c>
      <c r="P2050" s="21" t="n"/>
      <c r="Q2050" s="21" t="n"/>
      <c r="R2050" s="21" t="n"/>
      <c r="S2050" s="24" t="n"/>
      <c r="T2050" s="24" t="n"/>
      <c r="V2050">
        <f>IF(A2050="","",MONTH(A2050))</f>
        <v/>
      </c>
      <c r="W2050">
        <f>N(W2049)+IF(AND(C2050&lt;&gt;"",T2050&lt;&gt;""),IF(C2050=WOCHE!$B$3,1,0),0)</f>
        <v/>
      </c>
      <c r="X2050">
        <f>N(X2049)+IF(AND(V2050&lt;&gt;"",T2050&lt;&gt;""),IF(V2050=MONAT!$AZ$3,1,0),0)</f>
        <v/>
      </c>
    </row>
    <row r="2051">
      <c r="A2051" s="19" t="n"/>
      <c r="B2051" s="20">
        <f>IF(A2051="","",CHOOSE(WEEKDAY(A2051,2),"Mo","Di","Mi","Do","Fr","Sa","So"))</f>
        <v/>
      </c>
      <c r="C2051" s="20">
        <f>IF(A2051="","",INT((A2051-DATE(YEAR(A2051-WEEKDAY(A2051-1)+4),1,3)+WEEKDAY(DATE(YEAR(A2051-WEEKDAY(A2051-1)+4),1,3))+5)/7))</f>
        <v/>
      </c>
      <c r="D2051" s="21" t="n"/>
      <c r="E2051" s="22" t="n"/>
      <c r="F2051" s="23" t="n"/>
      <c r="G2051" s="23" t="n"/>
      <c r="H2051" s="23" t="n"/>
      <c r="I2051" s="20">
        <f>IF(COUNT(F2051:H2051)=0,"",SUM(F2051:H2051))</f>
        <v/>
      </c>
      <c r="J2051" s="23" t="n"/>
      <c r="K2051" s="23" t="n"/>
      <c r="L2051" s="23" t="n"/>
      <c r="M2051" s="23" t="n"/>
      <c r="N2051" s="23" t="n"/>
      <c r="O2051" s="20">
        <f>IF(OR(I2051="",COUNT(J2051:N2051)=0),"",IF(SUM(J2051:N2051)=I2051,"✓","⚠ "&amp;SUM(J2051:N2051)&amp;" statt "&amp;I2051))</f>
        <v/>
      </c>
      <c r="P2051" s="21" t="n"/>
      <c r="Q2051" s="21" t="n"/>
      <c r="R2051" s="21" t="n"/>
      <c r="S2051" s="24" t="n"/>
      <c r="T2051" s="24" t="n"/>
      <c r="V2051">
        <f>IF(A2051="","",MONTH(A2051))</f>
        <v/>
      </c>
      <c r="W2051">
        <f>N(W2050)+IF(AND(C2051&lt;&gt;"",T2051&lt;&gt;""),IF(C2051=WOCHE!$B$3,1,0),0)</f>
        <v/>
      </c>
      <c r="X2051">
        <f>N(X2050)+IF(AND(V2051&lt;&gt;"",T2051&lt;&gt;""),IF(V2051=MONAT!$AZ$3,1,0),0)</f>
        <v/>
      </c>
    </row>
    <row r="2052">
      <c r="A2052" s="19" t="n"/>
      <c r="B2052" s="20">
        <f>IF(A2052="","",CHOOSE(WEEKDAY(A2052,2),"Mo","Di","Mi","Do","Fr","Sa","So"))</f>
        <v/>
      </c>
      <c r="C2052" s="20">
        <f>IF(A2052="","",INT((A2052-DATE(YEAR(A2052-WEEKDAY(A2052-1)+4),1,3)+WEEKDAY(DATE(YEAR(A2052-WEEKDAY(A2052-1)+4),1,3))+5)/7))</f>
        <v/>
      </c>
      <c r="D2052" s="21" t="n"/>
      <c r="E2052" s="22" t="n"/>
      <c r="F2052" s="23" t="n"/>
      <c r="G2052" s="23" t="n"/>
      <c r="H2052" s="23" t="n"/>
      <c r="I2052" s="20">
        <f>IF(COUNT(F2052:H2052)=0,"",SUM(F2052:H2052))</f>
        <v/>
      </c>
      <c r="J2052" s="23" t="n"/>
      <c r="K2052" s="23" t="n"/>
      <c r="L2052" s="23" t="n"/>
      <c r="M2052" s="23" t="n"/>
      <c r="N2052" s="23" t="n"/>
      <c r="O2052" s="20">
        <f>IF(OR(I2052="",COUNT(J2052:N2052)=0),"",IF(SUM(J2052:N2052)=I2052,"✓","⚠ "&amp;SUM(J2052:N2052)&amp;" statt "&amp;I2052))</f>
        <v/>
      </c>
      <c r="P2052" s="21" t="n"/>
      <c r="Q2052" s="21" t="n"/>
      <c r="R2052" s="21" t="n"/>
      <c r="S2052" s="24" t="n"/>
      <c r="T2052" s="24" t="n"/>
      <c r="V2052">
        <f>IF(A2052="","",MONTH(A2052))</f>
        <v/>
      </c>
      <c r="W2052">
        <f>N(W2051)+IF(AND(C2052&lt;&gt;"",T2052&lt;&gt;""),IF(C2052=WOCHE!$B$3,1,0),0)</f>
        <v/>
      </c>
      <c r="X2052">
        <f>N(X2051)+IF(AND(V2052&lt;&gt;"",T2052&lt;&gt;""),IF(V2052=MONAT!$AZ$3,1,0),0)</f>
        <v/>
      </c>
    </row>
    <row r="2053">
      <c r="A2053" s="19" t="n"/>
      <c r="B2053" s="20">
        <f>IF(A2053="","",CHOOSE(WEEKDAY(A2053,2),"Mo","Di","Mi","Do","Fr","Sa","So"))</f>
        <v/>
      </c>
      <c r="C2053" s="20">
        <f>IF(A2053="","",INT((A2053-DATE(YEAR(A2053-WEEKDAY(A2053-1)+4),1,3)+WEEKDAY(DATE(YEAR(A2053-WEEKDAY(A2053-1)+4),1,3))+5)/7))</f>
        <v/>
      </c>
      <c r="D2053" s="21" t="n"/>
      <c r="E2053" s="22" t="n"/>
      <c r="F2053" s="23" t="n"/>
      <c r="G2053" s="23" t="n"/>
      <c r="H2053" s="23" t="n"/>
      <c r="I2053" s="20">
        <f>IF(COUNT(F2053:H2053)=0,"",SUM(F2053:H2053))</f>
        <v/>
      </c>
      <c r="J2053" s="23" t="n"/>
      <c r="K2053" s="23" t="n"/>
      <c r="L2053" s="23" t="n"/>
      <c r="M2053" s="23" t="n"/>
      <c r="N2053" s="23" t="n"/>
      <c r="O2053" s="20">
        <f>IF(OR(I2053="",COUNT(J2053:N2053)=0),"",IF(SUM(J2053:N2053)=I2053,"✓","⚠ "&amp;SUM(J2053:N2053)&amp;" statt "&amp;I2053))</f>
        <v/>
      </c>
      <c r="P2053" s="21" t="n"/>
      <c r="Q2053" s="21" t="n"/>
      <c r="R2053" s="21" t="n"/>
      <c r="S2053" s="24" t="n"/>
      <c r="T2053" s="24" t="n"/>
      <c r="V2053">
        <f>IF(A2053="","",MONTH(A2053))</f>
        <v/>
      </c>
      <c r="W2053">
        <f>N(W2052)+IF(AND(C2053&lt;&gt;"",T2053&lt;&gt;""),IF(C2053=WOCHE!$B$3,1,0),0)</f>
        <v/>
      </c>
      <c r="X2053">
        <f>N(X2052)+IF(AND(V2053&lt;&gt;"",T2053&lt;&gt;""),IF(V2053=MONAT!$AZ$3,1,0),0)</f>
        <v/>
      </c>
    </row>
    <row r="2054">
      <c r="A2054" s="19" t="n"/>
      <c r="B2054" s="20">
        <f>IF(A2054="","",CHOOSE(WEEKDAY(A2054,2),"Mo","Di","Mi","Do","Fr","Sa","So"))</f>
        <v/>
      </c>
      <c r="C2054" s="20">
        <f>IF(A2054="","",INT((A2054-DATE(YEAR(A2054-WEEKDAY(A2054-1)+4),1,3)+WEEKDAY(DATE(YEAR(A2054-WEEKDAY(A2054-1)+4),1,3))+5)/7))</f>
        <v/>
      </c>
      <c r="D2054" s="21" t="n"/>
      <c r="E2054" s="22" t="n"/>
      <c r="F2054" s="23" t="n"/>
      <c r="G2054" s="23" t="n"/>
      <c r="H2054" s="23" t="n"/>
      <c r="I2054" s="20">
        <f>IF(COUNT(F2054:H2054)=0,"",SUM(F2054:H2054))</f>
        <v/>
      </c>
      <c r="J2054" s="23" t="n"/>
      <c r="K2054" s="23" t="n"/>
      <c r="L2054" s="23" t="n"/>
      <c r="M2054" s="23" t="n"/>
      <c r="N2054" s="23" t="n"/>
      <c r="O2054" s="20">
        <f>IF(OR(I2054="",COUNT(J2054:N2054)=0),"",IF(SUM(J2054:N2054)=I2054,"✓","⚠ "&amp;SUM(J2054:N2054)&amp;" statt "&amp;I2054))</f>
        <v/>
      </c>
      <c r="P2054" s="21" t="n"/>
      <c r="Q2054" s="21" t="n"/>
      <c r="R2054" s="21" t="n"/>
      <c r="S2054" s="24" t="n"/>
      <c r="T2054" s="24" t="n"/>
      <c r="V2054">
        <f>IF(A2054="","",MONTH(A2054))</f>
        <v/>
      </c>
      <c r="W2054">
        <f>N(W2053)+IF(AND(C2054&lt;&gt;"",T2054&lt;&gt;""),IF(C2054=WOCHE!$B$3,1,0),0)</f>
        <v/>
      </c>
      <c r="X2054">
        <f>N(X2053)+IF(AND(V2054&lt;&gt;"",T2054&lt;&gt;""),IF(V2054=MONAT!$AZ$3,1,0),0)</f>
        <v/>
      </c>
    </row>
    <row r="2055">
      <c r="A2055" s="19" t="n"/>
      <c r="B2055" s="20">
        <f>IF(A2055="","",CHOOSE(WEEKDAY(A2055,2),"Mo","Di","Mi","Do","Fr","Sa","So"))</f>
        <v/>
      </c>
      <c r="C2055" s="20">
        <f>IF(A2055="","",INT((A2055-DATE(YEAR(A2055-WEEKDAY(A2055-1)+4),1,3)+WEEKDAY(DATE(YEAR(A2055-WEEKDAY(A2055-1)+4),1,3))+5)/7))</f>
        <v/>
      </c>
      <c r="D2055" s="21" t="n"/>
      <c r="E2055" s="22" t="n"/>
      <c r="F2055" s="23" t="n"/>
      <c r="G2055" s="23" t="n"/>
      <c r="H2055" s="23" t="n"/>
      <c r="I2055" s="20">
        <f>IF(COUNT(F2055:H2055)=0,"",SUM(F2055:H2055))</f>
        <v/>
      </c>
      <c r="J2055" s="23" t="n"/>
      <c r="K2055" s="23" t="n"/>
      <c r="L2055" s="23" t="n"/>
      <c r="M2055" s="23" t="n"/>
      <c r="N2055" s="23" t="n"/>
      <c r="O2055" s="20">
        <f>IF(OR(I2055="",COUNT(J2055:N2055)=0),"",IF(SUM(J2055:N2055)=I2055,"✓","⚠ "&amp;SUM(J2055:N2055)&amp;" statt "&amp;I2055))</f>
        <v/>
      </c>
      <c r="P2055" s="21" t="n"/>
      <c r="Q2055" s="21" t="n"/>
      <c r="R2055" s="21" t="n"/>
      <c r="S2055" s="24" t="n"/>
      <c r="T2055" s="24" t="n"/>
      <c r="V2055">
        <f>IF(A2055="","",MONTH(A2055))</f>
        <v/>
      </c>
      <c r="W2055">
        <f>N(W2054)+IF(AND(C2055&lt;&gt;"",T2055&lt;&gt;""),IF(C2055=WOCHE!$B$3,1,0),0)</f>
        <v/>
      </c>
      <c r="X2055">
        <f>N(X2054)+IF(AND(V2055&lt;&gt;"",T2055&lt;&gt;""),IF(V2055=MONAT!$AZ$3,1,0),0)</f>
        <v/>
      </c>
    </row>
    <row r="2056">
      <c r="A2056" s="19" t="n"/>
      <c r="B2056" s="20">
        <f>IF(A2056="","",CHOOSE(WEEKDAY(A2056,2),"Mo","Di","Mi","Do","Fr","Sa","So"))</f>
        <v/>
      </c>
      <c r="C2056" s="20">
        <f>IF(A2056="","",INT((A2056-DATE(YEAR(A2056-WEEKDAY(A2056-1)+4),1,3)+WEEKDAY(DATE(YEAR(A2056-WEEKDAY(A2056-1)+4),1,3))+5)/7))</f>
        <v/>
      </c>
      <c r="D2056" s="21" t="n"/>
      <c r="E2056" s="22" t="n"/>
      <c r="F2056" s="23" t="n"/>
      <c r="G2056" s="23" t="n"/>
      <c r="H2056" s="23" t="n"/>
      <c r="I2056" s="20">
        <f>IF(COUNT(F2056:H2056)=0,"",SUM(F2056:H2056))</f>
        <v/>
      </c>
      <c r="J2056" s="23" t="n"/>
      <c r="K2056" s="23" t="n"/>
      <c r="L2056" s="23" t="n"/>
      <c r="M2056" s="23" t="n"/>
      <c r="N2056" s="23" t="n"/>
      <c r="O2056" s="20">
        <f>IF(OR(I2056="",COUNT(J2056:N2056)=0),"",IF(SUM(J2056:N2056)=I2056,"✓","⚠ "&amp;SUM(J2056:N2056)&amp;" statt "&amp;I2056))</f>
        <v/>
      </c>
      <c r="P2056" s="21" t="n"/>
      <c r="Q2056" s="21" t="n"/>
      <c r="R2056" s="21" t="n"/>
      <c r="S2056" s="24" t="n"/>
      <c r="T2056" s="24" t="n"/>
      <c r="V2056">
        <f>IF(A2056="","",MONTH(A2056))</f>
        <v/>
      </c>
      <c r="W2056">
        <f>N(W2055)+IF(AND(C2056&lt;&gt;"",T2056&lt;&gt;""),IF(C2056=WOCHE!$B$3,1,0),0)</f>
        <v/>
      </c>
      <c r="X2056">
        <f>N(X2055)+IF(AND(V2056&lt;&gt;"",T2056&lt;&gt;""),IF(V2056=MONAT!$AZ$3,1,0),0)</f>
        <v/>
      </c>
    </row>
    <row r="2057">
      <c r="A2057" s="19" t="n"/>
      <c r="B2057" s="20">
        <f>IF(A2057="","",CHOOSE(WEEKDAY(A2057,2),"Mo","Di","Mi","Do","Fr","Sa","So"))</f>
        <v/>
      </c>
      <c r="C2057" s="20">
        <f>IF(A2057="","",INT((A2057-DATE(YEAR(A2057-WEEKDAY(A2057-1)+4),1,3)+WEEKDAY(DATE(YEAR(A2057-WEEKDAY(A2057-1)+4),1,3))+5)/7))</f>
        <v/>
      </c>
      <c r="D2057" s="21" t="n"/>
      <c r="E2057" s="22" t="n"/>
      <c r="F2057" s="23" t="n"/>
      <c r="G2057" s="23" t="n"/>
      <c r="H2057" s="23" t="n"/>
      <c r="I2057" s="20">
        <f>IF(COUNT(F2057:H2057)=0,"",SUM(F2057:H2057))</f>
        <v/>
      </c>
      <c r="J2057" s="23" t="n"/>
      <c r="K2057" s="23" t="n"/>
      <c r="L2057" s="23" t="n"/>
      <c r="M2057" s="23" t="n"/>
      <c r="N2057" s="23" t="n"/>
      <c r="O2057" s="20">
        <f>IF(OR(I2057="",COUNT(J2057:N2057)=0),"",IF(SUM(J2057:N2057)=I2057,"✓","⚠ "&amp;SUM(J2057:N2057)&amp;" statt "&amp;I2057))</f>
        <v/>
      </c>
      <c r="P2057" s="21" t="n"/>
      <c r="Q2057" s="21" t="n"/>
      <c r="R2057" s="21" t="n"/>
      <c r="S2057" s="24" t="n"/>
      <c r="T2057" s="24" t="n"/>
      <c r="V2057">
        <f>IF(A2057="","",MONTH(A2057))</f>
        <v/>
      </c>
      <c r="W2057">
        <f>N(W2056)+IF(AND(C2057&lt;&gt;"",T2057&lt;&gt;""),IF(C2057=WOCHE!$B$3,1,0),0)</f>
        <v/>
      </c>
      <c r="X2057">
        <f>N(X2056)+IF(AND(V2057&lt;&gt;"",T2057&lt;&gt;""),IF(V2057=MONAT!$AZ$3,1,0),0)</f>
        <v/>
      </c>
    </row>
    <row r="2058">
      <c r="A2058" s="19" t="n"/>
      <c r="B2058" s="20">
        <f>IF(A2058="","",CHOOSE(WEEKDAY(A2058,2),"Mo","Di","Mi","Do","Fr","Sa","So"))</f>
        <v/>
      </c>
      <c r="C2058" s="20">
        <f>IF(A2058="","",INT((A2058-DATE(YEAR(A2058-WEEKDAY(A2058-1)+4),1,3)+WEEKDAY(DATE(YEAR(A2058-WEEKDAY(A2058-1)+4),1,3))+5)/7))</f>
        <v/>
      </c>
      <c r="D2058" s="21" t="n"/>
      <c r="E2058" s="22" t="n"/>
      <c r="F2058" s="23" t="n"/>
      <c r="G2058" s="23" t="n"/>
      <c r="H2058" s="23" t="n"/>
      <c r="I2058" s="20">
        <f>IF(COUNT(F2058:H2058)=0,"",SUM(F2058:H2058))</f>
        <v/>
      </c>
      <c r="J2058" s="23" t="n"/>
      <c r="K2058" s="23" t="n"/>
      <c r="L2058" s="23" t="n"/>
      <c r="M2058" s="23" t="n"/>
      <c r="N2058" s="23" t="n"/>
      <c r="O2058" s="20">
        <f>IF(OR(I2058="",COUNT(J2058:N2058)=0),"",IF(SUM(J2058:N2058)=I2058,"✓","⚠ "&amp;SUM(J2058:N2058)&amp;" statt "&amp;I2058))</f>
        <v/>
      </c>
      <c r="P2058" s="21" t="n"/>
      <c r="Q2058" s="21" t="n"/>
      <c r="R2058" s="21" t="n"/>
      <c r="S2058" s="24" t="n"/>
      <c r="T2058" s="24" t="n"/>
      <c r="V2058">
        <f>IF(A2058="","",MONTH(A2058))</f>
        <v/>
      </c>
      <c r="W2058">
        <f>N(W2057)+IF(AND(C2058&lt;&gt;"",T2058&lt;&gt;""),IF(C2058=WOCHE!$B$3,1,0),0)</f>
        <v/>
      </c>
      <c r="X2058">
        <f>N(X2057)+IF(AND(V2058&lt;&gt;"",T2058&lt;&gt;""),IF(V2058=MONAT!$AZ$3,1,0),0)</f>
        <v/>
      </c>
    </row>
    <row r="2059">
      <c r="A2059" s="19" t="n"/>
      <c r="B2059" s="20">
        <f>IF(A2059="","",CHOOSE(WEEKDAY(A2059,2),"Mo","Di","Mi","Do","Fr","Sa","So"))</f>
        <v/>
      </c>
      <c r="C2059" s="20">
        <f>IF(A2059="","",INT((A2059-DATE(YEAR(A2059-WEEKDAY(A2059-1)+4),1,3)+WEEKDAY(DATE(YEAR(A2059-WEEKDAY(A2059-1)+4),1,3))+5)/7))</f>
        <v/>
      </c>
      <c r="D2059" s="21" t="n"/>
      <c r="E2059" s="22" t="n"/>
      <c r="F2059" s="23" t="n"/>
      <c r="G2059" s="23" t="n"/>
      <c r="H2059" s="23" t="n"/>
      <c r="I2059" s="20">
        <f>IF(COUNT(F2059:H2059)=0,"",SUM(F2059:H2059))</f>
        <v/>
      </c>
      <c r="J2059" s="23" t="n"/>
      <c r="K2059" s="23" t="n"/>
      <c r="L2059" s="23" t="n"/>
      <c r="M2059" s="23" t="n"/>
      <c r="N2059" s="23" t="n"/>
      <c r="O2059" s="20">
        <f>IF(OR(I2059="",COUNT(J2059:N2059)=0),"",IF(SUM(J2059:N2059)=I2059,"✓","⚠ "&amp;SUM(J2059:N2059)&amp;" statt "&amp;I2059))</f>
        <v/>
      </c>
      <c r="P2059" s="21" t="n"/>
      <c r="Q2059" s="21" t="n"/>
      <c r="R2059" s="21" t="n"/>
      <c r="S2059" s="24" t="n"/>
      <c r="T2059" s="24" t="n"/>
      <c r="V2059">
        <f>IF(A2059="","",MONTH(A2059))</f>
        <v/>
      </c>
      <c r="W2059">
        <f>N(W2058)+IF(AND(C2059&lt;&gt;"",T2059&lt;&gt;""),IF(C2059=WOCHE!$B$3,1,0),0)</f>
        <v/>
      </c>
      <c r="X2059">
        <f>N(X2058)+IF(AND(V2059&lt;&gt;"",T2059&lt;&gt;""),IF(V2059=MONAT!$AZ$3,1,0),0)</f>
        <v/>
      </c>
    </row>
    <row r="2060">
      <c r="A2060" s="19" t="n"/>
      <c r="B2060" s="20">
        <f>IF(A2060="","",CHOOSE(WEEKDAY(A2060,2),"Mo","Di","Mi","Do","Fr","Sa","So"))</f>
        <v/>
      </c>
      <c r="C2060" s="20">
        <f>IF(A2060="","",INT((A2060-DATE(YEAR(A2060-WEEKDAY(A2060-1)+4),1,3)+WEEKDAY(DATE(YEAR(A2060-WEEKDAY(A2060-1)+4),1,3))+5)/7))</f>
        <v/>
      </c>
      <c r="D2060" s="21" t="n"/>
      <c r="E2060" s="22" t="n"/>
      <c r="F2060" s="23" t="n"/>
      <c r="G2060" s="23" t="n"/>
      <c r="H2060" s="23" t="n"/>
      <c r="I2060" s="20">
        <f>IF(COUNT(F2060:H2060)=0,"",SUM(F2060:H2060))</f>
        <v/>
      </c>
      <c r="J2060" s="23" t="n"/>
      <c r="K2060" s="23" t="n"/>
      <c r="L2060" s="23" t="n"/>
      <c r="M2060" s="23" t="n"/>
      <c r="N2060" s="23" t="n"/>
      <c r="O2060" s="20">
        <f>IF(OR(I2060="",COUNT(J2060:N2060)=0),"",IF(SUM(J2060:N2060)=I2060,"✓","⚠ "&amp;SUM(J2060:N2060)&amp;" statt "&amp;I2060))</f>
        <v/>
      </c>
      <c r="P2060" s="21" t="n"/>
      <c r="Q2060" s="21" t="n"/>
      <c r="R2060" s="21" t="n"/>
      <c r="S2060" s="24" t="n"/>
      <c r="T2060" s="24" t="n"/>
      <c r="V2060">
        <f>IF(A2060="","",MONTH(A2060))</f>
        <v/>
      </c>
      <c r="W2060">
        <f>N(W2059)+IF(AND(C2060&lt;&gt;"",T2060&lt;&gt;""),IF(C2060=WOCHE!$B$3,1,0),0)</f>
        <v/>
      </c>
      <c r="X2060">
        <f>N(X2059)+IF(AND(V2060&lt;&gt;"",T2060&lt;&gt;""),IF(V2060=MONAT!$AZ$3,1,0),0)</f>
        <v/>
      </c>
    </row>
    <row r="2061">
      <c r="A2061" s="19" t="n"/>
      <c r="B2061" s="20">
        <f>IF(A2061="","",CHOOSE(WEEKDAY(A2061,2),"Mo","Di","Mi","Do","Fr","Sa","So"))</f>
        <v/>
      </c>
      <c r="C2061" s="20">
        <f>IF(A2061="","",INT((A2061-DATE(YEAR(A2061-WEEKDAY(A2061-1)+4),1,3)+WEEKDAY(DATE(YEAR(A2061-WEEKDAY(A2061-1)+4),1,3))+5)/7))</f>
        <v/>
      </c>
      <c r="D2061" s="21" t="n"/>
      <c r="E2061" s="22" t="n"/>
      <c r="F2061" s="23" t="n"/>
      <c r="G2061" s="23" t="n"/>
      <c r="H2061" s="23" t="n"/>
      <c r="I2061" s="20">
        <f>IF(COUNT(F2061:H2061)=0,"",SUM(F2061:H2061))</f>
        <v/>
      </c>
      <c r="J2061" s="23" t="n"/>
      <c r="K2061" s="23" t="n"/>
      <c r="L2061" s="23" t="n"/>
      <c r="M2061" s="23" t="n"/>
      <c r="N2061" s="23" t="n"/>
      <c r="O2061" s="20">
        <f>IF(OR(I2061="",COUNT(J2061:N2061)=0),"",IF(SUM(J2061:N2061)=I2061,"✓","⚠ "&amp;SUM(J2061:N2061)&amp;" statt "&amp;I2061))</f>
        <v/>
      </c>
      <c r="P2061" s="21" t="n"/>
      <c r="Q2061" s="21" t="n"/>
      <c r="R2061" s="21" t="n"/>
      <c r="S2061" s="24" t="n"/>
      <c r="T2061" s="24" t="n"/>
      <c r="V2061">
        <f>IF(A2061="","",MONTH(A2061))</f>
        <v/>
      </c>
      <c r="W2061">
        <f>N(W2060)+IF(AND(C2061&lt;&gt;"",T2061&lt;&gt;""),IF(C2061=WOCHE!$B$3,1,0),0)</f>
        <v/>
      </c>
      <c r="X2061">
        <f>N(X2060)+IF(AND(V2061&lt;&gt;"",T2061&lt;&gt;""),IF(V2061=MONAT!$AZ$3,1,0),0)</f>
        <v/>
      </c>
    </row>
    <row r="2062">
      <c r="A2062" s="19" t="n"/>
      <c r="B2062" s="20">
        <f>IF(A2062="","",CHOOSE(WEEKDAY(A2062,2),"Mo","Di","Mi","Do","Fr","Sa","So"))</f>
        <v/>
      </c>
      <c r="C2062" s="20">
        <f>IF(A2062="","",INT((A2062-DATE(YEAR(A2062-WEEKDAY(A2062-1)+4),1,3)+WEEKDAY(DATE(YEAR(A2062-WEEKDAY(A2062-1)+4),1,3))+5)/7))</f>
        <v/>
      </c>
      <c r="D2062" s="21" t="n"/>
      <c r="E2062" s="22" t="n"/>
      <c r="F2062" s="23" t="n"/>
      <c r="G2062" s="23" t="n"/>
      <c r="H2062" s="23" t="n"/>
      <c r="I2062" s="20">
        <f>IF(COUNT(F2062:H2062)=0,"",SUM(F2062:H2062))</f>
        <v/>
      </c>
      <c r="J2062" s="23" t="n"/>
      <c r="K2062" s="23" t="n"/>
      <c r="L2062" s="23" t="n"/>
      <c r="M2062" s="23" t="n"/>
      <c r="N2062" s="23" t="n"/>
      <c r="O2062" s="20">
        <f>IF(OR(I2062="",COUNT(J2062:N2062)=0),"",IF(SUM(J2062:N2062)=I2062,"✓","⚠ "&amp;SUM(J2062:N2062)&amp;" statt "&amp;I2062))</f>
        <v/>
      </c>
      <c r="P2062" s="21" t="n"/>
      <c r="Q2062" s="21" t="n"/>
      <c r="R2062" s="21" t="n"/>
      <c r="S2062" s="24" t="n"/>
      <c r="T2062" s="24" t="n"/>
      <c r="V2062">
        <f>IF(A2062="","",MONTH(A2062))</f>
        <v/>
      </c>
      <c r="W2062">
        <f>N(W2061)+IF(AND(C2062&lt;&gt;"",T2062&lt;&gt;""),IF(C2062=WOCHE!$B$3,1,0),0)</f>
        <v/>
      </c>
      <c r="X2062">
        <f>N(X2061)+IF(AND(V2062&lt;&gt;"",T2062&lt;&gt;""),IF(V2062=MONAT!$AZ$3,1,0),0)</f>
        <v/>
      </c>
    </row>
    <row r="2063">
      <c r="A2063" s="19" t="n"/>
      <c r="B2063" s="20">
        <f>IF(A2063="","",CHOOSE(WEEKDAY(A2063,2),"Mo","Di","Mi","Do","Fr","Sa","So"))</f>
        <v/>
      </c>
      <c r="C2063" s="20">
        <f>IF(A2063="","",INT((A2063-DATE(YEAR(A2063-WEEKDAY(A2063-1)+4),1,3)+WEEKDAY(DATE(YEAR(A2063-WEEKDAY(A2063-1)+4),1,3))+5)/7))</f>
        <v/>
      </c>
      <c r="D2063" s="21" t="n"/>
      <c r="E2063" s="22" t="n"/>
      <c r="F2063" s="23" t="n"/>
      <c r="G2063" s="23" t="n"/>
      <c r="H2063" s="23" t="n"/>
      <c r="I2063" s="20">
        <f>IF(COUNT(F2063:H2063)=0,"",SUM(F2063:H2063))</f>
        <v/>
      </c>
      <c r="J2063" s="23" t="n"/>
      <c r="K2063" s="23" t="n"/>
      <c r="L2063" s="23" t="n"/>
      <c r="M2063" s="23" t="n"/>
      <c r="N2063" s="23" t="n"/>
      <c r="O2063" s="20">
        <f>IF(OR(I2063="",COUNT(J2063:N2063)=0),"",IF(SUM(J2063:N2063)=I2063,"✓","⚠ "&amp;SUM(J2063:N2063)&amp;" statt "&amp;I2063))</f>
        <v/>
      </c>
      <c r="P2063" s="21" t="n"/>
      <c r="Q2063" s="21" t="n"/>
      <c r="R2063" s="21" t="n"/>
      <c r="S2063" s="24" t="n"/>
      <c r="T2063" s="24" t="n"/>
      <c r="V2063">
        <f>IF(A2063="","",MONTH(A2063))</f>
        <v/>
      </c>
      <c r="W2063">
        <f>N(W2062)+IF(AND(C2063&lt;&gt;"",T2063&lt;&gt;""),IF(C2063=WOCHE!$B$3,1,0),0)</f>
        <v/>
      </c>
      <c r="X2063">
        <f>N(X2062)+IF(AND(V2063&lt;&gt;"",T2063&lt;&gt;""),IF(V2063=MONAT!$AZ$3,1,0),0)</f>
        <v/>
      </c>
    </row>
    <row r="2064">
      <c r="A2064" s="19" t="n"/>
      <c r="B2064" s="20">
        <f>IF(A2064="","",CHOOSE(WEEKDAY(A2064,2),"Mo","Di","Mi","Do","Fr","Sa","So"))</f>
        <v/>
      </c>
      <c r="C2064" s="20">
        <f>IF(A2064="","",INT((A2064-DATE(YEAR(A2064-WEEKDAY(A2064-1)+4),1,3)+WEEKDAY(DATE(YEAR(A2064-WEEKDAY(A2064-1)+4),1,3))+5)/7))</f>
        <v/>
      </c>
      <c r="D2064" s="21" t="n"/>
      <c r="E2064" s="22" t="n"/>
      <c r="F2064" s="23" t="n"/>
      <c r="G2064" s="23" t="n"/>
      <c r="H2064" s="23" t="n"/>
      <c r="I2064" s="20">
        <f>IF(COUNT(F2064:H2064)=0,"",SUM(F2064:H2064))</f>
        <v/>
      </c>
      <c r="J2064" s="23" t="n"/>
      <c r="K2064" s="23" t="n"/>
      <c r="L2064" s="23" t="n"/>
      <c r="M2064" s="23" t="n"/>
      <c r="N2064" s="23" t="n"/>
      <c r="O2064" s="20">
        <f>IF(OR(I2064="",COUNT(J2064:N2064)=0),"",IF(SUM(J2064:N2064)=I2064,"✓","⚠ "&amp;SUM(J2064:N2064)&amp;" statt "&amp;I2064))</f>
        <v/>
      </c>
      <c r="P2064" s="21" t="n"/>
      <c r="Q2064" s="21" t="n"/>
      <c r="R2064" s="21" t="n"/>
      <c r="S2064" s="24" t="n"/>
      <c r="T2064" s="24" t="n"/>
      <c r="V2064">
        <f>IF(A2064="","",MONTH(A2064))</f>
        <v/>
      </c>
      <c r="W2064">
        <f>N(W2063)+IF(AND(C2064&lt;&gt;"",T2064&lt;&gt;""),IF(C2064=WOCHE!$B$3,1,0),0)</f>
        <v/>
      </c>
      <c r="X2064">
        <f>N(X2063)+IF(AND(V2064&lt;&gt;"",T2064&lt;&gt;""),IF(V2064=MONAT!$AZ$3,1,0),0)</f>
        <v/>
      </c>
    </row>
    <row r="2065">
      <c r="A2065" s="19" t="n"/>
      <c r="B2065" s="20">
        <f>IF(A2065="","",CHOOSE(WEEKDAY(A2065,2),"Mo","Di","Mi","Do","Fr","Sa","So"))</f>
        <v/>
      </c>
      <c r="C2065" s="20">
        <f>IF(A2065="","",INT((A2065-DATE(YEAR(A2065-WEEKDAY(A2065-1)+4),1,3)+WEEKDAY(DATE(YEAR(A2065-WEEKDAY(A2065-1)+4),1,3))+5)/7))</f>
        <v/>
      </c>
      <c r="D2065" s="21" t="n"/>
      <c r="E2065" s="22" t="n"/>
      <c r="F2065" s="23" t="n"/>
      <c r="G2065" s="23" t="n"/>
      <c r="H2065" s="23" t="n"/>
      <c r="I2065" s="20">
        <f>IF(COUNT(F2065:H2065)=0,"",SUM(F2065:H2065))</f>
        <v/>
      </c>
      <c r="J2065" s="23" t="n"/>
      <c r="K2065" s="23" t="n"/>
      <c r="L2065" s="23" t="n"/>
      <c r="M2065" s="23" t="n"/>
      <c r="N2065" s="23" t="n"/>
      <c r="O2065" s="20">
        <f>IF(OR(I2065="",COUNT(J2065:N2065)=0),"",IF(SUM(J2065:N2065)=I2065,"✓","⚠ "&amp;SUM(J2065:N2065)&amp;" statt "&amp;I2065))</f>
        <v/>
      </c>
      <c r="P2065" s="21" t="n"/>
      <c r="Q2065" s="21" t="n"/>
      <c r="R2065" s="21" t="n"/>
      <c r="S2065" s="24" t="n"/>
      <c r="T2065" s="24" t="n"/>
      <c r="V2065">
        <f>IF(A2065="","",MONTH(A2065))</f>
        <v/>
      </c>
      <c r="W2065">
        <f>N(W2064)+IF(AND(C2065&lt;&gt;"",T2065&lt;&gt;""),IF(C2065=WOCHE!$B$3,1,0),0)</f>
        <v/>
      </c>
      <c r="X2065">
        <f>N(X2064)+IF(AND(V2065&lt;&gt;"",T2065&lt;&gt;""),IF(V2065=MONAT!$AZ$3,1,0),0)</f>
        <v/>
      </c>
    </row>
    <row r="2066">
      <c r="A2066" s="19" t="n"/>
      <c r="B2066" s="20">
        <f>IF(A2066="","",CHOOSE(WEEKDAY(A2066,2),"Mo","Di","Mi","Do","Fr","Sa","So"))</f>
        <v/>
      </c>
      <c r="C2066" s="20">
        <f>IF(A2066="","",INT((A2066-DATE(YEAR(A2066-WEEKDAY(A2066-1)+4),1,3)+WEEKDAY(DATE(YEAR(A2066-WEEKDAY(A2066-1)+4),1,3))+5)/7))</f>
        <v/>
      </c>
      <c r="D2066" s="21" t="n"/>
      <c r="E2066" s="22" t="n"/>
      <c r="F2066" s="23" t="n"/>
      <c r="G2066" s="23" t="n"/>
      <c r="H2066" s="23" t="n"/>
      <c r="I2066" s="20">
        <f>IF(COUNT(F2066:H2066)=0,"",SUM(F2066:H2066))</f>
        <v/>
      </c>
      <c r="J2066" s="23" t="n"/>
      <c r="K2066" s="23" t="n"/>
      <c r="L2066" s="23" t="n"/>
      <c r="M2066" s="23" t="n"/>
      <c r="N2066" s="23" t="n"/>
      <c r="O2066" s="20">
        <f>IF(OR(I2066="",COUNT(J2066:N2066)=0),"",IF(SUM(J2066:N2066)=I2066,"✓","⚠ "&amp;SUM(J2066:N2066)&amp;" statt "&amp;I2066))</f>
        <v/>
      </c>
      <c r="P2066" s="21" t="n"/>
      <c r="Q2066" s="21" t="n"/>
      <c r="R2066" s="21" t="n"/>
      <c r="S2066" s="24" t="n"/>
      <c r="T2066" s="24" t="n"/>
      <c r="V2066">
        <f>IF(A2066="","",MONTH(A2066))</f>
        <v/>
      </c>
      <c r="W2066">
        <f>N(W2065)+IF(AND(C2066&lt;&gt;"",T2066&lt;&gt;""),IF(C2066=WOCHE!$B$3,1,0),0)</f>
        <v/>
      </c>
      <c r="X2066">
        <f>N(X2065)+IF(AND(V2066&lt;&gt;"",T2066&lt;&gt;""),IF(V2066=MONAT!$AZ$3,1,0),0)</f>
        <v/>
      </c>
    </row>
    <row r="2067">
      <c r="A2067" s="19" t="n"/>
      <c r="B2067" s="20">
        <f>IF(A2067="","",CHOOSE(WEEKDAY(A2067,2),"Mo","Di","Mi","Do","Fr","Sa","So"))</f>
        <v/>
      </c>
      <c r="C2067" s="20">
        <f>IF(A2067="","",INT((A2067-DATE(YEAR(A2067-WEEKDAY(A2067-1)+4),1,3)+WEEKDAY(DATE(YEAR(A2067-WEEKDAY(A2067-1)+4),1,3))+5)/7))</f>
        <v/>
      </c>
      <c r="D2067" s="21" t="n"/>
      <c r="E2067" s="22" t="n"/>
      <c r="F2067" s="23" t="n"/>
      <c r="G2067" s="23" t="n"/>
      <c r="H2067" s="23" t="n"/>
      <c r="I2067" s="20">
        <f>IF(COUNT(F2067:H2067)=0,"",SUM(F2067:H2067))</f>
        <v/>
      </c>
      <c r="J2067" s="23" t="n"/>
      <c r="K2067" s="23" t="n"/>
      <c r="L2067" s="23" t="n"/>
      <c r="M2067" s="23" t="n"/>
      <c r="N2067" s="23" t="n"/>
      <c r="O2067" s="20">
        <f>IF(OR(I2067="",COUNT(J2067:N2067)=0),"",IF(SUM(J2067:N2067)=I2067,"✓","⚠ "&amp;SUM(J2067:N2067)&amp;" statt "&amp;I2067))</f>
        <v/>
      </c>
      <c r="P2067" s="21" t="n"/>
      <c r="Q2067" s="21" t="n"/>
      <c r="R2067" s="21" t="n"/>
      <c r="S2067" s="24" t="n"/>
      <c r="T2067" s="24" t="n"/>
      <c r="V2067">
        <f>IF(A2067="","",MONTH(A2067))</f>
        <v/>
      </c>
      <c r="W2067">
        <f>N(W2066)+IF(AND(C2067&lt;&gt;"",T2067&lt;&gt;""),IF(C2067=WOCHE!$B$3,1,0),0)</f>
        <v/>
      </c>
      <c r="X2067">
        <f>N(X2066)+IF(AND(V2067&lt;&gt;"",T2067&lt;&gt;""),IF(V2067=MONAT!$AZ$3,1,0),0)</f>
        <v/>
      </c>
    </row>
    <row r="2068">
      <c r="A2068" s="19" t="n"/>
      <c r="B2068" s="20">
        <f>IF(A2068="","",CHOOSE(WEEKDAY(A2068,2),"Mo","Di","Mi","Do","Fr","Sa","So"))</f>
        <v/>
      </c>
      <c r="C2068" s="20">
        <f>IF(A2068="","",INT((A2068-DATE(YEAR(A2068-WEEKDAY(A2068-1)+4),1,3)+WEEKDAY(DATE(YEAR(A2068-WEEKDAY(A2068-1)+4),1,3))+5)/7))</f>
        <v/>
      </c>
      <c r="D2068" s="21" t="n"/>
      <c r="E2068" s="22" t="n"/>
      <c r="F2068" s="23" t="n"/>
      <c r="G2068" s="23" t="n"/>
      <c r="H2068" s="23" t="n"/>
      <c r="I2068" s="20">
        <f>IF(COUNT(F2068:H2068)=0,"",SUM(F2068:H2068))</f>
        <v/>
      </c>
      <c r="J2068" s="23" t="n"/>
      <c r="K2068" s="23" t="n"/>
      <c r="L2068" s="23" t="n"/>
      <c r="M2068" s="23" t="n"/>
      <c r="N2068" s="23" t="n"/>
      <c r="O2068" s="20">
        <f>IF(OR(I2068="",COUNT(J2068:N2068)=0),"",IF(SUM(J2068:N2068)=I2068,"✓","⚠ "&amp;SUM(J2068:N2068)&amp;" statt "&amp;I2068))</f>
        <v/>
      </c>
      <c r="P2068" s="21" t="n"/>
      <c r="Q2068" s="21" t="n"/>
      <c r="R2068" s="21" t="n"/>
      <c r="S2068" s="24" t="n"/>
      <c r="T2068" s="24" t="n"/>
      <c r="V2068">
        <f>IF(A2068="","",MONTH(A2068))</f>
        <v/>
      </c>
      <c r="W2068">
        <f>N(W2067)+IF(AND(C2068&lt;&gt;"",T2068&lt;&gt;""),IF(C2068=WOCHE!$B$3,1,0),0)</f>
        <v/>
      </c>
      <c r="X2068">
        <f>N(X2067)+IF(AND(V2068&lt;&gt;"",T2068&lt;&gt;""),IF(V2068=MONAT!$AZ$3,1,0),0)</f>
        <v/>
      </c>
    </row>
    <row r="2069">
      <c r="A2069" s="19" t="n"/>
      <c r="B2069" s="20">
        <f>IF(A2069="","",CHOOSE(WEEKDAY(A2069,2),"Mo","Di","Mi","Do","Fr","Sa","So"))</f>
        <v/>
      </c>
      <c r="C2069" s="20">
        <f>IF(A2069="","",INT((A2069-DATE(YEAR(A2069-WEEKDAY(A2069-1)+4),1,3)+WEEKDAY(DATE(YEAR(A2069-WEEKDAY(A2069-1)+4),1,3))+5)/7))</f>
        <v/>
      </c>
      <c r="D2069" s="21" t="n"/>
      <c r="E2069" s="22" t="n"/>
      <c r="F2069" s="23" t="n"/>
      <c r="G2069" s="23" t="n"/>
      <c r="H2069" s="23" t="n"/>
      <c r="I2069" s="20">
        <f>IF(COUNT(F2069:H2069)=0,"",SUM(F2069:H2069))</f>
        <v/>
      </c>
      <c r="J2069" s="23" t="n"/>
      <c r="K2069" s="23" t="n"/>
      <c r="L2069" s="23" t="n"/>
      <c r="M2069" s="23" t="n"/>
      <c r="N2069" s="23" t="n"/>
      <c r="O2069" s="20">
        <f>IF(OR(I2069="",COUNT(J2069:N2069)=0),"",IF(SUM(J2069:N2069)=I2069,"✓","⚠ "&amp;SUM(J2069:N2069)&amp;" statt "&amp;I2069))</f>
        <v/>
      </c>
      <c r="P2069" s="21" t="n"/>
      <c r="Q2069" s="21" t="n"/>
      <c r="R2069" s="21" t="n"/>
      <c r="S2069" s="24" t="n"/>
      <c r="T2069" s="24" t="n"/>
      <c r="V2069">
        <f>IF(A2069="","",MONTH(A2069))</f>
        <v/>
      </c>
      <c r="W2069">
        <f>N(W2068)+IF(AND(C2069&lt;&gt;"",T2069&lt;&gt;""),IF(C2069=WOCHE!$B$3,1,0),0)</f>
        <v/>
      </c>
      <c r="X2069">
        <f>N(X2068)+IF(AND(V2069&lt;&gt;"",T2069&lt;&gt;""),IF(V2069=MONAT!$AZ$3,1,0),0)</f>
        <v/>
      </c>
    </row>
    <row r="2070">
      <c r="A2070" s="19" t="n"/>
      <c r="B2070" s="20">
        <f>IF(A2070="","",CHOOSE(WEEKDAY(A2070,2),"Mo","Di","Mi","Do","Fr","Sa","So"))</f>
        <v/>
      </c>
      <c r="C2070" s="20">
        <f>IF(A2070="","",INT((A2070-DATE(YEAR(A2070-WEEKDAY(A2070-1)+4),1,3)+WEEKDAY(DATE(YEAR(A2070-WEEKDAY(A2070-1)+4),1,3))+5)/7))</f>
        <v/>
      </c>
      <c r="D2070" s="21" t="n"/>
      <c r="E2070" s="22" t="n"/>
      <c r="F2070" s="23" t="n"/>
      <c r="G2070" s="23" t="n"/>
      <c r="H2070" s="23" t="n"/>
      <c r="I2070" s="20">
        <f>IF(COUNT(F2070:H2070)=0,"",SUM(F2070:H2070))</f>
        <v/>
      </c>
      <c r="J2070" s="23" t="n"/>
      <c r="K2070" s="23" t="n"/>
      <c r="L2070" s="23" t="n"/>
      <c r="M2070" s="23" t="n"/>
      <c r="N2070" s="23" t="n"/>
      <c r="O2070" s="20">
        <f>IF(OR(I2070="",COUNT(J2070:N2070)=0),"",IF(SUM(J2070:N2070)=I2070,"✓","⚠ "&amp;SUM(J2070:N2070)&amp;" statt "&amp;I2070))</f>
        <v/>
      </c>
      <c r="P2070" s="21" t="n"/>
      <c r="Q2070" s="21" t="n"/>
      <c r="R2070" s="21" t="n"/>
      <c r="S2070" s="24" t="n"/>
      <c r="T2070" s="24" t="n"/>
      <c r="V2070">
        <f>IF(A2070="","",MONTH(A2070))</f>
        <v/>
      </c>
      <c r="W2070">
        <f>N(W2069)+IF(AND(C2070&lt;&gt;"",T2070&lt;&gt;""),IF(C2070=WOCHE!$B$3,1,0),0)</f>
        <v/>
      </c>
      <c r="X2070">
        <f>N(X2069)+IF(AND(V2070&lt;&gt;"",T2070&lt;&gt;""),IF(V2070=MONAT!$AZ$3,1,0),0)</f>
        <v/>
      </c>
    </row>
    <row r="2071">
      <c r="A2071" s="19" t="n"/>
      <c r="B2071" s="20">
        <f>IF(A2071="","",CHOOSE(WEEKDAY(A2071,2),"Mo","Di","Mi","Do","Fr","Sa","So"))</f>
        <v/>
      </c>
      <c r="C2071" s="20">
        <f>IF(A2071="","",INT((A2071-DATE(YEAR(A2071-WEEKDAY(A2071-1)+4),1,3)+WEEKDAY(DATE(YEAR(A2071-WEEKDAY(A2071-1)+4),1,3))+5)/7))</f>
        <v/>
      </c>
      <c r="D2071" s="21" t="n"/>
      <c r="E2071" s="22" t="n"/>
      <c r="F2071" s="23" t="n"/>
      <c r="G2071" s="23" t="n"/>
      <c r="H2071" s="23" t="n"/>
      <c r="I2071" s="20">
        <f>IF(COUNT(F2071:H2071)=0,"",SUM(F2071:H2071))</f>
        <v/>
      </c>
      <c r="J2071" s="23" t="n"/>
      <c r="K2071" s="23" t="n"/>
      <c r="L2071" s="23" t="n"/>
      <c r="M2071" s="23" t="n"/>
      <c r="N2071" s="23" t="n"/>
      <c r="O2071" s="20">
        <f>IF(OR(I2071="",COUNT(J2071:N2071)=0),"",IF(SUM(J2071:N2071)=I2071,"✓","⚠ "&amp;SUM(J2071:N2071)&amp;" statt "&amp;I2071))</f>
        <v/>
      </c>
      <c r="P2071" s="21" t="n"/>
      <c r="Q2071" s="21" t="n"/>
      <c r="R2071" s="21" t="n"/>
      <c r="S2071" s="24" t="n"/>
      <c r="T2071" s="24" t="n"/>
      <c r="V2071">
        <f>IF(A2071="","",MONTH(A2071))</f>
        <v/>
      </c>
      <c r="W2071">
        <f>N(W2070)+IF(AND(C2071&lt;&gt;"",T2071&lt;&gt;""),IF(C2071=WOCHE!$B$3,1,0),0)</f>
        <v/>
      </c>
      <c r="X2071">
        <f>N(X2070)+IF(AND(V2071&lt;&gt;"",T2071&lt;&gt;""),IF(V2071=MONAT!$AZ$3,1,0),0)</f>
        <v/>
      </c>
    </row>
    <row r="2072">
      <c r="A2072" s="19" t="n"/>
      <c r="B2072" s="20">
        <f>IF(A2072="","",CHOOSE(WEEKDAY(A2072,2),"Mo","Di","Mi","Do","Fr","Sa","So"))</f>
        <v/>
      </c>
      <c r="C2072" s="20">
        <f>IF(A2072="","",INT((A2072-DATE(YEAR(A2072-WEEKDAY(A2072-1)+4),1,3)+WEEKDAY(DATE(YEAR(A2072-WEEKDAY(A2072-1)+4),1,3))+5)/7))</f>
        <v/>
      </c>
      <c r="D2072" s="21" t="n"/>
      <c r="E2072" s="22" t="n"/>
      <c r="F2072" s="23" t="n"/>
      <c r="G2072" s="23" t="n"/>
      <c r="H2072" s="23" t="n"/>
      <c r="I2072" s="20">
        <f>IF(COUNT(F2072:H2072)=0,"",SUM(F2072:H2072))</f>
        <v/>
      </c>
      <c r="J2072" s="23" t="n"/>
      <c r="K2072" s="23" t="n"/>
      <c r="L2072" s="23" t="n"/>
      <c r="M2072" s="23" t="n"/>
      <c r="N2072" s="23" t="n"/>
      <c r="O2072" s="20">
        <f>IF(OR(I2072="",COUNT(J2072:N2072)=0),"",IF(SUM(J2072:N2072)=I2072,"✓","⚠ "&amp;SUM(J2072:N2072)&amp;" statt "&amp;I2072))</f>
        <v/>
      </c>
      <c r="P2072" s="21" t="n"/>
      <c r="Q2072" s="21" t="n"/>
      <c r="R2072" s="21" t="n"/>
      <c r="S2072" s="24" t="n"/>
      <c r="T2072" s="24" t="n"/>
      <c r="V2072">
        <f>IF(A2072="","",MONTH(A2072))</f>
        <v/>
      </c>
      <c r="W2072">
        <f>N(W2071)+IF(AND(C2072&lt;&gt;"",T2072&lt;&gt;""),IF(C2072=WOCHE!$B$3,1,0),0)</f>
        <v/>
      </c>
      <c r="X2072">
        <f>N(X2071)+IF(AND(V2072&lt;&gt;"",T2072&lt;&gt;""),IF(V2072=MONAT!$AZ$3,1,0),0)</f>
        <v/>
      </c>
    </row>
    <row r="2073">
      <c r="A2073" s="19" t="n"/>
      <c r="B2073" s="20">
        <f>IF(A2073="","",CHOOSE(WEEKDAY(A2073,2),"Mo","Di","Mi","Do","Fr","Sa","So"))</f>
        <v/>
      </c>
      <c r="C2073" s="20">
        <f>IF(A2073="","",INT((A2073-DATE(YEAR(A2073-WEEKDAY(A2073-1)+4),1,3)+WEEKDAY(DATE(YEAR(A2073-WEEKDAY(A2073-1)+4),1,3))+5)/7))</f>
        <v/>
      </c>
      <c r="D2073" s="21" t="n"/>
      <c r="E2073" s="22" t="n"/>
      <c r="F2073" s="23" t="n"/>
      <c r="G2073" s="23" t="n"/>
      <c r="H2073" s="23" t="n"/>
      <c r="I2073" s="20">
        <f>IF(COUNT(F2073:H2073)=0,"",SUM(F2073:H2073))</f>
        <v/>
      </c>
      <c r="J2073" s="23" t="n"/>
      <c r="K2073" s="23" t="n"/>
      <c r="L2073" s="23" t="n"/>
      <c r="M2073" s="23" t="n"/>
      <c r="N2073" s="23" t="n"/>
      <c r="O2073" s="20">
        <f>IF(OR(I2073="",COUNT(J2073:N2073)=0),"",IF(SUM(J2073:N2073)=I2073,"✓","⚠ "&amp;SUM(J2073:N2073)&amp;" statt "&amp;I2073))</f>
        <v/>
      </c>
      <c r="P2073" s="21" t="n"/>
      <c r="Q2073" s="21" t="n"/>
      <c r="R2073" s="21" t="n"/>
      <c r="S2073" s="24" t="n"/>
      <c r="T2073" s="24" t="n"/>
      <c r="V2073">
        <f>IF(A2073="","",MONTH(A2073))</f>
        <v/>
      </c>
      <c r="W2073">
        <f>N(W2072)+IF(AND(C2073&lt;&gt;"",T2073&lt;&gt;""),IF(C2073=WOCHE!$B$3,1,0),0)</f>
        <v/>
      </c>
      <c r="X2073">
        <f>N(X2072)+IF(AND(V2073&lt;&gt;"",T2073&lt;&gt;""),IF(V2073=MONAT!$AZ$3,1,0),0)</f>
        <v/>
      </c>
    </row>
    <row r="2074">
      <c r="A2074" s="19" t="n"/>
      <c r="B2074" s="20">
        <f>IF(A2074="","",CHOOSE(WEEKDAY(A2074,2),"Mo","Di","Mi","Do","Fr","Sa","So"))</f>
        <v/>
      </c>
      <c r="C2074" s="20">
        <f>IF(A2074="","",INT((A2074-DATE(YEAR(A2074-WEEKDAY(A2074-1)+4),1,3)+WEEKDAY(DATE(YEAR(A2074-WEEKDAY(A2074-1)+4),1,3))+5)/7))</f>
        <v/>
      </c>
      <c r="D2074" s="21" t="n"/>
      <c r="E2074" s="22" t="n"/>
      <c r="F2074" s="23" t="n"/>
      <c r="G2074" s="23" t="n"/>
      <c r="H2074" s="23" t="n"/>
      <c r="I2074" s="20">
        <f>IF(COUNT(F2074:H2074)=0,"",SUM(F2074:H2074))</f>
        <v/>
      </c>
      <c r="J2074" s="23" t="n"/>
      <c r="K2074" s="23" t="n"/>
      <c r="L2074" s="23" t="n"/>
      <c r="M2074" s="23" t="n"/>
      <c r="N2074" s="23" t="n"/>
      <c r="O2074" s="20">
        <f>IF(OR(I2074="",COUNT(J2074:N2074)=0),"",IF(SUM(J2074:N2074)=I2074,"✓","⚠ "&amp;SUM(J2074:N2074)&amp;" statt "&amp;I2074))</f>
        <v/>
      </c>
      <c r="P2074" s="21" t="n"/>
      <c r="Q2074" s="21" t="n"/>
      <c r="R2074" s="21" t="n"/>
      <c r="S2074" s="24" t="n"/>
      <c r="T2074" s="24" t="n"/>
      <c r="V2074">
        <f>IF(A2074="","",MONTH(A2074))</f>
        <v/>
      </c>
      <c r="W2074">
        <f>N(W2073)+IF(AND(C2074&lt;&gt;"",T2074&lt;&gt;""),IF(C2074=WOCHE!$B$3,1,0),0)</f>
        <v/>
      </c>
      <c r="X2074">
        <f>N(X2073)+IF(AND(V2074&lt;&gt;"",T2074&lt;&gt;""),IF(V2074=MONAT!$AZ$3,1,0),0)</f>
        <v/>
      </c>
    </row>
    <row r="2075">
      <c r="A2075" s="19" t="n"/>
      <c r="B2075" s="20">
        <f>IF(A2075="","",CHOOSE(WEEKDAY(A2075,2),"Mo","Di","Mi","Do","Fr","Sa","So"))</f>
        <v/>
      </c>
      <c r="C2075" s="20">
        <f>IF(A2075="","",INT((A2075-DATE(YEAR(A2075-WEEKDAY(A2075-1)+4),1,3)+WEEKDAY(DATE(YEAR(A2075-WEEKDAY(A2075-1)+4),1,3))+5)/7))</f>
        <v/>
      </c>
      <c r="D2075" s="21" t="n"/>
      <c r="E2075" s="22" t="n"/>
      <c r="F2075" s="23" t="n"/>
      <c r="G2075" s="23" t="n"/>
      <c r="H2075" s="23" t="n"/>
      <c r="I2075" s="20">
        <f>IF(COUNT(F2075:H2075)=0,"",SUM(F2075:H2075))</f>
        <v/>
      </c>
      <c r="J2075" s="23" t="n"/>
      <c r="K2075" s="23" t="n"/>
      <c r="L2075" s="23" t="n"/>
      <c r="M2075" s="23" t="n"/>
      <c r="N2075" s="23" t="n"/>
      <c r="O2075" s="20">
        <f>IF(OR(I2075="",COUNT(J2075:N2075)=0),"",IF(SUM(J2075:N2075)=I2075,"✓","⚠ "&amp;SUM(J2075:N2075)&amp;" statt "&amp;I2075))</f>
        <v/>
      </c>
      <c r="P2075" s="21" t="n"/>
      <c r="Q2075" s="21" t="n"/>
      <c r="R2075" s="21" t="n"/>
      <c r="S2075" s="24" t="n"/>
      <c r="T2075" s="24" t="n"/>
      <c r="V2075">
        <f>IF(A2075="","",MONTH(A2075))</f>
        <v/>
      </c>
      <c r="W2075">
        <f>N(W2074)+IF(AND(C2075&lt;&gt;"",T2075&lt;&gt;""),IF(C2075=WOCHE!$B$3,1,0),0)</f>
        <v/>
      </c>
      <c r="X2075">
        <f>N(X2074)+IF(AND(V2075&lt;&gt;"",T2075&lt;&gt;""),IF(V2075=MONAT!$AZ$3,1,0),0)</f>
        <v/>
      </c>
    </row>
    <row r="2076">
      <c r="A2076" s="19" t="n"/>
      <c r="B2076" s="20">
        <f>IF(A2076="","",CHOOSE(WEEKDAY(A2076,2),"Mo","Di","Mi","Do","Fr","Sa","So"))</f>
        <v/>
      </c>
      <c r="C2076" s="20">
        <f>IF(A2076="","",INT((A2076-DATE(YEAR(A2076-WEEKDAY(A2076-1)+4),1,3)+WEEKDAY(DATE(YEAR(A2076-WEEKDAY(A2076-1)+4),1,3))+5)/7))</f>
        <v/>
      </c>
      <c r="D2076" s="21" t="n"/>
      <c r="E2076" s="22" t="n"/>
      <c r="F2076" s="23" t="n"/>
      <c r="G2076" s="23" t="n"/>
      <c r="H2076" s="23" t="n"/>
      <c r="I2076" s="20">
        <f>IF(COUNT(F2076:H2076)=0,"",SUM(F2076:H2076))</f>
        <v/>
      </c>
      <c r="J2076" s="23" t="n"/>
      <c r="K2076" s="23" t="n"/>
      <c r="L2076" s="23" t="n"/>
      <c r="M2076" s="23" t="n"/>
      <c r="N2076" s="23" t="n"/>
      <c r="O2076" s="20">
        <f>IF(OR(I2076="",COUNT(J2076:N2076)=0),"",IF(SUM(J2076:N2076)=I2076,"✓","⚠ "&amp;SUM(J2076:N2076)&amp;" statt "&amp;I2076))</f>
        <v/>
      </c>
      <c r="P2076" s="21" t="n"/>
      <c r="Q2076" s="21" t="n"/>
      <c r="R2076" s="21" t="n"/>
      <c r="S2076" s="24" t="n"/>
      <c r="T2076" s="24" t="n"/>
      <c r="V2076">
        <f>IF(A2076="","",MONTH(A2076))</f>
        <v/>
      </c>
      <c r="W2076">
        <f>N(W2075)+IF(AND(C2076&lt;&gt;"",T2076&lt;&gt;""),IF(C2076=WOCHE!$B$3,1,0),0)</f>
        <v/>
      </c>
      <c r="X2076">
        <f>N(X2075)+IF(AND(V2076&lt;&gt;"",T2076&lt;&gt;""),IF(V2076=MONAT!$AZ$3,1,0),0)</f>
        <v/>
      </c>
    </row>
    <row r="2077">
      <c r="A2077" s="19" t="n"/>
      <c r="B2077" s="20">
        <f>IF(A2077="","",CHOOSE(WEEKDAY(A2077,2),"Mo","Di","Mi","Do","Fr","Sa","So"))</f>
        <v/>
      </c>
      <c r="C2077" s="20">
        <f>IF(A2077="","",INT((A2077-DATE(YEAR(A2077-WEEKDAY(A2077-1)+4),1,3)+WEEKDAY(DATE(YEAR(A2077-WEEKDAY(A2077-1)+4),1,3))+5)/7))</f>
        <v/>
      </c>
      <c r="D2077" s="21" t="n"/>
      <c r="E2077" s="22" t="n"/>
      <c r="F2077" s="23" t="n"/>
      <c r="G2077" s="23" t="n"/>
      <c r="H2077" s="23" t="n"/>
      <c r="I2077" s="20">
        <f>IF(COUNT(F2077:H2077)=0,"",SUM(F2077:H2077))</f>
        <v/>
      </c>
      <c r="J2077" s="23" t="n"/>
      <c r="K2077" s="23" t="n"/>
      <c r="L2077" s="23" t="n"/>
      <c r="M2077" s="23" t="n"/>
      <c r="N2077" s="23" t="n"/>
      <c r="O2077" s="20">
        <f>IF(OR(I2077="",COUNT(J2077:N2077)=0),"",IF(SUM(J2077:N2077)=I2077,"✓","⚠ "&amp;SUM(J2077:N2077)&amp;" statt "&amp;I2077))</f>
        <v/>
      </c>
      <c r="P2077" s="21" t="n"/>
      <c r="Q2077" s="21" t="n"/>
      <c r="R2077" s="21" t="n"/>
      <c r="S2077" s="24" t="n"/>
      <c r="T2077" s="24" t="n"/>
      <c r="V2077">
        <f>IF(A2077="","",MONTH(A2077))</f>
        <v/>
      </c>
      <c r="W2077">
        <f>N(W2076)+IF(AND(C2077&lt;&gt;"",T2077&lt;&gt;""),IF(C2077=WOCHE!$B$3,1,0),0)</f>
        <v/>
      </c>
      <c r="X2077">
        <f>N(X2076)+IF(AND(V2077&lt;&gt;"",T2077&lt;&gt;""),IF(V2077=MONAT!$AZ$3,1,0),0)</f>
        <v/>
      </c>
    </row>
    <row r="2078">
      <c r="A2078" s="19" t="n"/>
      <c r="B2078" s="20">
        <f>IF(A2078="","",CHOOSE(WEEKDAY(A2078,2),"Mo","Di","Mi","Do","Fr","Sa","So"))</f>
        <v/>
      </c>
      <c r="C2078" s="20">
        <f>IF(A2078="","",INT((A2078-DATE(YEAR(A2078-WEEKDAY(A2078-1)+4),1,3)+WEEKDAY(DATE(YEAR(A2078-WEEKDAY(A2078-1)+4),1,3))+5)/7))</f>
        <v/>
      </c>
      <c r="D2078" s="21" t="n"/>
      <c r="E2078" s="22" t="n"/>
      <c r="F2078" s="23" t="n"/>
      <c r="G2078" s="23" t="n"/>
      <c r="H2078" s="23" t="n"/>
      <c r="I2078" s="20">
        <f>IF(COUNT(F2078:H2078)=0,"",SUM(F2078:H2078))</f>
        <v/>
      </c>
      <c r="J2078" s="23" t="n"/>
      <c r="K2078" s="23" t="n"/>
      <c r="L2078" s="23" t="n"/>
      <c r="M2078" s="23" t="n"/>
      <c r="N2078" s="23" t="n"/>
      <c r="O2078" s="20">
        <f>IF(OR(I2078="",COUNT(J2078:N2078)=0),"",IF(SUM(J2078:N2078)=I2078,"✓","⚠ "&amp;SUM(J2078:N2078)&amp;" statt "&amp;I2078))</f>
        <v/>
      </c>
      <c r="P2078" s="21" t="n"/>
      <c r="Q2078" s="21" t="n"/>
      <c r="R2078" s="21" t="n"/>
      <c r="S2078" s="24" t="n"/>
      <c r="T2078" s="24" t="n"/>
      <c r="V2078">
        <f>IF(A2078="","",MONTH(A2078))</f>
        <v/>
      </c>
      <c r="W2078">
        <f>N(W2077)+IF(AND(C2078&lt;&gt;"",T2078&lt;&gt;""),IF(C2078=WOCHE!$B$3,1,0),0)</f>
        <v/>
      </c>
      <c r="X2078">
        <f>N(X2077)+IF(AND(V2078&lt;&gt;"",T2078&lt;&gt;""),IF(V2078=MONAT!$AZ$3,1,0),0)</f>
        <v/>
      </c>
    </row>
    <row r="2079">
      <c r="A2079" s="19" t="n"/>
      <c r="B2079" s="20">
        <f>IF(A2079="","",CHOOSE(WEEKDAY(A2079,2),"Mo","Di","Mi","Do","Fr","Sa","So"))</f>
        <v/>
      </c>
      <c r="C2079" s="20">
        <f>IF(A2079="","",INT((A2079-DATE(YEAR(A2079-WEEKDAY(A2079-1)+4),1,3)+WEEKDAY(DATE(YEAR(A2079-WEEKDAY(A2079-1)+4),1,3))+5)/7))</f>
        <v/>
      </c>
      <c r="D2079" s="21" t="n"/>
      <c r="E2079" s="22" t="n"/>
      <c r="F2079" s="23" t="n"/>
      <c r="G2079" s="23" t="n"/>
      <c r="H2079" s="23" t="n"/>
      <c r="I2079" s="20">
        <f>IF(COUNT(F2079:H2079)=0,"",SUM(F2079:H2079))</f>
        <v/>
      </c>
      <c r="J2079" s="23" t="n"/>
      <c r="K2079" s="23" t="n"/>
      <c r="L2079" s="23" t="n"/>
      <c r="M2079" s="23" t="n"/>
      <c r="N2079" s="23" t="n"/>
      <c r="O2079" s="20">
        <f>IF(OR(I2079="",COUNT(J2079:N2079)=0),"",IF(SUM(J2079:N2079)=I2079,"✓","⚠ "&amp;SUM(J2079:N2079)&amp;" statt "&amp;I2079))</f>
        <v/>
      </c>
      <c r="P2079" s="21" t="n"/>
      <c r="Q2079" s="21" t="n"/>
      <c r="R2079" s="21" t="n"/>
      <c r="S2079" s="24" t="n"/>
      <c r="T2079" s="24" t="n"/>
      <c r="V2079">
        <f>IF(A2079="","",MONTH(A2079))</f>
        <v/>
      </c>
      <c r="W2079">
        <f>N(W2078)+IF(AND(C2079&lt;&gt;"",T2079&lt;&gt;""),IF(C2079=WOCHE!$B$3,1,0),0)</f>
        <v/>
      </c>
      <c r="X2079">
        <f>N(X2078)+IF(AND(V2079&lt;&gt;"",T2079&lt;&gt;""),IF(V2079=MONAT!$AZ$3,1,0),0)</f>
        <v/>
      </c>
    </row>
    <row r="2080">
      <c r="A2080" s="19" t="n"/>
      <c r="B2080" s="20">
        <f>IF(A2080="","",CHOOSE(WEEKDAY(A2080,2),"Mo","Di","Mi","Do","Fr","Sa","So"))</f>
        <v/>
      </c>
      <c r="C2080" s="20">
        <f>IF(A2080="","",INT((A2080-DATE(YEAR(A2080-WEEKDAY(A2080-1)+4),1,3)+WEEKDAY(DATE(YEAR(A2080-WEEKDAY(A2080-1)+4),1,3))+5)/7))</f>
        <v/>
      </c>
      <c r="D2080" s="21" t="n"/>
      <c r="E2080" s="22" t="n"/>
      <c r="F2080" s="23" t="n"/>
      <c r="G2080" s="23" t="n"/>
      <c r="H2080" s="23" t="n"/>
      <c r="I2080" s="20">
        <f>IF(COUNT(F2080:H2080)=0,"",SUM(F2080:H2080))</f>
        <v/>
      </c>
      <c r="J2080" s="23" t="n"/>
      <c r="K2080" s="23" t="n"/>
      <c r="L2080" s="23" t="n"/>
      <c r="M2080" s="23" t="n"/>
      <c r="N2080" s="23" t="n"/>
      <c r="O2080" s="20">
        <f>IF(OR(I2080="",COUNT(J2080:N2080)=0),"",IF(SUM(J2080:N2080)=I2080,"✓","⚠ "&amp;SUM(J2080:N2080)&amp;" statt "&amp;I2080))</f>
        <v/>
      </c>
      <c r="P2080" s="21" t="n"/>
      <c r="Q2080" s="21" t="n"/>
      <c r="R2080" s="21" t="n"/>
      <c r="S2080" s="24" t="n"/>
      <c r="T2080" s="24" t="n"/>
      <c r="V2080">
        <f>IF(A2080="","",MONTH(A2080))</f>
        <v/>
      </c>
      <c r="W2080">
        <f>N(W2079)+IF(AND(C2080&lt;&gt;"",T2080&lt;&gt;""),IF(C2080=WOCHE!$B$3,1,0),0)</f>
        <v/>
      </c>
      <c r="X2080">
        <f>N(X2079)+IF(AND(V2080&lt;&gt;"",T2080&lt;&gt;""),IF(V2080=MONAT!$AZ$3,1,0),0)</f>
        <v/>
      </c>
    </row>
    <row r="2081">
      <c r="A2081" s="19" t="n"/>
      <c r="B2081" s="20">
        <f>IF(A2081="","",CHOOSE(WEEKDAY(A2081,2),"Mo","Di","Mi","Do","Fr","Sa","So"))</f>
        <v/>
      </c>
      <c r="C2081" s="20">
        <f>IF(A2081="","",INT((A2081-DATE(YEAR(A2081-WEEKDAY(A2081-1)+4),1,3)+WEEKDAY(DATE(YEAR(A2081-WEEKDAY(A2081-1)+4),1,3))+5)/7))</f>
        <v/>
      </c>
      <c r="D2081" s="21" t="n"/>
      <c r="E2081" s="22" t="n"/>
      <c r="F2081" s="23" t="n"/>
      <c r="G2081" s="23" t="n"/>
      <c r="H2081" s="23" t="n"/>
      <c r="I2081" s="20">
        <f>IF(COUNT(F2081:H2081)=0,"",SUM(F2081:H2081))</f>
        <v/>
      </c>
      <c r="J2081" s="23" t="n"/>
      <c r="K2081" s="23" t="n"/>
      <c r="L2081" s="23" t="n"/>
      <c r="M2081" s="23" t="n"/>
      <c r="N2081" s="23" t="n"/>
      <c r="O2081" s="20">
        <f>IF(OR(I2081="",COUNT(J2081:N2081)=0),"",IF(SUM(J2081:N2081)=I2081,"✓","⚠ "&amp;SUM(J2081:N2081)&amp;" statt "&amp;I2081))</f>
        <v/>
      </c>
      <c r="P2081" s="21" t="n"/>
      <c r="Q2081" s="21" t="n"/>
      <c r="R2081" s="21" t="n"/>
      <c r="S2081" s="24" t="n"/>
      <c r="T2081" s="24" t="n"/>
      <c r="V2081">
        <f>IF(A2081="","",MONTH(A2081))</f>
        <v/>
      </c>
      <c r="W2081">
        <f>N(W2080)+IF(AND(C2081&lt;&gt;"",T2081&lt;&gt;""),IF(C2081=WOCHE!$B$3,1,0),0)</f>
        <v/>
      </c>
      <c r="X2081">
        <f>N(X2080)+IF(AND(V2081&lt;&gt;"",T2081&lt;&gt;""),IF(V2081=MONAT!$AZ$3,1,0),0)</f>
        <v/>
      </c>
    </row>
    <row r="2082">
      <c r="A2082" s="19" t="n"/>
      <c r="B2082" s="20">
        <f>IF(A2082="","",CHOOSE(WEEKDAY(A2082,2),"Mo","Di","Mi","Do","Fr","Sa","So"))</f>
        <v/>
      </c>
      <c r="C2082" s="20">
        <f>IF(A2082="","",INT((A2082-DATE(YEAR(A2082-WEEKDAY(A2082-1)+4),1,3)+WEEKDAY(DATE(YEAR(A2082-WEEKDAY(A2082-1)+4),1,3))+5)/7))</f>
        <v/>
      </c>
      <c r="D2082" s="21" t="n"/>
      <c r="E2082" s="22" t="n"/>
      <c r="F2082" s="23" t="n"/>
      <c r="G2082" s="23" t="n"/>
      <c r="H2082" s="23" t="n"/>
      <c r="I2082" s="20">
        <f>IF(COUNT(F2082:H2082)=0,"",SUM(F2082:H2082))</f>
        <v/>
      </c>
      <c r="J2082" s="23" t="n"/>
      <c r="K2082" s="23" t="n"/>
      <c r="L2082" s="23" t="n"/>
      <c r="M2082" s="23" t="n"/>
      <c r="N2082" s="23" t="n"/>
      <c r="O2082" s="20">
        <f>IF(OR(I2082="",COUNT(J2082:N2082)=0),"",IF(SUM(J2082:N2082)=I2082,"✓","⚠ "&amp;SUM(J2082:N2082)&amp;" statt "&amp;I2082))</f>
        <v/>
      </c>
      <c r="P2082" s="21" t="n"/>
      <c r="Q2082" s="21" t="n"/>
      <c r="R2082" s="21" t="n"/>
      <c r="S2082" s="24" t="n"/>
      <c r="T2082" s="24" t="n"/>
      <c r="V2082">
        <f>IF(A2082="","",MONTH(A2082))</f>
        <v/>
      </c>
      <c r="W2082">
        <f>N(W2081)+IF(AND(C2082&lt;&gt;"",T2082&lt;&gt;""),IF(C2082=WOCHE!$B$3,1,0),0)</f>
        <v/>
      </c>
      <c r="X2082">
        <f>N(X2081)+IF(AND(V2082&lt;&gt;"",T2082&lt;&gt;""),IF(V2082=MONAT!$AZ$3,1,0),0)</f>
        <v/>
      </c>
    </row>
    <row r="2083">
      <c r="A2083" s="19" t="n"/>
      <c r="B2083" s="20">
        <f>IF(A2083="","",CHOOSE(WEEKDAY(A2083,2),"Mo","Di","Mi","Do","Fr","Sa","So"))</f>
        <v/>
      </c>
      <c r="C2083" s="20">
        <f>IF(A2083="","",INT((A2083-DATE(YEAR(A2083-WEEKDAY(A2083-1)+4),1,3)+WEEKDAY(DATE(YEAR(A2083-WEEKDAY(A2083-1)+4),1,3))+5)/7))</f>
        <v/>
      </c>
      <c r="D2083" s="21" t="n"/>
      <c r="E2083" s="22" t="n"/>
      <c r="F2083" s="23" t="n"/>
      <c r="G2083" s="23" t="n"/>
      <c r="H2083" s="23" t="n"/>
      <c r="I2083" s="20">
        <f>IF(COUNT(F2083:H2083)=0,"",SUM(F2083:H2083))</f>
        <v/>
      </c>
      <c r="J2083" s="23" t="n"/>
      <c r="K2083" s="23" t="n"/>
      <c r="L2083" s="23" t="n"/>
      <c r="M2083" s="23" t="n"/>
      <c r="N2083" s="23" t="n"/>
      <c r="O2083" s="20">
        <f>IF(OR(I2083="",COUNT(J2083:N2083)=0),"",IF(SUM(J2083:N2083)=I2083,"✓","⚠ "&amp;SUM(J2083:N2083)&amp;" statt "&amp;I2083))</f>
        <v/>
      </c>
      <c r="P2083" s="21" t="n"/>
      <c r="Q2083" s="21" t="n"/>
      <c r="R2083" s="21" t="n"/>
      <c r="S2083" s="24" t="n"/>
      <c r="T2083" s="24" t="n"/>
      <c r="V2083">
        <f>IF(A2083="","",MONTH(A2083))</f>
        <v/>
      </c>
      <c r="W2083">
        <f>N(W2082)+IF(AND(C2083&lt;&gt;"",T2083&lt;&gt;""),IF(C2083=WOCHE!$B$3,1,0),0)</f>
        <v/>
      </c>
      <c r="X2083">
        <f>N(X2082)+IF(AND(V2083&lt;&gt;"",T2083&lt;&gt;""),IF(V2083=MONAT!$AZ$3,1,0),0)</f>
        <v/>
      </c>
    </row>
    <row r="2084">
      <c r="A2084" s="19" t="n"/>
      <c r="B2084" s="20">
        <f>IF(A2084="","",CHOOSE(WEEKDAY(A2084,2),"Mo","Di","Mi","Do","Fr","Sa","So"))</f>
        <v/>
      </c>
      <c r="C2084" s="20">
        <f>IF(A2084="","",INT((A2084-DATE(YEAR(A2084-WEEKDAY(A2084-1)+4),1,3)+WEEKDAY(DATE(YEAR(A2084-WEEKDAY(A2084-1)+4),1,3))+5)/7))</f>
        <v/>
      </c>
      <c r="D2084" s="21" t="n"/>
      <c r="E2084" s="22" t="n"/>
      <c r="F2084" s="23" t="n"/>
      <c r="G2084" s="23" t="n"/>
      <c r="H2084" s="23" t="n"/>
      <c r="I2084" s="20">
        <f>IF(COUNT(F2084:H2084)=0,"",SUM(F2084:H2084))</f>
        <v/>
      </c>
      <c r="J2084" s="23" t="n"/>
      <c r="K2084" s="23" t="n"/>
      <c r="L2084" s="23" t="n"/>
      <c r="M2084" s="23" t="n"/>
      <c r="N2084" s="23" t="n"/>
      <c r="O2084" s="20">
        <f>IF(OR(I2084="",COUNT(J2084:N2084)=0),"",IF(SUM(J2084:N2084)=I2084,"✓","⚠ "&amp;SUM(J2084:N2084)&amp;" statt "&amp;I2084))</f>
        <v/>
      </c>
      <c r="P2084" s="21" t="n"/>
      <c r="Q2084" s="21" t="n"/>
      <c r="R2084" s="21" t="n"/>
      <c r="S2084" s="24" t="n"/>
      <c r="T2084" s="24" t="n"/>
      <c r="V2084">
        <f>IF(A2084="","",MONTH(A2084))</f>
        <v/>
      </c>
      <c r="W2084">
        <f>N(W2083)+IF(AND(C2084&lt;&gt;"",T2084&lt;&gt;""),IF(C2084=WOCHE!$B$3,1,0),0)</f>
        <v/>
      </c>
      <c r="X2084">
        <f>N(X2083)+IF(AND(V2084&lt;&gt;"",T2084&lt;&gt;""),IF(V2084=MONAT!$AZ$3,1,0),0)</f>
        <v/>
      </c>
    </row>
    <row r="2085">
      <c r="A2085" s="19" t="n"/>
      <c r="B2085" s="20">
        <f>IF(A2085="","",CHOOSE(WEEKDAY(A2085,2),"Mo","Di","Mi","Do","Fr","Sa","So"))</f>
        <v/>
      </c>
      <c r="C2085" s="20">
        <f>IF(A2085="","",INT((A2085-DATE(YEAR(A2085-WEEKDAY(A2085-1)+4),1,3)+WEEKDAY(DATE(YEAR(A2085-WEEKDAY(A2085-1)+4),1,3))+5)/7))</f>
        <v/>
      </c>
      <c r="D2085" s="21" t="n"/>
      <c r="E2085" s="22" t="n"/>
      <c r="F2085" s="23" t="n"/>
      <c r="G2085" s="23" t="n"/>
      <c r="H2085" s="23" t="n"/>
      <c r="I2085" s="20">
        <f>IF(COUNT(F2085:H2085)=0,"",SUM(F2085:H2085))</f>
        <v/>
      </c>
      <c r="J2085" s="23" t="n"/>
      <c r="K2085" s="23" t="n"/>
      <c r="L2085" s="23" t="n"/>
      <c r="M2085" s="23" t="n"/>
      <c r="N2085" s="23" t="n"/>
      <c r="O2085" s="20">
        <f>IF(OR(I2085="",COUNT(J2085:N2085)=0),"",IF(SUM(J2085:N2085)=I2085,"✓","⚠ "&amp;SUM(J2085:N2085)&amp;" statt "&amp;I2085))</f>
        <v/>
      </c>
      <c r="P2085" s="21" t="n"/>
      <c r="Q2085" s="21" t="n"/>
      <c r="R2085" s="21" t="n"/>
      <c r="S2085" s="24" t="n"/>
      <c r="T2085" s="24" t="n"/>
      <c r="V2085">
        <f>IF(A2085="","",MONTH(A2085))</f>
        <v/>
      </c>
      <c r="W2085">
        <f>N(W2084)+IF(AND(C2085&lt;&gt;"",T2085&lt;&gt;""),IF(C2085=WOCHE!$B$3,1,0),0)</f>
        <v/>
      </c>
      <c r="X2085">
        <f>N(X2084)+IF(AND(V2085&lt;&gt;"",T2085&lt;&gt;""),IF(V2085=MONAT!$AZ$3,1,0),0)</f>
        <v/>
      </c>
    </row>
    <row r="2086">
      <c r="A2086" s="19" t="n"/>
      <c r="B2086" s="20">
        <f>IF(A2086="","",CHOOSE(WEEKDAY(A2086,2),"Mo","Di","Mi","Do","Fr","Sa","So"))</f>
        <v/>
      </c>
      <c r="C2086" s="20">
        <f>IF(A2086="","",INT((A2086-DATE(YEAR(A2086-WEEKDAY(A2086-1)+4),1,3)+WEEKDAY(DATE(YEAR(A2086-WEEKDAY(A2086-1)+4),1,3))+5)/7))</f>
        <v/>
      </c>
      <c r="D2086" s="21" t="n"/>
      <c r="E2086" s="22" t="n"/>
      <c r="F2086" s="23" t="n"/>
      <c r="G2086" s="23" t="n"/>
      <c r="H2086" s="23" t="n"/>
      <c r="I2086" s="20">
        <f>IF(COUNT(F2086:H2086)=0,"",SUM(F2086:H2086))</f>
        <v/>
      </c>
      <c r="J2086" s="23" t="n"/>
      <c r="K2086" s="23" t="n"/>
      <c r="L2086" s="23" t="n"/>
      <c r="M2086" s="23" t="n"/>
      <c r="N2086" s="23" t="n"/>
      <c r="O2086" s="20">
        <f>IF(OR(I2086="",COUNT(J2086:N2086)=0),"",IF(SUM(J2086:N2086)=I2086,"✓","⚠ "&amp;SUM(J2086:N2086)&amp;" statt "&amp;I2086))</f>
        <v/>
      </c>
      <c r="P2086" s="21" t="n"/>
      <c r="Q2086" s="21" t="n"/>
      <c r="R2086" s="21" t="n"/>
      <c r="S2086" s="24" t="n"/>
      <c r="T2086" s="24" t="n"/>
      <c r="V2086">
        <f>IF(A2086="","",MONTH(A2086))</f>
        <v/>
      </c>
      <c r="W2086">
        <f>N(W2085)+IF(AND(C2086&lt;&gt;"",T2086&lt;&gt;""),IF(C2086=WOCHE!$B$3,1,0),0)</f>
        <v/>
      </c>
      <c r="X2086">
        <f>N(X2085)+IF(AND(V2086&lt;&gt;"",T2086&lt;&gt;""),IF(V2086=MONAT!$AZ$3,1,0),0)</f>
        <v/>
      </c>
    </row>
    <row r="2087">
      <c r="A2087" s="19" t="n"/>
      <c r="B2087" s="20">
        <f>IF(A2087="","",CHOOSE(WEEKDAY(A2087,2),"Mo","Di","Mi","Do","Fr","Sa","So"))</f>
        <v/>
      </c>
      <c r="C2087" s="20">
        <f>IF(A2087="","",INT((A2087-DATE(YEAR(A2087-WEEKDAY(A2087-1)+4),1,3)+WEEKDAY(DATE(YEAR(A2087-WEEKDAY(A2087-1)+4),1,3))+5)/7))</f>
        <v/>
      </c>
      <c r="D2087" s="21" t="n"/>
      <c r="E2087" s="22" t="n"/>
      <c r="F2087" s="23" t="n"/>
      <c r="G2087" s="23" t="n"/>
      <c r="H2087" s="23" t="n"/>
      <c r="I2087" s="20">
        <f>IF(COUNT(F2087:H2087)=0,"",SUM(F2087:H2087))</f>
        <v/>
      </c>
      <c r="J2087" s="23" t="n"/>
      <c r="K2087" s="23" t="n"/>
      <c r="L2087" s="23" t="n"/>
      <c r="M2087" s="23" t="n"/>
      <c r="N2087" s="23" t="n"/>
      <c r="O2087" s="20">
        <f>IF(OR(I2087="",COUNT(J2087:N2087)=0),"",IF(SUM(J2087:N2087)=I2087,"✓","⚠ "&amp;SUM(J2087:N2087)&amp;" statt "&amp;I2087))</f>
        <v/>
      </c>
      <c r="P2087" s="21" t="n"/>
      <c r="Q2087" s="21" t="n"/>
      <c r="R2087" s="21" t="n"/>
      <c r="S2087" s="24" t="n"/>
      <c r="T2087" s="24" t="n"/>
      <c r="V2087">
        <f>IF(A2087="","",MONTH(A2087))</f>
        <v/>
      </c>
      <c r="W2087">
        <f>N(W2086)+IF(AND(C2087&lt;&gt;"",T2087&lt;&gt;""),IF(C2087=WOCHE!$B$3,1,0),0)</f>
        <v/>
      </c>
      <c r="X2087">
        <f>N(X2086)+IF(AND(V2087&lt;&gt;"",T2087&lt;&gt;""),IF(V2087=MONAT!$AZ$3,1,0),0)</f>
        <v/>
      </c>
    </row>
    <row r="2088">
      <c r="A2088" s="19" t="n"/>
      <c r="B2088" s="20">
        <f>IF(A2088="","",CHOOSE(WEEKDAY(A2088,2),"Mo","Di","Mi","Do","Fr","Sa","So"))</f>
        <v/>
      </c>
      <c r="C2088" s="20">
        <f>IF(A2088="","",INT((A2088-DATE(YEAR(A2088-WEEKDAY(A2088-1)+4),1,3)+WEEKDAY(DATE(YEAR(A2088-WEEKDAY(A2088-1)+4),1,3))+5)/7))</f>
        <v/>
      </c>
      <c r="D2088" s="21" t="n"/>
      <c r="E2088" s="22" t="n"/>
      <c r="F2088" s="23" t="n"/>
      <c r="G2088" s="23" t="n"/>
      <c r="H2088" s="23" t="n"/>
      <c r="I2088" s="20">
        <f>IF(COUNT(F2088:H2088)=0,"",SUM(F2088:H2088))</f>
        <v/>
      </c>
      <c r="J2088" s="23" t="n"/>
      <c r="K2088" s="23" t="n"/>
      <c r="L2088" s="23" t="n"/>
      <c r="M2088" s="23" t="n"/>
      <c r="N2088" s="23" t="n"/>
      <c r="O2088" s="20">
        <f>IF(OR(I2088="",COUNT(J2088:N2088)=0),"",IF(SUM(J2088:N2088)=I2088,"✓","⚠ "&amp;SUM(J2088:N2088)&amp;" statt "&amp;I2088))</f>
        <v/>
      </c>
      <c r="P2088" s="21" t="n"/>
      <c r="Q2088" s="21" t="n"/>
      <c r="R2088" s="21" t="n"/>
      <c r="S2088" s="24" t="n"/>
      <c r="T2088" s="24" t="n"/>
      <c r="V2088">
        <f>IF(A2088="","",MONTH(A2088))</f>
        <v/>
      </c>
      <c r="W2088">
        <f>N(W2087)+IF(AND(C2088&lt;&gt;"",T2088&lt;&gt;""),IF(C2088=WOCHE!$B$3,1,0),0)</f>
        <v/>
      </c>
      <c r="X2088">
        <f>N(X2087)+IF(AND(V2088&lt;&gt;"",T2088&lt;&gt;""),IF(V2088=MONAT!$AZ$3,1,0),0)</f>
        <v/>
      </c>
    </row>
    <row r="2089">
      <c r="A2089" s="19" t="n"/>
      <c r="B2089" s="20">
        <f>IF(A2089="","",CHOOSE(WEEKDAY(A2089,2),"Mo","Di","Mi","Do","Fr","Sa","So"))</f>
        <v/>
      </c>
      <c r="C2089" s="20">
        <f>IF(A2089="","",INT((A2089-DATE(YEAR(A2089-WEEKDAY(A2089-1)+4),1,3)+WEEKDAY(DATE(YEAR(A2089-WEEKDAY(A2089-1)+4),1,3))+5)/7))</f>
        <v/>
      </c>
      <c r="D2089" s="21" t="n"/>
      <c r="E2089" s="22" t="n"/>
      <c r="F2089" s="23" t="n"/>
      <c r="G2089" s="23" t="n"/>
      <c r="H2089" s="23" t="n"/>
      <c r="I2089" s="20">
        <f>IF(COUNT(F2089:H2089)=0,"",SUM(F2089:H2089))</f>
        <v/>
      </c>
      <c r="J2089" s="23" t="n"/>
      <c r="K2089" s="23" t="n"/>
      <c r="L2089" s="23" t="n"/>
      <c r="M2089" s="23" t="n"/>
      <c r="N2089" s="23" t="n"/>
      <c r="O2089" s="20">
        <f>IF(OR(I2089="",COUNT(J2089:N2089)=0),"",IF(SUM(J2089:N2089)=I2089,"✓","⚠ "&amp;SUM(J2089:N2089)&amp;" statt "&amp;I2089))</f>
        <v/>
      </c>
      <c r="P2089" s="21" t="n"/>
      <c r="Q2089" s="21" t="n"/>
      <c r="R2089" s="21" t="n"/>
      <c r="S2089" s="24" t="n"/>
      <c r="T2089" s="24" t="n"/>
      <c r="V2089">
        <f>IF(A2089="","",MONTH(A2089))</f>
        <v/>
      </c>
      <c r="W2089">
        <f>N(W2088)+IF(AND(C2089&lt;&gt;"",T2089&lt;&gt;""),IF(C2089=WOCHE!$B$3,1,0),0)</f>
        <v/>
      </c>
      <c r="X2089">
        <f>N(X2088)+IF(AND(V2089&lt;&gt;"",T2089&lt;&gt;""),IF(V2089=MONAT!$AZ$3,1,0),0)</f>
        <v/>
      </c>
    </row>
    <row r="2090">
      <c r="A2090" s="19" t="n"/>
      <c r="B2090" s="20">
        <f>IF(A2090="","",CHOOSE(WEEKDAY(A2090,2),"Mo","Di","Mi","Do","Fr","Sa","So"))</f>
        <v/>
      </c>
      <c r="C2090" s="20">
        <f>IF(A2090="","",INT((A2090-DATE(YEAR(A2090-WEEKDAY(A2090-1)+4),1,3)+WEEKDAY(DATE(YEAR(A2090-WEEKDAY(A2090-1)+4),1,3))+5)/7))</f>
        <v/>
      </c>
      <c r="D2090" s="21" t="n"/>
      <c r="E2090" s="22" t="n"/>
      <c r="F2090" s="23" t="n"/>
      <c r="G2090" s="23" t="n"/>
      <c r="H2090" s="23" t="n"/>
      <c r="I2090" s="20">
        <f>IF(COUNT(F2090:H2090)=0,"",SUM(F2090:H2090))</f>
        <v/>
      </c>
      <c r="J2090" s="23" t="n"/>
      <c r="K2090" s="23" t="n"/>
      <c r="L2090" s="23" t="n"/>
      <c r="M2090" s="23" t="n"/>
      <c r="N2090" s="23" t="n"/>
      <c r="O2090" s="20">
        <f>IF(OR(I2090="",COUNT(J2090:N2090)=0),"",IF(SUM(J2090:N2090)=I2090,"✓","⚠ "&amp;SUM(J2090:N2090)&amp;" statt "&amp;I2090))</f>
        <v/>
      </c>
      <c r="P2090" s="21" t="n"/>
      <c r="Q2090" s="21" t="n"/>
      <c r="R2090" s="21" t="n"/>
      <c r="S2090" s="24" t="n"/>
      <c r="T2090" s="24" t="n"/>
      <c r="V2090">
        <f>IF(A2090="","",MONTH(A2090))</f>
        <v/>
      </c>
      <c r="W2090">
        <f>N(W2089)+IF(AND(C2090&lt;&gt;"",T2090&lt;&gt;""),IF(C2090=WOCHE!$B$3,1,0),0)</f>
        <v/>
      </c>
      <c r="X2090">
        <f>N(X2089)+IF(AND(V2090&lt;&gt;"",T2090&lt;&gt;""),IF(V2090=MONAT!$AZ$3,1,0),0)</f>
        <v/>
      </c>
    </row>
    <row r="2091">
      <c r="A2091" s="19" t="n"/>
      <c r="B2091" s="20">
        <f>IF(A2091="","",CHOOSE(WEEKDAY(A2091,2),"Mo","Di","Mi","Do","Fr","Sa","So"))</f>
        <v/>
      </c>
      <c r="C2091" s="20">
        <f>IF(A2091="","",INT((A2091-DATE(YEAR(A2091-WEEKDAY(A2091-1)+4),1,3)+WEEKDAY(DATE(YEAR(A2091-WEEKDAY(A2091-1)+4),1,3))+5)/7))</f>
        <v/>
      </c>
      <c r="D2091" s="21" t="n"/>
      <c r="E2091" s="22" t="n"/>
      <c r="F2091" s="23" t="n"/>
      <c r="G2091" s="23" t="n"/>
      <c r="H2091" s="23" t="n"/>
      <c r="I2091" s="20">
        <f>IF(COUNT(F2091:H2091)=0,"",SUM(F2091:H2091))</f>
        <v/>
      </c>
      <c r="J2091" s="23" t="n"/>
      <c r="K2091" s="23" t="n"/>
      <c r="L2091" s="23" t="n"/>
      <c r="M2091" s="23" t="n"/>
      <c r="N2091" s="23" t="n"/>
      <c r="O2091" s="20">
        <f>IF(OR(I2091="",COUNT(J2091:N2091)=0),"",IF(SUM(J2091:N2091)=I2091,"✓","⚠ "&amp;SUM(J2091:N2091)&amp;" statt "&amp;I2091))</f>
        <v/>
      </c>
      <c r="P2091" s="21" t="n"/>
      <c r="Q2091" s="21" t="n"/>
      <c r="R2091" s="21" t="n"/>
      <c r="S2091" s="24" t="n"/>
      <c r="T2091" s="24" t="n"/>
      <c r="V2091">
        <f>IF(A2091="","",MONTH(A2091))</f>
        <v/>
      </c>
      <c r="W2091">
        <f>N(W2090)+IF(AND(C2091&lt;&gt;"",T2091&lt;&gt;""),IF(C2091=WOCHE!$B$3,1,0),0)</f>
        <v/>
      </c>
      <c r="X2091">
        <f>N(X2090)+IF(AND(V2091&lt;&gt;"",T2091&lt;&gt;""),IF(V2091=MONAT!$AZ$3,1,0),0)</f>
        <v/>
      </c>
    </row>
    <row r="2092">
      <c r="A2092" s="19" t="n"/>
      <c r="B2092" s="20">
        <f>IF(A2092="","",CHOOSE(WEEKDAY(A2092,2),"Mo","Di","Mi","Do","Fr","Sa","So"))</f>
        <v/>
      </c>
      <c r="C2092" s="20">
        <f>IF(A2092="","",INT((A2092-DATE(YEAR(A2092-WEEKDAY(A2092-1)+4),1,3)+WEEKDAY(DATE(YEAR(A2092-WEEKDAY(A2092-1)+4),1,3))+5)/7))</f>
        <v/>
      </c>
      <c r="D2092" s="21" t="n"/>
      <c r="E2092" s="22" t="n"/>
      <c r="F2092" s="23" t="n"/>
      <c r="G2092" s="23" t="n"/>
      <c r="H2092" s="23" t="n"/>
      <c r="I2092" s="20">
        <f>IF(COUNT(F2092:H2092)=0,"",SUM(F2092:H2092))</f>
        <v/>
      </c>
      <c r="J2092" s="23" t="n"/>
      <c r="K2092" s="23" t="n"/>
      <c r="L2092" s="23" t="n"/>
      <c r="M2092" s="23" t="n"/>
      <c r="N2092" s="23" t="n"/>
      <c r="O2092" s="20">
        <f>IF(OR(I2092="",COUNT(J2092:N2092)=0),"",IF(SUM(J2092:N2092)=I2092,"✓","⚠ "&amp;SUM(J2092:N2092)&amp;" statt "&amp;I2092))</f>
        <v/>
      </c>
      <c r="P2092" s="21" t="n"/>
      <c r="Q2092" s="21" t="n"/>
      <c r="R2092" s="21" t="n"/>
      <c r="S2092" s="24" t="n"/>
      <c r="T2092" s="24" t="n"/>
      <c r="V2092">
        <f>IF(A2092="","",MONTH(A2092))</f>
        <v/>
      </c>
      <c r="W2092">
        <f>N(W2091)+IF(AND(C2092&lt;&gt;"",T2092&lt;&gt;""),IF(C2092=WOCHE!$B$3,1,0),0)</f>
        <v/>
      </c>
      <c r="X2092">
        <f>N(X2091)+IF(AND(V2092&lt;&gt;"",T2092&lt;&gt;""),IF(V2092=MONAT!$AZ$3,1,0),0)</f>
        <v/>
      </c>
    </row>
    <row r="2093">
      <c r="A2093" s="19" t="n"/>
      <c r="B2093" s="20">
        <f>IF(A2093="","",CHOOSE(WEEKDAY(A2093,2),"Mo","Di","Mi","Do","Fr","Sa","So"))</f>
        <v/>
      </c>
      <c r="C2093" s="20">
        <f>IF(A2093="","",INT((A2093-DATE(YEAR(A2093-WEEKDAY(A2093-1)+4),1,3)+WEEKDAY(DATE(YEAR(A2093-WEEKDAY(A2093-1)+4),1,3))+5)/7))</f>
        <v/>
      </c>
      <c r="D2093" s="21" t="n"/>
      <c r="E2093" s="22" t="n"/>
      <c r="F2093" s="23" t="n"/>
      <c r="G2093" s="23" t="n"/>
      <c r="H2093" s="23" t="n"/>
      <c r="I2093" s="20">
        <f>IF(COUNT(F2093:H2093)=0,"",SUM(F2093:H2093))</f>
        <v/>
      </c>
      <c r="J2093" s="23" t="n"/>
      <c r="K2093" s="23" t="n"/>
      <c r="L2093" s="23" t="n"/>
      <c r="M2093" s="23" t="n"/>
      <c r="N2093" s="23" t="n"/>
      <c r="O2093" s="20">
        <f>IF(OR(I2093="",COUNT(J2093:N2093)=0),"",IF(SUM(J2093:N2093)=I2093,"✓","⚠ "&amp;SUM(J2093:N2093)&amp;" statt "&amp;I2093))</f>
        <v/>
      </c>
      <c r="P2093" s="21" t="n"/>
      <c r="Q2093" s="21" t="n"/>
      <c r="R2093" s="21" t="n"/>
      <c r="S2093" s="24" t="n"/>
      <c r="T2093" s="24" t="n"/>
      <c r="V2093">
        <f>IF(A2093="","",MONTH(A2093))</f>
        <v/>
      </c>
      <c r="W2093">
        <f>N(W2092)+IF(AND(C2093&lt;&gt;"",T2093&lt;&gt;""),IF(C2093=WOCHE!$B$3,1,0),0)</f>
        <v/>
      </c>
      <c r="X2093">
        <f>N(X2092)+IF(AND(V2093&lt;&gt;"",T2093&lt;&gt;""),IF(V2093=MONAT!$AZ$3,1,0),0)</f>
        <v/>
      </c>
    </row>
    <row r="2094">
      <c r="A2094" s="19" t="n"/>
      <c r="B2094" s="20">
        <f>IF(A2094="","",CHOOSE(WEEKDAY(A2094,2),"Mo","Di","Mi","Do","Fr","Sa","So"))</f>
        <v/>
      </c>
      <c r="C2094" s="20">
        <f>IF(A2094="","",INT((A2094-DATE(YEAR(A2094-WEEKDAY(A2094-1)+4),1,3)+WEEKDAY(DATE(YEAR(A2094-WEEKDAY(A2094-1)+4),1,3))+5)/7))</f>
        <v/>
      </c>
      <c r="D2094" s="21" t="n"/>
      <c r="E2094" s="22" t="n"/>
      <c r="F2094" s="23" t="n"/>
      <c r="G2094" s="23" t="n"/>
      <c r="H2094" s="23" t="n"/>
      <c r="I2094" s="20">
        <f>IF(COUNT(F2094:H2094)=0,"",SUM(F2094:H2094))</f>
        <v/>
      </c>
      <c r="J2094" s="23" t="n"/>
      <c r="K2094" s="23" t="n"/>
      <c r="L2094" s="23" t="n"/>
      <c r="M2094" s="23" t="n"/>
      <c r="N2094" s="23" t="n"/>
      <c r="O2094" s="20">
        <f>IF(OR(I2094="",COUNT(J2094:N2094)=0),"",IF(SUM(J2094:N2094)=I2094,"✓","⚠ "&amp;SUM(J2094:N2094)&amp;" statt "&amp;I2094))</f>
        <v/>
      </c>
      <c r="P2094" s="21" t="n"/>
      <c r="Q2094" s="21" t="n"/>
      <c r="R2094" s="21" t="n"/>
      <c r="S2094" s="24" t="n"/>
      <c r="T2094" s="24" t="n"/>
      <c r="V2094">
        <f>IF(A2094="","",MONTH(A2094))</f>
        <v/>
      </c>
      <c r="W2094">
        <f>N(W2093)+IF(AND(C2094&lt;&gt;"",T2094&lt;&gt;""),IF(C2094=WOCHE!$B$3,1,0),0)</f>
        <v/>
      </c>
      <c r="X2094">
        <f>N(X2093)+IF(AND(V2094&lt;&gt;"",T2094&lt;&gt;""),IF(V2094=MONAT!$AZ$3,1,0),0)</f>
        <v/>
      </c>
    </row>
    <row r="2095">
      <c r="A2095" s="19" t="n"/>
      <c r="B2095" s="20">
        <f>IF(A2095="","",CHOOSE(WEEKDAY(A2095,2),"Mo","Di","Mi","Do","Fr","Sa","So"))</f>
        <v/>
      </c>
      <c r="C2095" s="20">
        <f>IF(A2095="","",INT((A2095-DATE(YEAR(A2095-WEEKDAY(A2095-1)+4),1,3)+WEEKDAY(DATE(YEAR(A2095-WEEKDAY(A2095-1)+4),1,3))+5)/7))</f>
        <v/>
      </c>
      <c r="D2095" s="21" t="n"/>
      <c r="E2095" s="22" t="n"/>
      <c r="F2095" s="23" t="n"/>
      <c r="G2095" s="23" t="n"/>
      <c r="H2095" s="23" t="n"/>
      <c r="I2095" s="20">
        <f>IF(COUNT(F2095:H2095)=0,"",SUM(F2095:H2095))</f>
        <v/>
      </c>
      <c r="J2095" s="23" t="n"/>
      <c r="K2095" s="23" t="n"/>
      <c r="L2095" s="23" t="n"/>
      <c r="M2095" s="23" t="n"/>
      <c r="N2095" s="23" t="n"/>
      <c r="O2095" s="20">
        <f>IF(OR(I2095="",COUNT(J2095:N2095)=0),"",IF(SUM(J2095:N2095)=I2095,"✓","⚠ "&amp;SUM(J2095:N2095)&amp;" statt "&amp;I2095))</f>
        <v/>
      </c>
      <c r="P2095" s="21" t="n"/>
      <c r="Q2095" s="21" t="n"/>
      <c r="R2095" s="21" t="n"/>
      <c r="S2095" s="24" t="n"/>
      <c r="T2095" s="24" t="n"/>
      <c r="V2095">
        <f>IF(A2095="","",MONTH(A2095))</f>
        <v/>
      </c>
      <c r="W2095">
        <f>N(W2094)+IF(AND(C2095&lt;&gt;"",T2095&lt;&gt;""),IF(C2095=WOCHE!$B$3,1,0),0)</f>
        <v/>
      </c>
      <c r="X2095">
        <f>N(X2094)+IF(AND(V2095&lt;&gt;"",T2095&lt;&gt;""),IF(V2095=MONAT!$AZ$3,1,0),0)</f>
        <v/>
      </c>
    </row>
    <row r="2096">
      <c r="A2096" s="19" t="n"/>
      <c r="B2096" s="20">
        <f>IF(A2096="","",CHOOSE(WEEKDAY(A2096,2),"Mo","Di","Mi","Do","Fr","Sa","So"))</f>
        <v/>
      </c>
      <c r="C2096" s="20">
        <f>IF(A2096="","",INT((A2096-DATE(YEAR(A2096-WEEKDAY(A2096-1)+4),1,3)+WEEKDAY(DATE(YEAR(A2096-WEEKDAY(A2096-1)+4),1,3))+5)/7))</f>
        <v/>
      </c>
      <c r="D2096" s="21" t="n"/>
      <c r="E2096" s="22" t="n"/>
      <c r="F2096" s="23" t="n"/>
      <c r="G2096" s="23" t="n"/>
      <c r="H2096" s="23" t="n"/>
      <c r="I2096" s="20">
        <f>IF(COUNT(F2096:H2096)=0,"",SUM(F2096:H2096))</f>
        <v/>
      </c>
      <c r="J2096" s="23" t="n"/>
      <c r="K2096" s="23" t="n"/>
      <c r="L2096" s="23" t="n"/>
      <c r="M2096" s="23" t="n"/>
      <c r="N2096" s="23" t="n"/>
      <c r="O2096" s="20">
        <f>IF(OR(I2096="",COUNT(J2096:N2096)=0),"",IF(SUM(J2096:N2096)=I2096,"✓","⚠ "&amp;SUM(J2096:N2096)&amp;" statt "&amp;I2096))</f>
        <v/>
      </c>
      <c r="P2096" s="21" t="n"/>
      <c r="Q2096" s="21" t="n"/>
      <c r="R2096" s="21" t="n"/>
      <c r="S2096" s="24" t="n"/>
      <c r="T2096" s="24" t="n"/>
      <c r="V2096">
        <f>IF(A2096="","",MONTH(A2096))</f>
        <v/>
      </c>
      <c r="W2096">
        <f>N(W2095)+IF(AND(C2096&lt;&gt;"",T2096&lt;&gt;""),IF(C2096=WOCHE!$B$3,1,0),0)</f>
        <v/>
      </c>
      <c r="X2096">
        <f>N(X2095)+IF(AND(V2096&lt;&gt;"",T2096&lt;&gt;""),IF(V2096=MONAT!$AZ$3,1,0),0)</f>
        <v/>
      </c>
    </row>
    <row r="2097">
      <c r="A2097" s="19" t="n"/>
      <c r="B2097" s="20">
        <f>IF(A2097="","",CHOOSE(WEEKDAY(A2097,2),"Mo","Di","Mi","Do","Fr","Sa","So"))</f>
        <v/>
      </c>
      <c r="C2097" s="20">
        <f>IF(A2097="","",INT((A2097-DATE(YEAR(A2097-WEEKDAY(A2097-1)+4),1,3)+WEEKDAY(DATE(YEAR(A2097-WEEKDAY(A2097-1)+4),1,3))+5)/7))</f>
        <v/>
      </c>
      <c r="D2097" s="21" t="n"/>
      <c r="E2097" s="22" t="n"/>
      <c r="F2097" s="23" t="n"/>
      <c r="G2097" s="23" t="n"/>
      <c r="H2097" s="23" t="n"/>
      <c r="I2097" s="20">
        <f>IF(COUNT(F2097:H2097)=0,"",SUM(F2097:H2097))</f>
        <v/>
      </c>
      <c r="J2097" s="23" t="n"/>
      <c r="K2097" s="23" t="n"/>
      <c r="L2097" s="23" t="n"/>
      <c r="M2097" s="23" t="n"/>
      <c r="N2097" s="23" t="n"/>
      <c r="O2097" s="20">
        <f>IF(OR(I2097="",COUNT(J2097:N2097)=0),"",IF(SUM(J2097:N2097)=I2097,"✓","⚠ "&amp;SUM(J2097:N2097)&amp;" statt "&amp;I2097))</f>
        <v/>
      </c>
      <c r="P2097" s="21" t="n"/>
      <c r="Q2097" s="21" t="n"/>
      <c r="R2097" s="21" t="n"/>
      <c r="S2097" s="24" t="n"/>
      <c r="T2097" s="24" t="n"/>
      <c r="V2097">
        <f>IF(A2097="","",MONTH(A2097))</f>
        <v/>
      </c>
      <c r="W2097">
        <f>N(W2096)+IF(AND(C2097&lt;&gt;"",T2097&lt;&gt;""),IF(C2097=WOCHE!$B$3,1,0),0)</f>
        <v/>
      </c>
      <c r="X2097">
        <f>N(X2096)+IF(AND(V2097&lt;&gt;"",T2097&lt;&gt;""),IF(V2097=MONAT!$AZ$3,1,0),0)</f>
        <v/>
      </c>
    </row>
    <row r="2098">
      <c r="A2098" s="19" t="n"/>
      <c r="B2098" s="20">
        <f>IF(A2098="","",CHOOSE(WEEKDAY(A2098,2),"Mo","Di","Mi","Do","Fr","Sa","So"))</f>
        <v/>
      </c>
      <c r="C2098" s="20">
        <f>IF(A2098="","",INT((A2098-DATE(YEAR(A2098-WEEKDAY(A2098-1)+4),1,3)+WEEKDAY(DATE(YEAR(A2098-WEEKDAY(A2098-1)+4),1,3))+5)/7))</f>
        <v/>
      </c>
      <c r="D2098" s="21" t="n"/>
      <c r="E2098" s="22" t="n"/>
      <c r="F2098" s="23" t="n"/>
      <c r="G2098" s="23" t="n"/>
      <c r="H2098" s="23" t="n"/>
      <c r="I2098" s="20">
        <f>IF(COUNT(F2098:H2098)=0,"",SUM(F2098:H2098))</f>
        <v/>
      </c>
      <c r="J2098" s="23" t="n"/>
      <c r="K2098" s="23" t="n"/>
      <c r="L2098" s="23" t="n"/>
      <c r="M2098" s="23" t="n"/>
      <c r="N2098" s="23" t="n"/>
      <c r="O2098" s="20">
        <f>IF(OR(I2098="",COUNT(J2098:N2098)=0),"",IF(SUM(J2098:N2098)=I2098,"✓","⚠ "&amp;SUM(J2098:N2098)&amp;" statt "&amp;I2098))</f>
        <v/>
      </c>
      <c r="P2098" s="21" t="n"/>
      <c r="Q2098" s="21" t="n"/>
      <c r="R2098" s="21" t="n"/>
      <c r="S2098" s="24" t="n"/>
      <c r="T2098" s="24" t="n"/>
      <c r="V2098">
        <f>IF(A2098="","",MONTH(A2098))</f>
        <v/>
      </c>
      <c r="W2098">
        <f>N(W2097)+IF(AND(C2098&lt;&gt;"",T2098&lt;&gt;""),IF(C2098=WOCHE!$B$3,1,0),0)</f>
        <v/>
      </c>
      <c r="X2098">
        <f>N(X2097)+IF(AND(V2098&lt;&gt;"",T2098&lt;&gt;""),IF(V2098=MONAT!$AZ$3,1,0),0)</f>
        <v/>
      </c>
    </row>
    <row r="2099">
      <c r="A2099" s="19" t="n"/>
      <c r="B2099" s="20">
        <f>IF(A2099="","",CHOOSE(WEEKDAY(A2099,2),"Mo","Di","Mi","Do","Fr","Sa","So"))</f>
        <v/>
      </c>
      <c r="C2099" s="20">
        <f>IF(A2099="","",INT((A2099-DATE(YEAR(A2099-WEEKDAY(A2099-1)+4),1,3)+WEEKDAY(DATE(YEAR(A2099-WEEKDAY(A2099-1)+4),1,3))+5)/7))</f>
        <v/>
      </c>
      <c r="D2099" s="21" t="n"/>
      <c r="E2099" s="22" t="n"/>
      <c r="F2099" s="23" t="n"/>
      <c r="G2099" s="23" t="n"/>
      <c r="H2099" s="23" t="n"/>
      <c r="I2099" s="20">
        <f>IF(COUNT(F2099:H2099)=0,"",SUM(F2099:H2099))</f>
        <v/>
      </c>
      <c r="J2099" s="23" t="n"/>
      <c r="K2099" s="23" t="n"/>
      <c r="L2099" s="23" t="n"/>
      <c r="M2099" s="23" t="n"/>
      <c r="N2099" s="23" t="n"/>
      <c r="O2099" s="20">
        <f>IF(OR(I2099="",COUNT(J2099:N2099)=0),"",IF(SUM(J2099:N2099)=I2099,"✓","⚠ "&amp;SUM(J2099:N2099)&amp;" statt "&amp;I2099))</f>
        <v/>
      </c>
      <c r="P2099" s="21" t="n"/>
      <c r="Q2099" s="21" t="n"/>
      <c r="R2099" s="21" t="n"/>
      <c r="S2099" s="24" t="n"/>
      <c r="T2099" s="24" t="n"/>
      <c r="V2099">
        <f>IF(A2099="","",MONTH(A2099))</f>
        <v/>
      </c>
      <c r="W2099">
        <f>N(W2098)+IF(AND(C2099&lt;&gt;"",T2099&lt;&gt;""),IF(C2099=WOCHE!$B$3,1,0),0)</f>
        <v/>
      </c>
      <c r="X2099">
        <f>N(X2098)+IF(AND(V2099&lt;&gt;"",T2099&lt;&gt;""),IF(V2099=MONAT!$AZ$3,1,0),0)</f>
        <v/>
      </c>
    </row>
    <row r="2100">
      <c r="A2100" s="19" t="n"/>
      <c r="B2100" s="20">
        <f>IF(A2100="","",CHOOSE(WEEKDAY(A2100,2),"Mo","Di","Mi","Do","Fr","Sa","So"))</f>
        <v/>
      </c>
      <c r="C2100" s="20">
        <f>IF(A2100="","",INT((A2100-DATE(YEAR(A2100-WEEKDAY(A2100-1)+4),1,3)+WEEKDAY(DATE(YEAR(A2100-WEEKDAY(A2100-1)+4),1,3))+5)/7))</f>
        <v/>
      </c>
      <c r="D2100" s="21" t="n"/>
      <c r="E2100" s="22" t="n"/>
      <c r="F2100" s="23" t="n"/>
      <c r="G2100" s="23" t="n"/>
      <c r="H2100" s="23" t="n"/>
      <c r="I2100" s="20">
        <f>IF(COUNT(F2100:H2100)=0,"",SUM(F2100:H2100))</f>
        <v/>
      </c>
      <c r="J2100" s="23" t="n"/>
      <c r="K2100" s="23" t="n"/>
      <c r="L2100" s="23" t="n"/>
      <c r="M2100" s="23" t="n"/>
      <c r="N2100" s="23" t="n"/>
      <c r="O2100" s="20">
        <f>IF(OR(I2100="",COUNT(J2100:N2100)=0),"",IF(SUM(J2100:N2100)=I2100,"✓","⚠ "&amp;SUM(J2100:N2100)&amp;" statt "&amp;I2100))</f>
        <v/>
      </c>
      <c r="P2100" s="21" t="n"/>
      <c r="Q2100" s="21" t="n"/>
      <c r="R2100" s="21" t="n"/>
      <c r="S2100" s="24" t="n"/>
      <c r="T2100" s="24" t="n"/>
      <c r="V2100">
        <f>IF(A2100="","",MONTH(A2100))</f>
        <v/>
      </c>
      <c r="W2100">
        <f>N(W2099)+IF(AND(C2100&lt;&gt;"",T2100&lt;&gt;""),IF(C2100=WOCHE!$B$3,1,0),0)</f>
        <v/>
      </c>
      <c r="X2100">
        <f>N(X2099)+IF(AND(V2100&lt;&gt;"",T2100&lt;&gt;""),IF(V2100=MONAT!$AZ$3,1,0),0)</f>
        <v/>
      </c>
    </row>
    <row r="2101">
      <c r="A2101" s="19" t="n"/>
      <c r="B2101" s="20">
        <f>IF(A2101="","",CHOOSE(WEEKDAY(A2101,2),"Mo","Di","Mi","Do","Fr","Sa","So"))</f>
        <v/>
      </c>
      <c r="C2101" s="20">
        <f>IF(A2101="","",INT((A2101-DATE(YEAR(A2101-WEEKDAY(A2101-1)+4),1,3)+WEEKDAY(DATE(YEAR(A2101-WEEKDAY(A2101-1)+4),1,3))+5)/7))</f>
        <v/>
      </c>
      <c r="D2101" s="21" t="n"/>
      <c r="E2101" s="22" t="n"/>
      <c r="F2101" s="23" t="n"/>
      <c r="G2101" s="23" t="n"/>
      <c r="H2101" s="23" t="n"/>
      <c r="I2101" s="20">
        <f>IF(COUNT(F2101:H2101)=0,"",SUM(F2101:H2101))</f>
        <v/>
      </c>
      <c r="J2101" s="23" t="n"/>
      <c r="K2101" s="23" t="n"/>
      <c r="L2101" s="23" t="n"/>
      <c r="M2101" s="23" t="n"/>
      <c r="N2101" s="23" t="n"/>
      <c r="O2101" s="20">
        <f>IF(OR(I2101="",COUNT(J2101:N2101)=0),"",IF(SUM(J2101:N2101)=I2101,"✓","⚠ "&amp;SUM(J2101:N2101)&amp;" statt "&amp;I2101))</f>
        <v/>
      </c>
      <c r="P2101" s="21" t="n"/>
      <c r="Q2101" s="21" t="n"/>
      <c r="R2101" s="21" t="n"/>
      <c r="S2101" s="24" t="n"/>
      <c r="T2101" s="24" t="n"/>
      <c r="V2101">
        <f>IF(A2101="","",MONTH(A2101))</f>
        <v/>
      </c>
      <c r="W2101">
        <f>N(W2100)+IF(AND(C2101&lt;&gt;"",T2101&lt;&gt;""),IF(C2101=WOCHE!$B$3,1,0),0)</f>
        <v/>
      </c>
      <c r="X2101">
        <f>N(X2100)+IF(AND(V2101&lt;&gt;"",T2101&lt;&gt;""),IF(V2101=MONAT!$AZ$3,1,0),0)</f>
        <v/>
      </c>
    </row>
    <row r="2102">
      <c r="A2102" s="19" t="n"/>
      <c r="B2102" s="20">
        <f>IF(A2102="","",CHOOSE(WEEKDAY(A2102,2),"Mo","Di","Mi","Do","Fr","Sa","So"))</f>
        <v/>
      </c>
      <c r="C2102" s="20">
        <f>IF(A2102="","",INT((A2102-DATE(YEAR(A2102-WEEKDAY(A2102-1)+4),1,3)+WEEKDAY(DATE(YEAR(A2102-WEEKDAY(A2102-1)+4),1,3))+5)/7))</f>
        <v/>
      </c>
      <c r="D2102" s="21" t="n"/>
      <c r="E2102" s="22" t="n"/>
      <c r="F2102" s="23" t="n"/>
      <c r="G2102" s="23" t="n"/>
      <c r="H2102" s="23" t="n"/>
      <c r="I2102" s="20">
        <f>IF(COUNT(F2102:H2102)=0,"",SUM(F2102:H2102))</f>
        <v/>
      </c>
      <c r="J2102" s="23" t="n"/>
      <c r="K2102" s="23" t="n"/>
      <c r="L2102" s="23" t="n"/>
      <c r="M2102" s="23" t="n"/>
      <c r="N2102" s="23" t="n"/>
      <c r="O2102" s="20">
        <f>IF(OR(I2102="",COUNT(J2102:N2102)=0),"",IF(SUM(J2102:N2102)=I2102,"✓","⚠ "&amp;SUM(J2102:N2102)&amp;" statt "&amp;I2102))</f>
        <v/>
      </c>
      <c r="P2102" s="21" t="n"/>
      <c r="Q2102" s="21" t="n"/>
      <c r="R2102" s="21" t="n"/>
      <c r="S2102" s="24" t="n"/>
      <c r="T2102" s="24" t="n"/>
      <c r="V2102">
        <f>IF(A2102="","",MONTH(A2102))</f>
        <v/>
      </c>
      <c r="W2102">
        <f>N(W2101)+IF(AND(C2102&lt;&gt;"",T2102&lt;&gt;""),IF(C2102=WOCHE!$B$3,1,0),0)</f>
        <v/>
      </c>
      <c r="X2102">
        <f>N(X2101)+IF(AND(V2102&lt;&gt;"",T2102&lt;&gt;""),IF(V2102=MONAT!$AZ$3,1,0),0)</f>
        <v/>
      </c>
    </row>
    <row r="2103">
      <c r="A2103" s="19" t="n"/>
      <c r="B2103" s="20">
        <f>IF(A2103="","",CHOOSE(WEEKDAY(A2103,2),"Mo","Di","Mi","Do","Fr","Sa","So"))</f>
        <v/>
      </c>
      <c r="C2103" s="20">
        <f>IF(A2103="","",INT((A2103-DATE(YEAR(A2103-WEEKDAY(A2103-1)+4),1,3)+WEEKDAY(DATE(YEAR(A2103-WEEKDAY(A2103-1)+4),1,3))+5)/7))</f>
        <v/>
      </c>
      <c r="D2103" s="21" t="n"/>
      <c r="E2103" s="22" t="n"/>
      <c r="F2103" s="23" t="n"/>
      <c r="G2103" s="23" t="n"/>
      <c r="H2103" s="23" t="n"/>
      <c r="I2103" s="20">
        <f>IF(COUNT(F2103:H2103)=0,"",SUM(F2103:H2103))</f>
        <v/>
      </c>
      <c r="J2103" s="23" t="n"/>
      <c r="K2103" s="23" t="n"/>
      <c r="L2103" s="23" t="n"/>
      <c r="M2103" s="23" t="n"/>
      <c r="N2103" s="23" t="n"/>
      <c r="O2103" s="20">
        <f>IF(OR(I2103="",COUNT(J2103:N2103)=0),"",IF(SUM(J2103:N2103)=I2103,"✓","⚠ "&amp;SUM(J2103:N2103)&amp;" statt "&amp;I2103))</f>
        <v/>
      </c>
      <c r="P2103" s="21" t="n"/>
      <c r="Q2103" s="21" t="n"/>
      <c r="R2103" s="21" t="n"/>
      <c r="S2103" s="24" t="n"/>
      <c r="T2103" s="24" t="n"/>
      <c r="V2103">
        <f>IF(A2103="","",MONTH(A2103))</f>
        <v/>
      </c>
      <c r="W2103">
        <f>N(W2102)+IF(AND(C2103&lt;&gt;"",T2103&lt;&gt;""),IF(C2103=WOCHE!$B$3,1,0),0)</f>
        <v/>
      </c>
      <c r="X2103">
        <f>N(X2102)+IF(AND(V2103&lt;&gt;"",T2103&lt;&gt;""),IF(V2103=MONAT!$AZ$3,1,0),0)</f>
        <v/>
      </c>
    </row>
    <row r="2104">
      <c r="A2104" s="19" t="n"/>
      <c r="B2104" s="20">
        <f>IF(A2104="","",CHOOSE(WEEKDAY(A2104,2),"Mo","Di","Mi","Do","Fr","Sa","So"))</f>
        <v/>
      </c>
      <c r="C2104" s="20">
        <f>IF(A2104="","",INT((A2104-DATE(YEAR(A2104-WEEKDAY(A2104-1)+4),1,3)+WEEKDAY(DATE(YEAR(A2104-WEEKDAY(A2104-1)+4),1,3))+5)/7))</f>
        <v/>
      </c>
      <c r="D2104" s="21" t="n"/>
      <c r="E2104" s="22" t="n"/>
      <c r="F2104" s="23" t="n"/>
      <c r="G2104" s="23" t="n"/>
      <c r="H2104" s="23" t="n"/>
      <c r="I2104" s="20">
        <f>IF(COUNT(F2104:H2104)=0,"",SUM(F2104:H2104))</f>
        <v/>
      </c>
      <c r="J2104" s="23" t="n"/>
      <c r="K2104" s="23" t="n"/>
      <c r="L2104" s="23" t="n"/>
      <c r="M2104" s="23" t="n"/>
      <c r="N2104" s="23" t="n"/>
      <c r="O2104" s="20">
        <f>IF(OR(I2104="",COUNT(J2104:N2104)=0),"",IF(SUM(J2104:N2104)=I2104,"✓","⚠ "&amp;SUM(J2104:N2104)&amp;" statt "&amp;I2104))</f>
        <v/>
      </c>
      <c r="P2104" s="21" t="n"/>
      <c r="Q2104" s="21" t="n"/>
      <c r="R2104" s="21" t="n"/>
      <c r="S2104" s="24" t="n"/>
      <c r="T2104" s="24" t="n"/>
      <c r="V2104">
        <f>IF(A2104="","",MONTH(A2104))</f>
        <v/>
      </c>
      <c r="W2104">
        <f>N(W2103)+IF(AND(C2104&lt;&gt;"",T2104&lt;&gt;""),IF(C2104=WOCHE!$B$3,1,0),0)</f>
        <v/>
      </c>
      <c r="X2104">
        <f>N(X2103)+IF(AND(V2104&lt;&gt;"",T2104&lt;&gt;""),IF(V2104=MONAT!$AZ$3,1,0),0)</f>
        <v/>
      </c>
    </row>
    <row r="2105">
      <c r="A2105" s="19" t="n"/>
      <c r="B2105" s="20">
        <f>IF(A2105="","",CHOOSE(WEEKDAY(A2105,2),"Mo","Di","Mi","Do","Fr","Sa","So"))</f>
        <v/>
      </c>
      <c r="C2105" s="20">
        <f>IF(A2105="","",INT((A2105-DATE(YEAR(A2105-WEEKDAY(A2105-1)+4),1,3)+WEEKDAY(DATE(YEAR(A2105-WEEKDAY(A2105-1)+4),1,3))+5)/7))</f>
        <v/>
      </c>
      <c r="D2105" s="21" t="n"/>
      <c r="E2105" s="22" t="n"/>
      <c r="F2105" s="23" t="n"/>
      <c r="G2105" s="23" t="n"/>
      <c r="H2105" s="23" t="n"/>
      <c r="I2105" s="20">
        <f>IF(COUNT(F2105:H2105)=0,"",SUM(F2105:H2105))</f>
        <v/>
      </c>
      <c r="J2105" s="23" t="n"/>
      <c r="K2105" s="23" t="n"/>
      <c r="L2105" s="23" t="n"/>
      <c r="M2105" s="23" t="n"/>
      <c r="N2105" s="23" t="n"/>
      <c r="O2105" s="20">
        <f>IF(OR(I2105="",COUNT(J2105:N2105)=0),"",IF(SUM(J2105:N2105)=I2105,"✓","⚠ "&amp;SUM(J2105:N2105)&amp;" statt "&amp;I2105))</f>
        <v/>
      </c>
      <c r="P2105" s="21" t="n"/>
      <c r="Q2105" s="21" t="n"/>
      <c r="R2105" s="21" t="n"/>
      <c r="S2105" s="24" t="n"/>
      <c r="T2105" s="24" t="n"/>
      <c r="V2105">
        <f>IF(A2105="","",MONTH(A2105))</f>
        <v/>
      </c>
      <c r="W2105">
        <f>N(W2104)+IF(AND(C2105&lt;&gt;"",T2105&lt;&gt;""),IF(C2105=WOCHE!$B$3,1,0),0)</f>
        <v/>
      </c>
      <c r="X2105">
        <f>N(X2104)+IF(AND(V2105&lt;&gt;"",T2105&lt;&gt;""),IF(V2105=MONAT!$AZ$3,1,0),0)</f>
        <v/>
      </c>
    </row>
    <row r="2106">
      <c r="A2106" s="19" t="n"/>
      <c r="B2106" s="20">
        <f>IF(A2106="","",CHOOSE(WEEKDAY(A2106,2),"Mo","Di","Mi","Do","Fr","Sa","So"))</f>
        <v/>
      </c>
      <c r="C2106" s="20">
        <f>IF(A2106="","",INT((A2106-DATE(YEAR(A2106-WEEKDAY(A2106-1)+4),1,3)+WEEKDAY(DATE(YEAR(A2106-WEEKDAY(A2106-1)+4),1,3))+5)/7))</f>
        <v/>
      </c>
      <c r="D2106" s="21" t="n"/>
      <c r="E2106" s="22" t="n"/>
      <c r="F2106" s="23" t="n"/>
      <c r="G2106" s="23" t="n"/>
      <c r="H2106" s="23" t="n"/>
      <c r="I2106" s="20">
        <f>IF(COUNT(F2106:H2106)=0,"",SUM(F2106:H2106))</f>
        <v/>
      </c>
      <c r="J2106" s="23" t="n"/>
      <c r="K2106" s="23" t="n"/>
      <c r="L2106" s="23" t="n"/>
      <c r="M2106" s="23" t="n"/>
      <c r="N2106" s="23" t="n"/>
      <c r="O2106" s="20">
        <f>IF(OR(I2106="",COUNT(J2106:N2106)=0),"",IF(SUM(J2106:N2106)=I2106,"✓","⚠ "&amp;SUM(J2106:N2106)&amp;" statt "&amp;I2106))</f>
        <v/>
      </c>
      <c r="P2106" s="21" t="n"/>
      <c r="Q2106" s="21" t="n"/>
      <c r="R2106" s="21" t="n"/>
      <c r="S2106" s="24" t="n"/>
      <c r="T2106" s="24" t="n"/>
      <c r="V2106">
        <f>IF(A2106="","",MONTH(A2106))</f>
        <v/>
      </c>
      <c r="W2106">
        <f>N(W2105)+IF(AND(C2106&lt;&gt;"",T2106&lt;&gt;""),IF(C2106=WOCHE!$B$3,1,0),0)</f>
        <v/>
      </c>
      <c r="X2106">
        <f>N(X2105)+IF(AND(V2106&lt;&gt;"",T2106&lt;&gt;""),IF(V2106=MONAT!$AZ$3,1,0),0)</f>
        <v/>
      </c>
    </row>
    <row r="2107">
      <c r="A2107" s="19" t="n"/>
      <c r="B2107" s="20">
        <f>IF(A2107="","",CHOOSE(WEEKDAY(A2107,2),"Mo","Di","Mi","Do","Fr","Sa","So"))</f>
        <v/>
      </c>
      <c r="C2107" s="20">
        <f>IF(A2107="","",INT((A2107-DATE(YEAR(A2107-WEEKDAY(A2107-1)+4),1,3)+WEEKDAY(DATE(YEAR(A2107-WEEKDAY(A2107-1)+4),1,3))+5)/7))</f>
        <v/>
      </c>
      <c r="D2107" s="21" t="n"/>
      <c r="E2107" s="22" t="n"/>
      <c r="F2107" s="23" t="n"/>
      <c r="G2107" s="23" t="n"/>
      <c r="H2107" s="23" t="n"/>
      <c r="I2107" s="20">
        <f>IF(COUNT(F2107:H2107)=0,"",SUM(F2107:H2107))</f>
        <v/>
      </c>
      <c r="J2107" s="23" t="n"/>
      <c r="K2107" s="23" t="n"/>
      <c r="L2107" s="23" t="n"/>
      <c r="M2107" s="23" t="n"/>
      <c r="N2107" s="23" t="n"/>
      <c r="O2107" s="20">
        <f>IF(OR(I2107="",COUNT(J2107:N2107)=0),"",IF(SUM(J2107:N2107)=I2107,"✓","⚠ "&amp;SUM(J2107:N2107)&amp;" statt "&amp;I2107))</f>
        <v/>
      </c>
      <c r="P2107" s="21" t="n"/>
      <c r="Q2107" s="21" t="n"/>
      <c r="R2107" s="21" t="n"/>
      <c r="S2107" s="24" t="n"/>
      <c r="T2107" s="24" t="n"/>
      <c r="V2107">
        <f>IF(A2107="","",MONTH(A2107))</f>
        <v/>
      </c>
      <c r="W2107">
        <f>N(W2106)+IF(AND(C2107&lt;&gt;"",T2107&lt;&gt;""),IF(C2107=WOCHE!$B$3,1,0),0)</f>
        <v/>
      </c>
      <c r="X2107">
        <f>N(X2106)+IF(AND(V2107&lt;&gt;"",T2107&lt;&gt;""),IF(V2107=MONAT!$AZ$3,1,0),0)</f>
        <v/>
      </c>
    </row>
    <row r="2108">
      <c r="A2108" s="19" t="n"/>
      <c r="B2108" s="20">
        <f>IF(A2108="","",CHOOSE(WEEKDAY(A2108,2),"Mo","Di","Mi","Do","Fr","Sa","So"))</f>
        <v/>
      </c>
      <c r="C2108" s="20">
        <f>IF(A2108="","",INT((A2108-DATE(YEAR(A2108-WEEKDAY(A2108-1)+4),1,3)+WEEKDAY(DATE(YEAR(A2108-WEEKDAY(A2108-1)+4),1,3))+5)/7))</f>
        <v/>
      </c>
      <c r="D2108" s="21" t="n"/>
      <c r="E2108" s="22" t="n"/>
      <c r="F2108" s="23" t="n"/>
      <c r="G2108" s="23" t="n"/>
      <c r="H2108" s="23" t="n"/>
      <c r="I2108" s="20">
        <f>IF(COUNT(F2108:H2108)=0,"",SUM(F2108:H2108))</f>
        <v/>
      </c>
      <c r="J2108" s="23" t="n"/>
      <c r="K2108" s="23" t="n"/>
      <c r="L2108" s="23" t="n"/>
      <c r="M2108" s="23" t="n"/>
      <c r="N2108" s="23" t="n"/>
      <c r="O2108" s="20">
        <f>IF(OR(I2108="",COUNT(J2108:N2108)=0),"",IF(SUM(J2108:N2108)=I2108,"✓","⚠ "&amp;SUM(J2108:N2108)&amp;" statt "&amp;I2108))</f>
        <v/>
      </c>
      <c r="P2108" s="21" t="n"/>
      <c r="Q2108" s="21" t="n"/>
      <c r="R2108" s="21" t="n"/>
      <c r="S2108" s="24" t="n"/>
      <c r="T2108" s="24" t="n"/>
      <c r="V2108">
        <f>IF(A2108="","",MONTH(A2108))</f>
        <v/>
      </c>
      <c r="W2108">
        <f>N(W2107)+IF(AND(C2108&lt;&gt;"",T2108&lt;&gt;""),IF(C2108=WOCHE!$B$3,1,0),0)</f>
        <v/>
      </c>
      <c r="X2108">
        <f>N(X2107)+IF(AND(V2108&lt;&gt;"",T2108&lt;&gt;""),IF(V2108=MONAT!$AZ$3,1,0),0)</f>
        <v/>
      </c>
    </row>
    <row r="2109">
      <c r="A2109" s="19" t="n"/>
      <c r="B2109" s="20">
        <f>IF(A2109="","",CHOOSE(WEEKDAY(A2109,2),"Mo","Di","Mi","Do","Fr","Sa","So"))</f>
        <v/>
      </c>
      <c r="C2109" s="20">
        <f>IF(A2109="","",INT((A2109-DATE(YEAR(A2109-WEEKDAY(A2109-1)+4),1,3)+WEEKDAY(DATE(YEAR(A2109-WEEKDAY(A2109-1)+4),1,3))+5)/7))</f>
        <v/>
      </c>
      <c r="D2109" s="21" t="n"/>
      <c r="E2109" s="22" t="n"/>
      <c r="F2109" s="23" t="n"/>
      <c r="G2109" s="23" t="n"/>
      <c r="H2109" s="23" t="n"/>
      <c r="I2109" s="20">
        <f>IF(COUNT(F2109:H2109)=0,"",SUM(F2109:H2109))</f>
        <v/>
      </c>
      <c r="J2109" s="23" t="n"/>
      <c r="K2109" s="23" t="n"/>
      <c r="L2109" s="23" t="n"/>
      <c r="M2109" s="23" t="n"/>
      <c r="N2109" s="23" t="n"/>
      <c r="O2109" s="20">
        <f>IF(OR(I2109="",COUNT(J2109:N2109)=0),"",IF(SUM(J2109:N2109)=I2109,"✓","⚠ "&amp;SUM(J2109:N2109)&amp;" statt "&amp;I2109))</f>
        <v/>
      </c>
      <c r="P2109" s="21" t="n"/>
      <c r="Q2109" s="21" t="n"/>
      <c r="R2109" s="21" t="n"/>
      <c r="S2109" s="24" t="n"/>
      <c r="T2109" s="24" t="n"/>
      <c r="V2109">
        <f>IF(A2109="","",MONTH(A2109))</f>
        <v/>
      </c>
      <c r="W2109">
        <f>N(W2108)+IF(AND(C2109&lt;&gt;"",T2109&lt;&gt;""),IF(C2109=WOCHE!$B$3,1,0),0)</f>
        <v/>
      </c>
      <c r="X2109">
        <f>N(X2108)+IF(AND(V2109&lt;&gt;"",T2109&lt;&gt;""),IF(V2109=MONAT!$AZ$3,1,0),0)</f>
        <v/>
      </c>
    </row>
    <row r="2110">
      <c r="A2110" s="19" t="n"/>
      <c r="B2110" s="20">
        <f>IF(A2110="","",CHOOSE(WEEKDAY(A2110,2),"Mo","Di","Mi","Do","Fr","Sa","So"))</f>
        <v/>
      </c>
      <c r="C2110" s="20">
        <f>IF(A2110="","",INT((A2110-DATE(YEAR(A2110-WEEKDAY(A2110-1)+4),1,3)+WEEKDAY(DATE(YEAR(A2110-WEEKDAY(A2110-1)+4),1,3))+5)/7))</f>
        <v/>
      </c>
      <c r="D2110" s="21" t="n"/>
      <c r="E2110" s="22" t="n"/>
      <c r="F2110" s="23" t="n"/>
      <c r="G2110" s="23" t="n"/>
      <c r="H2110" s="23" t="n"/>
      <c r="I2110" s="20">
        <f>IF(COUNT(F2110:H2110)=0,"",SUM(F2110:H2110))</f>
        <v/>
      </c>
      <c r="J2110" s="23" t="n"/>
      <c r="K2110" s="23" t="n"/>
      <c r="L2110" s="23" t="n"/>
      <c r="M2110" s="23" t="n"/>
      <c r="N2110" s="23" t="n"/>
      <c r="O2110" s="20">
        <f>IF(OR(I2110="",COUNT(J2110:N2110)=0),"",IF(SUM(J2110:N2110)=I2110,"✓","⚠ "&amp;SUM(J2110:N2110)&amp;" statt "&amp;I2110))</f>
        <v/>
      </c>
      <c r="P2110" s="21" t="n"/>
      <c r="Q2110" s="21" t="n"/>
      <c r="R2110" s="21" t="n"/>
      <c r="S2110" s="24" t="n"/>
      <c r="T2110" s="24" t="n"/>
      <c r="V2110">
        <f>IF(A2110="","",MONTH(A2110))</f>
        <v/>
      </c>
      <c r="W2110">
        <f>N(W2109)+IF(AND(C2110&lt;&gt;"",T2110&lt;&gt;""),IF(C2110=WOCHE!$B$3,1,0),0)</f>
        <v/>
      </c>
      <c r="X2110">
        <f>N(X2109)+IF(AND(V2110&lt;&gt;"",T2110&lt;&gt;""),IF(V2110=MONAT!$AZ$3,1,0),0)</f>
        <v/>
      </c>
    </row>
    <row r="2111">
      <c r="A2111" s="19" t="n"/>
      <c r="B2111" s="20">
        <f>IF(A2111="","",CHOOSE(WEEKDAY(A2111,2),"Mo","Di","Mi","Do","Fr","Sa","So"))</f>
        <v/>
      </c>
      <c r="C2111" s="20">
        <f>IF(A2111="","",INT((A2111-DATE(YEAR(A2111-WEEKDAY(A2111-1)+4),1,3)+WEEKDAY(DATE(YEAR(A2111-WEEKDAY(A2111-1)+4),1,3))+5)/7))</f>
        <v/>
      </c>
      <c r="D2111" s="21" t="n"/>
      <c r="E2111" s="22" t="n"/>
      <c r="F2111" s="23" t="n"/>
      <c r="G2111" s="23" t="n"/>
      <c r="H2111" s="23" t="n"/>
      <c r="I2111" s="20">
        <f>IF(COUNT(F2111:H2111)=0,"",SUM(F2111:H2111))</f>
        <v/>
      </c>
      <c r="J2111" s="23" t="n"/>
      <c r="K2111" s="23" t="n"/>
      <c r="L2111" s="23" t="n"/>
      <c r="M2111" s="23" t="n"/>
      <c r="N2111" s="23" t="n"/>
      <c r="O2111" s="20">
        <f>IF(OR(I2111="",COUNT(J2111:N2111)=0),"",IF(SUM(J2111:N2111)=I2111,"✓","⚠ "&amp;SUM(J2111:N2111)&amp;" statt "&amp;I2111))</f>
        <v/>
      </c>
      <c r="P2111" s="21" t="n"/>
      <c r="Q2111" s="21" t="n"/>
      <c r="R2111" s="21" t="n"/>
      <c r="S2111" s="24" t="n"/>
      <c r="T2111" s="24" t="n"/>
      <c r="V2111">
        <f>IF(A2111="","",MONTH(A2111))</f>
        <v/>
      </c>
      <c r="W2111">
        <f>N(W2110)+IF(AND(C2111&lt;&gt;"",T2111&lt;&gt;""),IF(C2111=WOCHE!$B$3,1,0),0)</f>
        <v/>
      </c>
      <c r="X2111">
        <f>N(X2110)+IF(AND(V2111&lt;&gt;"",T2111&lt;&gt;""),IF(V2111=MONAT!$AZ$3,1,0),0)</f>
        <v/>
      </c>
    </row>
    <row r="2112">
      <c r="A2112" s="19" t="n"/>
      <c r="B2112" s="20">
        <f>IF(A2112="","",CHOOSE(WEEKDAY(A2112,2),"Mo","Di","Mi","Do","Fr","Sa","So"))</f>
        <v/>
      </c>
      <c r="C2112" s="20">
        <f>IF(A2112="","",INT((A2112-DATE(YEAR(A2112-WEEKDAY(A2112-1)+4),1,3)+WEEKDAY(DATE(YEAR(A2112-WEEKDAY(A2112-1)+4),1,3))+5)/7))</f>
        <v/>
      </c>
      <c r="D2112" s="21" t="n"/>
      <c r="E2112" s="22" t="n"/>
      <c r="F2112" s="23" t="n"/>
      <c r="G2112" s="23" t="n"/>
      <c r="H2112" s="23" t="n"/>
      <c r="I2112" s="20">
        <f>IF(COUNT(F2112:H2112)=0,"",SUM(F2112:H2112))</f>
        <v/>
      </c>
      <c r="J2112" s="23" t="n"/>
      <c r="K2112" s="23" t="n"/>
      <c r="L2112" s="23" t="n"/>
      <c r="M2112" s="23" t="n"/>
      <c r="N2112" s="23" t="n"/>
      <c r="O2112" s="20">
        <f>IF(OR(I2112="",COUNT(J2112:N2112)=0),"",IF(SUM(J2112:N2112)=I2112,"✓","⚠ "&amp;SUM(J2112:N2112)&amp;" statt "&amp;I2112))</f>
        <v/>
      </c>
      <c r="P2112" s="21" t="n"/>
      <c r="Q2112" s="21" t="n"/>
      <c r="R2112" s="21" t="n"/>
      <c r="S2112" s="24" t="n"/>
      <c r="T2112" s="24" t="n"/>
      <c r="V2112">
        <f>IF(A2112="","",MONTH(A2112))</f>
        <v/>
      </c>
      <c r="W2112">
        <f>N(W2111)+IF(AND(C2112&lt;&gt;"",T2112&lt;&gt;""),IF(C2112=WOCHE!$B$3,1,0),0)</f>
        <v/>
      </c>
      <c r="X2112">
        <f>N(X2111)+IF(AND(V2112&lt;&gt;"",T2112&lt;&gt;""),IF(V2112=MONAT!$AZ$3,1,0),0)</f>
        <v/>
      </c>
    </row>
    <row r="2113">
      <c r="A2113" s="19" t="n"/>
      <c r="B2113" s="20">
        <f>IF(A2113="","",CHOOSE(WEEKDAY(A2113,2),"Mo","Di","Mi","Do","Fr","Sa","So"))</f>
        <v/>
      </c>
      <c r="C2113" s="20">
        <f>IF(A2113="","",INT((A2113-DATE(YEAR(A2113-WEEKDAY(A2113-1)+4),1,3)+WEEKDAY(DATE(YEAR(A2113-WEEKDAY(A2113-1)+4),1,3))+5)/7))</f>
        <v/>
      </c>
      <c r="D2113" s="21" t="n"/>
      <c r="E2113" s="22" t="n"/>
      <c r="F2113" s="23" t="n"/>
      <c r="G2113" s="23" t="n"/>
      <c r="H2113" s="23" t="n"/>
      <c r="I2113" s="20">
        <f>IF(COUNT(F2113:H2113)=0,"",SUM(F2113:H2113))</f>
        <v/>
      </c>
      <c r="J2113" s="23" t="n"/>
      <c r="K2113" s="23" t="n"/>
      <c r="L2113" s="23" t="n"/>
      <c r="M2113" s="23" t="n"/>
      <c r="N2113" s="23" t="n"/>
      <c r="O2113" s="20">
        <f>IF(OR(I2113="",COUNT(J2113:N2113)=0),"",IF(SUM(J2113:N2113)=I2113,"✓","⚠ "&amp;SUM(J2113:N2113)&amp;" statt "&amp;I2113))</f>
        <v/>
      </c>
      <c r="P2113" s="21" t="n"/>
      <c r="Q2113" s="21" t="n"/>
      <c r="R2113" s="21" t="n"/>
      <c r="S2113" s="24" t="n"/>
      <c r="T2113" s="24" t="n"/>
      <c r="V2113">
        <f>IF(A2113="","",MONTH(A2113))</f>
        <v/>
      </c>
      <c r="W2113">
        <f>N(W2112)+IF(AND(C2113&lt;&gt;"",T2113&lt;&gt;""),IF(C2113=WOCHE!$B$3,1,0),0)</f>
        <v/>
      </c>
      <c r="X2113">
        <f>N(X2112)+IF(AND(V2113&lt;&gt;"",T2113&lt;&gt;""),IF(V2113=MONAT!$AZ$3,1,0),0)</f>
        <v/>
      </c>
    </row>
    <row r="2114">
      <c r="A2114" s="19" t="n"/>
      <c r="B2114" s="20">
        <f>IF(A2114="","",CHOOSE(WEEKDAY(A2114,2),"Mo","Di","Mi","Do","Fr","Sa","So"))</f>
        <v/>
      </c>
      <c r="C2114" s="20">
        <f>IF(A2114="","",INT((A2114-DATE(YEAR(A2114-WEEKDAY(A2114-1)+4),1,3)+WEEKDAY(DATE(YEAR(A2114-WEEKDAY(A2114-1)+4),1,3))+5)/7))</f>
        <v/>
      </c>
      <c r="D2114" s="21" t="n"/>
      <c r="E2114" s="22" t="n"/>
      <c r="F2114" s="23" t="n"/>
      <c r="G2114" s="23" t="n"/>
      <c r="H2114" s="23" t="n"/>
      <c r="I2114" s="20">
        <f>IF(COUNT(F2114:H2114)=0,"",SUM(F2114:H2114))</f>
        <v/>
      </c>
      <c r="J2114" s="23" t="n"/>
      <c r="K2114" s="23" t="n"/>
      <c r="L2114" s="23" t="n"/>
      <c r="M2114" s="23" t="n"/>
      <c r="N2114" s="23" t="n"/>
      <c r="O2114" s="20">
        <f>IF(OR(I2114="",COUNT(J2114:N2114)=0),"",IF(SUM(J2114:N2114)=I2114,"✓","⚠ "&amp;SUM(J2114:N2114)&amp;" statt "&amp;I2114))</f>
        <v/>
      </c>
      <c r="P2114" s="21" t="n"/>
      <c r="Q2114" s="21" t="n"/>
      <c r="R2114" s="21" t="n"/>
      <c r="S2114" s="24" t="n"/>
      <c r="T2114" s="24" t="n"/>
      <c r="V2114">
        <f>IF(A2114="","",MONTH(A2114))</f>
        <v/>
      </c>
      <c r="W2114">
        <f>N(W2113)+IF(AND(C2114&lt;&gt;"",T2114&lt;&gt;""),IF(C2114=WOCHE!$B$3,1,0),0)</f>
        <v/>
      </c>
      <c r="X2114">
        <f>N(X2113)+IF(AND(V2114&lt;&gt;"",T2114&lt;&gt;""),IF(V2114=MONAT!$AZ$3,1,0),0)</f>
        <v/>
      </c>
    </row>
    <row r="2115">
      <c r="A2115" s="19" t="n"/>
      <c r="B2115" s="20">
        <f>IF(A2115="","",CHOOSE(WEEKDAY(A2115,2),"Mo","Di","Mi","Do","Fr","Sa","So"))</f>
        <v/>
      </c>
      <c r="C2115" s="20">
        <f>IF(A2115="","",INT((A2115-DATE(YEAR(A2115-WEEKDAY(A2115-1)+4),1,3)+WEEKDAY(DATE(YEAR(A2115-WEEKDAY(A2115-1)+4),1,3))+5)/7))</f>
        <v/>
      </c>
      <c r="D2115" s="21" t="n"/>
      <c r="E2115" s="22" t="n"/>
      <c r="F2115" s="23" t="n"/>
      <c r="G2115" s="23" t="n"/>
      <c r="H2115" s="23" t="n"/>
      <c r="I2115" s="20">
        <f>IF(COUNT(F2115:H2115)=0,"",SUM(F2115:H2115))</f>
        <v/>
      </c>
      <c r="J2115" s="23" t="n"/>
      <c r="K2115" s="23" t="n"/>
      <c r="L2115" s="23" t="n"/>
      <c r="M2115" s="23" t="n"/>
      <c r="N2115" s="23" t="n"/>
      <c r="O2115" s="20">
        <f>IF(OR(I2115="",COUNT(J2115:N2115)=0),"",IF(SUM(J2115:N2115)=I2115,"✓","⚠ "&amp;SUM(J2115:N2115)&amp;" statt "&amp;I2115))</f>
        <v/>
      </c>
      <c r="P2115" s="21" t="n"/>
      <c r="Q2115" s="21" t="n"/>
      <c r="R2115" s="21" t="n"/>
      <c r="S2115" s="24" t="n"/>
      <c r="T2115" s="24" t="n"/>
      <c r="V2115">
        <f>IF(A2115="","",MONTH(A2115))</f>
        <v/>
      </c>
      <c r="W2115">
        <f>N(W2114)+IF(AND(C2115&lt;&gt;"",T2115&lt;&gt;""),IF(C2115=WOCHE!$B$3,1,0),0)</f>
        <v/>
      </c>
      <c r="X2115">
        <f>N(X2114)+IF(AND(V2115&lt;&gt;"",T2115&lt;&gt;""),IF(V2115=MONAT!$AZ$3,1,0),0)</f>
        <v/>
      </c>
    </row>
    <row r="2116">
      <c r="A2116" s="19" t="n"/>
      <c r="B2116" s="20">
        <f>IF(A2116="","",CHOOSE(WEEKDAY(A2116,2),"Mo","Di","Mi","Do","Fr","Sa","So"))</f>
        <v/>
      </c>
      <c r="C2116" s="20">
        <f>IF(A2116="","",INT((A2116-DATE(YEAR(A2116-WEEKDAY(A2116-1)+4),1,3)+WEEKDAY(DATE(YEAR(A2116-WEEKDAY(A2116-1)+4),1,3))+5)/7))</f>
        <v/>
      </c>
      <c r="D2116" s="21" t="n"/>
      <c r="E2116" s="22" t="n"/>
      <c r="F2116" s="23" t="n"/>
      <c r="G2116" s="23" t="n"/>
      <c r="H2116" s="23" t="n"/>
      <c r="I2116" s="20">
        <f>IF(COUNT(F2116:H2116)=0,"",SUM(F2116:H2116))</f>
        <v/>
      </c>
      <c r="J2116" s="23" t="n"/>
      <c r="K2116" s="23" t="n"/>
      <c r="L2116" s="23" t="n"/>
      <c r="M2116" s="23" t="n"/>
      <c r="N2116" s="23" t="n"/>
      <c r="O2116" s="20">
        <f>IF(OR(I2116="",COUNT(J2116:N2116)=0),"",IF(SUM(J2116:N2116)=I2116,"✓","⚠ "&amp;SUM(J2116:N2116)&amp;" statt "&amp;I2116))</f>
        <v/>
      </c>
      <c r="P2116" s="21" t="n"/>
      <c r="Q2116" s="21" t="n"/>
      <c r="R2116" s="21" t="n"/>
      <c r="S2116" s="24" t="n"/>
      <c r="T2116" s="24" t="n"/>
      <c r="V2116">
        <f>IF(A2116="","",MONTH(A2116))</f>
        <v/>
      </c>
      <c r="W2116">
        <f>N(W2115)+IF(AND(C2116&lt;&gt;"",T2116&lt;&gt;""),IF(C2116=WOCHE!$B$3,1,0),0)</f>
        <v/>
      </c>
      <c r="X2116">
        <f>N(X2115)+IF(AND(V2116&lt;&gt;"",T2116&lt;&gt;""),IF(V2116=MONAT!$AZ$3,1,0),0)</f>
        <v/>
      </c>
    </row>
    <row r="2117">
      <c r="A2117" s="19" t="n"/>
      <c r="B2117" s="20">
        <f>IF(A2117="","",CHOOSE(WEEKDAY(A2117,2),"Mo","Di","Mi","Do","Fr","Sa","So"))</f>
        <v/>
      </c>
      <c r="C2117" s="20">
        <f>IF(A2117="","",INT((A2117-DATE(YEAR(A2117-WEEKDAY(A2117-1)+4),1,3)+WEEKDAY(DATE(YEAR(A2117-WEEKDAY(A2117-1)+4),1,3))+5)/7))</f>
        <v/>
      </c>
      <c r="D2117" s="21" t="n"/>
      <c r="E2117" s="22" t="n"/>
      <c r="F2117" s="23" t="n"/>
      <c r="G2117" s="23" t="n"/>
      <c r="H2117" s="23" t="n"/>
      <c r="I2117" s="20">
        <f>IF(COUNT(F2117:H2117)=0,"",SUM(F2117:H2117))</f>
        <v/>
      </c>
      <c r="J2117" s="23" t="n"/>
      <c r="K2117" s="23" t="n"/>
      <c r="L2117" s="23" t="n"/>
      <c r="M2117" s="23" t="n"/>
      <c r="N2117" s="23" t="n"/>
      <c r="O2117" s="20">
        <f>IF(OR(I2117="",COUNT(J2117:N2117)=0),"",IF(SUM(J2117:N2117)=I2117,"✓","⚠ "&amp;SUM(J2117:N2117)&amp;" statt "&amp;I2117))</f>
        <v/>
      </c>
      <c r="P2117" s="21" t="n"/>
      <c r="Q2117" s="21" t="n"/>
      <c r="R2117" s="21" t="n"/>
      <c r="S2117" s="24" t="n"/>
      <c r="T2117" s="24" t="n"/>
      <c r="V2117">
        <f>IF(A2117="","",MONTH(A2117))</f>
        <v/>
      </c>
      <c r="W2117">
        <f>N(W2116)+IF(AND(C2117&lt;&gt;"",T2117&lt;&gt;""),IF(C2117=WOCHE!$B$3,1,0),0)</f>
        <v/>
      </c>
      <c r="X2117">
        <f>N(X2116)+IF(AND(V2117&lt;&gt;"",T2117&lt;&gt;""),IF(V2117=MONAT!$AZ$3,1,0),0)</f>
        <v/>
      </c>
    </row>
    <row r="2118">
      <c r="A2118" s="19" t="n"/>
      <c r="B2118" s="20">
        <f>IF(A2118="","",CHOOSE(WEEKDAY(A2118,2),"Mo","Di","Mi","Do","Fr","Sa","So"))</f>
        <v/>
      </c>
      <c r="C2118" s="20">
        <f>IF(A2118="","",INT((A2118-DATE(YEAR(A2118-WEEKDAY(A2118-1)+4),1,3)+WEEKDAY(DATE(YEAR(A2118-WEEKDAY(A2118-1)+4),1,3))+5)/7))</f>
        <v/>
      </c>
      <c r="D2118" s="21" t="n"/>
      <c r="E2118" s="22" t="n"/>
      <c r="F2118" s="23" t="n"/>
      <c r="G2118" s="23" t="n"/>
      <c r="H2118" s="23" t="n"/>
      <c r="I2118" s="20">
        <f>IF(COUNT(F2118:H2118)=0,"",SUM(F2118:H2118))</f>
        <v/>
      </c>
      <c r="J2118" s="23" t="n"/>
      <c r="K2118" s="23" t="n"/>
      <c r="L2118" s="23" t="n"/>
      <c r="M2118" s="23" t="n"/>
      <c r="N2118" s="23" t="n"/>
      <c r="O2118" s="20">
        <f>IF(OR(I2118="",COUNT(J2118:N2118)=0),"",IF(SUM(J2118:N2118)=I2118,"✓","⚠ "&amp;SUM(J2118:N2118)&amp;" statt "&amp;I2118))</f>
        <v/>
      </c>
      <c r="P2118" s="21" t="n"/>
      <c r="Q2118" s="21" t="n"/>
      <c r="R2118" s="21" t="n"/>
      <c r="S2118" s="24" t="n"/>
      <c r="T2118" s="24" t="n"/>
      <c r="V2118">
        <f>IF(A2118="","",MONTH(A2118))</f>
        <v/>
      </c>
      <c r="W2118">
        <f>N(W2117)+IF(AND(C2118&lt;&gt;"",T2118&lt;&gt;""),IF(C2118=WOCHE!$B$3,1,0),0)</f>
        <v/>
      </c>
      <c r="X2118">
        <f>N(X2117)+IF(AND(V2118&lt;&gt;"",T2118&lt;&gt;""),IF(V2118=MONAT!$AZ$3,1,0),0)</f>
        <v/>
      </c>
    </row>
    <row r="2119">
      <c r="A2119" s="19" t="n"/>
      <c r="B2119" s="20">
        <f>IF(A2119="","",CHOOSE(WEEKDAY(A2119,2),"Mo","Di","Mi","Do","Fr","Sa","So"))</f>
        <v/>
      </c>
      <c r="C2119" s="20">
        <f>IF(A2119="","",INT((A2119-DATE(YEAR(A2119-WEEKDAY(A2119-1)+4),1,3)+WEEKDAY(DATE(YEAR(A2119-WEEKDAY(A2119-1)+4),1,3))+5)/7))</f>
        <v/>
      </c>
      <c r="D2119" s="21" t="n"/>
      <c r="E2119" s="22" t="n"/>
      <c r="F2119" s="23" t="n"/>
      <c r="G2119" s="23" t="n"/>
      <c r="H2119" s="23" t="n"/>
      <c r="I2119" s="20">
        <f>IF(COUNT(F2119:H2119)=0,"",SUM(F2119:H2119))</f>
        <v/>
      </c>
      <c r="J2119" s="23" t="n"/>
      <c r="K2119" s="23" t="n"/>
      <c r="L2119" s="23" t="n"/>
      <c r="M2119" s="23" t="n"/>
      <c r="N2119" s="23" t="n"/>
      <c r="O2119" s="20">
        <f>IF(OR(I2119="",COUNT(J2119:N2119)=0),"",IF(SUM(J2119:N2119)=I2119,"✓","⚠ "&amp;SUM(J2119:N2119)&amp;" statt "&amp;I2119))</f>
        <v/>
      </c>
      <c r="P2119" s="21" t="n"/>
      <c r="Q2119" s="21" t="n"/>
      <c r="R2119" s="21" t="n"/>
      <c r="S2119" s="24" t="n"/>
      <c r="T2119" s="24" t="n"/>
      <c r="V2119">
        <f>IF(A2119="","",MONTH(A2119))</f>
        <v/>
      </c>
      <c r="W2119">
        <f>N(W2118)+IF(AND(C2119&lt;&gt;"",T2119&lt;&gt;""),IF(C2119=WOCHE!$B$3,1,0),0)</f>
        <v/>
      </c>
      <c r="X2119">
        <f>N(X2118)+IF(AND(V2119&lt;&gt;"",T2119&lt;&gt;""),IF(V2119=MONAT!$AZ$3,1,0),0)</f>
        <v/>
      </c>
    </row>
    <row r="2120">
      <c r="A2120" s="19" t="n"/>
      <c r="B2120" s="20">
        <f>IF(A2120="","",CHOOSE(WEEKDAY(A2120,2),"Mo","Di","Mi","Do","Fr","Sa","So"))</f>
        <v/>
      </c>
      <c r="C2120" s="20">
        <f>IF(A2120="","",INT((A2120-DATE(YEAR(A2120-WEEKDAY(A2120-1)+4),1,3)+WEEKDAY(DATE(YEAR(A2120-WEEKDAY(A2120-1)+4),1,3))+5)/7))</f>
        <v/>
      </c>
      <c r="D2120" s="21" t="n"/>
      <c r="E2120" s="22" t="n"/>
      <c r="F2120" s="23" t="n"/>
      <c r="G2120" s="23" t="n"/>
      <c r="H2120" s="23" t="n"/>
      <c r="I2120" s="20">
        <f>IF(COUNT(F2120:H2120)=0,"",SUM(F2120:H2120))</f>
        <v/>
      </c>
      <c r="J2120" s="23" t="n"/>
      <c r="K2120" s="23" t="n"/>
      <c r="L2120" s="23" t="n"/>
      <c r="M2120" s="23" t="n"/>
      <c r="N2120" s="23" t="n"/>
      <c r="O2120" s="20">
        <f>IF(OR(I2120="",COUNT(J2120:N2120)=0),"",IF(SUM(J2120:N2120)=I2120,"✓","⚠ "&amp;SUM(J2120:N2120)&amp;" statt "&amp;I2120))</f>
        <v/>
      </c>
      <c r="P2120" s="21" t="n"/>
      <c r="Q2120" s="21" t="n"/>
      <c r="R2120" s="21" t="n"/>
      <c r="S2120" s="24" t="n"/>
      <c r="T2120" s="24" t="n"/>
      <c r="V2120">
        <f>IF(A2120="","",MONTH(A2120))</f>
        <v/>
      </c>
      <c r="W2120">
        <f>N(W2119)+IF(AND(C2120&lt;&gt;"",T2120&lt;&gt;""),IF(C2120=WOCHE!$B$3,1,0),0)</f>
        <v/>
      </c>
      <c r="X2120">
        <f>N(X2119)+IF(AND(V2120&lt;&gt;"",T2120&lt;&gt;""),IF(V2120=MONAT!$AZ$3,1,0),0)</f>
        <v/>
      </c>
    </row>
    <row r="2121">
      <c r="A2121" s="19" t="n"/>
      <c r="B2121" s="20">
        <f>IF(A2121="","",CHOOSE(WEEKDAY(A2121,2),"Mo","Di","Mi","Do","Fr","Sa","So"))</f>
        <v/>
      </c>
      <c r="C2121" s="20">
        <f>IF(A2121="","",INT((A2121-DATE(YEAR(A2121-WEEKDAY(A2121-1)+4),1,3)+WEEKDAY(DATE(YEAR(A2121-WEEKDAY(A2121-1)+4),1,3))+5)/7))</f>
        <v/>
      </c>
      <c r="D2121" s="21" t="n"/>
      <c r="E2121" s="22" t="n"/>
      <c r="F2121" s="23" t="n"/>
      <c r="G2121" s="23" t="n"/>
      <c r="H2121" s="23" t="n"/>
      <c r="I2121" s="20">
        <f>IF(COUNT(F2121:H2121)=0,"",SUM(F2121:H2121))</f>
        <v/>
      </c>
      <c r="J2121" s="23" t="n"/>
      <c r="K2121" s="23" t="n"/>
      <c r="L2121" s="23" t="n"/>
      <c r="M2121" s="23" t="n"/>
      <c r="N2121" s="23" t="n"/>
      <c r="O2121" s="20">
        <f>IF(OR(I2121="",COUNT(J2121:N2121)=0),"",IF(SUM(J2121:N2121)=I2121,"✓","⚠ "&amp;SUM(J2121:N2121)&amp;" statt "&amp;I2121))</f>
        <v/>
      </c>
      <c r="P2121" s="21" t="n"/>
      <c r="Q2121" s="21" t="n"/>
      <c r="R2121" s="21" t="n"/>
      <c r="S2121" s="24" t="n"/>
      <c r="T2121" s="24" t="n"/>
      <c r="V2121">
        <f>IF(A2121="","",MONTH(A2121))</f>
        <v/>
      </c>
      <c r="W2121">
        <f>N(W2120)+IF(AND(C2121&lt;&gt;"",T2121&lt;&gt;""),IF(C2121=WOCHE!$B$3,1,0),0)</f>
        <v/>
      </c>
      <c r="X2121">
        <f>N(X2120)+IF(AND(V2121&lt;&gt;"",T2121&lt;&gt;""),IF(V2121=MONAT!$AZ$3,1,0),0)</f>
        <v/>
      </c>
    </row>
    <row r="2122">
      <c r="A2122" s="19" t="n"/>
      <c r="B2122" s="20">
        <f>IF(A2122="","",CHOOSE(WEEKDAY(A2122,2),"Mo","Di","Mi","Do","Fr","Sa","So"))</f>
        <v/>
      </c>
      <c r="C2122" s="20">
        <f>IF(A2122="","",INT((A2122-DATE(YEAR(A2122-WEEKDAY(A2122-1)+4),1,3)+WEEKDAY(DATE(YEAR(A2122-WEEKDAY(A2122-1)+4),1,3))+5)/7))</f>
        <v/>
      </c>
      <c r="D2122" s="21" t="n"/>
      <c r="E2122" s="22" t="n"/>
      <c r="F2122" s="23" t="n"/>
      <c r="G2122" s="23" t="n"/>
      <c r="H2122" s="23" t="n"/>
      <c r="I2122" s="20">
        <f>IF(COUNT(F2122:H2122)=0,"",SUM(F2122:H2122))</f>
        <v/>
      </c>
      <c r="J2122" s="23" t="n"/>
      <c r="K2122" s="23" t="n"/>
      <c r="L2122" s="23" t="n"/>
      <c r="M2122" s="23" t="n"/>
      <c r="N2122" s="23" t="n"/>
      <c r="O2122" s="20">
        <f>IF(OR(I2122="",COUNT(J2122:N2122)=0),"",IF(SUM(J2122:N2122)=I2122,"✓","⚠ "&amp;SUM(J2122:N2122)&amp;" statt "&amp;I2122))</f>
        <v/>
      </c>
      <c r="P2122" s="21" t="n"/>
      <c r="Q2122" s="21" t="n"/>
      <c r="R2122" s="21" t="n"/>
      <c r="S2122" s="24" t="n"/>
      <c r="T2122" s="24" t="n"/>
      <c r="V2122">
        <f>IF(A2122="","",MONTH(A2122))</f>
        <v/>
      </c>
      <c r="W2122">
        <f>N(W2121)+IF(AND(C2122&lt;&gt;"",T2122&lt;&gt;""),IF(C2122=WOCHE!$B$3,1,0),0)</f>
        <v/>
      </c>
      <c r="X2122">
        <f>N(X2121)+IF(AND(V2122&lt;&gt;"",T2122&lt;&gt;""),IF(V2122=MONAT!$AZ$3,1,0),0)</f>
        <v/>
      </c>
    </row>
    <row r="2123">
      <c r="A2123" s="19" t="n"/>
      <c r="B2123" s="20">
        <f>IF(A2123="","",CHOOSE(WEEKDAY(A2123,2),"Mo","Di","Mi","Do","Fr","Sa","So"))</f>
        <v/>
      </c>
      <c r="C2123" s="20">
        <f>IF(A2123="","",INT((A2123-DATE(YEAR(A2123-WEEKDAY(A2123-1)+4),1,3)+WEEKDAY(DATE(YEAR(A2123-WEEKDAY(A2123-1)+4),1,3))+5)/7))</f>
        <v/>
      </c>
      <c r="D2123" s="21" t="n"/>
      <c r="E2123" s="22" t="n"/>
      <c r="F2123" s="23" t="n"/>
      <c r="G2123" s="23" t="n"/>
      <c r="H2123" s="23" t="n"/>
      <c r="I2123" s="20">
        <f>IF(COUNT(F2123:H2123)=0,"",SUM(F2123:H2123))</f>
        <v/>
      </c>
      <c r="J2123" s="23" t="n"/>
      <c r="K2123" s="23" t="n"/>
      <c r="L2123" s="23" t="n"/>
      <c r="M2123" s="23" t="n"/>
      <c r="N2123" s="23" t="n"/>
      <c r="O2123" s="20">
        <f>IF(OR(I2123="",COUNT(J2123:N2123)=0),"",IF(SUM(J2123:N2123)=I2123,"✓","⚠ "&amp;SUM(J2123:N2123)&amp;" statt "&amp;I2123))</f>
        <v/>
      </c>
      <c r="P2123" s="21" t="n"/>
      <c r="Q2123" s="21" t="n"/>
      <c r="R2123" s="21" t="n"/>
      <c r="S2123" s="24" t="n"/>
      <c r="T2123" s="24" t="n"/>
      <c r="V2123">
        <f>IF(A2123="","",MONTH(A2123))</f>
        <v/>
      </c>
      <c r="W2123">
        <f>N(W2122)+IF(AND(C2123&lt;&gt;"",T2123&lt;&gt;""),IF(C2123=WOCHE!$B$3,1,0),0)</f>
        <v/>
      </c>
      <c r="X2123">
        <f>N(X2122)+IF(AND(V2123&lt;&gt;"",T2123&lt;&gt;""),IF(V2123=MONAT!$AZ$3,1,0),0)</f>
        <v/>
      </c>
    </row>
    <row r="2124">
      <c r="A2124" s="19" t="n"/>
      <c r="B2124" s="20">
        <f>IF(A2124="","",CHOOSE(WEEKDAY(A2124,2),"Mo","Di","Mi","Do","Fr","Sa","So"))</f>
        <v/>
      </c>
      <c r="C2124" s="20">
        <f>IF(A2124="","",INT((A2124-DATE(YEAR(A2124-WEEKDAY(A2124-1)+4),1,3)+WEEKDAY(DATE(YEAR(A2124-WEEKDAY(A2124-1)+4),1,3))+5)/7))</f>
        <v/>
      </c>
      <c r="D2124" s="21" t="n"/>
      <c r="E2124" s="22" t="n"/>
      <c r="F2124" s="23" t="n"/>
      <c r="G2124" s="23" t="n"/>
      <c r="H2124" s="23" t="n"/>
      <c r="I2124" s="20">
        <f>IF(COUNT(F2124:H2124)=0,"",SUM(F2124:H2124))</f>
        <v/>
      </c>
      <c r="J2124" s="23" t="n"/>
      <c r="K2124" s="23" t="n"/>
      <c r="L2124" s="23" t="n"/>
      <c r="M2124" s="23" t="n"/>
      <c r="N2124" s="23" t="n"/>
      <c r="O2124" s="20">
        <f>IF(OR(I2124="",COUNT(J2124:N2124)=0),"",IF(SUM(J2124:N2124)=I2124,"✓","⚠ "&amp;SUM(J2124:N2124)&amp;" statt "&amp;I2124))</f>
        <v/>
      </c>
      <c r="P2124" s="21" t="n"/>
      <c r="Q2124" s="21" t="n"/>
      <c r="R2124" s="21" t="n"/>
      <c r="S2124" s="24" t="n"/>
      <c r="T2124" s="24" t="n"/>
      <c r="V2124">
        <f>IF(A2124="","",MONTH(A2124))</f>
        <v/>
      </c>
      <c r="W2124">
        <f>N(W2123)+IF(AND(C2124&lt;&gt;"",T2124&lt;&gt;""),IF(C2124=WOCHE!$B$3,1,0),0)</f>
        <v/>
      </c>
      <c r="X2124">
        <f>N(X2123)+IF(AND(V2124&lt;&gt;"",T2124&lt;&gt;""),IF(V2124=MONAT!$AZ$3,1,0),0)</f>
        <v/>
      </c>
    </row>
    <row r="2125">
      <c r="A2125" s="19" t="n"/>
      <c r="B2125" s="20">
        <f>IF(A2125="","",CHOOSE(WEEKDAY(A2125,2),"Mo","Di","Mi","Do","Fr","Sa","So"))</f>
        <v/>
      </c>
      <c r="C2125" s="20">
        <f>IF(A2125="","",INT((A2125-DATE(YEAR(A2125-WEEKDAY(A2125-1)+4),1,3)+WEEKDAY(DATE(YEAR(A2125-WEEKDAY(A2125-1)+4),1,3))+5)/7))</f>
        <v/>
      </c>
      <c r="D2125" s="21" t="n"/>
      <c r="E2125" s="22" t="n"/>
      <c r="F2125" s="23" t="n"/>
      <c r="G2125" s="23" t="n"/>
      <c r="H2125" s="23" t="n"/>
      <c r="I2125" s="20">
        <f>IF(COUNT(F2125:H2125)=0,"",SUM(F2125:H2125))</f>
        <v/>
      </c>
      <c r="J2125" s="23" t="n"/>
      <c r="K2125" s="23" t="n"/>
      <c r="L2125" s="23" t="n"/>
      <c r="M2125" s="23" t="n"/>
      <c r="N2125" s="23" t="n"/>
      <c r="O2125" s="20">
        <f>IF(OR(I2125="",COUNT(J2125:N2125)=0),"",IF(SUM(J2125:N2125)=I2125,"✓","⚠ "&amp;SUM(J2125:N2125)&amp;" statt "&amp;I2125))</f>
        <v/>
      </c>
      <c r="P2125" s="21" t="n"/>
      <c r="Q2125" s="21" t="n"/>
      <c r="R2125" s="21" t="n"/>
      <c r="S2125" s="24" t="n"/>
      <c r="T2125" s="24" t="n"/>
      <c r="V2125">
        <f>IF(A2125="","",MONTH(A2125))</f>
        <v/>
      </c>
      <c r="W2125">
        <f>N(W2124)+IF(AND(C2125&lt;&gt;"",T2125&lt;&gt;""),IF(C2125=WOCHE!$B$3,1,0),0)</f>
        <v/>
      </c>
      <c r="X2125">
        <f>N(X2124)+IF(AND(V2125&lt;&gt;"",T2125&lt;&gt;""),IF(V2125=MONAT!$AZ$3,1,0),0)</f>
        <v/>
      </c>
    </row>
    <row r="2126">
      <c r="A2126" s="19" t="n"/>
      <c r="B2126" s="20">
        <f>IF(A2126="","",CHOOSE(WEEKDAY(A2126,2),"Mo","Di","Mi","Do","Fr","Sa","So"))</f>
        <v/>
      </c>
      <c r="C2126" s="20">
        <f>IF(A2126="","",INT((A2126-DATE(YEAR(A2126-WEEKDAY(A2126-1)+4),1,3)+WEEKDAY(DATE(YEAR(A2126-WEEKDAY(A2126-1)+4),1,3))+5)/7))</f>
        <v/>
      </c>
      <c r="D2126" s="21" t="n"/>
      <c r="E2126" s="22" t="n"/>
      <c r="F2126" s="23" t="n"/>
      <c r="G2126" s="23" t="n"/>
      <c r="H2126" s="23" t="n"/>
      <c r="I2126" s="20">
        <f>IF(COUNT(F2126:H2126)=0,"",SUM(F2126:H2126))</f>
        <v/>
      </c>
      <c r="J2126" s="23" t="n"/>
      <c r="K2126" s="23" t="n"/>
      <c r="L2126" s="23" t="n"/>
      <c r="M2126" s="23" t="n"/>
      <c r="N2126" s="23" t="n"/>
      <c r="O2126" s="20">
        <f>IF(OR(I2126="",COUNT(J2126:N2126)=0),"",IF(SUM(J2126:N2126)=I2126,"✓","⚠ "&amp;SUM(J2126:N2126)&amp;" statt "&amp;I2126))</f>
        <v/>
      </c>
      <c r="P2126" s="21" t="n"/>
      <c r="Q2126" s="21" t="n"/>
      <c r="R2126" s="21" t="n"/>
      <c r="S2126" s="24" t="n"/>
      <c r="T2126" s="24" t="n"/>
      <c r="V2126">
        <f>IF(A2126="","",MONTH(A2126))</f>
        <v/>
      </c>
      <c r="W2126">
        <f>N(W2125)+IF(AND(C2126&lt;&gt;"",T2126&lt;&gt;""),IF(C2126=WOCHE!$B$3,1,0),0)</f>
        <v/>
      </c>
      <c r="X2126">
        <f>N(X2125)+IF(AND(V2126&lt;&gt;"",T2126&lt;&gt;""),IF(V2126=MONAT!$AZ$3,1,0),0)</f>
        <v/>
      </c>
    </row>
    <row r="2127">
      <c r="A2127" s="19" t="n"/>
      <c r="B2127" s="20">
        <f>IF(A2127="","",CHOOSE(WEEKDAY(A2127,2),"Mo","Di","Mi","Do","Fr","Sa","So"))</f>
        <v/>
      </c>
      <c r="C2127" s="20">
        <f>IF(A2127="","",INT((A2127-DATE(YEAR(A2127-WEEKDAY(A2127-1)+4),1,3)+WEEKDAY(DATE(YEAR(A2127-WEEKDAY(A2127-1)+4),1,3))+5)/7))</f>
        <v/>
      </c>
      <c r="D2127" s="21" t="n"/>
      <c r="E2127" s="22" t="n"/>
      <c r="F2127" s="23" t="n"/>
      <c r="G2127" s="23" t="n"/>
      <c r="H2127" s="23" t="n"/>
      <c r="I2127" s="20">
        <f>IF(COUNT(F2127:H2127)=0,"",SUM(F2127:H2127))</f>
        <v/>
      </c>
      <c r="J2127" s="23" t="n"/>
      <c r="K2127" s="23" t="n"/>
      <c r="L2127" s="23" t="n"/>
      <c r="M2127" s="23" t="n"/>
      <c r="N2127" s="23" t="n"/>
      <c r="O2127" s="20">
        <f>IF(OR(I2127="",COUNT(J2127:N2127)=0),"",IF(SUM(J2127:N2127)=I2127,"✓","⚠ "&amp;SUM(J2127:N2127)&amp;" statt "&amp;I2127))</f>
        <v/>
      </c>
      <c r="P2127" s="21" t="n"/>
      <c r="Q2127" s="21" t="n"/>
      <c r="R2127" s="21" t="n"/>
      <c r="S2127" s="24" t="n"/>
      <c r="T2127" s="24" t="n"/>
      <c r="V2127">
        <f>IF(A2127="","",MONTH(A2127))</f>
        <v/>
      </c>
      <c r="W2127">
        <f>N(W2126)+IF(AND(C2127&lt;&gt;"",T2127&lt;&gt;""),IF(C2127=WOCHE!$B$3,1,0),0)</f>
        <v/>
      </c>
      <c r="X2127">
        <f>N(X2126)+IF(AND(V2127&lt;&gt;"",T2127&lt;&gt;""),IF(V2127=MONAT!$AZ$3,1,0),0)</f>
        <v/>
      </c>
    </row>
    <row r="2128">
      <c r="A2128" s="19" t="n"/>
      <c r="B2128" s="20">
        <f>IF(A2128="","",CHOOSE(WEEKDAY(A2128,2),"Mo","Di","Mi","Do","Fr","Sa","So"))</f>
        <v/>
      </c>
      <c r="C2128" s="20">
        <f>IF(A2128="","",INT((A2128-DATE(YEAR(A2128-WEEKDAY(A2128-1)+4),1,3)+WEEKDAY(DATE(YEAR(A2128-WEEKDAY(A2128-1)+4),1,3))+5)/7))</f>
        <v/>
      </c>
      <c r="D2128" s="21" t="n"/>
      <c r="E2128" s="22" t="n"/>
      <c r="F2128" s="23" t="n"/>
      <c r="G2128" s="23" t="n"/>
      <c r="H2128" s="23" t="n"/>
      <c r="I2128" s="20">
        <f>IF(COUNT(F2128:H2128)=0,"",SUM(F2128:H2128))</f>
        <v/>
      </c>
      <c r="J2128" s="23" t="n"/>
      <c r="K2128" s="23" t="n"/>
      <c r="L2128" s="23" t="n"/>
      <c r="M2128" s="23" t="n"/>
      <c r="N2128" s="23" t="n"/>
      <c r="O2128" s="20">
        <f>IF(OR(I2128="",COUNT(J2128:N2128)=0),"",IF(SUM(J2128:N2128)=I2128,"✓","⚠ "&amp;SUM(J2128:N2128)&amp;" statt "&amp;I2128))</f>
        <v/>
      </c>
      <c r="P2128" s="21" t="n"/>
      <c r="Q2128" s="21" t="n"/>
      <c r="R2128" s="21" t="n"/>
      <c r="S2128" s="24" t="n"/>
      <c r="T2128" s="24" t="n"/>
      <c r="V2128">
        <f>IF(A2128="","",MONTH(A2128))</f>
        <v/>
      </c>
      <c r="W2128">
        <f>N(W2127)+IF(AND(C2128&lt;&gt;"",T2128&lt;&gt;""),IF(C2128=WOCHE!$B$3,1,0),0)</f>
        <v/>
      </c>
      <c r="X2128">
        <f>N(X2127)+IF(AND(V2128&lt;&gt;"",T2128&lt;&gt;""),IF(V2128=MONAT!$AZ$3,1,0),0)</f>
        <v/>
      </c>
    </row>
    <row r="2129">
      <c r="A2129" s="19" t="n"/>
      <c r="B2129" s="20">
        <f>IF(A2129="","",CHOOSE(WEEKDAY(A2129,2),"Mo","Di","Mi","Do","Fr","Sa","So"))</f>
        <v/>
      </c>
      <c r="C2129" s="20">
        <f>IF(A2129="","",INT((A2129-DATE(YEAR(A2129-WEEKDAY(A2129-1)+4),1,3)+WEEKDAY(DATE(YEAR(A2129-WEEKDAY(A2129-1)+4),1,3))+5)/7))</f>
        <v/>
      </c>
      <c r="D2129" s="21" t="n"/>
      <c r="E2129" s="22" t="n"/>
      <c r="F2129" s="23" t="n"/>
      <c r="G2129" s="23" t="n"/>
      <c r="H2129" s="23" t="n"/>
      <c r="I2129" s="20">
        <f>IF(COUNT(F2129:H2129)=0,"",SUM(F2129:H2129))</f>
        <v/>
      </c>
      <c r="J2129" s="23" t="n"/>
      <c r="K2129" s="23" t="n"/>
      <c r="L2129" s="23" t="n"/>
      <c r="M2129" s="23" t="n"/>
      <c r="N2129" s="23" t="n"/>
      <c r="O2129" s="20">
        <f>IF(OR(I2129="",COUNT(J2129:N2129)=0),"",IF(SUM(J2129:N2129)=I2129,"✓","⚠ "&amp;SUM(J2129:N2129)&amp;" statt "&amp;I2129))</f>
        <v/>
      </c>
      <c r="P2129" s="21" t="n"/>
      <c r="Q2129" s="21" t="n"/>
      <c r="R2129" s="21" t="n"/>
      <c r="S2129" s="24" t="n"/>
      <c r="T2129" s="24" t="n"/>
      <c r="V2129">
        <f>IF(A2129="","",MONTH(A2129))</f>
        <v/>
      </c>
      <c r="W2129">
        <f>N(W2128)+IF(AND(C2129&lt;&gt;"",T2129&lt;&gt;""),IF(C2129=WOCHE!$B$3,1,0),0)</f>
        <v/>
      </c>
      <c r="X2129">
        <f>N(X2128)+IF(AND(V2129&lt;&gt;"",T2129&lt;&gt;""),IF(V2129=MONAT!$AZ$3,1,0),0)</f>
        <v/>
      </c>
    </row>
    <row r="2130">
      <c r="A2130" s="19" t="n"/>
      <c r="B2130" s="20">
        <f>IF(A2130="","",CHOOSE(WEEKDAY(A2130,2),"Mo","Di","Mi","Do","Fr","Sa","So"))</f>
        <v/>
      </c>
      <c r="C2130" s="20">
        <f>IF(A2130="","",INT((A2130-DATE(YEAR(A2130-WEEKDAY(A2130-1)+4),1,3)+WEEKDAY(DATE(YEAR(A2130-WEEKDAY(A2130-1)+4),1,3))+5)/7))</f>
        <v/>
      </c>
      <c r="D2130" s="21" t="n"/>
      <c r="E2130" s="22" t="n"/>
      <c r="F2130" s="23" t="n"/>
      <c r="G2130" s="23" t="n"/>
      <c r="H2130" s="23" t="n"/>
      <c r="I2130" s="20">
        <f>IF(COUNT(F2130:H2130)=0,"",SUM(F2130:H2130))</f>
        <v/>
      </c>
      <c r="J2130" s="23" t="n"/>
      <c r="K2130" s="23" t="n"/>
      <c r="L2130" s="23" t="n"/>
      <c r="M2130" s="23" t="n"/>
      <c r="N2130" s="23" t="n"/>
      <c r="O2130" s="20">
        <f>IF(OR(I2130="",COUNT(J2130:N2130)=0),"",IF(SUM(J2130:N2130)=I2130,"✓","⚠ "&amp;SUM(J2130:N2130)&amp;" statt "&amp;I2130))</f>
        <v/>
      </c>
      <c r="P2130" s="21" t="n"/>
      <c r="Q2130" s="21" t="n"/>
      <c r="R2130" s="21" t="n"/>
      <c r="S2130" s="24" t="n"/>
      <c r="T2130" s="24" t="n"/>
      <c r="V2130">
        <f>IF(A2130="","",MONTH(A2130))</f>
        <v/>
      </c>
      <c r="W2130">
        <f>N(W2129)+IF(AND(C2130&lt;&gt;"",T2130&lt;&gt;""),IF(C2130=WOCHE!$B$3,1,0),0)</f>
        <v/>
      </c>
      <c r="X2130">
        <f>N(X2129)+IF(AND(V2130&lt;&gt;"",T2130&lt;&gt;""),IF(V2130=MONAT!$AZ$3,1,0),0)</f>
        <v/>
      </c>
    </row>
    <row r="2131">
      <c r="A2131" s="19" t="n"/>
      <c r="B2131" s="20">
        <f>IF(A2131="","",CHOOSE(WEEKDAY(A2131,2),"Mo","Di","Mi","Do","Fr","Sa","So"))</f>
        <v/>
      </c>
      <c r="C2131" s="20">
        <f>IF(A2131="","",INT((A2131-DATE(YEAR(A2131-WEEKDAY(A2131-1)+4),1,3)+WEEKDAY(DATE(YEAR(A2131-WEEKDAY(A2131-1)+4),1,3))+5)/7))</f>
        <v/>
      </c>
      <c r="D2131" s="21" t="n"/>
      <c r="E2131" s="22" t="n"/>
      <c r="F2131" s="23" t="n"/>
      <c r="G2131" s="23" t="n"/>
      <c r="H2131" s="23" t="n"/>
      <c r="I2131" s="20">
        <f>IF(COUNT(F2131:H2131)=0,"",SUM(F2131:H2131))</f>
        <v/>
      </c>
      <c r="J2131" s="23" t="n"/>
      <c r="K2131" s="23" t="n"/>
      <c r="L2131" s="23" t="n"/>
      <c r="M2131" s="23" t="n"/>
      <c r="N2131" s="23" t="n"/>
      <c r="O2131" s="20">
        <f>IF(OR(I2131="",COUNT(J2131:N2131)=0),"",IF(SUM(J2131:N2131)=I2131,"✓","⚠ "&amp;SUM(J2131:N2131)&amp;" statt "&amp;I2131))</f>
        <v/>
      </c>
      <c r="P2131" s="21" t="n"/>
      <c r="Q2131" s="21" t="n"/>
      <c r="R2131" s="21" t="n"/>
      <c r="S2131" s="24" t="n"/>
      <c r="T2131" s="24" t="n"/>
      <c r="V2131">
        <f>IF(A2131="","",MONTH(A2131))</f>
        <v/>
      </c>
      <c r="W2131">
        <f>N(W2130)+IF(AND(C2131&lt;&gt;"",T2131&lt;&gt;""),IF(C2131=WOCHE!$B$3,1,0),0)</f>
        <v/>
      </c>
      <c r="X2131">
        <f>N(X2130)+IF(AND(V2131&lt;&gt;"",T2131&lt;&gt;""),IF(V2131=MONAT!$AZ$3,1,0),0)</f>
        <v/>
      </c>
    </row>
    <row r="2132">
      <c r="A2132" s="19" t="n"/>
      <c r="B2132" s="20">
        <f>IF(A2132="","",CHOOSE(WEEKDAY(A2132,2),"Mo","Di","Mi","Do","Fr","Sa","So"))</f>
        <v/>
      </c>
      <c r="C2132" s="20">
        <f>IF(A2132="","",INT((A2132-DATE(YEAR(A2132-WEEKDAY(A2132-1)+4),1,3)+WEEKDAY(DATE(YEAR(A2132-WEEKDAY(A2132-1)+4),1,3))+5)/7))</f>
        <v/>
      </c>
      <c r="D2132" s="21" t="n"/>
      <c r="E2132" s="22" t="n"/>
      <c r="F2132" s="23" t="n"/>
      <c r="G2132" s="23" t="n"/>
      <c r="H2132" s="23" t="n"/>
      <c r="I2132" s="20">
        <f>IF(COUNT(F2132:H2132)=0,"",SUM(F2132:H2132))</f>
        <v/>
      </c>
      <c r="J2132" s="23" t="n"/>
      <c r="K2132" s="23" t="n"/>
      <c r="L2132" s="23" t="n"/>
      <c r="M2132" s="23" t="n"/>
      <c r="N2132" s="23" t="n"/>
      <c r="O2132" s="20">
        <f>IF(OR(I2132="",COUNT(J2132:N2132)=0),"",IF(SUM(J2132:N2132)=I2132,"✓","⚠ "&amp;SUM(J2132:N2132)&amp;" statt "&amp;I2132))</f>
        <v/>
      </c>
      <c r="P2132" s="21" t="n"/>
      <c r="Q2132" s="21" t="n"/>
      <c r="R2132" s="21" t="n"/>
      <c r="S2132" s="24" t="n"/>
      <c r="T2132" s="24" t="n"/>
      <c r="V2132">
        <f>IF(A2132="","",MONTH(A2132))</f>
        <v/>
      </c>
      <c r="W2132">
        <f>N(W2131)+IF(AND(C2132&lt;&gt;"",T2132&lt;&gt;""),IF(C2132=WOCHE!$B$3,1,0),0)</f>
        <v/>
      </c>
      <c r="X2132">
        <f>N(X2131)+IF(AND(V2132&lt;&gt;"",T2132&lt;&gt;""),IF(V2132=MONAT!$AZ$3,1,0),0)</f>
        <v/>
      </c>
    </row>
    <row r="2133">
      <c r="A2133" s="19" t="n"/>
      <c r="B2133" s="20">
        <f>IF(A2133="","",CHOOSE(WEEKDAY(A2133,2),"Mo","Di","Mi","Do","Fr","Sa","So"))</f>
        <v/>
      </c>
      <c r="C2133" s="20">
        <f>IF(A2133="","",INT((A2133-DATE(YEAR(A2133-WEEKDAY(A2133-1)+4),1,3)+WEEKDAY(DATE(YEAR(A2133-WEEKDAY(A2133-1)+4),1,3))+5)/7))</f>
        <v/>
      </c>
      <c r="D2133" s="21" t="n"/>
      <c r="E2133" s="22" t="n"/>
      <c r="F2133" s="23" t="n"/>
      <c r="G2133" s="23" t="n"/>
      <c r="H2133" s="23" t="n"/>
      <c r="I2133" s="20">
        <f>IF(COUNT(F2133:H2133)=0,"",SUM(F2133:H2133))</f>
        <v/>
      </c>
      <c r="J2133" s="23" t="n"/>
      <c r="K2133" s="23" t="n"/>
      <c r="L2133" s="23" t="n"/>
      <c r="M2133" s="23" t="n"/>
      <c r="N2133" s="23" t="n"/>
      <c r="O2133" s="20">
        <f>IF(OR(I2133="",COUNT(J2133:N2133)=0),"",IF(SUM(J2133:N2133)=I2133,"✓","⚠ "&amp;SUM(J2133:N2133)&amp;" statt "&amp;I2133))</f>
        <v/>
      </c>
      <c r="P2133" s="21" t="n"/>
      <c r="Q2133" s="21" t="n"/>
      <c r="R2133" s="21" t="n"/>
      <c r="S2133" s="24" t="n"/>
      <c r="T2133" s="24" t="n"/>
      <c r="V2133">
        <f>IF(A2133="","",MONTH(A2133))</f>
        <v/>
      </c>
      <c r="W2133">
        <f>N(W2132)+IF(AND(C2133&lt;&gt;"",T2133&lt;&gt;""),IF(C2133=WOCHE!$B$3,1,0),0)</f>
        <v/>
      </c>
      <c r="X2133">
        <f>N(X2132)+IF(AND(V2133&lt;&gt;"",T2133&lt;&gt;""),IF(V2133=MONAT!$AZ$3,1,0),0)</f>
        <v/>
      </c>
    </row>
    <row r="2134">
      <c r="A2134" s="19" t="n"/>
      <c r="B2134" s="20">
        <f>IF(A2134="","",CHOOSE(WEEKDAY(A2134,2),"Mo","Di","Mi","Do","Fr","Sa","So"))</f>
        <v/>
      </c>
      <c r="C2134" s="20">
        <f>IF(A2134="","",INT((A2134-DATE(YEAR(A2134-WEEKDAY(A2134-1)+4),1,3)+WEEKDAY(DATE(YEAR(A2134-WEEKDAY(A2134-1)+4),1,3))+5)/7))</f>
        <v/>
      </c>
      <c r="D2134" s="21" t="n"/>
      <c r="E2134" s="22" t="n"/>
      <c r="F2134" s="23" t="n"/>
      <c r="G2134" s="23" t="n"/>
      <c r="H2134" s="23" t="n"/>
      <c r="I2134" s="20">
        <f>IF(COUNT(F2134:H2134)=0,"",SUM(F2134:H2134))</f>
        <v/>
      </c>
      <c r="J2134" s="23" t="n"/>
      <c r="K2134" s="23" t="n"/>
      <c r="L2134" s="23" t="n"/>
      <c r="M2134" s="23" t="n"/>
      <c r="N2134" s="23" t="n"/>
      <c r="O2134" s="20">
        <f>IF(OR(I2134="",COUNT(J2134:N2134)=0),"",IF(SUM(J2134:N2134)=I2134,"✓","⚠ "&amp;SUM(J2134:N2134)&amp;" statt "&amp;I2134))</f>
        <v/>
      </c>
      <c r="P2134" s="21" t="n"/>
      <c r="Q2134" s="21" t="n"/>
      <c r="R2134" s="21" t="n"/>
      <c r="S2134" s="24" t="n"/>
      <c r="T2134" s="24" t="n"/>
      <c r="V2134">
        <f>IF(A2134="","",MONTH(A2134))</f>
        <v/>
      </c>
      <c r="W2134">
        <f>N(W2133)+IF(AND(C2134&lt;&gt;"",T2134&lt;&gt;""),IF(C2134=WOCHE!$B$3,1,0),0)</f>
        <v/>
      </c>
      <c r="X2134">
        <f>N(X2133)+IF(AND(V2134&lt;&gt;"",T2134&lt;&gt;""),IF(V2134=MONAT!$AZ$3,1,0),0)</f>
        <v/>
      </c>
    </row>
    <row r="2135">
      <c r="A2135" s="19" t="n"/>
      <c r="B2135" s="20">
        <f>IF(A2135="","",CHOOSE(WEEKDAY(A2135,2),"Mo","Di","Mi","Do","Fr","Sa","So"))</f>
        <v/>
      </c>
      <c r="C2135" s="20">
        <f>IF(A2135="","",INT((A2135-DATE(YEAR(A2135-WEEKDAY(A2135-1)+4),1,3)+WEEKDAY(DATE(YEAR(A2135-WEEKDAY(A2135-1)+4),1,3))+5)/7))</f>
        <v/>
      </c>
      <c r="D2135" s="21" t="n"/>
      <c r="E2135" s="22" t="n"/>
      <c r="F2135" s="23" t="n"/>
      <c r="G2135" s="23" t="n"/>
      <c r="H2135" s="23" t="n"/>
      <c r="I2135" s="20">
        <f>IF(COUNT(F2135:H2135)=0,"",SUM(F2135:H2135))</f>
        <v/>
      </c>
      <c r="J2135" s="23" t="n"/>
      <c r="K2135" s="23" t="n"/>
      <c r="L2135" s="23" t="n"/>
      <c r="M2135" s="23" t="n"/>
      <c r="N2135" s="23" t="n"/>
      <c r="O2135" s="20">
        <f>IF(OR(I2135="",COUNT(J2135:N2135)=0),"",IF(SUM(J2135:N2135)=I2135,"✓","⚠ "&amp;SUM(J2135:N2135)&amp;" statt "&amp;I2135))</f>
        <v/>
      </c>
      <c r="P2135" s="21" t="n"/>
      <c r="Q2135" s="21" t="n"/>
      <c r="R2135" s="21" t="n"/>
      <c r="S2135" s="24" t="n"/>
      <c r="T2135" s="24" t="n"/>
      <c r="V2135">
        <f>IF(A2135="","",MONTH(A2135))</f>
        <v/>
      </c>
      <c r="W2135">
        <f>N(W2134)+IF(AND(C2135&lt;&gt;"",T2135&lt;&gt;""),IF(C2135=WOCHE!$B$3,1,0),0)</f>
        <v/>
      </c>
      <c r="X2135">
        <f>N(X2134)+IF(AND(V2135&lt;&gt;"",T2135&lt;&gt;""),IF(V2135=MONAT!$AZ$3,1,0),0)</f>
        <v/>
      </c>
    </row>
    <row r="2136">
      <c r="A2136" s="19" t="n"/>
      <c r="B2136" s="20">
        <f>IF(A2136="","",CHOOSE(WEEKDAY(A2136,2),"Mo","Di","Mi","Do","Fr","Sa","So"))</f>
        <v/>
      </c>
      <c r="C2136" s="20">
        <f>IF(A2136="","",INT((A2136-DATE(YEAR(A2136-WEEKDAY(A2136-1)+4),1,3)+WEEKDAY(DATE(YEAR(A2136-WEEKDAY(A2136-1)+4),1,3))+5)/7))</f>
        <v/>
      </c>
      <c r="D2136" s="21" t="n"/>
      <c r="E2136" s="22" t="n"/>
      <c r="F2136" s="23" t="n"/>
      <c r="G2136" s="23" t="n"/>
      <c r="H2136" s="23" t="n"/>
      <c r="I2136" s="20">
        <f>IF(COUNT(F2136:H2136)=0,"",SUM(F2136:H2136))</f>
        <v/>
      </c>
      <c r="J2136" s="23" t="n"/>
      <c r="K2136" s="23" t="n"/>
      <c r="L2136" s="23" t="n"/>
      <c r="M2136" s="23" t="n"/>
      <c r="N2136" s="23" t="n"/>
      <c r="O2136" s="20">
        <f>IF(OR(I2136="",COUNT(J2136:N2136)=0),"",IF(SUM(J2136:N2136)=I2136,"✓","⚠ "&amp;SUM(J2136:N2136)&amp;" statt "&amp;I2136))</f>
        <v/>
      </c>
      <c r="P2136" s="21" t="n"/>
      <c r="Q2136" s="21" t="n"/>
      <c r="R2136" s="21" t="n"/>
      <c r="S2136" s="24" t="n"/>
      <c r="T2136" s="24" t="n"/>
      <c r="V2136">
        <f>IF(A2136="","",MONTH(A2136))</f>
        <v/>
      </c>
      <c r="W2136">
        <f>N(W2135)+IF(AND(C2136&lt;&gt;"",T2136&lt;&gt;""),IF(C2136=WOCHE!$B$3,1,0),0)</f>
        <v/>
      </c>
      <c r="X2136">
        <f>N(X2135)+IF(AND(V2136&lt;&gt;"",T2136&lt;&gt;""),IF(V2136=MONAT!$AZ$3,1,0),0)</f>
        <v/>
      </c>
    </row>
    <row r="2137">
      <c r="A2137" s="19" t="n"/>
      <c r="B2137" s="20">
        <f>IF(A2137="","",CHOOSE(WEEKDAY(A2137,2),"Mo","Di","Mi","Do","Fr","Sa","So"))</f>
        <v/>
      </c>
      <c r="C2137" s="20">
        <f>IF(A2137="","",INT((A2137-DATE(YEAR(A2137-WEEKDAY(A2137-1)+4),1,3)+WEEKDAY(DATE(YEAR(A2137-WEEKDAY(A2137-1)+4),1,3))+5)/7))</f>
        <v/>
      </c>
      <c r="D2137" s="21" t="n"/>
      <c r="E2137" s="22" t="n"/>
      <c r="F2137" s="23" t="n"/>
      <c r="G2137" s="23" t="n"/>
      <c r="H2137" s="23" t="n"/>
      <c r="I2137" s="20">
        <f>IF(COUNT(F2137:H2137)=0,"",SUM(F2137:H2137))</f>
        <v/>
      </c>
      <c r="J2137" s="23" t="n"/>
      <c r="K2137" s="23" t="n"/>
      <c r="L2137" s="23" t="n"/>
      <c r="M2137" s="23" t="n"/>
      <c r="N2137" s="23" t="n"/>
      <c r="O2137" s="20">
        <f>IF(OR(I2137="",COUNT(J2137:N2137)=0),"",IF(SUM(J2137:N2137)=I2137,"✓","⚠ "&amp;SUM(J2137:N2137)&amp;" statt "&amp;I2137))</f>
        <v/>
      </c>
      <c r="P2137" s="21" t="n"/>
      <c r="Q2137" s="21" t="n"/>
      <c r="R2137" s="21" t="n"/>
      <c r="S2137" s="24" t="n"/>
      <c r="T2137" s="24" t="n"/>
      <c r="V2137">
        <f>IF(A2137="","",MONTH(A2137))</f>
        <v/>
      </c>
      <c r="W2137">
        <f>N(W2136)+IF(AND(C2137&lt;&gt;"",T2137&lt;&gt;""),IF(C2137=WOCHE!$B$3,1,0),0)</f>
        <v/>
      </c>
      <c r="X2137">
        <f>N(X2136)+IF(AND(V2137&lt;&gt;"",T2137&lt;&gt;""),IF(V2137=MONAT!$AZ$3,1,0),0)</f>
        <v/>
      </c>
    </row>
    <row r="2138">
      <c r="A2138" s="19" t="n"/>
      <c r="B2138" s="20">
        <f>IF(A2138="","",CHOOSE(WEEKDAY(A2138,2),"Mo","Di","Mi","Do","Fr","Sa","So"))</f>
        <v/>
      </c>
      <c r="C2138" s="20">
        <f>IF(A2138="","",INT((A2138-DATE(YEAR(A2138-WEEKDAY(A2138-1)+4),1,3)+WEEKDAY(DATE(YEAR(A2138-WEEKDAY(A2138-1)+4),1,3))+5)/7))</f>
        <v/>
      </c>
      <c r="D2138" s="21" t="n"/>
      <c r="E2138" s="22" t="n"/>
      <c r="F2138" s="23" t="n"/>
      <c r="G2138" s="23" t="n"/>
      <c r="H2138" s="23" t="n"/>
      <c r="I2138" s="20">
        <f>IF(COUNT(F2138:H2138)=0,"",SUM(F2138:H2138))</f>
        <v/>
      </c>
      <c r="J2138" s="23" t="n"/>
      <c r="K2138" s="23" t="n"/>
      <c r="L2138" s="23" t="n"/>
      <c r="M2138" s="23" t="n"/>
      <c r="N2138" s="23" t="n"/>
      <c r="O2138" s="20">
        <f>IF(OR(I2138="",COUNT(J2138:N2138)=0),"",IF(SUM(J2138:N2138)=I2138,"✓","⚠ "&amp;SUM(J2138:N2138)&amp;" statt "&amp;I2138))</f>
        <v/>
      </c>
      <c r="P2138" s="21" t="n"/>
      <c r="Q2138" s="21" t="n"/>
      <c r="R2138" s="21" t="n"/>
      <c r="S2138" s="24" t="n"/>
      <c r="T2138" s="24" t="n"/>
      <c r="V2138">
        <f>IF(A2138="","",MONTH(A2138))</f>
        <v/>
      </c>
      <c r="W2138">
        <f>N(W2137)+IF(AND(C2138&lt;&gt;"",T2138&lt;&gt;""),IF(C2138=WOCHE!$B$3,1,0),0)</f>
        <v/>
      </c>
      <c r="X2138">
        <f>N(X2137)+IF(AND(V2138&lt;&gt;"",T2138&lt;&gt;""),IF(V2138=MONAT!$AZ$3,1,0),0)</f>
        <v/>
      </c>
    </row>
    <row r="2139">
      <c r="A2139" s="19" t="n"/>
      <c r="B2139" s="20">
        <f>IF(A2139="","",CHOOSE(WEEKDAY(A2139,2),"Mo","Di","Mi","Do","Fr","Sa","So"))</f>
        <v/>
      </c>
      <c r="C2139" s="20">
        <f>IF(A2139="","",INT((A2139-DATE(YEAR(A2139-WEEKDAY(A2139-1)+4),1,3)+WEEKDAY(DATE(YEAR(A2139-WEEKDAY(A2139-1)+4),1,3))+5)/7))</f>
        <v/>
      </c>
      <c r="D2139" s="21" t="n"/>
      <c r="E2139" s="22" t="n"/>
      <c r="F2139" s="23" t="n"/>
      <c r="G2139" s="23" t="n"/>
      <c r="H2139" s="23" t="n"/>
      <c r="I2139" s="20">
        <f>IF(COUNT(F2139:H2139)=0,"",SUM(F2139:H2139))</f>
        <v/>
      </c>
      <c r="J2139" s="23" t="n"/>
      <c r="K2139" s="23" t="n"/>
      <c r="L2139" s="23" t="n"/>
      <c r="M2139" s="23" t="n"/>
      <c r="N2139" s="23" t="n"/>
      <c r="O2139" s="20">
        <f>IF(OR(I2139="",COUNT(J2139:N2139)=0),"",IF(SUM(J2139:N2139)=I2139,"✓","⚠ "&amp;SUM(J2139:N2139)&amp;" statt "&amp;I2139))</f>
        <v/>
      </c>
      <c r="P2139" s="21" t="n"/>
      <c r="Q2139" s="21" t="n"/>
      <c r="R2139" s="21" t="n"/>
      <c r="S2139" s="24" t="n"/>
      <c r="T2139" s="24" t="n"/>
      <c r="V2139">
        <f>IF(A2139="","",MONTH(A2139))</f>
        <v/>
      </c>
      <c r="W2139">
        <f>N(W2138)+IF(AND(C2139&lt;&gt;"",T2139&lt;&gt;""),IF(C2139=WOCHE!$B$3,1,0),0)</f>
        <v/>
      </c>
      <c r="X2139">
        <f>N(X2138)+IF(AND(V2139&lt;&gt;"",T2139&lt;&gt;""),IF(V2139=MONAT!$AZ$3,1,0),0)</f>
        <v/>
      </c>
    </row>
    <row r="2140">
      <c r="A2140" s="19" t="n"/>
      <c r="B2140" s="20">
        <f>IF(A2140="","",CHOOSE(WEEKDAY(A2140,2),"Mo","Di","Mi","Do","Fr","Sa","So"))</f>
        <v/>
      </c>
      <c r="C2140" s="20">
        <f>IF(A2140="","",INT((A2140-DATE(YEAR(A2140-WEEKDAY(A2140-1)+4),1,3)+WEEKDAY(DATE(YEAR(A2140-WEEKDAY(A2140-1)+4),1,3))+5)/7))</f>
        <v/>
      </c>
      <c r="D2140" s="21" t="n"/>
      <c r="E2140" s="22" t="n"/>
      <c r="F2140" s="23" t="n"/>
      <c r="G2140" s="23" t="n"/>
      <c r="H2140" s="23" t="n"/>
      <c r="I2140" s="20">
        <f>IF(COUNT(F2140:H2140)=0,"",SUM(F2140:H2140))</f>
        <v/>
      </c>
      <c r="J2140" s="23" t="n"/>
      <c r="K2140" s="23" t="n"/>
      <c r="L2140" s="23" t="n"/>
      <c r="M2140" s="23" t="n"/>
      <c r="N2140" s="23" t="n"/>
      <c r="O2140" s="20">
        <f>IF(OR(I2140="",COUNT(J2140:N2140)=0),"",IF(SUM(J2140:N2140)=I2140,"✓","⚠ "&amp;SUM(J2140:N2140)&amp;" statt "&amp;I2140))</f>
        <v/>
      </c>
      <c r="P2140" s="21" t="n"/>
      <c r="Q2140" s="21" t="n"/>
      <c r="R2140" s="21" t="n"/>
      <c r="S2140" s="24" t="n"/>
      <c r="T2140" s="24" t="n"/>
      <c r="V2140">
        <f>IF(A2140="","",MONTH(A2140))</f>
        <v/>
      </c>
      <c r="W2140">
        <f>N(W2139)+IF(AND(C2140&lt;&gt;"",T2140&lt;&gt;""),IF(C2140=WOCHE!$B$3,1,0),0)</f>
        <v/>
      </c>
      <c r="X2140">
        <f>N(X2139)+IF(AND(V2140&lt;&gt;"",T2140&lt;&gt;""),IF(V2140=MONAT!$AZ$3,1,0),0)</f>
        <v/>
      </c>
    </row>
    <row r="2141">
      <c r="A2141" s="19" t="n"/>
      <c r="B2141" s="20">
        <f>IF(A2141="","",CHOOSE(WEEKDAY(A2141,2),"Mo","Di","Mi","Do","Fr","Sa","So"))</f>
        <v/>
      </c>
      <c r="C2141" s="20">
        <f>IF(A2141="","",INT((A2141-DATE(YEAR(A2141-WEEKDAY(A2141-1)+4),1,3)+WEEKDAY(DATE(YEAR(A2141-WEEKDAY(A2141-1)+4),1,3))+5)/7))</f>
        <v/>
      </c>
      <c r="D2141" s="21" t="n"/>
      <c r="E2141" s="22" t="n"/>
      <c r="F2141" s="23" t="n"/>
      <c r="G2141" s="23" t="n"/>
      <c r="H2141" s="23" t="n"/>
      <c r="I2141" s="20">
        <f>IF(COUNT(F2141:H2141)=0,"",SUM(F2141:H2141))</f>
        <v/>
      </c>
      <c r="J2141" s="23" t="n"/>
      <c r="K2141" s="23" t="n"/>
      <c r="L2141" s="23" t="n"/>
      <c r="M2141" s="23" t="n"/>
      <c r="N2141" s="23" t="n"/>
      <c r="O2141" s="20">
        <f>IF(OR(I2141="",COUNT(J2141:N2141)=0),"",IF(SUM(J2141:N2141)=I2141,"✓","⚠ "&amp;SUM(J2141:N2141)&amp;" statt "&amp;I2141))</f>
        <v/>
      </c>
      <c r="P2141" s="21" t="n"/>
      <c r="Q2141" s="21" t="n"/>
      <c r="R2141" s="21" t="n"/>
      <c r="S2141" s="24" t="n"/>
      <c r="T2141" s="24" t="n"/>
      <c r="V2141">
        <f>IF(A2141="","",MONTH(A2141))</f>
        <v/>
      </c>
      <c r="W2141">
        <f>N(W2140)+IF(AND(C2141&lt;&gt;"",T2141&lt;&gt;""),IF(C2141=WOCHE!$B$3,1,0),0)</f>
        <v/>
      </c>
      <c r="X2141">
        <f>N(X2140)+IF(AND(V2141&lt;&gt;"",T2141&lt;&gt;""),IF(V2141=MONAT!$AZ$3,1,0),0)</f>
        <v/>
      </c>
    </row>
    <row r="2142">
      <c r="A2142" s="19" t="n"/>
      <c r="B2142" s="20">
        <f>IF(A2142="","",CHOOSE(WEEKDAY(A2142,2),"Mo","Di","Mi","Do","Fr","Sa","So"))</f>
        <v/>
      </c>
      <c r="C2142" s="20">
        <f>IF(A2142="","",INT((A2142-DATE(YEAR(A2142-WEEKDAY(A2142-1)+4),1,3)+WEEKDAY(DATE(YEAR(A2142-WEEKDAY(A2142-1)+4),1,3))+5)/7))</f>
        <v/>
      </c>
      <c r="D2142" s="21" t="n"/>
      <c r="E2142" s="22" t="n"/>
      <c r="F2142" s="23" t="n"/>
      <c r="G2142" s="23" t="n"/>
      <c r="H2142" s="23" t="n"/>
      <c r="I2142" s="20">
        <f>IF(COUNT(F2142:H2142)=0,"",SUM(F2142:H2142))</f>
        <v/>
      </c>
      <c r="J2142" s="23" t="n"/>
      <c r="K2142" s="23" t="n"/>
      <c r="L2142" s="23" t="n"/>
      <c r="M2142" s="23" t="n"/>
      <c r="N2142" s="23" t="n"/>
      <c r="O2142" s="20">
        <f>IF(OR(I2142="",COUNT(J2142:N2142)=0),"",IF(SUM(J2142:N2142)=I2142,"✓","⚠ "&amp;SUM(J2142:N2142)&amp;" statt "&amp;I2142))</f>
        <v/>
      </c>
      <c r="P2142" s="21" t="n"/>
      <c r="Q2142" s="21" t="n"/>
      <c r="R2142" s="21" t="n"/>
      <c r="S2142" s="24" t="n"/>
      <c r="T2142" s="24" t="n"/>
      <c r="V2142">
        <f>IF(A2142="","",MONTH(A2142))</f>
        <v/>
      </c>
      <c r="W2142">
        <f>N(W2141)+IF(AND(C2142&lt;&gt;"",T2142&lt;&gt;""),IF(C2142=WOCHE!$B$3,1,0),0)</f>
        <v/>
      </c>
      <c r="X2142">
        <f>N(X2141)+IF(AND(V2142&lt;&gt;"",T2142&lt;&gt;""),IF(V2142=MONAT!$AZ$3,1,0),0)</f>
        <v/>
      </c>
    </row>
    <row r="2143">
      <c r="A2143" s="19" t="n"/>
      <c r="B2143" s="20">
        <f>IF(A2143="","",CHOOSE(WEEKDAY(A2143,2),"Mo","Di","Mi","Do","Fr","Sa","So"))</f>
        <v/>
      </c>
      <c r="C2143" s="20">
        <f>IF(A2143="","",INT((A2143-DATE(YEAR(A2143-WEEKDAY(A2143-1)+4),1,3)+WEEKDAY(DATE(YEAR(A2143-WEEKDAY(A2143-1)+4),1,3))+5)/7))</f>
        <v/>
      </c>
      <c r="D2143" s="21" t="n"/>
      <c r="E2143" s="22" t="n"/>
      <c r="F2143" s="23" t="n"/>
      <c r="G2143" s="23" t="n"/>
      <c r="H2143" s="23" t="n"/>
      <c r="I2143" s="20">
        <f>IF(COUNT(F2143:H2143)=0,"",SUM(F2143:H2143))</f>
        <v/>
      </c>
      <c r="J2143" s="23" t="n"/>
      <c r="K2143" s="23" t="n"/>
      <c r="L2143" s="23" t="n"/>
      <c r="M2143" s="23" t="n"/>
      <c r="N2143" s="23" t="n"/>
      <c r="O2143" s="20">
        <f>IF(OR(I2143="",COUNT(J2143:N2143)=0),"",IF(SUM(J2143:N2143)=I2143,"✓","⚠ "&amp;SUM(J2143:N2143)&amp;" statt "&amp;I2143))</f>
        <v/>
      </c>
      <c r="P2143" s="21" t="n"/>
      <c r="Q2143" s="21" t="n"/>
      <c r="R2143" s="21" t="n"/>
      <c r="S2143" s="24" t="n"/>
      <c r="T2143" s="24" t="n"/>
      <c r="V2143">
        <f>IF(A2143="","",MONTH(A2143))</f>
        <v/>
      </c>
      <c r="W2143">
        <f>N(W2142)+IF(AND(C2143&lt;&gt;"",T2143&lt;&gt;""),IF(C2143=WOCHE!$B$3,1,0),0)</f>
        <v/>
      </c>
      <c r="X2143">
        <f>N(X2142)+IF(AND(V2143&lt;&gt;"",T2143&lt;&gt;""),IF(V2143=MONAT!$AZ$3,1,0),0)</f>
        <v/>
      </c>
    </row>
    <row r="2144">
      <c r="A2144" s="19" t="n"/>
      <c r="B2144" s="20">
        <f>IF(A2144="","",CHOOSE(WEEKDAY(A2144,2),"Mo","Di","Mi","Do","Fr","Sa","So"))</f>
        <v/>
      </c>
      <c r="C2144" s="20">
        <f>IF(A2144="","",INT((A2144-DATE(YEAR(A2144-WEEKDAY(A2144-1)+4),1,3)+WEEKDAY(DATE(YEAR(A2144-WEEKDAY(A2144-1)+4),1,3))+5)/7))</f>
        <v/>
      </c>
      <c r="D2144" s="21" t="n"/>
      <c r="E2144" s="22" t="n"/>
      <c r="F2144" s="23" t="n"/>
      <c r="G2144" s="23" t="n"/>
      <c r="H2144" s="23" t="n"/>
      <c r="I2144" s="20">
        <f>IF(COUNT(F2144:H2144)=0,"",SUM(F2144:H2144))</f>
        <v/>
      </c>
      <c r="J2144" s="23" t="n"/>
      <c r="K2144" s="23" t="n"/>
      <c r="L2144" s="23" t="n"/>
      <c r="M2144" s="23" t="n"/>
      <c r="N2144" s="23" t="n"/>
      <c r="O2144" s="20">
        <f>IF(OR(I2144="",COUNT(J2144:N2144)=0),"",IF(SUM(J2144:N2144)=I2144,"✓","⚠ "&amp;SUM(J2144:N2144)&amp;" statt "&amp;I2144))</f>
        <v/>
      </c>
      <c r="P2144" s="21" t="n"/>
      <c r="Q2144" s="21" t="n"/>
      <c r="R2144" s="21" t="n"/>
      <c r="S2144" s="24" t="n"/>
      <c r="T2144" s="24" t="n"/>
      <c r="V2144">
        <f>IF(A2144="","",MONTH(A2144))</f>
        <v/>
      </c>
      <c r="W2144">
        <f>N(W2143)+IF(AND(C2144&lt;&gt;"",T2144&lt;&gt;""),IF(C2144=WOCHE!$B$3,1,0),0)</f>
        <v/>
      </c>
      <c r="X2144">
        <f>N(X2143)+IF(AND(V2144&lt;&gt;"",T2144&lt;&gt;""),IF(V2144=MONAT!$AZ$3,1,0),0)</f>
        <v/>
      </c>
    </row>
    <row r="2145">
      <c r="A2145" s="19" t="n"/>
      <c r="B2145" s="20">
        <f>IF(A2145="","",CHOOSE(WEEKDAY(A2145,2),"Mo","Di","Mi","Do","Fr","Sa","So"))</f>
        <v/>
      </c>
      <c r="C2145" s="20">
        <f>IF(A2145="","",INT((A2145-DATE(YEAR(A2145-WEEKDAY(A2145-1)+4),1,3)+WEEKDAY(DATE(YEAR(A2145-WEEKDAY(A2145-1)+4),1,3))+5)/7))</f>
        <v/>
      </c>
      <c r="D2145" s="21" t="n"/>
      <c r="E2145" s="22" t="n"/>
      <c r="F2145" s="23" t="n"/>
      <c r="G2145" s="23" t="n"/>
      <c r="H2145" s="23" t="n"/>
      <c r="I2145" s="20">
        <f>IF(COUNT(F2145:H2145)=0,"",SUM(F2145:H2145))</f>
        <v/>
      </c>
      <c r="J2145" s="23" t="n"/>
      <c r="K2145" s="23" t="n"/>
      <c r="L2145" s="23" t="n"/>
      <c r="M2145" s="23" t="n"/>
      <c r="N2145" s="23" t="n"/>
      <c r="O2145" s="20">
        <f>IF(OR(I2145="",COUNT(J2145:N2145)=0),"",IF(SUM(J2145:N2145)=I2145,"✓","⚠ "&amp;SUM(J2145:N2145)&amp;" statt "&amp;I2145))</f>
        <v/>
      </c>
      <c r="P2145" s="21" t="n"/>
      <c r="Q2145" s="21" t="n"/>
      <c r="R2145" s="21" t="n"/>
      <c r="S2145" s="24" t="n"/>
      <c r="T2145" s="24" t="n"/>
      <c r="V2145">
        <f>IF(A2145="","",MONTH(A2145))</f>
        <v/>
      </c>
      <c r="W2145">
        <f>N(W2144)+IF(AND(C2145&lt;&gt;"",T2145&lt;&gt;""),IF(C2145=WOCHE!$B$3,1,0),0)</f>
        <v/>
      </c>
      <c r="X2145">
        <f>N(X2144)+IF(AND(V2145&lt;&gt;"",T2145&lt;&gt;""),IF(V2145=MONAT!$AZ$3,1,0),0)</f>
        <v/>
      </c>
    </row>
    <row r="2146">
      <c r="A2146" s="19" t="n"/>
      <c r="B2146" s="20">
        <f>IF(A2146="","",CHOOSE(WEEKDAY(A2146,2),"Mo","Di","Mi","Do","Fr","Sa","So"))</f>
        <v/>
      </c>
      <c r="C2146" s="20">
        <f>IF(A2146="","",INT((A2146-DATE(YEAR(A2146-WEEKDAY(A2146-1)+4),1,3)+WEEKDAY(DATE(YEAR(A2146-WEEKDAY(A2146-1)+4),1,3))+5)/7))</f>
        <v/>
      </c>
      <c r="D2146" s="21" t="n"/>
      <c r="E2146" s="22" t="n"/>
      <c r="F2146" s="23" t="n"/>
      <c r="G2146" s="23" t="n"/>
      <c r="H2146" s="23" t="n"/>
      <c r="I2146" s="20">
        <f>IF(COUNT(F2146:H2146)=0,"",SUM(F2146:H2146))</f>
        <v/>
      </c>
      <c r="J2146" s="23" t="n"/>
      <c r="K2146" s="23" t="n"/>
      <c r="L2146" s="23" t="n"/>
      <c r="M2146" s="23" t="n"/>
      <c r="N2146" s="23" t="n"/>
      <c r="O2146" s="20">
        <f>IF(OR(I2146="",COUNT(J2146:N2146)=0),"",IF(SUM(J2146:N2146)=I2146,"✓","⚠ "&amp;SUM(J2146:N2146)&amp;" statt "&amp;I2146))</f>
        <v/>
      </c>
      <c r="P2146" s="21" t="n"/>
      <c r="Q2146" s="21" t="n"/>
      <c r="R2146" s="21" t="n"/>
      <c r="S2146" s="24" t="n"/>
      <c r="T2146" s="24" t="n"/>
      <c r="V2146">
        <f>IF(A2146="","",MONTH(A2146))</f>
        <v/>
      </c>
      <c r="W2146">
        <f>N(W2145)+IF(AND(C2146&lt;&gt;"",T2146&lt;&gt;""),IF(C2146=WOCHE!$B$3,1,0),0)</f>
        <v/>
      </c>
      <c r="X2146">
        <f>N(X2145)+IF(AND(V2146&lt;&gt;"",T2146&lt;&gt;""),IF(V2146=MONAT!$AZ$3,1,0),0)</f>
        <v/>
      </c>
    </row>
    <row r="2147">
      <c r="A2147" s="19" t="n"/>
      <c r="B2147" s="20">
        <f>IF(A2147="","",CHOOSE(WEEKDAY(A2147,2),"Mo","Di","Mi","Do","Fr","Sa","So"))</f>
        <v/>
      </c>
      <c r="C2147" s="20">
        <f>IF(A2147="","",INT((A2147-DATE(YEAR(A2147-WEEKDAY(A2147-1)+4),1,3)+WEEKDAY(DATE(YEAR(A2147-WEEKDAY(A2147-1)+4),1,3))+5)/7))</f>
        <v/>
      </c>
      <c r="D2147" s="21" t="n"/>
      <c r="E2147" s="22" t="n"/>
      <c r="F2147" s="23" t="n"/>
      <c r="G2147" s="23" t="n"/>
      <c r="H2147" s="23" t="n"/>
      <c r="I2147" s="20">
        <f>IF(COUNT(F2147:H2147)=0,"",SUM(F2147:H2147))</f>
        <v/>
      </c>
      <c r="J2147" s="23" t="n"/>
      <c r="K2147" s="23" t="n"/>
      <c r="L2147" s="23" t="n"/>
      <c r="M2147" s="23" t="n"/>
      <c r="N2147" s="23" t="n"/>
      <c r="O2147" s="20">
        <f>IF(OR(I2147="",COUNT(J2147:N2147)=0),"",IF(SUM(J2147:N2147)=I2147,"✓","⚠ "&amp;SUM(J2147:N2147)&amp;" statt "&amp;I2147))</f>
        <v/>
      </c>
      <c r="P2147" s="21" t="n"/>
      <c r="Q2147" s="21" t="n"/>
      <c r="R2147" s="21" t="n"/>
      <c r="S2147" s="24" t="n"/>
      <c r="T2147" s="24" t="n"/>
      <c r="V2147">
        <f>IF(A2147="","",MONTH(A2147))</f>
        <v/>
      </c>
      <c r="W2147">
        <f>N(W2146)+IF(AND(C2147&lt;&gt;"",T2147&lt;&gt;""),IF(C2147=WOCHE!$B$3,1,0),0)</f>
        <v/>
      </c>
      <c r="X2147">
        <f>N(X2146)+IF(AND(V2147&lt;&gt;"",T2147&lt;&gt;""),IF(V2147=MONAT!$AZ$3,1,0),0)</f>
        <v/>
      </c>
    </row>
    <row r="2148">
      <c r="A2148" s="19" t="n"/>
      <c r="B2148" s="20">
        <f>IF(A2148="","",CHOOSE(WEEKDAY(A2148,2),"Mo","Di","Mi","Do","Fr","Sa","So"))</f>
        <v/>
      </c>
      <c r="C2148" s="20">
        <f>IF(A2148="","",INT((A2148-DATE(YEAR(A2148-WEEKDAY(A2148-1)+4),1,3)+WEEKDAY(DATE(YEAR(A2148-WEEKDAY(A2148-1)+4),1,3))+5)/7))</f>
        <v/>
      </c>
      <c r="D2148" s="21" t="n"/>
      <c r="E2148" s="22" t="n"/>
      <c r="F2148" s="23" t="n"/>
      <c r="G2148" s="23" t="n"/>
      <c r="H2148" s="23" t="n"/>
      <c r="I2148" s="20">
        <f>IF(COUNT(F2148:H2148)=0,"",SUM(F2148:H2148))</f>
        <v/>
      </c>
      <c r="J2148" s="23" t="n"/>
      <c r="K2148" s="23" t="n"/>
      <c r="L2148" s="23" t="n"/>
      <c r="M2148" s="23" t="n"/>
      <c r="N2148" s="23" t="n"/>
      <c r="O2148" s="20">
        <f>IF(OR(I2148="",COUNT(J2148:N2148)=0),"",IF(SUM(J2148:N2148)=I2148,"✓","⚠ "&amp;SUM(J2148:N2148)&amp;" statt "&amp;I2148))</f>
        <v/>
      </c>
      <c r="P2148" s="21" t="n"/>
      <c r="Q2148" s="21" t="n"/>
      <c r="R2148" s="21" t="n"/>
      <c r="S2148" s="24" t="n"/>
      <c r="T2148" s="24" t="n"/>
      <c r="V2148">
        <f>IF(A2148="","",MONTH(A2148))</f>
        <v/>
      </c>
      <c r="W2148">
        <f>N(W2147)+IF(AND(C2148&lt;&gt;"",T2148&lt;&gt;""),IF(C2148=WOCHE!$B$3,1,0),0)</f>
        <v/>
      </c>
      <c r="X2148">
        <f>N(X2147)+IF(AND(V2148&lt;&gt;"",T2148&lt;&gt;""),IF(V2148=MONAT!$AZ$3,1,0),0)</f>
        <v/>
      </c>
    </row>
    <row r="2149">
      <c r="A2149" s="19" t="n"/>
      <c r="B2149" s="20">
        <f>IF(A2149="","",CHOOSE(WEEKDAY(A2149,2),"Mo","Di","Mi","Do","Fr","Sa","So"))</f>
        <v/>
      </c>
      <c r="C2149" s="20">
        <f>IF(A2149="","",INT((A2149-DATE(YEAR(A2149-WEEKDAY(A2149-1)+4),1,3)+WEEKDAY(DATE(YEAR(A2149-WEEKDAY(A2149-1)+4),1,3))+5)/7))</f>
        <v/>
      </c>
      <c r="D2149" s="21" t="n"/>
      <c r="E2149" s="22" t="n"/>
      <c r="F2149" s="23" t="n"/>
      <c r="G2149" s="23" t="n"/>
      <c r="H2149" s="23" t="n"/>
      <c r="I2149" s="20">
        <f>IF(COUNT(F2149:H2149)=0,"",SUM(F2149:H2149))</f>
        <v/>
      </c>
      <c r="J2149" s="23" t="n"/>
      <c r="K2149" s="23" t="n"/>
      <c r="L2149" s="23" t="n"/>
      <c r="M2149" s="23" t="n"/>
      <c r="N2149" s="23" t="n"/>
      <c r="O2149" s="20">
        <f>IF(OR(I2149="",COUNT(J2149:N2149)=0),"",IF(SUM(J2149:N2149)=I2149,"✓","⚠ "&amp;SUM(J2149:N2149)&amp;" statt "&amp;I2149))</f>
        <v/>
      </c>
      <c r="P2149" s="21" t="n"/>
      <c r="Q2149" s="21" t="n"/>
      <c r="R2149" s="21" t="n"/>
      <c r="S2149" s="24" t="n"/>
      <c r="T2149" s="24" t="n"/>
      <c r="V2149">
        <f>IF(A2149="","",MONTH(A2149))</f>
        <v/>
      </c>
      <c r="W2149">
        <f>N(W2148)+IF(AND(C2149&lt;&gt;"",T2149&lt;&gt;""),IF(C2149=WOCHE!$B$3,1,0),0)</f>
        <v/>
      </c>
      <c r="X2149">
        <f>N(X2148)+IF(AND(V2149&lt;&gt;"",T2149&lt;&gt;""),IF(V2149=MONAT!$AZ$3,1,0),0)</f>
        <v/>
      </c>
    </row>
    <row r="2150">
      <c r="A2150" s="19" t="n"/>
      <c r="B2150" s="20">
        <f>IF(A2150="","",CHOOSE(WEEKDAY(A2150,2),"Mo","Di","Mi","Do","Fr","Sa","So"))</f>
        <v/>
      </c>
      <c r="C2150" s="20">
        <f>IF(A2150="","",INT((A2150-DATE(YEAR(A2150-WEEKDAY(A2150-1)+4),1,3)+WEEKDAY(DATE(YEAR(A2150-WEEKDAY(A2150-1)+4),1,3))+5)/7))</f>
        <v/>
      </c>
      <c r="D2150" s="21" t="n"/>
      <c r="E2150" s="22" t="n"/>
      <c r="F2150" s="23" t="n"/>
      <c r="G2150" s="23" t="n"/>
      <c r="H2150" s="23" t="n"/>
      <c r="I2150" s="20">
        <f>IF(COUNT(F2150:H2150)=0,"",SUM(F2150:H2150))</f>
        <v/>
      </c>
      <c r="J2150" s="23" t="n"/>
      <c r="K2150" s="23" t="n"/>
      <c r="L2150" s="23" t="n"/>
      <c r="M2150" s="23" t="n"/>
      <c r="N2150" s="23" t="n"/>
      <c r="O2150" s="20">
        <f>IF(OR(I2150="",COUNT(J2150:N2150)=0),"",IF(SUM(J2150:N2150)=I2150,"✓","⚠ "&amp;SUM(J2150:N2150)&amp;" statt "&amp;I2150))</f>
        <v/>
      </c>
      <c r="P2150" s="21" t="n"/>
      <c r="Q2150" s="21" t="n"/>
      <c r="R2150" s="21" t="n"/>
      <c r="S2150" s="24" t="n"/>
      <c r="T2150" s="24" t="n"/>
      <c r="V2150">
        <f>IF(A2150="","",MONTH(A2150))</f>
        <v/>
      </c>
      <c r="W2150">
        <f>N(W2149)+IF(AND(C2150&lt;&gt;"",T2150&lt;&gt;""),IF(C2150=WOCHE!$B$3,1,0),0)</f>
        <v/>
      </c>
      <c r="X2150">
        <f>N(X2149)+IF(AND(V2150&lt;&gt;"",T2150&lt;&gt;""),IF(V2150=MONAT!$AZ$3,1,0),0)</f>
        <v/>
      </c>
    </row>
    <row r="2151">
      <c r="A2151" s="19" t="n"/>
      <c r="B2151" s="20">
        <f>IF(A2151="","",CHOOSE(WEEKDAY(A2151,2),"Mo","Di","Mi","Do","Fr","Sa","So"))</f>
        <v/>
      </c>
      <c r="C2151" s="20">
        <f>IF(A2151="","",INT((A2151-DATE(YEAR(A2151-WEEKDAY(A2151-1)+4),1,3)+WEEKDAY(DATE(YEAR(A2151-WEEKDAY(A2151-1)+4),1,3))+5)/7))</f>
        <v/>
      </c>
      <c r="D2151" s="21" t="n"/>
      <c r="E2151" s="22" t="n"/>
      <c r="F2151" s="23" t="n"/>
      <c r="G2151" s="23" t="n"/>
      <c r="H2151" s="23" t="n"/>
      <c r="I2151" s="20">
        <f>IF(COUNT(F2151:H2151)=0,"",SUM(F2151:H2151))</f>
        <v/>
      </c>
      <c r="J2151" s="23" t="n"/>
      <c r="K2151" s="23" t="n"/>
      <c r="L2151" s="23" t="n"/>
      <c r="M2151" s="23" t="n"/>
      <c r="N2151" s="23" t="n"/>
      <c r="O2151" s="20">
        <f>IF(OR(I2151="",COUNT(J2151:N2151)=0),"",IF(SUM(J2151:N2151)=I2151,"✓","⚠ "&amp;SUM(J2151:N2151)&amp;" statt "&amp;I2151))</f>
        <v/>
      </c>
      <c r="P2151" s="21" t="n"/>
      <c r="Q2151" s="21" t="n"/>
      <c r="R2151" s="21" t="n"/>
      <c r="S2151" s="24" t="n"/>
      <c r="T2151" s="24" t="n"/>
      <c r="V2151">
        <f>IF(A2151="","",MONTH(A2151))</f>
        <v/>
      </c>
      <c r="W2151">
        <f>N(W2150)+IF(AND(C2151&lt;&gt;"",T2151&lt;&gt;""),IF(C2151=WOCHE!$B$3,1,0),0)</f>
        <v/>
      </c>
      <c r="X2151">
        <f>N(X2150)+IF(AND(V2151&lt;&gt;"",T2151&lt;&gt;""),IF(V2151=MONAT!$AZ$3,1,0),0)</f>
        <v/>
      </c>
    </row>
    <row r="2152">
      <c r="A2152" s="19" t="n"/>
      <c r="B2152" s="20">
        <f>IF(A2152="","",CHOOSE(WEEKDAY(A2152,2),"Mo","Di","Mi","Do","Fr","Sa","So"))</f>
        <v/>
      </c>
      <c r="C2152" s="20">
        <f>IF(A2152="","",INT((A2152-DATE(YEAR(A2152-WEEKDAY(A2152-1)+4),1,3)+WEEKDAY(DATE(YEAR(A2152-WEEKDAY(A2152-1)+4),1,3))+5)/7))</f>
        <v/>
      </c>
      <c r="D2152" s="21" t="n"/>
      <c r="E2152" s="22" t="n"/>
      <c r="F2152" s="23" t="n"/>
      <c r="G2152" s="23" t="n"/>
      <c r="H2152" s="23" t="n"/>
      <c r="I2152" s="20">
        <f>IF(COUNT(F2152:H2152)=0,"",SUM(F2152:H2152))</f>
        <v/>
      </c>
      <c r="J2152" s="23" t="n"/>
      <c r="K2152" s="23" t="n"/>
      <c r="L2152" s="23" t="n"/>
      <c r="M2152" s="23" t="n"/>
      <c r="N2152" s="23" t="n"/>
      <c r="O2152" s="20">
        <f>IF(OR(I2152="",COUNT(J2152:N2152)=0),"",IF(SUM(J2152:N2152)=I2152,"✓","⚠ "&amp;SUM(J2152:N2152)&amp;" statt "&amp;I2152))</f>
        <v/>
      </c>
      <c r="P2152" s="21" t="n"/>
      <c r="Q2152" s="21" t="n"/>
      <c r="R2152" s="21" t="n"/>
      <c r="S2152" s="24" t="n"/>
      <c r="T2152" s="24" t="n"/>
      <c r="V2152">
        <f>IF(A2152="","",MONTH(A2152))</f>
        <v/>
      </c>
      <c r="W2152">
        <f>N(W2151)+IF(AND(C2152&lt;&gt;"",T2152&lt;&gt;""),IF(C2152=WOCHE!$B$3,1,0),0)</f>
        <v/>
      </c>
      <c r="X2152">
        <f>N(X2151)+IF(AND(V2152&lt;&gt;"",T2152&lt;&gt;""),IF(V2152=MONAT!$AZ$3,1,0),0)</f>
        <v/>
      </c>
    </row>
    <row r="2153">
      <c r="A2153" s="19" t="n"/>
      <c r="B2153" s="20">
        <f>IF(A2153="","",CHOOSE(WEEKDAY(A2153,2),"Mo","Di","Mi","Do","Fr","Sa","So"))</f>
        <v/>
      </c>
      <c r="C2153" s="20">
        <f>IF(A2153="","",INT((A2153-DATE(YEAR(A2153-WEEKDAY(A2153-1)+4),1,3)+WEEKDAY(DATE(YEAR(A2153-WEEKDAY(A2153-1)+4),1,3))+5)/7))</f>
        <v/>
      </c>
      <c r="D2153" s="21" t="n"/>
      <c r="E2153" s="22" t="n"/>
      <c r="F2153" s="23" t="n"/>
      <c r="G2153" s="23" t="n"/>
      <c r="H2153" s="23" t="n"/>
      <c r="I2153" s="20">
        <f>IF(COUNT(F2153:H2153)=0,"",SUM(F2153:H2153))</f>
        <v/>
      </c>
      <c r="J2153" s="23" t="n"/>
      <c r="K2153" s="23" t="n"/>
      <c r="L2153" s="23" t="n"/>
      <c r="M2153" s="23" t="n"/>
      <c r="N2153" s="23" t="n"/>
      <c r="O2153" s="20">
        <f>IF(OR(I2153="",COUNT(J2153:N2153)=0),"",IF(SUM(J2153:N2153)=I2153,"✓","⚠ "&amp;SUM(J2153:N2153)&amp;" statt "&amp;I2153))</f>
        <v/>
      </c>
      <c r="P2153" s="21" t="n"/>
      <c r="Q2153" s="21" t="n"/>
      <c r="R2153" s="21" t="n"/>
      <c r="S2153" s="24" t="n"/>
      <c r="T2153" s="24" t="n"/>
      <c r="V2153">
        <f>IF(A2153="","",MONTH(A2153))</f>
        <v/>
      </c>
      <c r="W2153">
        <f>N(W2152)+IF(AND(C2153&lt;&gt;"",T2153&lt;&gt;""),IF(C2153=WOCHE!$B$3,1,0),0)</f>
        <v/>
      </c>
      <c r="X2153">
        <f>N(X2152)+IF(AND(V2153&lt;&gt;"",T2153&lt;&gt;""),IF(V2153=MONAT!$AZ$3,1,0),0)</f>
        <v/>
      </c>
    </row>
    <row r="2154">
      <c r="A2154" s="19" t="n"/>
      <c r="B2154" s="20">
        <f>IF(A2154="","",CHOOSE(WEEKDAY(A2154,2),"Mo","Di","Mi","Do","Fr","Sa","So"))</f>
        <v/>
      </c>
      <c r="C2154" s="20">
        <f>IF(A2154="","",INT((A2154-DATE(YEAR(A2154-WEEKDAY(A2154-1)+4),1,3)+WEEKDAY(DATE(YEAR(A2154-WEEKDAY(A2154-1)+4),1,3))+5)/7))</f>
        <v/>
      </c>
      <c r="D2154" s="21" t="n"/>
      <c r="E2154" s="22" t="n"/>
      <c r="F2154" s="23" t="n"/>
      <c r="G2154" s="23" t="n"/>
      <c r="H2154" s="23" t="n"/>
      <c r="I2154" s="20">
        <f>IF(COUNT(F2154:H2154)=0,"",SUM(F2154:H2154))</f>
        <v/>
      </c>
      <c r="J2154" s="23" t="n"/>
      <c r="K2154" s="23" t="n"/>
      <c r="L2154" s="23" t="n"/>
      <c r="M2154" s="23" t="n"/>
      <c r="N2154" s="23" t="n"/>
      <c r="O2154" s="20">
        <f>IF(OR(I2154="",COUNT(J2154:N2154)=0),"",IF(SUM(J2154:N2154)=I2154,"✓","⚠ "&amp;SUM(J2154:N2154)&amp;" statt "&amp;I2154))</f>
        <v/>
      </c>
      <c r="P2154" s="21" t="n"/>
      <c r="Q2154" s="21" t="n"/>
      <c r="R2154" s="21" t="n"/>
      <c r="S2154" s="24" t="n"/>
      <c r="T2154" s="24" t="n"/>
      <c r="V2154">
        <f>IF(A2154="","",MONTH(A2154))</f>
        <v/>
      </c>
      <c r="W2154">
        <f>N(W2153)+IF(AND(C2154&lt;&gt;"",T2154&lt;&gt;""),IF(C2154=WOCHE!$B$3,1,0),0)</f>
        <v/>
      </c>
      <c r="X2154">
        <f>N(X2153)+IF(AND(V2154&lt;&gt;"",T2154&lt;&gt;""),IF(V2154=MONAT!$AZ$3,1,0),0)</f>
        <v/>
      </c>
    </row>
    <row r="2155">
      <c r="A2155" s="19" t="n"/>
      <c r="B2155" s="20">
        <f>IF(A2155="","",CHOOSE(WEEKDAY(A2155,2),"Mo","Di","Mi","Do","Fr","Sa","So"))</f>
        <v/>
      </c>
      <c r="C2155" s="20">
        <f>IF(A2155="","",INT((A2155-DATE(YEAR(A2155-WEEKDAY(A2155-1)+4),1,3)+WEEKDAY(DATE(YEAR(A2155-WEEKDAY(A2155-1)+4),1,3))+5)/7))</f>
        <v/>
      </c>
      <c r="D2155" s="21" t="n"/>
      <c r="E2155" s="22" t="n"/>
      <c r="F2155" s="23" t="n"/>
      <c r="G2155" s="23" t="n"/>
      <c r="H2155" s="23" t="n"/>
      <c r="I2155" s="20">
        <f>IF(COUNT(F2155:H2155)=0,"",SUM(F2155:H2155))</f>
        <v/>
      </c>
      <c r="J2155" s="23" t="n"/>
      <c r="K2155" s="23" t="n"/>
      <c r="L2155" s="23" t="n"/>
      <c r="M2155" s="23" t="n"/>
      <c r="N2155" s="23" t="n"/>
      <c r="O2155" s="20">
        <f>IF(OR(I2155="",COUNT(J2155:N2155)=0),"",IF(SUM(J2155:N2155)=I2155,"✓","⚠ "&amp;SUM(J2155:N2155)&amp;" statt "&amp;I2155))</f>
        <v/>
      </c>
      <c r="P2155" s="21" t="n"/>
      <c r="Q2155" s="21" t="n"/>
      <c r="R2155" s="21" t="n"/>
      <c r="S2155" s="24" t="n"/>
      <c r="T2155" s="24" t="n"/>
      <c r="V2155">
        <f>IF(A2155="","",MONTH(A2155))</f>
        <v/>
      </c>
      <c r="W2155">
        <f>N(W2154)+IF(AND(C2155&lt;&gt;"",T2155&lt;&gt;""),IF(C2155=WOCHE!$B$3,1,0),0)</f>
        <v/>
      </c>
      <c r="X2155">
        <f>N(X2154)+IF(AND(V2155&lt;&gt;"",T2155&lt;&gt;""),IF(V2155=MONAT!$AZ$3,1,0),0)</f>
        <v/>
      </c>
    </row>
    <row r="2156">
      <c r="A2156" s="19" t="n"/>
      <c r="B2156" s="20">
        <f>IF(A2156="","",CHOOSE(WEEKDAY(A2156,2),"Mo","Di","Mi","Do","Fr","Sa","So"))</f>
        <v/>
      </c>
      <c r="C2156" s="20">
        <f>IF(A2156="","",INT((A2156-DATE(YEAR(A2156-WEEKDAY(A2156-1)+4),1,3)+WEEKDAY(DATE(YEAR(A2156-WEEKDAY(A2156-1)+4),1,3))+5)/7))</f>
        <v/>
      </c>
      <c r="D2156" s="21" t="n"/>
      <c r="E2156" s="22" t="n"/>
      <c r="F2156" s="23" t="n"/>
      <c r="G2156" s="23" t="n"/>
      <c r="H2156" s="23" t="n"/>
      <c r="I2156" s="20">
        <f>IF(COUNT(F2156:H2156)=0,"",SUM(F2156:H2156))</f>
        <v/>
      </c>
      <c r="J2156" s="23" t="n"/>
      <c r="K2156" s="23" t="n"/>
      <c r="L2156" s="23" t="n"/>
      <c r="M2156" s="23" t="n"/>
      <c r="N2156" s="23" t="n"/>
      <c r="O2156" s="20">
        <f>IF(OR(I2156="",COUNT(J2156:N2156)=0),"",IF(SUM(J2156:N2156)=I2156,"✓","⚠ "&amp;SUM(J2156:N2156)&amp;" statt "&amp;I2156))</f>
        <v/>
      </c>
      <c r="P2156" s="21" t="n"/>
      <c r="Q2156" s="21" t="n"/>
      <c r="R2156" s="21" t="n"/>
      <c r="S2156" s="24" t="n"/>
      <c r="T2156" s="24" t="n"/>
      <c r="V2156">
        <f>IF(A2156="","",MONTH(A2156))</f>
        <v/>
      </c>
      <c r="W2156">
        <f>N(W2155)+IF(AND(C2156&lt;&gt;"",T2156&lt;&gt;""),IF(C2156=WOCHE!$B$3,1,0),0)</f>
        <v/>
      </c>
      <c r="X2156">
        <f>N(X2155)+IF(AND(V2156&lt;&gt;"",T2156&lt;&gt;""),IF(V2156=MONAT!$AZ$3,1,0),0)</f>
        <v/>
      </c>
    </row>
    <row r="2157">
      <c r="A2157" s="19" t="n"/>
      <c r="B2157" s="20">
        <f>IF(A2157="","",CHOOSE(WEEKDAY(A2157,2),"Mo","Di","Mi","Do","Fr","Sa","So"))</f>
        <v/>
      </c>
      <c r="C2157" s="20">
        <f>IF(A2157="","",INT((A2157-DATE(YEAR(A2157-WEEKDAY(A2157-1)+4),1,3)+WEEKDAY(DATE(YEAR(A2157-WEEKDAY(A2157-1)+4),1,3))+5)/7))</f>
        <v/>
      </c>
      <c r="D2157" s="21" t="n"/>
      <c r="E2157" s="22" t="n"/>
      <c r="F2157" s="23" t="n"/>
      <c r="G2157" s="23" t="n"/>
      <c r="H2157" s="23" t="n"/>
      <c r="I2157" s="20">
        <f>IF(COUNT(F2157:H2157)=0,"",SUM(F2157:H2157))</f>
        <v/>
      </c>
      <c r="J2157" s="23" t="n"/>
      <c r="K2157" s="23" t="n"/>
      <c r="L2157" s="23" t="n"/>
      <c r="M2157" s="23" t="n"/>
      <c r="N2157" s="23" t="n"/>
      <c r="O2157" s="20">
        <f>IF(OR(I2157="",COUNT(J2157:N2157)=0),"",IF(SUM(J2157:N2157)=I2157,"✓","⚠ "&amp;SUM(J2157:N2157)&amp;" statt "&amp;I2157))</f>
        <v/>
      </c>
      <c r="P2157" s="21" t="n"/>
      <c r="Q2157" s="21" t="n"/>
      <c r="R2157" s="21" t="n"/>
      <c r="S2157" s="24" t="n"/>
      <c r="T2157" s="24" t="n"/>
      <c r="V2157">
        <f>IF(A2157="","",MONTH(A2157))</f>
        <v/>
      </c>
      <c r="W2157">
        <f>N(W2156)+IF(AND(C2157&lt;&gt;"",T2157&lt;&gt;""),IF(C2157=WOCHE!$B$3,1,0),0)</f>
        <v/>
      </c>
      <c r="X2157">
        <f>N(X2156)+IF(AND(V2157&lt;&gt;"",T2157&lt;&gt;""),IF(V2157=MONAT!$AZ$3,1,0),0)</f>
        <v/>
      </c>
    </row>
    <row r="2158">
      <c r="A2158" s="19" t="n"/>
      <c r="B2158" s="20">
        <f>IF(A2158="","",CHOOSE(WEEKDAY(A2158,2),"Mo","Di","Mi","Do","Fr","Sa","So"))</f>
        <v/>
      </c>
      <c r="C2158" s="20">
        <f>IF(A2158="","",INT((A2158-DATE(YEAR(A2158-WEEKDAY(A2158-1)+4),1,3)+WEEKDAY(DATE(YEAR(A2158-WEEKDAY(A2158-1)+4),1,3))+5)/7))</f>
        <v/>
      </c>
      <c r="D2158" s="21" t="n"/>
      <c r="E2158" s="22" t="n"/>
      <c r="F2158" s="23" t="n"/>
      <c r="G2158" s="23" t="n"/>
      <c r="H2158" s="23" t="n"/>
      <c r="I2158" s="20">
        <f>IF(COUNT(F2158:H2158)=0,"",SUM(F2158:H2158))</f>
        <v/>
      </c>
      <c r="J2158" s="23" t="n"/>
      <c r="K2158" s="23" t="n"/>
      <c r="L2158" s="23" t="n"/>
      <c r="M2158" s="23" t="n"/>
      <c r="N2158" s="23" t="n"/>
      <c r="O2158" s="20">
        <f>IF(OR(I2158="",COUNT(J2158:N2158)=0),"",IF(SUM(J2158:N2158)=I2158,"✓","⚠ "&amp;SUM(J2158:N2158)&amp;" statt "&amp;I2158))</f>
        <v/>
      </c>
      <c r="P2158" s="21" t="n"/>
      <c r="Q2158" s="21" t="n"/>
      <c r="R2158" s="21" t="n"/>
      <c r="S2158" s="24" t="n"/>
      <c r="T2158" s="24" t="n"/>
      <c r="V2158">
        <f>IF(A2158="","",MONTH(A2158))</f>
        <v/>
      </c>
      <c r="W2158">
        <f>N(W2157)+IF(AND(C2158&lt;&gt;"",T2158&lt;&gt;""),IF(C2158=WOCHE!$B$3,1,0),0)</f>
        <v/>
      </c>
      <c r="X2158">
        <f>N(X2157)+IF(AND(V2158&lt;&gt;"",T2158&lt;&gt;""),IF(V2158=MONAT!$AZ$3,1,0),0)</f>
        <v/>
      </c>
    </row>
    <row r="2159">
      <c r="A2159" s="19" t="n"/>
      <c r="B2159" s="20">
        <f>IF(A2159="","",CHOOSE(WEEKDAY(A2159,2),"Mo","Di","Mi","Do","Fr","Sa","So"))</f>
        <v/>
      </c>
      <c r="C2159" s="20">
        <f>IF(A2159="","",INT((A2159-DATE(YEAR(A2159-WEEKDAY(A2159-1)+4),1,3)+WEEKDAY(DATE(YEAR(A2159-WEEKDAY(A2159-1)+4),1,3))+5)/7))</f>
        <v/>
      </c>
      <c r="D2159" s="21" t="n"/>
      <c r="E2159" s="22" t="n"/>
      <c r="F2159" s="23" t="n"/>
      <c r="G2159" s="23" t="n"/>
      <c r="H2159" s="23" t="n"/>
      <c r="I2159" s="20">
        <f>IF(COUNT(F2159:H2159)=0,"",SUM(F2159:H2159))</f>
        <v/>
      </c>
      <c r="J2159" s="23" t="n"/>
      <c r="K2159" s="23" t="n"/>
      <c r="L2159" s="23" t="n"/>
      <c r="M2159" s="23" t="n"/>
      <c r="N2159" s="23" t="n"/>
      <c r="O2159" s="20">
        <f>IF(OR(I2159="",COUNT(J2159:N2159)=0),"",IF(SUM(J2159:N2159)=I2159,"✓","⚠ "&amp;SUM(J2159:N2159)&amp;" statt "&amp;I2159))</f>
        <v/>
      </c>
      <c r="P2159" s="21" t="n"/>
      <c r="Q2159" s="21" t="n"/>
      <c r="R2159" s="21" t="n"/>
      <c r="S2159" s="24" t="n"/>
      <c r="T2159" s="24" t="n"/>
      <c r="V2159">
        <f>IF(A2159="","",MONTH(A2159))</f>
        <v/>
      </c>
      <c r="W2159">
        <f>N(W2158)+IF(AND(C2159&lt;&gt;"",T2159&lt;&gt;""),IF(C2159=WOCHE!$B$3,1,0),0)</f>
        <v/>
      </c>
      <c r="X2159">
        <f>N(X2158)+IF(AND(V2159&lt;&gt;"",T2159&lt;&gt;""),IF(V2159=MONAT!$AZ$3,1,0),0)</f>
        <v/>
      </c>
    </row>
    <row r="2160">
      <c r="A2160" s="19" t="n"/>
      <c r="B2160" s="20">
        <f>IF(A2160="","",CHOOSE(WEEKDAY(A2160,2),"Mo","Di","Mi","Do","Fr","Sa","So"))</f>
        <v/>
      </c>
      <c r="C2160" s="20">
        <f>IF(A2160="","",INT((A2160-DATE(YEAR(A2160-WEEKDAY(A2160-1)+4),1,3)+WEEKDAY(DATE(YEAR(A2160-WEEKDAY(A2160-1)+4),1,3))+5)/7))</f>
        <v/>
      </c>
      <c r="D2160" s="21" t="n"/>
      <c r="E2160" s="22" t="n"/>
      <c r="F2160" s="23" t="n"/>
      <c r="G2160" s="23" t="n"/>
      <c r="H2160" s="23" t="n"/>
      <c r="I2160" s="20">
        <f>IF(COUNT(F2160:H2160)=0,"",SUM(F2160:H2160))</f>
        <v/>
      </c>
      <c r="J2160" s="23" t="n"/>
      <c r="K2160" s="23" t="n"/>
      <c r="L2160" s="23" t="n"/>
      <c r="M2160" s="23" t="n"/>
      <c r="N2160" s="23" t="n"/>
      <c r="O2160" s="20">
        <f>IF(OR(I2160="",COUNT(J2160:N2160)=0),"",IF(SUM(J2160:N2160)=I2160,"✓","⚠ "&amp;SUM(J2160:N2160)&amp;" statt "&amp;I2160))</f>
        <v/>
      </c>
      <c r="P2160" s="21" t="n"/>
      <c r="Q2160" s="21" t="n"/>
      <c r="R2160" s="21" t="n"/>
      <c r="S2160" s="24" t="n"/>
      <c r="T2160" s="24" t="n"/>
      <c r="V2160">
        <f>IF(A2160="","",MONTH(A2160))</f>
        <v/>
      </c>
      <c r="W2160">
        <f>N(W2159)+IF(AND(C2160&lt;&gt;"",T2160&lt;&gt;""),IF(C2160=WOCHE!$B$3,1,0),0)</f>
        <v/>
      </c>
      <c r="X2160">
        <f>N(X2159)+IF(AND(V2160&lt;&gt;"",T2160&lt;&gt;""),IF(V2160=MONAT!$AZ$3,1,0),0)</f>
        <v/>
      </c>
    </row>
    <row r="2161">
      <c r="A2161" s="19" t="n"/>
      <c r="B2161" s="20">
        <f>IF(A2161="","",CHOOSE(WEEKDAY(A2161,2),"Mo","Di","Mi","Do","Fr","Sa","So"))</f>
        <v/>
      </c>
      <c r="C2161" s="20">
        <f>IF(A2161="","",INT((A2161-DATE(YEAR(A2161-WEEKDAY(A2161-1)+4),1,3)+WEEKDAY(DATE(YEAR(A2161-WEEKDAY(A2161-1)+4),1,3))+5)/7))</f>
        <v/>
      </c>
      <c r="D2161" s="21" t="n"/>
      <c r="E2161" s="22" t="n"/>
      <c r="F2161" s="23" t="n"/>
      <c r="G2161" s="23" t="n"/>
      <c r="H2161" s="23" t="n"/>
      <c r="I2161" s="20">
        <f>IF(COUNT(F2161:H2161)=0,"",SUM(F2161:H2161))</f>
        <v/>
      </c>
      <c r="J2161" s="23" t="n"/>
      <c r="K2161" s="23" t="n"/>
      <c r="L2161" s="23" t="n"/>
      <c r="M2161" s="23" t="n"/>
      <c r="N2161" s="23" t="n"/>
      <c r="O2161" s="20">
        <f>IF(OR(I2161="",COUNT(J2161:N2161)=0),"",IF(SUM(J2161:N2161)=I2161,"✓","⚠ "&amp;SUM(J2161:N2161)&amp;" statt "&amp;I2161))</f>
        <v/>
      </c>
      <c r="P2161" s="21" t="n"/>
      <c r="Q2161" s="21" t="n"/>
      <c r="R2161" s="21" t="n"/>
      <c r="S2161" s="24" t="n"/>
      <c r="T2161" s="24" t="n"/>
      <c r="V2161">
        <f>IF(A2161="","",MONTH(A2161))</f>
        <v/>
      </c>
      <c r="W2161">
        <f>N(W2160)+IF(AND(C2161&lt;&gt;"",T2161&lt;&gt;""),IF(C2161=WOCHE!$B$3,1,0),0)</f>
        <v/>
      </c>
      <c r="X2161">
        <f>N(X2160)+IF(AND(V2161&lt;&gt;"",T2161&lt;&gt;""),IF(V2161=MONAT!$AZ$3,1,0),0)</f>
        <v/>
      </c>
    </row>
    <row r="2162">
      <c r="A2162" s="19" t="n"/>
      <c r="B2162" s="20">
        <f>IF(A2162="","",CHOOSE(WEEKDAY(A2162,2),"Mo","Di","Mi","Do","Fr","Sa","So"))</f>
        <v/>
      </c>
      <c r="C2162" s="20">
        <f>IF(A2162="","",INT((A2162-DATE(YEAR(A2162-WEEKDAY(A2162-1)+4),1,3)+WEEKDAY(DATE(YEAR(A2162-WEEKDAY(A2162-1)+4),1,3))+5)/7))</f>
        <v/>
      </c>
      <c r="D2162" s="21" t="n"/>
      <c r="E2162" s="22" t="n"/>
      <c r="F2162" s="23" t="n"/>
      <c r="G2162" s="23" t="n"/>
      <c r="H2162" s="23" t="n"/>
      <c r="I2162" s="20">
        <f>IF(COUNT(F2162:H2162)=0,"",SUM(F2162:H2162))</f>
        <v/>
      </c>
      <c r="J2162" s="23" t="n"/>
      <c r="K2162" s="23" t="n"/>
      <c r="L2162" s="23" t="n"/>
      <c r="M2162" s="23" t="n"/>
      <c r="N2162" s="23" t="n"/>
      <c r="O2162" s="20">
        <f>IF(OR(I2162="",COUNT(J2162:N2162)=0),"",IF(SUM(J2162:N2162)=I2162,"✓","⚠ "&amp;SUM(J2162:N2162)&amp;" statt "&amp;I2162))</f>
        <v/>
      </c>
      <c r="P2162" s="21" t="n"/>
      <c r="Q2162" s="21" t="n"/>
      <c r="R2162" s="21" t="n"/>
      <c r="S2162" s="24" t="n"/>
      <c r="T2162" s="24" t="n"/>
      <c r="V2162">
        <f>IF(A2162="","",MONTH(A2162))</f>
        <v/>
      </c>
      <c r="W2162">
        <f>N(W2161)+IF(AND(C2162&lt;&gt;"",T2162&lt;&gt;""),IF(C2162=WOCHE!$B$3,1,0),0)</f>
        <v/>
      </c>
      <c r="X2162">
        <f>N(X2161)+IF(AND(V2162&lt;&gt;"",T2162&lt;&gt;""),IF(V2162=MONAT!$AZ$3,1,0),0)</f>
        <v/>
      </c>
    </row>
    <row r="2163">
      <c r="A2163" s="19" t="n"/>
      <c r="B2163" s="20">
        <f>IF(A2163="","",CHOOSE(WEEKDAY(A2163,2),"Mo","Di","Mi","Do","Fr","Sa","So"))</f>
        <v/>
      </c>
      <c r="C2163" s="20">
        <f>IF(A2163="","",INT((A2163-DATE(YEAR(A2163-WEEKDAY(A2163-1)+4),1,3)+WEEKDAY(DATE(YEAR(A2163-WEEKDAY(A2163-1)+4),1,3))+5)/7))</f>
        <v/>
      </c>
      <c r="D2163" s="21" t="n"/>
      <c r="E2163" s="22" t="n"/>
      <c r="F2163" s="23" t="n"/>
      <c r="G2163" s="23" t="n"/>
      <c r="H2163" s="23" t="n"/>
      <c r="I2163" s="20">
        <f>IF(COUNT(F2163:H2163)=0,"",SUM(F2163:H2163))</f>
        <v/>
      </c>
      <c r="J2163" s="23" t="n"/>
      <c r="K2163" s="23" t="n"/>
      <c r="L2163" s="23" t="n"/>
      <c r="M2163" s="23" t="n"/>
      <c r="N2163" s="23" t="n"/>
      <c r="O2163" s="20">
        <f>IF(OR(I2163="",COUNT(J2163:N2163)=0),"",IF(SUM(J2163:N2163)=I2163,"✓","⚠ "&amp;SUM(J2163:N2163)&amp;" statt "&amp;I2163))</f>
        <v/>
      </c>
      <c r="P2163" s="21" t="n"/>
      <c r="Q2163" s="21" t="n"/>
      <c r="R2163" s="21" t="n"/>
      <c r="S2163" s="24" t="n"/>
      <c r="T2163" s="24" t="n"/>
      <c r="V2163">
        <f>IF(A2163="","",MONTH(A2163))</f>
        <v/>
      </c>
      <c r="W2163">
        <f>N(W2162)+IF(AND(C2163&lt;&gt;"",T2163&lt;&gt;""),IF(C2163=WOCHE!$B$3,1,0),0)</f>
        <v/>
      </c>
      <c r="X2163">
        <f>N(X2162)+IF(AND(V2163&lt;&gt;"",T2163&lt;&gt;""),IF(V2163=MONAT!$AZ$3,1,0),0)</f>
        <v/>
      </c>
    </row>
    <row r="2164">
      <c r="A2164" s="19" t="n"/>
      <c r="B2164" s="20">
        <f>IF(A2164="","",CHOOSE(WEEKDAY(A2164,2),"Mo","Di","Mi","Do","Fr","Sa","So"))</f>
        <v/>
      </c>
      <c r="C2164" s="20">
        <f>IF(A2164="","",INT((A2164-DATE(YEAR(A2164-WEEKDAY(A2164-1)+4),1,3)+WEEKDAY(DATE(YEAR(A2164-WEEKDAY(A2164-1)+4),1,3))+5)/7))</f>
        <v/>
      </c>
      <c r="D2164" s="21" t="n"/>
      <c r="E2164" s="22" t="n"/>
      <c r="F2164" s="23" t="n"/>
      <c r="G2164" s="23" t="n"/>
      <c r="H2164" s="23" t="n"/>
      <c r="I2164" s="20">
        <f>IF(COUNT(F2164:H2164)=0,"",SUM(F2164:H2164))</f>
        <v/>
      </c>
      <c r="J2164" s="23" t="n"/>
      <c r="K2164" s="23" t="n"/>
      <c r="L2164" s="23" t="n"/>
      <c r="M2164" s="23" t="n"/>
      <c r="N2164" s="23" t="n"/>
      <c r="O2164" s="20">
        <f>IF(OR(I2164="",COUNT(J2164:N2164)=0),"",IF(SUM(J2164:N2164)=I2164,"✓","⚠ "&amp;SUM(J2164:N2164)&amp;" statt "&amp;I2164))</f>
        <v/>
      </c>
      <c r="P2164" s="21" t="n"/>
      <c r="Q2164" s="21" t="n"/>
      <c r="R2164" s="21" t="n"/>
      <c r="S2164" s="24" t="n"/>
      <c r="T2164" s="24" t="n"/>
      <c r="V2164">
        <f>IF(A2164="","",MONTH(A2164))</f>
        <v/>
      </c>
      <c r="W2164">
        <f>N(W2163)+IF(AND(C2164&lt;&gt;"",T2164&lt;&gt;""),IF(C2164=WOCHE!$B$3,1,0),0)</f>
        <v/>
      </c>
      <c r="X2164">
        <f>N(X2163)+IF(AND(V2164&lt;&gt;"",T2164&lt;&gt;""),IF(V2164=MONAT!$AZ$3,1,0),0)</f>
        <v/>
      </c>
    </row>
    <row r="2165">
      <c r="A2165" s="19" t="n"/>
      <c r="B2165" s="20">
        <f>IF(A2165="","",CHOOSE(WEEKDAY(A2165,2),"Mo","Di","Mi","Do","Fr","Sa","So"))</f>
        <v/>
      </c>
      <c r="C2165" s="20">
        <f>IF(A2165="","",INT((A2165-DATE(YEAR(A2165-WEEKDAY(A2165-1)+4),1,3)+WEEKDAY(DATE(YEAR(A2165-WEEKDAY(A2165-1)+4),1,3))+5)/7))</f>
        <v/>
      </c>
      <c r="D2165" s="21" t="n"/>
      <c r="E2165" s="22" t="n"/>
      <c r="F2165" s="23" t="n"/>
      <c r="G2165" s="23" t="n"/>
      <c r="H2165" s="23" t="n"/>
      <c r="I2165" s="20">
        <f>IF(COUNT(F2165:H2165)=0,"",SUM(F2165:H2165))</f>
        <v/>
      </c>
      <c r="J2165" s="23" t="n"/>
      <c r="K2165" s="23" t="n"/>
      <c r="L2165" s="23" t="n"/>
      <c r="M2165" s="23" t="n"/>
      <c r="N2165" s="23" t="n"/>
      <c r="O2165" s="20">
        <f>IF(OR(I2165="",COUNT(J2165:N2165)=0),"",IF(SUM(J2165:N2165)=I2165,"✓","⚠ "&amp;SUM(J2165:N2165)&amp;" statt "&amp;I2165))</f>
        <v/>
      </c>
      <c r="P2165" s="21" t="n"/>
      <c r="Q2165" s="21" t="n"/>
      <c r="R2165" s="21" t="n"/>
      <c r="S2165" s="24" t="n"/>
      <c r="T2165" s="24" t="n"/>
      <c r="V2165">
        <f>IF(A2165="","",MONTH(A2165))</f>
        <v/>
      </c>
      <c r="W2165">
        <f>N(W2164)+IF(AND(C2165&lt;&gt;"",T2165&lt;&gt;""),IF(C2165=WOCHE!$B$3,1,0),0)</f>
        <v/>
      </c>
      <c r="X2165">
        <f>N(X2164)+IF(AND(V2165&lt;&gt;"",T2165&lt;&gt;""),IF(V2165=MONAT!$AZ$3,1,0),0)</f>
        <v/>
      </c>
    </row>
    <row r="2166">
      <c r="A2166" s="19" t="n"/>
      <c r="B2166" s="20">
        <f>IF(A2166="","",CHOOSE(WEEKDAY(A2166,2),"Mo","Di","Mi","Do","Fr","Sa","So"))</f>
        <v/>
      </c>
      <c r="C2166" s="20">
        <f>IF(A2166="","",INT((A2166-DATE(YEAR(A2166-WEEKDAY(A2166-1)+4),1,3)+WEEKDAY(DATE(YEAR(A2166-WEEKDAY(A2166-1)+4),1,3))+5)/7))</f>
        <v/>
      </c>
      <c r="D2166" s="21" t="n"/>
      <c r="E2166" s="22" t="n"/>
      <c r="F2166" s="23" t="n"/>
      <c r="G2166" s="23" t="n"/>
      <c r="H2166" s="23" t="n"/>
      <c r="I2166" s="20">
        <f>IF(COUNT(F2166:H2166)=0,"",SUM(F2166:H2166))</f>
        <v/>
      </c>
      <c r="J2166" s="23" t="n"/>
      <c r="K2166" s="23" t="n"/>
      <c r="L2166" s="23" t="n"/>
      <c r="M2166" s="23" t="n"/>
      <c r="N2166" s="23" t="n"/>
      <c r="O2166" s="20">
        <f>IF(OR(I2166="",COUNT(J2166:N2166)=0),"",IF(SUM(J2166:N2166)=I2166,"✓","⚠ "&amp;SUM(J2166:N2166)&amp;" statt "&amp;I2166))</f>
        <v/>
      </c>
      <c r="P2166" s="21" t="n"/>
      <c r="Q2166" s="21" t="n"/>
      <c r="R2166" s="21" t="n"/>
      <c r="S2166" s="24" t="n"/>
      <c r="T2166" s="24" t="n"/>
      <c r="V2166">
        <f>IF(A2166="","",MONTH(A2166))</f>
        <v/>
      </c>
      <c r="W2166">
        <f>N(W2165)+IF(AND(C2166&lt;&gt;"",T2166&lt;&gt;""),IF(C2166=WOCHE!$B$3,1,0),0)</f>
        <v/>
      </c>
      <c r="X2166">
        <f>N(X2165)+IF(AND(V2166&lt;&gt;"",T2166&lt;&gt;""),IF(V2166=MONAT!$AZ$3,1,0),0)</f>
        <v/>
      </c>
    </row>
    <row r="2167">
      <c r="A2167" s="19" t="n"/>
      <c r="B2167" s="20">
        <f>IF(A2167="","",CHOOSE(WEEKDAY(A2167,2),"Mo","Di","Mi","Do","Fr","Sa","So"))</f>
        <v/>
      </c>
      <c r="C2167" s="20">
        <f>IF(A2167="","",INT((A2167-DATE(YEAR(A2167-WEEKDAY(A2167-1)+4),1,3)+WEEKDAY(DATE(YEAR(A2167-WEEKDAY(A2167-1)+4),1,3))+5)/7))</f>
        <v/>
      </c>
      <c r="D2167" s="21" t="n"/>
      <c r="E2167" s="22" t="n"/>
      <c r="F2167" s="23" t="n"/>
      <c r="G2167" s="23" t="n"/>
      <c r="H2167" s="23" t="n"/>
      <c r="I2167" s="20">
        <f>IF(COUNT(F2167:H2167)=0,"",SUM(F2167:H2167))</f>
        <v/>
      </c>
      <c r="J2167" s="23" t="n"/>
      <c r="K2167" s="23" t="n"/>
      <c r="L2167" s="23" t="n"/>
      <c r="M2167" s="23" t="n"/>
      <c r="N2167" s="23" t="n"/>
      <c r="O2167" s="20">
        <f>IF(OR(I2167="",COUNT(J2167:N2167)=0),"",IF(SUM(J2167:N2167)=I2167,"✓","⚠ "&amp;SUM(J2167:N2167)&amp;" statt "&amp;I2167))</f>
        <v/>
      </c>
      <c r="P2167" s="21" t="n"/>
      <c r="Q2167" s="21" t="n"/>
      <c r="R2167" s="21" t="n"/>
      <c r="S2167" s="24" t="n"/>
      <c r="T2167" s="24" t="n"/>
      <c r="V2167">
        <f>IF(A2167="","",MONTH(A2167))</f>
        <v/>
      </c>
      <c r="W2167">
        <f>N(W2166)+IF(AND(C2167&lt;&gt;"",T2167&lt;&gt;""),IF(C2167=WOCHE!$B$3,1,0),0)</f>
        <v/>
      </c>
      <c r="X2167">
        <f>N(X2166)+IF(AND(V2167&lt;&gt;"",T2167&lt;&gt;""),IF(V2167=MONAT!$AZ$3,1,0),0)</f>
        <v/>
      </c>
    </row>
    <row r="2168">
      <c r="A2168" s="19" t="n"/>
      <c r="B2168" s="20">
        <f>IF(A2168="","",CHOOSE(WEEKDAY(A2168,2),"Mo","Di","Mi","Do","Fr","Sa","So"))</f>
        <v/>
      </c>
      <c r="C2168" s="20">
        <f>IF(A2168="","",INT((A2168-DATE(YEAR(A2168-WEEKDAY(A2168-1)+4),1,3)+WEEKDAY(DATE(YEAR(A2168-WEEKDAY(A2168-1)+4),1,3))+5)/7))</f>
        <v/>
      </c>
      <c r="D2168" s="21" t="n"/>
      <c r="E2168" s="22" t="n"/>
      <c r="F2168" s="23" t="n"/>
      <c r="G2168" s="23" t="n"/>
      <c r="H2168" s="23" t="n"/>
      <c r="I2168" s="20">
        <f>IF(COUNT(F2168:H2168)=0,"",SUM(F2168:H2168))</f>
        <v/>
      </c>
      <c r="J2168" s="23" t="n"/>
      <c r="K2168" s="23" t="n"/>
      <c r="L2168" s="23" t="n"/>
      <c r="M2168" s="23" t="n"/>
      <c r="N2168" s="23" t="n"/>
      <c r="O2168" s="20">
        <f>IF(OR(I2168="",COUNT(J2168:N2168)=0),"",IF(SUM(J2168:N2168)=I2168,"✓","⚠ "&amp;SUM(J2168:N2168)&amp;" statt "&amp;I2168))</f>
        <v/>
      </c>
      <c r="P2168" s="21" t="n"/>
      <c r="Q2168" s="21" t="n"/>
      <c r="R2168" s="21" t="n"/>
      <c r="S2168" s="24" t="n"/>
      <c r="T2168" s="24" t="n"/>
      <c r="V2168">
        <f>IF(A2168="","",MONTH(A2168))</f>
        <v/>
      </c>
      <c r="W2168">
        <f>N(W2167)+IF(AND(C2168&lt;&gt;"",T2168&lt;&gt;""),IF(C2168=WOCHE!$B$3,1,0),0)</f>
        <v/>
      </c>
      <c r="X2168">
        <f>N(X2167)+IF(AND(V2168&lt;&gt;"",T2168&lt;&gt;""),IF(V2168=MONAT!$AZ$3,1,0),0)</f>
        <v/>
      </c>
    </row>
    <row r="2169">
      <c r="A2169" s="19" t="n"/>
      <c r="B2169" s="20">
        <f>IF(A2169="","",CHOOSE(WEEKDAY(A2169,2),"Mo","Di","Mi","Do","Fr","Sa","So"))</f>
        <v/>
      </c>
      <c r="C2169" s="20">
        <f>IF(A2169="","",INT((A2169-DATE(YEAR(A2169-WEEKDAY(A2169-1)+4),1,3)+WEEKDAY(DATE(YEAR(A2169-WEEKDAY(A2169-1)+4),1,3))+5)/7))</f>
        <v/>
      </c>
      <c r="D2169" s="21" t="n"/>
      <c r="E2169" s="22" t="n"/>
      <c r="F2169" s="23" t="n"/>
      <c r="G2169" s="23" t="n"/>
      <c r="H2169" s="23" t="n"/>
      <c r="I2169" s="20">
        <f>IF(COUNT(F2169:H2169)=0,"",SUM(F2169:H2169))</f>
        <v/>
      </c>
      <c r="J2169" s="23" t="n"/>
      <c r="K2169" s="23" t="n"/>
      <c r="L2169" s="23" t="n"/>
      <c r="M2169" s="23" t="n"/>
      <c r="N2169" s="23" t="n"/>
      <c r="O2169" s="20">
        <f>IF(OR(I2169="",COUNT(J2169:N2169)=0),"",IF(SUM(J2169:N2169)=I2169,"✓","⚠ "&amp;SUM(J2169:N2169)&amp;" statt "&amp;I2169))</f>
        <v/>
      </c>
      <c r="P2169" s="21" t="n"/>
      <c r="Q2169" s="21" t="n"/>
      <c r="R2169" s="21" t="n"/>
      <c r="S2169" s="24" t="n"/>
      <c r="T2169" s="24" t="n"/>
      <c r="V2169">
        <f>IF(A2169="","",MONTH(A2169))</f>
        <v/>
      </c>
      <c r="W2169">
        <f>N(W2168)+IF(AND(C2169&lt;&gt;"",T2169&lt;&gt;""),IF(C2169=WOCHE!$B$3,1,0),0)</f>
        <v/>
      </c>
      <c r="X2169">
        <f>N(X2168)+IF(AND(V2169&lt;&gt;"",T2169&lt;&gt;""),IF(V2169=MONAT!$AZ$3,1,0),0)</f>
        <v/>
      </c>
    </row>
    <row r="2170">
      <c r="A2170" s="19" t="n"/>
      <c r="B2170" s="20">
        <f>IF(A2170="","",CHOOSE(WEEKDAY(A2170,2),"Mo","Di","Mi","Do","Fr","Sa","So"))</f>
        <v/>
      </c>
      <c r="C2170" s="20">
        <f>IF(A2170="","",INT((A2170-DATE(YEAR(A2170-WEEKDAY(A2170-1)+4),1,3)+WEEKDAY(DATE(YEAR(A2170-WEEKDAY(A2170-1)+4),1,3))+5)/7))</f>
        <v/>
      </c>
      <c r="D2170" s="21" t="n"/>
      <c r="E2170" s="22" t="n"/>
      <c r="F2170" s="23" t="n"/>
      <c r="G2170" s="23" t="n"/>
      <c r="H2170" s="23" t="n"/>
      <c r="I2170" s="20">
        <f>IF(COUNT(F2170:H2170)=0,"",SUM(F2170:H2170))</f>
        <v/>
      </c>
      <c r="J2170" s="23" t="n"/>
      <c r="K2170" s="23" t="n"/>
      <c r="L2170" s="23" t="n"/>
      <c r="M2170" s="23" t="n"/>
      <c r="N2170" s="23" t="n"/>
      <c r="O2170" s="20">
        <f>IF(OR(I2170="",COUNT(J2170:N2170)=0),"",IF(SUM(J2170:N2170)=I2170,"✓","⚠ "&amp;SUM(J2170:N2170)&amp;" statt "&amp;I2170))</f>
        <v/>
      </c>
      <c r="P2170" s="21" t="n"/>
      <c r="Q2170" s="21" t="n"/>
      <c r="R2170" s="21" t="n"/>
      <c r="S2170" s="24" t="n"/>
      <c r="T2170" s="24" t="n"/>
      <c r="V2170">
        <f>IF(A2170="","",MONTH(A2170))</f>
        <v/>
      </c>
      <c r="W2170">
        <f>N(W2169)+IF(AND(C2170&lt;&gt;"",T2170&lt;&gt;""),IF(C2170=WOCHE!$B$3,1,0),0)</f>
        <v/>
      </c>
      <c r="X2170">
        <f>N(X2169)+IF(AND(V2170&lt;&gt;"",T2170&lt;&gt;""),IF(V2170=MONAT!$AZ$3,1,0),0)</f>
        <v/>
      </c>
    </row>
    <row r="2171">
      <c r="A2171" s="19" t="n"/>
      <c r="B2171" s="20">
        <f>IF(A2171="","",CHOOSE(WEEKDAY(A2171,2),"Mo","Di","Mi","Do","Fr","Sa","So"))</f>
        <v/>
      </c>
      <c r="C2171" s="20">
        <f>IF(A2171="","",INT((A2171-DATE(YEAR(A2171-WEEKDAY(A2171-1)+4),1,3)+WEEKDAY(DATE(YEAR(A2171-WEEKDAY(A2171-1)+4),1,3))+5)/7))</f>
        <v/>
      </c>
      <c r="D2171" s="21" t="n"/>
      <c r="E2171" s="22" t="n"/>
      <c r="F2171" s="23" t="n"/>
      <c r="G2171" s="23" t="n"/>
      <c r="H2171" s="23" t="n"/>
      <c r="I2171" s="20">
        <f>IF(COUNT(F2171:H2171)=0,"",SUM(F2171:H2171))</f>
        <v/>
      </c>
      <c r="J2171" s="23" t="n"/>
      <c r="K2171" s="23" t="n"/>
      <c r="L2171" s="23" t="n"/>
      <c r="M2171" s="23" t="n"/>
      <c r="N2171" s="23" t="n"/>
      <c r="O2171" s="20">
        <f>IF(OR(I2171="",COUNT(J2171:N2171)=0),"",IF(SUM(J2171:N2171)=I2171,"✓","⚠ "&amp;SUM(J2171:N2171)&amp;" statt "&amp;I2171))</f>
        <v/>
      </c>
      <c r="P2171" s="21" t="n"/>
      <c r="Q2171" s="21" t="n"/>
      <c r="R2171" s="21" t="n"/>
      <c r="S2171" s="24" t="n"/>
      <c r="T2171" s="24" t="n"/>
      <c r="V2171">
        <f>IF(A2171="","",MONTH(A2171))</f>
        <v/>
      </c>
      <c r="W2171">
        <f>N(W2170)+IF(AND(C2171&lt;&gt;"",T2171&lt;&gt;""),IF(C2171=WOCHE!$B$3,1,0),0)</f>
        <v/>
      </c>
      <c r="X2171">
        <f>N(X2170)+IF(AND(V2171&lt;&gt;"",T2171&lt;&gt;""),IF(V2171=MONAT!$AZ$3,1,0),0)</f>
        <v/>
      </c>
    </row>
    <row r="2172">
      <c r="A2172" s="19" t="n"/>
      <c r="B2172" s="20">
        <f>IF(A2172="","",CHOOSE(WEEKDAY(A2172,2),"Mo","Di","Mi","Do","Fr","Sa","So"))</f>
        <v/>
      </c>
      <c r="C2172" s="20">
        <f>IF(A2172="","",INT((A2172-DATE(YEAR(A2172-WEEKDAY(A2172-1)+4),1,3)+WEEKDAY(DATE(YEAR(A2172-WEEKDAY(A2172-1)+4),1,3))+5)/7))</f>
        <v/>
      </c>
      <c r="D2172" s="21" t="n"/>
      <c r="E2172" s="22" t="n"/>
      <c r="F2172" s="23" t="n"/>
      <c r="G2172" s="23" t="n"/>
      <c r="H2172" s="23" t="n"/>
      <c r="I2172" s="20">
        <f>IF(COUNT(F2172:H2172)=0,"",SUM(F2172:H2172))</f>
        <v/>
      </c>
      <c r="J2172" s="23" t="n"/>
      <c r="K2172" s="23" t="n"/>
      <c r="L2172" s="23" t="n"/>
      <c r="M2172" s="23" t="n"/>
      <c r="N2172" s="23" t="n"/>
      <c r="O2172" s="20">
        <f>IF(OR(I2172="",COUNT(J2172:N2172)=0),"",IF(SUM(J2172:N2172)=I2172,"✓","⚠ "&amp;SUM(J2172:N2172)&amp;" statt "&amp;I2172))</f>
        <v/>
      </c>
      <c r="P2172" s="21" t="n"/>
      <c r="Q2172" s="21" t="n"/>
      <c r="R2172" s="21" t="n"/>
      <c r="S2172" s="24" t="n"/>
      <c r="T2172" s="24" t="n"/>
      <c r="V2172">
        <f>IF(A2172="","",MONTH(A2172))</f>
        <v/>
      </c>
      <c r="W2172">
        <f>N(W2171)+IF(AND(C2172&lt;&gt;"",T2172&lt;&gt;""),IF(C2172=WOCHE!$B$3,1,0),0)</f>
        <v/>
      </c>
      <c r="X2172">
        <f>N(X2171)+IF(AND(V2172&lt;&gt;"",T2172&lt;&gt;""),IF(V2172=MONAT!$AZ$3,1,0),0)</f>
        <v/>
      </c>
    </row>
    <row r="2173">
      <c r="A2173" s="19" t="n"/>
      <c r="B2173" s="20">
        <f>IF(A2173="","",CHOOSE(WEEKDAY(A2173,2),"Mo","Di","Mi","Do","Fr","Sa","So"))</f>
        <v/>
      </c>
      <c r="C2173" s="20">
        <f>IF(A2173="","",INT((A2173-DATE(YEAR(A2173-WEEKDAY(A2173-1)+4),1,3)+WEEKDAY(DATE(YEAR(A2173-WEEKDAY(A2173-1)+4),1,3))+5)/7))</f>
        <v/>
      </c>
      <c r="D2173" s="21" t="n"/>
      <c r="E2173" s="22" t="n"/>
      <c r="F2173" s="23" t="n"/>
      <c r="G2173" s="23" t="n"/>
      <c r="H2173" s="23" t="n"/>
      <c r="I2173" s="20">
        <f>IF(COUNT(F2173:H2173)=0,"",SUM(F2173:H2173))</f>
        <v/>
      </c>
      <c r="J2173" s="23" t="n"/>
      <c r="K2173" s="23" t="n"/>
      <c r="L2173" s="23" t="n"/>
      <c r="M2173" s="23" t="n"/>
      <c r="N2173" s="23" t="n"/>
      <c r="O2173" s="20">
        <f>IF(OR(I2173="",COUNT(J2173:N2173)=0),"",IF(SUM(J2173:N2173)=I2173,"✓","⚠ "&amp;SUM(J2173:N2173)&amp;" statt "&amp;I2173))</f>
        <v/>
      </c>
      <c r="P2173" s="21" t="n"/>
      <c r="Q2173" s="21" t="n"/>
      <c r="R2173" s="21" t="n"/>
      <c r="S2173" s="24" t="n"/>
      <c r="T2173" s="24" t="n"/>
      <c r="V2173">
        <f>IF(A2173="","",MONTH(A2173))</f>
        <v/>
      </c>
      <c r="W2173">
        <f>N(W2172)+IF(AND(C2173&lt;&gt;"",T2173&lt;&gt;""),IF(C2173=WOCHE!$B$3,1,0),0)</f>
        <v/>
      </c>
      <c r="X2173">
        <f>N(X2172)+IF(AND(V2173&lt;&gt;"",T2173&lt;&gt;""),IF(V2173=MONAT!$AZ$3,1,0),0)</f>
        <v/>
      </c>
    </row>
    <row r="2174">
      <c r="A2174" s="19" t="n"/>
      <c r="B2174" s="20">
        <f>IF(A2174="","",CHOOSE(WEEKDAY(A2174,2),"Mo","Di","Mi","Do","Fr","Sa","So"))</f>
        <v/>
      </c>
      <c r="C2174" s="20">
        <f>IF(A2174="","",INT((A2174-DATE(YEAR(A2174-WEEKDAY(A2174-1)+4),1,3)+WEEKDAY(DATE(YEAR(A2174-WEEKDAY(A2174-1)+4),1,3))+5)/7))</f>
        <v/>
      </c>
      <c r="D2174" s="21" t="n"/>
      <c r="E2174" s="22" t="n"/>
      <c r="F2174" s="23" t="n"/>
      <c r="G2174" s="23" t="n"/>
      <c r="H2174" s="23" t="n"/>
      <c r="I2174" s="20">
        <f>IF(COUNT(F2174:H2174)=0,"",SUM(F2174:H2174))</f>
        <v/>
      </c>
      <c r="J2174" s="23" t="n"/>
      <c r="K2174" s="23" t="n"/>
      <c r="L2174" s="23" t="n"/>
      <c r="M2174" s="23" t="n"/>
      <c r="N2174" s="23" t="n"/>
      <c r="O2174" s="20">
        <f>IF(OR(I2174="",COUNT(J2174:N2174)=0),"",IF(SUM(J2174:N2174)=I2174,"✓","⚠ "&amp;SUM(J2174:N2174)&amp;" statt "&amp;I2174))</f>
        <v/>
      </c>
      <c r="P2174" s="21" t="n"/>
      <c r="Q2174" s="21" t="n"/>
      <c r="R2174" s="21" t="n"/>
      <c r="S2174" s="24" t="n"/>
      <c r="T2174" s="24" t="n"/>
      <c r="V2174">
        <f>IF(A2174="","",MONTH(A2174))</f>
        <v/>
      </c>
      <c r="W2174">
        <f>N(W2173)+IF(AND(C2174&lt;&gt;"",T2174&lt;&gt;""),IF(C2174=WOCHE!$B$3,1,0),0)</f>
        <v/>
      </c>
      <c r="X2174">
        <f>N(X2173)+IF(AND(V2174&lt;&gt;"",T2174&lt;&gt;""),IF(V2174=MONAT!$AZ$3,1,0),0)</f>
        <v/>
      </c>
    </row>
    <row r="2175">
      <c r="A2175" s="19" t="n"/>
      <c r="B2175" s="20">
        <f>IF(A2175="","",CHOOSE(WEEKDAY(A2175,2),"Mo","Di","Mi","Do","Fr","Sa","So"))</f>
        <v/>
      </c>
      <c r="C2175" s="20">
        <f>IF(A2175="","",INT((A2175-DATE(YEAR(A2175-WEEKDAY(A2175-1)+4),1,3)+WEEKDAY(DATE(YEAR(A2175-WEEKDAY(A2175-1)+4),1,3))+5)/7))</f>
        <v/>
      </c>
      <c r="D2175" s="21" t="n"/>
      <c r="E2175" s="22" t="n"/>
      <c r="F2175" s="23" t="n"/>
      <c r="G2175" s="23" t="n"/>
      <c r="H2175" s="23" t="n"/>
      <c r="I2175" s="20">
        <f>IF(COUNT(F2175:H2175)=0,"",SUM(F2175:H2175))</f>
        <v/>
      </c>
      <c r="J2175" s="23" t="n"/>
      <c r="K2175" s="23" t="n"/>
      <c r="L2175" s="23" t="n"/>
      <c r="M2175" s="23" t="n"/>
      <c r="N2175" s="23" t="n"/>
      <c r="O2175" s="20">
        <f>IF(OR(I2175="",COUNT(J2175:N2175)=0),"",IF(SUM(J2175:N2175)=I2175,"✓","⚠ "&amp;SUM(J2175:N2175)&amp;" statt "&amp;I2175))</f>
        <v/>
      </c>
      <c r="P2175" s="21" t="n"/>
      <c r="Q2175" s="21" t="n"/>
      <c r="R2175" s="21" t="n"/>
      <c r="S2175" s="24" t="n"/>
      <c r="T2175" s="24" t="n"/>
      <c r="V2175">
        <f>IF(A2175="","",MONTH(A2175))</f>
        <v/>
      </c>
      <c r="W2175">
        <f>N(W2174)+IF(AND(C2175&lt;&gt;"",T2175&lt;&gt;""),IF(C2175=WOCHE!$B$3,1,0),0)</f>
        <v/>
      </c>
      <c r="X2175">
        <f>N(X2174)+IF(AND(V2175&lt;&gt;"",T2175&lt;&gt;""),IF(V2175=MONAT!$AZ$3,1,0),0)</f>
        <v/>
      </c>
    </row>
    <row r="2176">
      <c r="A2176" s="19" t="n"/>
      <c r="B2176" s="20">
        <f>IF(A2176="","",CHOOSE(WEEKDAY(A2176,2),"Mo","Di","Mi","Do","Fr","Sa","So"))</f>
        <v/>
      </c>
      <c r="C2176" s="20">
        <f>IF(A2176="","",INT((A2176-DATE(YEAR(A2176-WEEKDAY(A2176-1)+4),1,3)+WEEKDAY(DATE(YEAR(A2176-WEEKDAY(A2176-1)+4),1,3))+5)/7))</f>
        <v/>
      </c>
      <c r="D2176" s="21" t="n"/>
      <c r="E2176" s="22" t="n"/>
      <c r="F2176" s="23" t="n"/>
      <c r="G2176" s="23" t="n"/>
      <c r="H2176" s="23" t="n"/>
      <c r="I2176" s="20">
        <f>IF(COUNT(F2176:H2176)=0,"",SUM(F2176:H2176))</f>
        <v/>
      </c>
      <c r="J2176" s="23" t="n"/>
      <c r="K2176" s="23" t="n"/>
      <c r="L2176" s="23" t="n"/>
      <c r="M2176" s="23" t="n"/>
      <c r="N2176" s="23" t="n"/>
      <c r="O2176" s="20">
        <f>IF(OR(I2176="",COUNT(J2176:N2176)=0),"",IF(SUM(J2176:N2176)=I2176,"✓","⚠ "&amp;SUM(J2176:N2176)&amp;" statt "&amp;I2176))</f>
        <v/>
      </c>
      <c r="P2176" s="21" t="n"/>
      <c r="Q2176" s="21" t="n"/>
      <c r="R2176" s="21" t="n"/>
      <c r="S2176" s="24" t="n"/>
      <c r="T2176" s="24" t="n"/>
      <c r="V2176">
        <f>IF(A2176="","",MONTH(A2176))</f>
        <v/>
      </c>
      <c r="W2176">
        <f>N(W2175)+IF(AND(C2176&lt;&gt;"",T2176&lt;&gt;""),IF(C2176=WOCHE!$B$3,1,0),0)</f>
        <v/>
      </c>
      <c r="X2176">
        <f>N(X2175)+IF(AND(V2176&lt;&gt;"",T2176&lt;&gt;""),IF(V2176=MONAT!$AZ$3,1,0),0)</f>
        <v/>
      </c>
    </row>
    <row r="2177">
      <c r="A2177" s="19" t="n"/>
      <c r="B2177" s="20">
        <f>IF(A2177="","",CHOOSE(WEEKDAY(A2177,2),"Mo","Di","Mi","Do","Fr","Sa","So"))</f>
        <v/>
      </c>
      <c r="C2177" s="20">
        <f>IF(A2177="","",INT((A2177-DATE(YEAR(A2177-WEEKDAY(A2177-1)+4),1,3)+WEEKDAY(DATE(YEAR(A2177-WEEKDAY(A2177-1)+4),1,3))+5)/7))</f>
        <v/>
      </c>
      <c r="D2177" s="21" t="n"/>
      <c r="E2177" s="22" t="n"/>
      <c r="F2177" s="23" t="n"/>
      <c r="G2177" s="23" t="n"/>
      <c r="H2177" s="23" t="n"/>
      <c r="I2177" s="20">
        <f>IF(COUNT(F2177:H2177)=0,"",SUM(F2177:H2177))</f>
        <v/>
      </c>
      <c r="J2177" s="23" t="n"/>
      <c r="K2177" s="23" t="n"/>
      <c r="L2177" s="23" t="n"/>
      <c r="M2177" s="23" t="n"/>
      <c r="N2177" s="23" t="n"/>
      <c r="O2177" s="20">
        <f>IF(OR(I2177="",COUNT(J2177:N2177)=0),"",IF(SUM(J2177:N2177)=I2177,"✓","⚠ "&amp;SUM(J2177:N2177)&amp;" statt "&amp;I2177))</f>
        <v/>
      </c>
      <c r="P2177" s="21" t="n"/>
      <c r="Q2177" s="21" t="n"/>
      <c r="R2177" s="21" t="n"/>
      <c r="S2177" s="24" t="n"/>
      <c r="T2177" s="24" t="n"/>
      <c r="V2177">
        <f>IF(A2177="","",MONTH(A2177))</f>
        <v/>
      </c>
      <c r="W2177">
        <f>N(W2176)+IF(AND(C2177&lt;&gt;"",T2177&lt;&gt;""),IF(C2177=WOCHE!$B$3,1,0),0)</f>
        <v/>
      </c>
      <c r="X2177">
        <f>N(X2176)+IF(AND(V2177&lt;&gt;"",T2177&lt;&gt;""),IF(V2177=MONAT!$AZ$3,1,0),0)</f>
        <v/>
      </c>
    </row>
    <row r="2178">
      <c r="A2178" s="19" t="n"/>
      <c r="B2178" s="20">
        <f>IF(A2178="","",CHOOSE(WEEKDAY(A2178,2),"Mo","Di","Mi","Do","Fr","Sa","So"))</f>
        <v/>
      </c>
      <c r="C2178" s="20">
        <f>IF(A2178="","",INT((A2178-DATE(YEAR(A2178-WEEKDAY(A2178-1)+4),1,3)+WEEKDAY(DATE(YEAR(A2178-WEEKDAY(A2178-1)+4),1,3))+5)/7))</f>
        <v/>
      </c>
      <c r="D2178" s="21" t="n"/>
      <c r="E2178" s="22" t="n"/>
      <c r="F2178" s="23" t="n"/>
      <c r="G2178" s="23" t="n"/>
      <c r="H2178" s="23" t="n"/>
      <c r="I2178" s="20">
        <f>IF(COUNT(F2178:H2178)=0,"",SUM(F2178:H2178))</f>
        <v/>
      </c>
      <c r="J2178" s="23" t="n"/>
      <c r="K2178" s="23" t="n"/>
      <c r="L2178" s="23" t="n"/>
      <c r="M2178" s="23" t="n"/>
      <c r="N2178" s="23" t="n"/>
      <c r="O2178" s="20">
        <f>IF(OR(I2178="",COUNT(J2178:N2178)=0),"",IF(SUM(J2178:N2178)=I2178,"✓","⚠ "&amp;SUM(J2178:N2178)&amp;" statt "&amp;I2178))</f>
        <v/>
      </c>
      <c r="P2178" s="21" t="n"/>
      <c r="Q2178" s="21" t="n"/>
      <c r="R2178" s="21" t="n"/>
      <c r="S2178" s="24" t="n"/>
      <c r="T2178" s="24" t="n"/>
      <c r="V2178">
        <f>IF(A2178="","",MONTH(A2178))</f>
        <v/>
      </c>
      <c r="W2178">
        <f>N(W2177)+IF(AND(C2178&lt;&gt;"",T2178&lt;&gt;""),IF(C2178=WOCHE!$B$3,1,0),0)</f>
        <v/>
      </c>
      <c r="X2178">
        <f>N(X2177)+IF(AND(V2178&lt;&gt;"",T2178&lt;&gt;""),IF(V2178=MONAT!$AZ$3,1,0),0)</f>
        <v/>
      </c>
    </row>
    <row r="2179">
      <c r="A2179" s="19" t="n"/>
      <c r="B2179" s="20">
        <f>IF(A2179="","",CHOOSE(WEEKDAY(A2179,2),"Mo","Di","Mi","Do","Fr","Sa","So"))</f>
        <v/>
      </c>
      <c r="C2179" s="20">
        <f>IF(A2179="","",INT((A2179-DATE(YEAR(A2179-WEEKDAY(A2179-1)+4),1,3)+WEEKDAY(DATE(YEAR(A2179-WEEKDAY(A2179-1)+4),1,3))+5)/7))</f>
        <v/>
      </c>
      <c r="D2179" s="21" t="n"/>
      <c r="E2179" s="22" t="n"/>
      <c r="F2179" s="23" t="n"/>
      <c r="G2179" s="23" t="n"/>
      <c r="H2179" s="23" t="n"/>
      <c r="I2179" s="20">
        <f>IF(COUNT(F2179:H2179)=0,"",SUM(F2179:H2179))</f>
        <v/>
      </c>
      <c r="J2179" s="23" t="n"/>
      <c r="K2179" s="23" t="n"/>
      <c r="L2179" s="23" t="n"/>
      <c r="M2179" s="23" t="n"/>
      <c r="N2179" s="23" t="n"/>
      <c r="O2179" s="20">
        <f>IF(OR(I2179="",COUNT(J2179:N2179)=0),"",IF(SUM(J2179:N2179)=I2179,"✓","⚠ "&amp;SUM(J2179:N2179)&amp;" statt "&amp;I2179))</f>
        <v/>
      </c>
      <c r="P2179" s="21" t="n"/>
      <c r="Q2179" s="21" t="n"/>
      <c r="R2179" s="21" t="n"/>
      <c r="S2179" s="24" t="n"/>
      <c r="T2179" s="24" t="n"/>
      <c r="V2179">
        <f>IF(A2179="","",MONTH(A2179))</f>
        <v/>
      </c>
      <c r="W2179">
        <f>N(W2178)+IF(AND(C2179&lt;&gt;"",T2179&lt;&gt;""),IF(C2179=WOCHE!$B$3,1,0),0)</f>
        <v/>
      </c>
      <c r="X2179">
        <f>N(X2178)+IF(AND(V2179&lt;&gt;"",T2179&lt;&gt;""),IF(V2179=MONAT!$AZ$3,1,0),0)</f>
        <v/>
      </c>
    </row>
    <row r="2180">
      <c r="A2180" s="19" t="n"/>
      <c r="B2180" s="20">
        <f>IF(A2180="","",CHOOSE(WEEKDAY(A2180,2),"Mo","Di","Mi","Do","Fr","Sa","So"))</f>
        <v/>
      </c>
      <c r="C2180" s="20">
        <f>IF(A2180="","",INT((A2180-DATE(YEAR(A2180-WEEKDAY(A2180-1)+4),1,3)+WEEKDAY(DATE(YEAR(A2180-WEEKDAY(A2180-1)+4),1,3))+5)/7))</f>
        <v/>
      </c>
      <c r="D2180" s="21" t="n"/>
      <c r="E2180" s="22" t="n"/>
      <c r="F2180" s="23" t="n"/>
      <c r="G2180" s="23" t="n"/>
      <c r="H2180" s="23" t="n"/>
      <c r="I2180" s="20">
        <f>IF(COUNT(F2180:H2180)=0,"",SUM(F2180:H2180))</f>
        <v/>
      </c>
      <c r="J2180" s="23" t="n"/>
      <c r="K2180" s="23" t="n"/>
      <c r="L2180" s="23" t="n"/>
      <c r="M2180" s="23" t="n"/>
      <c r="N2180" s="23" t="n"/>
      <c r="O2180" s="20">
        <f>IF(OR(I2180="",COUNT(J2180:N2180)=0),"",IF(SUM(J2180:N2180)=I2180,"✓","⚠ "&amp;SUM(J2180:N2180)&amp;" statt "&amp;I2180))</f>
        <v/>
      </c>
      <c r="P2180" s="21" t="n"/>
      <c r="Q2180" s="21" t="n"/>
      <c r="R2180" s="21" t="n"/>
      <c r="S2180" s="24" t="n"/>
      <c r="T2180" s="24" t="n"/>
      <c r="V2180">
        <f>IF(A2180="","",MONTH(A2180))</f>
        <v/>
      </c>
      <c r="W2180">
        <f>N(W2179)+IF(AND(C2180&lt;&gt;"",T2180&lt;&gt;""),IF(C2180=WOCHE!$B$3,1,0),0)</f>
        <v/>
      </c>
      <c r="X2180">
        <f>N(X2179)+IF(AND(V2180&lt;&gt;"",T2180&lt;&gt;""),IF(V2180=MONAT!$AZ$3,1,0),0)</f>
        <v/>
      </c>
    </row>
    <row r="2181">
      <c r="A2181" s="19" t="n"/>
      <c r="B2181" s="20">
        <f>IF(A2181="","",CHOOSE(WEEKDAY(A2181,2),"Mo","Di","Mi","Do","Fr","Sa","So"))</f>
        <v/>
      </c>
      <c r="C2181" s="20">
        <f>IF(A2181="","",INT((A2181-DATE(YEAR(A2181-WEEKDAY(A2181-1)+4),1,3)+WEEKDAY(DATE(YEAR(A2181-WEEKDAY(A2181-1)+4),1,3))+5)/7))</f>
        <v/>
      </c>
      <c r="D2181" s="21" t="n"/>
      <c r="E2181" s="22" t="n"/>
      <c r="F2181" s="23" t="n"/>
      <c r="G2181" s="23" t="n"/>
      <c r="H2181" s="23" t="n"/>
      <c r="I2181" s="20">
        <f>IF(COUNT(F2181:H2181)=0,"",SUM(F2181:H2181))</f>
        <v/>
      </c>
      <c r="J2181" s="23" t="n"/>
      <c r="K2181" s="23" t="n"/>
      <c r="L2181" s="23" t="n"/>
      <c r="M2181" s="23" t="n"/>
      <c r="N2181" s="23" t="n"/>
      <c r="O2181" s="20">
        <f>IF(OR(I2181="",COUNT(J2181:N2181)=0),"",IF(SUM(J2181:N2181)=I2181,"✓","⚠ "&amp;SUM(J2181:N2181)&amp;" statt "&amp;I2181))</f>
        <v/>
      </c>
      <c r="P2181" s="21" t="n"/>
      <c r="Q2181" s="21" t="n"/>
      <c r="R2181" s="21" t="n"/>
      <c r="S2181" s="24" t="n"/>
      <c r="T2181" s="24" t="n"/>
      <c r="V2181">
        <f>IF(A2181="","",MONTH(A2181))</f>
        <v/>
      </c>
      <c r="W2181">
        <f>N(W2180)+IF(AND(C2181&lt;&gt;"",T2181&lt;&gt;""),IF(C2181=WOCHE!$B$3,1,0),0)</f>
        <v/>
      </c>
      <c r="X2181">
        <f>N(X2180)+IF(AND(V2181&lt;&gt;"",T2181&lt;&gt;""),IF(V2181=MONAT!$AZ$3,1,0),0)</f>
        <v/>
      </c>
    </row>
    <row r="2182">
      <c r="A2182" s="19" t="n"/>
      <c r="B2182" s="20">
        <f>IF(A2182="","",CHOOSE(WEEKDAY(A2182,2),"Mo","Di","Mi","Do","Fr","Sa","So"))</f>
        <v/>
      </c>
      <c r="C2182" s="20">
        <f>IF(A2182="","",INT((A2182-DATE(YEAR(A2182-WEEKDAY(A2182-1)+4),1,3)+WEEKDAY(DATE(YEAR(A2182-WEEKDAY(A2182-1)+4),1,3))+5)/7))</f>
        <v/>
      </c>
      <c r="D2182" s="21" t="n"/>
      <c r="E2182" s="22" t="n"/>
      <c r="F2182" s="23" t="n"/>
      <c r="G2182" s="23" t="n"/>
      <c r="H2182" s="23" t="n"/>
      <c r="I2182" s="20">
        <f>IF(COUNT(F2182:H2182)=0,"",SUM(F2182:H2182))</f>
        <v/>
      </c>
      <c r="J2182" s="23" t="n"/>
      <c r="K2182" s="23" t="n"/>
      <c r="L2182" s="23" t="n"/>
      <c r="M2182" s="23" t="n"/>
      <c r="N2182" s="23" t="n"/>
      <c r="O2182" s="20">
        <f>IF(OR(I2182="",COUNT(J2182:N2182)=0),"",IF(SUM(J2182:N2182)=I2182,"✓","⚠ "&amp;SUM(J2182:N2182)&amp;" statt "&amp;I2182))</f>
        <v/>
      </c>
      <c r="P2182" s="21" t="n"/>
      <c r="Q2182" s="21" t="n"/>
      <c r="R2182" s="21" t="n"/>
      <c r="S2182" s="24" t="n"/>
      <c r="T2182" s="24" t="n"/>
      <c r="V2182">
        <f>IF(A2182="","",MONTH(A2182))</f>
        <v/>
      </c>
      <c r="W2182">
        <f>N(W2181)+IF(AND(C2182&lt;&gt;"",T2182&lt;&gt;""),IF(C2182=WOCHE!$B$3,1,0),0)</f>
        <v/>
      </c>
      <c r="X2182">
        <f>N(X2181)+IF(AND(V2182&lt;&gt;"",T2182&lt;&gt;""),IF(V2182=MONAT!$AZ$3,1,0),0)</f>
        <v/>
      </c>
    </row>
    <row r="2183">
      <c r="A2183" s="19" t="n"/>
      <c r="B2183" s="20">
        <f>IF(A2183="","",CHOOSE(WEEKDAY(A2183,2),"Mo","Di","Mi","Do","Fr","Sa","So"))</f>
        <v/>
      </c>
      <c r="C2183" s="20">
        <f>IF(A2183="","",INT((A2183-DATE(YEAR(A2183-WEEKDAY(A2183-1)+4),1,3)+WEEKDAY(DATE(YEAR(A2183-WEEKDAY(A2183-1)+4),1,3))+5)/7))</f>
        <v/>
      </c>
      <c r="D2183" s="21" t="n"/>
      <c r="E2183" s="22" t="n"/>
      <c r="F2183" s="23" t="n"/>
      <c r="G2183" s="23" t="n"/>
      <c r="H2183" s="23" t="n"/>
      <c r="I2183" s="20">
        <f>IF(COUNT(F2183:H2183)=0,"",SUM(F2183:H2183))</f>
        <v/>
      </c>
      <c r="J2183" s="23" t="n"/>
      <c r="K2183" s="23" t="n"/>
      <c r="L2183" s="23" t="n"/>
      <c r="M2183" s="23" t="n"/>
      <c r="N2183" s="23" t="n"/>
      <c r="O2183" s="20">
        <f>IF(OR(I2183="",COUNT(J2183:N2183)=0),"",IF(SUM(J2183:N2183)=I2183,"✓","⚠ "&amp;SUM(J2183:N2183)&amp;" statt "&amp;I2183))</f>
        <v/>
      </c>
      <c r="P2183" s="21" t="n"/>
      <c r="Q2183" s="21" t="n"/>
      <c r="R2183" s="21" t="n"/>
      <c r="S2183" s="24" t="n"/>
      <c r="T2183" s="24" t="n"/>
      <c r="V2183">
        <f>IF(A2183="","",MONTH(A2183))</f>
        <v/>
      </c>
      <c r="W2183">
        <f>N(W2182)+IF(AND(C2183&lt;&gt;"",T2183&lt;&gt;""),IF(C2183=WOCHE!$B$3,1,0),0)</f>
        <v/>
      </c>
      <c r="X2183">
        <f>N(X2182)+IF(AND(V2183&lt;&gt;"",T2183&lt;&gt;""),IF(V2183=MONAT!$AZ$3,1,0),0)</f>
        <v/>
      </c>
    </row>
    <row r="2184">
      <c r="A2184" s="19" t="n"/>
      <c r="B2184" s="20">
        <f>IF(A2184="","",CHOOSE(WEEKDAY(A2184,2),"Mo","Di","Mi","Do","Fr","Sa","So"))</f>
        <v/>
      </c>
      <c r="C2184" s="20">
        <f>IF(A2184="","",INT((A2184-DATE(YEAR(A2184-WEEKDAY(A2184-1)+4),1,3)+WEEKDAY(DATE(YEAR(A2184-WEEKDAY(A2184-1)+4),1,3))+5)/7))</f>
        <v/>
      </c>
      <c r="D2184" s="21" t="n"/>
      <c r="E2184" s="22" t="n"/>
      <c r="F2184" s="23" t="n"/>
      <c r="G2184" s="23" t="n"/>
      <c r="H2184" s="23" t="n"/>
      <c r="I2184" s="20">
        <f>IF(COUNT(F2184:H2184)=0,"",SUM(F2184:H2184))</f>
        <v/>
      </c>
      <c r="J2184" s="23" t="n"/>
      <c r="K2184" s="23" t="n"/>
      <c r="L2184" s="23" t="n"/>
      <c r="M2184" s="23" t="n"/>
      <c r="N2184" s="23" t="n"/>
      <c r="O2184" s="20">
        <f>IF(OR(I2184="",COUNT(J2184:N2184)=0),"",IF(SUM(J2184:N2184)=I2184,"✓","⚠ "&amp;SUM(J2184:N2184)&amp;" statt "&amp;I2184))</f>
        <v/>
      </c>
      <c r="P2184" s="21" t="n"/>
      <c r="Q2184" s="21" t="n"/>
      <c r="R2184" s="21" t="n"/>
      <c r="S2184" s="24" t="n"/>
      <c r="T2184" s="24" t="n"/>
      <c r="V2184">
        <f>IF(A2184="","",MONTH(A2184))</f>
        <v/>
      </c>
      <c r="W2184">
        <f>N(W2183)+IF(AND(C2184&lt;&gt;"",T2184&lt;&gt;""),IF(C2184=WOCHE!$B$3,1,0),0)</f>
        <v/>
      </c>
      <c r="X2184">
        <f>N(X2183)+IF(AND(V2184&lt;&gt;"",T2184&lt;&gt;""),IF(V2184=MONAT!$AZ$3,1,0),0)</f>
        <v/>
      </c>
    </row>
    <row r="2185">
      <c r="A2185" s="19" t="n"/>
      <c r="B2185" s="20">
        <f>IF(A2185="","",CHOOSE(WEEKDAY(A2185,2),"Mo","Di","Mi","Do","Fr","Sa","So"))</f>
        <v/>
      </c>
      <c r="C2185" s="20">
        <f>IF(A2185="","",INT((A2185-DATE(YEAR(A2185-WEEKDAY(A2185-1)+4),1,3)+WEEKDAY(DATE(YEAR(A2185-WEEKDAY(A2185-1)+4),1,3))+5)/7))</f>
        <v/>
      </c>
      <c r="D2185" s="21" t="n"/>
      <c r="E2185" s="22" t="n"/>
      <c r="F2185" s="23" t="n"/>
      <c r="G2185" s="23" t="n"/>
      <c r="H2185" s="23" t="n"/>
      <c r="I2185" s="20">
        <f>IF(COUNT(F2185:H2185)=0,"",SUM(F2185:H2185))</f>
        <v/>
      </c>
      <c r="J2185" s="23" t="n"/>
      <c r="K2185" s="23" t="n"/>
      <c r="L2185" s="23" t="n"/>
      <c r="M2185" s="23" t="n"/>
      <c r="N2185" s="23" t="n"/>
      <c r="O2185" s="20">
        <f>IF(OR(I2185="",COUNT(J2185:N2185)=0),"",IF(SUM(J2185:N2185)=I2185,"✓","⚠ "&amp;SUM(J2185:N2185)&amp;" statt "&amp;I2185))</f>
        <v/>
      </c>
      <c r="P2185" s="21" t="n"/>
      <c r="Q2185" s="21" t="n"/>
      <c r="R2185" s="21" t="n"/>
      <c r="S2185" s="24" t="n"/>
      <c r="T2185" s="24" t="n"/>
      <c r="V2185">
        <f>IF(A2185="","",MONTH(A2185))</f>
        <v/>
      </c>
      <c r="W2185">
        <f>N(W2184)+IF(AND(C2185&lt;&gt;"",T2185&lt;&gt;""),IF(C2185=WOCHE!$B$3,1,0),0)</f>
        <v/>
      </c>
      <c r="X2185">
        <f>N(X2184)+IF(AND(V2185&lt;&gt;"",T2185&lt;&gt;""),IF(V2185=MONAT!$AZ$3,1,0),0)</f>
        <v/>
      </c>
    </row>
    <row r="2186">
      <c r="A2186" s="19" t="n"/>
      <c r="B2186" s="20">
        <f>IF(A2186="","",CHOOSE(WEEKDAY(A2186,2),"Mo","Di","Mi","Do","Fr","Sa","So"))</f>
        <v/>
      </c>
      <c r="C2186" s="20">
        <f>IF(A2186="","",INT((A2186-DATE(YEAR(A2186-WEEKDAY(A2186-1)+4),1,3)+WEEKDAY(DATE(YEAR(A2186-WEEKDAY(A2186-1)+4),1,3))+5)/7))</f>
        <v/>
      </c>
      <c r="D2186" s="21" t="n"/>
      <c r="E2186" s="22" t="n"/>
      <c r="F2186" s="23" t="n"/>
      <c r="G2186" s="23" t="n"/>
      <c r="H2186" s="23" t="n"/>
      <c r="I2186" s="20">
        <f>IF(COUNT(F2186:H2186)=0,"",SUM(F2186:H2186))</f>
        <v/>
      </c>
      <c r="J2186" s="23" t="n"/>
      <c r="K2186" s="23" t="n"/>
      <c r="L2186" s="23" t="n"/>
      <c r="M2186" s="23" t="n"/>
      <c r="N2186" s="23" t="n"/>
      <c r="O2186" s="20">
        <f>IF(OR(I2186="",COUNT(J2186:N2186)=0),"",IF(SUM(J2186:N2186)=I2186,"✓","⚠ "&amp;SUM(J2186:N2186)&amp;" statt "&amp;I2186))</f>
        <v/>
      </c>
      <c r="P2186" s="21" t="n"/>
      <c r="Q2186" s="21" t="n"/>
      <c r="R2186" s="21" t="n"/>
      <c r="S2186" s="24" t="n"/>
      <c r="T2186" s="24" t="n"/>
      <c r="V2186">
        <f>IF(A2186="","",MONTH(A2186))</f>
        <v/>
      </c>
      <c r="W2186">
        <f>N(W2185)+IF(AND(C2186&lt;&gt;"",T2186&lt;&gt;""),IF(C2186=WOCHE!$B$3,1,0),0)</f>
        <v/>
      </c>
      <c r="X2186">
        <f>N(X2185)+IF(AND(V2186&lt;&gt;"",T2186&lt;&gt;""),IF(V2186=MONAT!$AZ$3,1,0),0)</f>
        <v/>
      </c>
    </row>
    <row r="2187">
      <c r="A2187" s="19" t="n"/>
      <c r="B2187" s="20">
        <f>IF(A2187="","",CHOOSE(WEEKDAY(A2187,2),"Mo","Di","Mi","Do","Fr","Sa","So"))</f>
        <v/>
      </c>
      <c r="C2187" s="20">
        <f>IF(A2187="","",INT((A2187-DATE(YEAR(A2187-WEEKDAY(A2187-1)+4),1,3)+WEEKDAY(DATE(YEAR(A2187-WEEKDAY(A2187-1)+4),1,3))+5)/7))</f>
        <v/>
      </c>
      <c r="D2187" s="21" t="n"/>
      <c r="E2187" s="22" t="n"/>
      <c r="F2187" s="23" t="n"/>
      <c r="G2187" s="23" t="n"/>
      <c r="H2187" s="23" t="n"/>
      <c r="I2187" s="20">
        <f>IF(COUNT(F2187:H2187)=0,"",SUM(F2187:H2187))</f>
        <v/>
      </c>
      <c r="J2187" s="23" t="n"/>
      <c r="K2187" s="23" t="n"/>
      <c r="L2187" s="23" t="n"/>
      <c r="M2187" s="23" t="n"/>
      <c r="N2187" s="23" t="n"/>
      <c r="O2187" s="20">
        <f>IF(OR(I2187="",COUNT(J2187:N2187)=0),"",IF(SUM(J2187:N2187)=I2187,"✓","⚠ "&amp;SUM(J2187:N2187)&amp;" statt "&amp;I2187))</f>
        <v/>
      </c>
      <c r="P2187" s="21" t="n"/>
      <c r="Q2187" s="21" t="n"/>
      <c r="R2187" s="21" t="n"/>
      <c r="S2187" s="24" t="n"/>
      <c r="T2187" s="24" t="n"/>
      <c r="V2187">
        <f>IF(A2187="","",MONTH(A2187))</f>
        <v/>
      </c>
      <c r="W2187">
        <f>N(W2186)+IF(AND(C2187&lt;&gt;"",T2187&lt;&gt;""),IF(C2187=WOCHE!$B$3,1,0),0)</f>
        <v/>
      </c>
      <c r="X2187">
        <f>N(X2186)+IF(AND(V2187&lt;&gt;"",T2187&lt;&gt;""),IF(V2187=MONAT!$AZ$3,1,0),0)</f>
        <v/>
      </c>
    </row>
    <row r="2188">
      <c r="A2188" s="19" t="n"/>
      <c r="B2188" s="20">
        <f>IF(A2188="","",CHOOSE(WEEKDAY(A2188,2),"Mo","Di","Mi","Do","Fr","Sa","So"))</f>
        <v/>
      </c>
      <c r="C2188" s="20">
        <f>IF(A2188="","",INT((A2188-DATE(YEAR(A2188-WEEKDAY(A2188-1)+4),1,3)+WEEKDAY(DATE(YEAR(A2188-WEEKDAY(A2188-1)+4),1,3))+5)/7))</f>
        <v/>
      </c>
      <c r="D2188" s="21" t="n"/>
      <c r="E2188" s="22" t="n"/>
      <c r="F2188" s="23" t="n"/>
      <c r="G2188" s="23" t="n"/>
      <c r="H2188" s="23" t="n"/>
      <c r="I2188" s="20">
        <f>IF(COUNT(F2188:H2188)=0,"",SUM(F2188:H2188))</f>
        <v/>
      </c>
      <c r="J2188" s="23" t="n"/>
      <c r="K2188" s="23" t="n"/>
      <c r="L2188" s="23" t="n"/>
      <c r="M2188" s="23" t="n"/>
      <c r="N2188" s="23" t="n"/>
      <c r="O2188" s="20">
        <f>IF(OR(I2188="",COUNT(J2188:N2188)=0),"",IF(SUM(J2188:N2188)=I2188,"✓","⚠ "&amp;SUM(J2188:N2188)&amp;" statt "&amp;I2188))</f>
        <v/>
      </c>
      <c r="P2188" s="21" t="n"/>
      <c r="Q2188" s="21" t="n"/>
      <c r="R2188" s="21" t="n"/>
      <c r="S2188" s="24" t="n"/>
      <c r="T2188" s="24" t="n"/>
      <c r="V2188">
        <f>IF(A2188="","",MONTH(A2188))</f>
        <v/>
      </c>
      <c r="W2188">
        <f>N(W2187)+IF(AND(C2188&lt;&gt;"",T2188&lt;&gt;""),IF(C2188=WOCHE!$B$3,1,0),0)</f>
        <v/>
      </c>
      <c r="X2188">
        <f>N(X2187)+IF(AND(V2188&lt;&gt;"",T2188&lt;&gt;""),IF(V2188=MONAT!$AZ$3,1,0),0)</f>
        <v/>
      </c>
    </row>
    <row r="2189">
      <c r="A2189" s="19" t="n"/>
      <c r="B2189" s="20">
        <f>IF(A2189="","",CHOOSE(WEEKDAY(A2189,2),"Mo","Di","Mi","Do","Fr","Sa","So"))</f>
        <v/>
      </c>
      <c r="C2189" s="20">
        <f>IF(A2189="","",INT((A2189-DATE(YEAR(A2189-WEEKDAY(A2189-1)+4),1,3)+WEEKDAY(DATE(YEAR(A2189-WEEKDAY(A2189-1)+4),1,3))+5)/7))</f>
        <v/>
      </c>
      <c r="D2189" s="21" t="n"/>
      <c r="E2189" s="22" t="n"/>
      <c r="F2189" s="23" t="n"/>
      <c r="G2189" s="23" t="n"/>
      <c r="H2189" s="23" t="n"/>
      <c r="I2189" s="20">
        <f>IF(COUNT(F2189:H2189)=0,"",SUM(F2189:H2189))</f>
        <v/>
      </c>
      <c r="J2189" s="23" t="n"/>
      <c r="K2189" s="23" t="n"/>
      <c r="L2189" s="23" t="n"/>
      <c r="M2189" s="23" t="n"/>
      <c r="N2189" s="23" t="n"/>
      <c r="O2189" s="20">
        <f>IF(OR(I2189="",COUNT(J2189:N2189)=0),"",IF(SUM(J2189:N2189)=I2189,"✓","⚠ "&amp;SUM(J2189:N2189)&amp;" statt "&amp;I2189))</f>
        <v/>
      </c>
      <c r="P2189" s="21" t="n"/>
      <c r="Q2189" s="21" t="n"/>
      <c r="R2189" s="21" t="n"/>
      <c r="S2189" s="24" t="n"/>
      <c r="T2189" s="24" t="n"/>
      <c r="V2189">
        <f>IF(A2189="","",MONTH(A2189))</f>
        <v/>
      </c>
      <c r="W2189">
        <f>N(W2188)+IF(AND(C2189&lt;&gt;"",T2189&lt;&gt;""),IF(C2189=WOCHE!$B$3,1,0),0)</f>
        <v/>
      </c>
      <c r="X2189">
        <f>N(X2188)+IF(AND(V2189&lt;&gt;"",T2189&lt;&gt;""),IF(V2189=MONAT!$AZ$3,1,0),0)</f>
        <v/>
      </c>
    </row>
    <row r="2190">
      <c r="A2190" s="19" t="n"/>
      <c r="B2190" s="20">
        <f>IF(A2190="","",CHOOSE(WEEKDAY(A2190,2),"Mo","Di","Mi","Do","Fr","Sa","So"))</f>
        <v/>
      </c>
      <c r="C2190" s="20">
        <f>IF(A2190="","",INT((A2190-DATE(YEAR(A2190-WEEKDAY(A2190-1)+4),1,3)+WEEKDAY(DATE(YEAR(A2190-WEEKDAY(A2190-1)+4),1,3))+5)/7))</f>
        <v/>
      </c>
      <c r="D2190" s="21" t="n"/>
      <c r="E2190" s="22" t="n"/>
      <c r="F2190" s="23" t="n"/>
      <c r="G2190" s="23" t="n"/>
      <c r="H2190" s="23" t="n"/>
      <c r="I2190" s="20">
        <f>IF(COUNT(F2190:H2190)=0,"",SUM(F2190:H2190))</f>
        <v/>
      </c>
      <c r="J2190" s="23" t="n"/>
      <c r="K2190" s="23" t="n"/>
      <c r="L2190" s="23" t="n"/>
      <c r="M2190" s="23" t="n"/>
      <c r="N2190" s="23" t="n"/>
      <c r="O2190" s="20">
        <f>IF(OR(I2190="",COUNT(J2190:N2190)=0),"",IF(SUM(J2190:N2190)=I2190,"✓","⚠ "&amp;SUM(J2190:N2190)&amp;" statt "&amp;I2190))</f>
        <v/>
      </c>
      <c r="P2190" s="21" t="n"/>
      <c r="Q2190" s="21" t="n"/>
      <c r="R2190" s="21" t="n"/>
      <c r="S2190" s="24" t="n"/>
      <c r="T2190" s="24" t="n"/>
      <c r="V2190">
        <f>IF(A2190="","",MONTH(A2190))</f>
        <v/>
      </c>
      <c r="W2190">
        <f>N(W2189)+IF(AND(C2190&lt;&gt;"",T2190&lt;&gt;""),IF(C2190=WOCHE!$B$3,1,0),0)</f>
        <v/>
      </c>
      <c r="X2190">
        <f>N(X2189)+IF(AND(V2190&lt;&gt;"",T2190&lt;&gt;""),IF(V2190=MONAT!$AZ$3,1,0),0)</f>
        <v/>
      </c>
    </row>
    <row r="2191">
      <c r="A2191" s="19" t="n"/>
      <c r="B2191" s="20">
        <f>IF(A2191="","",CHOOSE(WEEKDAY(A2191,2),"Mo","Di","Mi","Do","Fr","Sa","So"))</f>
        <v/>
      </c>
      <c r="C2191" s="20">
        <f>IF(A2191="","",INT((A2191-DATE(YEAR(A2191-WEEKDAY(A2191-1)+4),1,3)+WEEKDAY(DATE(YEAR(A2191-WEEKDAY(A2191-1)+4),1,3))+5)/7))</f>
        <v/>
      </c>
      <c r="D2191" s="21" t="n"/>
      <c r="E2191" s="22" t="n"/>
      <c r="F2191" s="23" t="n"/>
      <c r="G2191" s="23" t="n"/>
      <c r="H2191" s="23" t="n"/>
      <c r="I2191" s="20">
        <f>IF(COUNT(F2191:H2191)=0,"",SUM(F2191:H2191))</f>
        <v/>
      </c>
      <c r="J2191" s="23" t="n"/>
      <c r="K2191" s="23" t="n"/>
      <c r="L2191" s="23" t="n"/>
      <c r="M2191" s="23" t="n"/>
      <c r="N2191" s="23" t="n"/>
      <c r="O2191" s="20">
        <f>IF(OR(I2191="",COUNT(J2191:N2191)=0),"",IF(SUM(J2191:N2191)=I2191,"✓","⚠ "&amp;SUM(J2191:N2191)&amp;" statt "&amp;I2191))</f>
        <v/>
      </c>
      <c r="P2191" s="21" t="n"/>
      <c r="Q2191" s="21" t="n"/>
      <c r="R2191" s="21" t="n"/>
      <c r="S2191" s="24" t="n"/>
      <c r="T2191" s="24" t="n"/>
      <c r="V2191">
        <f>IF(A2191="","",MONTH(A2191))</f>
        <v/>
      </c>
      <c r="W2191">
        <f>N(W2190)+IF(AND(C2191&lt;&gt;"",T2191&lt;&gt;""),IF(C2191=WOCHE!$B$3,1,0),0)</f>
        <v/>
      </c>
      <c r="X2191">
        <f>N(X2190)+IF(AND(V2191&lt;&gt;"",T2191&lt;&gt;""),IF(V2191=MONAT!$AZ$3,1,0),0)</f>
        <v/>
      </c>
    </row>
    <row r="2192">
      <c r="A2192" s="19" t="n"/>
      <c r="B2192" s="20">
        <f>IF(A2192="","",CHOOSE(WEEKDAY(A2192,2),"Mo","Di","Mi","Do","Fr","Sa","So"))</f>
        <v/>
      </c>
      <c r="C2192" s="20">
        <f>IF(A2192="","",INT((A2192-DATE(YEAR(A2192-WEEKDAY(A2192-1)+4),1,3)+WEEKDAY(DATE(YEAR(A2192-WEEKDAY(A2192-1)+4),1,3))+5)/7))</f>
        <v/>
      </c>
      <c r="D2192" s="21" t="n"/>
      <c r="E2192" s="22" t="n"/>
      <c r="F2192" s="23" t="n"/>
      <c r="G2192" s="23" t="n"/>
      <c r="H2192" s="23" t="n"/>
      <c r="I2192" s="20">
        <f>IF(COUNT(F2192:H2192)=0,"",SUM(F2192:H2192))</f>
        <v/>
      </c>
      <c r="J2192" s="23" t="n"/>
      <c r="K2192" s="23" t="n"/>
      <c r="L2192" s="23" t="n"/>
      <c r="M2192" s="23" t="n"/>
      <c r="N2192" s="23" t="n"/>
      <c r="O2192" s="20">
        <f>IF(OR(I2192="",COUNT(J2192:N2192)=0),"",IF(SUM(J2192:N2192)=I2192,"✓","⚠ "&amp;SUM(J2192:N2192)&amp;" statt "&amp;I2192))</f>
        <v/>
      </c>
      <c r="P2192" s="21" t="n"/>
      <c r="Q2192" s="21" t="n"/>
      <c r="R2192" s="21" t="n"/>
      <c r="S2192" s="24" t="n"/>
      <c r="T2192" s="24" t="n"/>
      <c r="V2192">
        <f>IF(A2192="","",MONTH(A2192))</f>
        <v/>
      </c>
      <c r="W2192">
        <f>N(W2191)+IF(AND(C2192&lt;&gt;"",T2192&lt;&gt;""),IF(C2192=WOCHE!$B$3,1,0),0)</f>
        <v/>
      </c>
      <c r="X2192">
        <f>N(X2191)+IF(AND(V2192&lt;&gt;"",T2192&lt;&gt;""),IF(V2192=MONAT!$AZ$3,1,0),0)</f>
        <v/>
      </c>
    </row>
    <row r="2193">
      <c r="A2193" s="19" t="n"/>
      <c r="B2193" s="20">
        <f>IF(A2193="","",CHOOSE(WEEKDAY(A2193,2),"Mo","Di","Mi","Do","Fr","Sa","So"))</f>
        <v/>
      </c>
      <c r="C2193" s="20">
        <f>IF(A2193="","",INT((A2193-DATE(YEAR(A2193-WEEKDAY(A2193-1)+4),1,3)+WEEKDAY(DATE(YEAR(A2193-WEEKDAY(A2193-1)+4),1,3))+5)/7))</f>
        <v/>
      </c>
      <c r="D2193" s="21" t="n"/>
      <c r="E2193" s="22" t="n"/>
      <c r="F2193" s="23" t="n"/>
      <c r="G2193" s="23" t="n"/>
      <c r="H2193" s="23" t="n"/>
      <c r="I2193" s="20">
        <f>IF(COUNT(F2193:H2193)=0,"",SUM(F2193:H2193))</f>
        <v/>
      </c>
      <c r="J2193" s="23" t="n"/>
      <c r="K2193" s="23" t="n"/>
      <c r="L2193" s="23" t="n"/>
      <c r="M2193" s="23" t="n"/>
      <c r="N2193" s="23" t="n"/>
      <c r="O2193" s="20">
        <f>IF(OR(I2193="",COUNT(J2193:N2193)=0),"",IF(SUM(J2193:N2193)=I2193,"✓","⚠ "&amp;SUM(J2193:N2193)&amp;" statt "&amp;I2193))</f>
        <v/>
      </c>
      <c r="P2193" s="21" t="n"/>
      <c r="Q2193" s="21" t="n"/>
      <c r="R2193" s="21" t="n"/>
      <c r="S2193" s="24" t="n"/>
      <c r="T2193" s="24" t="n"/>
      <c r="V2193">
        <f>IF(A2193="","",MONTH(A2193))</f>
        <v/>
      </c>
      <c r="W2193">
        <f>N(W2192)+IF(AND(C2193&lt;&gt;"",T2193&lt;&gt;""),IF(C2193=WOCHE!$B$3,1,0),0)</f>
        <v/>
      </c>
      <c r="X2193">
        <f>N(X2192)+IF(AND(V2193&lt;&gt;"",T2193&lt;&gt;""),IF(V2193=MONAT!$AZ$3,1,0),0)</f>
        <v/>
      </c>
    </row>
    <row r="2194">
      <c r="A2194" s="19" t="n"/>
      <c r="B2194" s="20">
        <f>IF(A2194="","",CHOOSE(WEEKDAY(A2194,2),"Mo","Di","Mi","Do","Fr","Sa","So"))</f>
        <v/>
      </c>
      <c r="C2194" s="20">
        <f>IF(A2194="","",INT((A2194-DATE(YEAR(A2194-WEEKDAY(A2194-1)+4),1,3)+WEEKDAY(DATE(YEAR(A2194-WEEKDAY(A2194-1)+4),1,3))+5)/7))</f>
        <v/>
      </c>
      <c r="D2194" s="21" t="n"/>
      <c r="E2194" s="22" t="n"/>
      <c r="F2194" s="23" t="n"/>
      <c r="G2194" s="23" t="n"/>
      <c r="H2194" s="23" t="n"/>
      <c r="I2194" s="20">
        <f>IF(COUNT(F2194:H2194)=0,"",SUM(F2194:H2194))</f>
        <v/>
      </c>
      <c r="J2194" s="23" t="n"/>
      <c r="K2194" s="23" t="n"/>
      <c r="L2194" s="23" t="n"/>
      <c r="M2194" s="23" t="n"/>
      <c r="N2194" s="23" t="n"/>
      <c r="O2194" s="20">
        <f>IF(OR(I2194="",COUNT(J2194:N2194)=0),"",IF(SUM(J2194:N2194)=I2194,"✓","⚠ "&amp;SUM(J2194:N2194)&amp;" statt "&amp;I2194))</f>
        <v/>
      </c>
      <c r="P2194" s="21" t="n"/>
      <c r="Q2194" s="21" t="n"/>
      <c r="R2194" s="21" t="n"/>
      <c r="S2194" s="24" t="n"/>
      <c r="T2194" s="24" t="n"/>
      <c r="V2194">
        <f>IF(A2194="","",MONTH(A2194))</f>
        <v/>
      </c>
      <c r="W2194">
        <f>N(W2193)+IF(AND(C2194&lt;&gt;"",T2194&lt;&gt;""),IF(C2194=WOCHE!$B$3,1,0),0)</f>
        <v/>
      </c>
      <c r="X2194">
        <f>N(X2193)+IF(AND(V2194&lt;&gt;"",T2194&lt;&gt;""),IF(V2194=MONAT!$AZ$3,1,0),0)</f>
        <v/>
      </c>
    </row>
    <row r="2195">
      <c r="A2195" s="19" t="n"/>
      <c r="B2195" s="20">
        <f>IF(A2195="","",CHOOSE(WEEKDAY(A2195,2),"Mo","Di","Mi","Do","Fr","Sa","So"))</f>
        <v/>
      </c>
      <c r="C2195" s="20">
        <f>IF(A2195="","",INT((A2195-DATE(YEAR(A2195-WEEKDAY(A2195-1)+4),1,3)+WEEKDAY(DATE(YEAR(A2195-WEEKDAY(A2195-1)+4),1,3))+5)/7))</f>
        <v/>
      </c>
      <c r="D2195" s="21" t="n"/>
      <c r="E2195" s="22" t="n"/>
      <c r="F2195" s="23" t="n"/>
      <c r="G2195" s="23" t="n"/>
      <c r="H2195" s="23" t="n"/>
      <c r="I2195" s="20">
        <f>IF(COUNT(F2195:H2195)=0,"",SUM(F2195:H2195))</f>
        <v/>
      </c>
      <c r="J2195" s="23" t="n"/>
      <c r="K2195" s="23" t="n"/>
      <c r="L2195" s="23" t="n"/>
      <c r="M2195" s="23" t="n"/>
      <c r="N2195" s="23" t="n"/>
      <c r="O2195" s="20">
        <f>IF(OR(I2195="",COUNT(J2195:N2195)=0),"",IF(SUM(J2195:N2195)=I2195,"✓","⚠ "&amp;SUM(J2195:N2195)&amp;" statt "&amp;I2195))</f>
        <v/>
      </c>
      <c r="P2195" s="21" t="n"/>
      <c r="Q2195" s="21" t="n"/>
      <c r="R2195" s="21" t="n"/>
      <c r="S2195" s="24" t="n"/>
      <c r="T2195" s="24" t="n"/>
      <c r="V2195">
        <f>IF(A2195="","",MONTH(A2195))</f>
        <v/>
      </c>
      <c r="W2195">
        <f>N(W2194)+IF(AND(C2195&lt;&gt;"",T2195&lt;&gt;""),IF(C2195=WOCHE!$B$3,1,0),0)</f>
        <v/>
      </c>
      <c r="X2195">
        <f>N(X2194)+IF(AND(V2195&lt;&gt;"",T2195&lt;&gt;""),IF(V2195=MONAT!$AZ$3,1,0),0)</f>
        <v/>
      </c>
    </row>
    <row r="2196">
      <c r="A2196" s="19" t="n"/>
      <c r="B2196" s="20">
        <f>IF(A2196="","",CHOOSE(WEEKDAY(A2196,2),"Mo","Di","Mi","Do","Fr","Sa","So"))</f>
        <v/>
      </c>
      <c r="C2196" s="20">
        <f>IF(A2196="","",INT((A2196-DATE(YEAR(A2196-WEEKDAY(A2196-1)+4),1,3)+WEEKDAY(DATE(YEAR(A2196-WEEKDAY(A2196-1)+4),1,3))+5)/7))</f>
        <v/>
      </c>
      <c r="D2196" s="21" t="n"/>
      <c r="E2196" s="22" t="n"/>
      <c r="F2196" s="23" t="n"/>
      <c r="G2196" s="23" t="n"/>
      <c r="H2196" s="23" t="n"/>
      <c r="I2196" s="20">
        <f>IF(COUNT(F2196:H2196)=0,"",SUM(F2196:H2196))</f>
        <v/>
      </c>
      <c r="J2196" s="23" t="n"/>
      <c r="K2196" s="23" t="n"/>
      <c r="L2196" s="23" t="n"/>
      <c r="M2196" s="23" t="n"/>
      <c r="N2196" s="23" t="n"/>
      <c r="O2196" s="20">
        <f>IF(OR(I2196="",COUNT(J2196:N2196)=0),"",IF(SUM(J2196:N2196)=I2196,"✓","⚠ "&amp;SUM(J2196:N2196)&amp;" statt "&amp;I2196))</f>
        <v/>
      </c>
      <c r="P2196" s="21" t="n"/>
      <c r="Q2196" s="21" t="n"/>
      <c r="R2196" s="21" t="n"/>
      <c r="S2196" s="24" t="n"/>
      <c r="T2196" s="24" t="n"/>
      <c r="V2196">
        <f>IF(A2196="","",MONTH(A2196))</f>
        <v/>
      </c>
      <c r="W2196">
        <f>N(W2195)+IF(AND(C2196&lt;&gt;"",T2196&lt;&gt;""),IF(C2196=WOCHE!$B$3,1,0),0)</f>
        <v/>
      </c>
      <c r="X2196">
        <f>N(X2195)+IF(AND(V2196&lt;&gt;"",T2196&lt;&gt;""),IF(V2196=MONAT!$AZ$3,1,0),0)</f>
        <v/>
      </c>
    </row>
    <row r="2197">
      <c r="A2197" s="19" t="n"/>
      <c r="B2197" s="20">
        <f>IF(A2197="","",CHOOSE(WEEKDAY(A2197,2),"Mo","Di","Mi","Do","Fr","Sa","So"))</f>
        <v/>
      </c>
      <c r="C2197" s="20">
        <f>IF(A2197="","",INT((A2197-DATE(YEAR(A2197-WEEKDAY(A2197-1)+4),1,3)+WEEKDAY(DATE(YEAR(A2197-WEEKDAY(A2197-1)+4),1,3))+5)/7))</f>
        <v/>
      </c>
      <c r="D2197" s="21" t="n"/>
      <c r="E2197" s="22" t="n"/>
      <c r="F2197" s="23" t="n"/>
      <c r="G2197" s="23" t="n"/>
      <c r="H2197" s="23" t="n"/>
      <c r="I2197" s="20">
        <f>IF(COUNT(F2197:H2197)=0,"",SUM(F2197:H2197))</f>
        <v/>
      </c>
      <c r="J2197" s="23" t="n"/>
      <c r="K2197" s="23" t="n"/>
      <c r="L2197" s="23" t="n"/>
      <c r="M2197" s="23" t="n"/>
      <c r="N2197" s="23" t="n"/>
      <c r="O2197" s="20">
        <f>IF(OR(I2197="",COUNT(J2197:N2197)=0),"",IF(SUM(J2197:N2197)=I2197,"✓","⚠ "&amp;SUM(J2197:N2197)&amp;" statt "&amp;I2197))</f>
        <v/>
      </c>
      <c r="P2197" s="21" t="n"/>
      <c r="Q2197" s="21" t="n"/>
      <c r="R2197" s="21" t="n"/>
      <c r="S2197" s="24" t="n"/>
      <c r="T2197" s="24" t="n"/>
      <c r="V2197">
        <f>IF(A2197="","",MONTH(A2197))</f>
        <v/>
      </c>
      <c r="W2197">
        <f>N(W2196)+IF(AND(C2197&lt;&gt;"",T2197&lt;&gt;""),IF(C2197=WOCHE!$B$3,1,0),0)</f>
        <v/>
      </c>
      <c r="X2197">
        <f>N(X2196)+IF(AND(V2197&lt;&gt;"",T2197&lt;&gt;""),IF(V2197=MONAT!$AZ$3,1,0),0)</f>
        <v/>
      </c>
    </row>
    <row r="2198">
      <c r="A2198" s="19" t="n"/>
      <c r="B2198" s="20">
        <f>IF(A2198="","",CHOOSE(WEEKDAY(A2198,2),"Mo","Di","Mi","Do","Fr","Sa","So"))</f>
        <v/>
      </c>
      <c r="C2198" s="20">
        <f>IF(A2198="","",INT((A2198-DATE(YEAR(A2198-WEEKDAY(A2198-1)+4),1,3)+WEEKDAY(DATE(YEAR(A2198-WEEKDAY(A2198-1)+4),1,3))+5)/7))</f>
        <v/>
      </c>
      <c r="D2198" s="21" t="n"/>
      <c r="E2198" s="22" t="n"/>
      <c r="F2198" s="23" t="n"/>
      <c r="G2198" s="23" t="n"/>
      <c r="H2198" s="23" t="n"/>
      <c r="I2198" s="20">
        <f>IF(COUNT(F2198:H2198)=0,"",SUM(F2198:H2198))</f>
        <v/>
      </c>
      <c r="J2198" s="23" t="n"/>
      <c r="K2198" s="23" t="n"/>
      <c r="L2198" s="23" t="n"/>
      <c r="M2198" s="23" t="n"/>
      <c r="N2198" s="23" t="n"/>
      <c r="O2198" s="20">
        <f>IF(OR(I2198="",COUNT(J2198:N2198)=0),"",IF(SUM(J2198:N2198)=I2198,"✓","⚠ "&amp;SUM(J2198:N2198)&amp;" statt "&amp;I2198))</f>
        <v/>
      </c>
      <c r="P2198" s="21" t="n"/>
      <c r="Q2198" s="21" t="n"/>
      <c r="R2198" s="21" t="n"/>
      <c r="S2198" s="24" t="n"/>
      <c r="T2198" s="24" t="n"/>
      <c r="V2198">
        <f>IF(A2198="","",MONTH(A2198))</f>
        <v/>
      </c>
      <c r="W2198">
        <f>N(W2197)+IF(AND(C2198&lt;&gt;"",T2198&lt;&gt;""),IF(C2198=WOCHE!$B$3,1,0),0)</f>
        <v/>
      </c>
      <c r="X2198">
        <f>N(X2197)+IF(AND(V2198&lt;&gt;"",T2198&lt;&gt;""),IF(V2198=MONAT!$AZ$3,1,0),0)</f>
        <v/>
      </c>
    </row>
    <row r="2199">
      <c r="A2199" s="19" t="n"/>
      <c r="B2199" s="20">
        <f>IF(A2199="","",CHOOSE(WEEKDAY(A2199,2),"Mo","Di","Mi","Do","Fr","Sa","So"))</f>
        <v/>
      </c>
      <c r="C2199" s="20">
        <f>IF(A2199="","",INT((A2199-DATE(YEAR(A2199-WEEKDAY(A2199-1)+4),1,3)+WEEKDAY(DATE(YEAR(A2199-WEEKDAY(A2199-1)+4),1,3))+5)/7))</f>
        <v/>
      </c>
      <c r="D2199" s="21" t="n"/>
      <c r="E2199" s="22" t="n"/>
      <c r="F2199" s="23" t="n"/>
      <c r="G2199" s="23" t="n"/>
      <c r="H2199" s="23" t="n"/>
      <c r="I2199" s="20">
        <f>IF(COUNT(F2199:H2199)=0,"",SUM(F2199:H2199))</f>
        <v/>
      </c>
      <c r="J2199" s="23" t="n"/>
      <c r="K2199" s="23" t="n"/>
      <c r="L2199" s="23" t="n"/>
      <c r="M2199" s="23" t="n"/>
      <c r="N2199" s="23" t="n"/>
      <c r="O2199" s="20">
        <f>IF(OR(I2199="",COUNT(J2199:N2199)=0),"",IF(SUM(J2199:N2199)=I2199,"✓","⚠ "&amp;SUM(J2199:N2199)&amp;" statt "&amp;I2199))</f>
        <v/>
      </c>
      <c r="P2199" s="21" t="n"/>
      <c r="Q2199" s="21" t="n"/>
      <c r="R2199" s="21" t="n"/>
      <c r="S2199" s="24" t="n"/>
      <c r="T2199" s="24" t="n"/>
      <c r="V2199">
        <f>IF(A2199="","",MONTH(A2199))</f>
        <v/>
      </c>
      <c r="W2199">
        <f>N(W2198)+IF(AND(C2199&lt;&gt;"",T2199&lt;&gt;""),IF(C2199=WOCHE!$B$3,1,0),0)</f>
        <v/>
      </c>
      <c r="X2199">
        <f>N(X2198)+IF(AND(V2199&lt;&gt;"",T2199&lt;&gt;""),IF(V2199=MONAT!$AZ$3,1,0),0)</f>
        <v/>
      </c>
    </row>
    <row r="2200">
      <c r="A2200" s="19" t="n"/>
      <c r="B2200" s="20">
        <f>IF(A2200="","",CHOOSE(WEEKDAY(A2200,2),"Mo","Di","Mi","Do","Fr","Sa","So"))</f>
        <v/>
      </c>
      <c r="C2200" s="20">
        <f>IF(A2200="","",INT((A2200-DATE(YEAR(A2200-WEEKDAY(A2200-1)+4),1,3)+WEEKDAY(DATE(YEAR(A2200-WEEKDAY(A2200-1)+4),1,3))+5)/7))</f>
        <v/>
      </c>
      <c r="D2200" s="21" t="n"/>
      <c r="E2200" s="22" t="n"/>
      <c r="F2200" s="23" t="n"/>
      <c r="G2200" s="23" t="n"/>
      <c r="H2200" s="23" t="n"/>
      <c r="I2200" s="20">
        <f>IF(COUNT(F2200:H2200)=0,"",SUM(F2200:H2200))</f>
        <v/>
      </c>
      <c r="J2200" s="23" t="n"/>
      <c r="K2200" s="23" t="n"/>
      <c r="L2200" s="23" t="n"/>
      <c r="M2200" s="23" t="n"/>
      <c r="N2200" s="23" t="n"/>
      <c r="O2200" s="20">
        <f>IF(OR(I2200="",COUNT(J2200:N2200)=0),"",IF(SUM(J2200:N2200)=I2200,"✓","⚠ "&amp;SUM(J2200:N2200)&amp;" statt "&amp;I2200))</f>
        <v/>
      </c>
      <c r="P2200" s="21" t="n"/>
      <c r="Q2200" s="21" t="n"/>
      <c r="R2200" s="21" t="n"/>
      <c r="S2200" s="24" t="n"/>
      <c r="T2200" s="24" t="n"/>
      <c r="V2200">
        <f>IF(A2200="","",MONTH(A2200))</f>
        <v/>
      </c>
      <c r="W2200">
        <f>N(W2199)+IF(AND(C2200&lt;&gt;"",T2200&lt;&gt;""),IF(C2200=WOCHE!$B$3,1,0),0)</f>
        <v/>
      </c>
      <c r="X2200">
        <f>N(X2199)+IF(AND(V2200&lt;&gt;"",T2200&lt;&gt;""),IF(V2200=MONAT!$AZ$3,1,0),0)</f>
        <v/>
      </c>
    </row>
    <row r="2201">
      <c r="A2201" s="19" t="n"/>
      <c r="B2201" s="20">
        <f>IF(A2201="","",CHOOSE(WEEKDAY(A2201,2),"Mo","Di","Mi","Do","Fr","Sa","So"))</f>
        <v/>
      </c>
      <c r="C2201" s="20">
        <f>IF(A2201="","",INT((A2201-DATE(YEAR(A2201-WEEKDAY(A2201-1)+4),1,3)+WEEKDAY(DATE(YEAR(A2201-WEEKDAY(A2201-1)+4),1,3))+5)/7))</f>
        <v/>
      </c>
      <c r="D2201" s="21" t="n"/>
      <c r="E2201" s="22" t="n"/>
      <c r="F2201" s="23" t="n"/>
      <c r="G2201" s="23" t="n"/>
      <c r="H2201" s="23" t="n"/>
      <c r="I2201" s="20">
        <f>IF(COUNT(F2201:H2201)=0,"",SUM(F2201:H2201))</f>
        <v/>
      </c>
      <c r="J2201" s="23" t="n"/>
      <c r="K2201" s="23" t="n"/>
      <c r="L2201" s="23" t="n"/>
      <c r="M2201" s="23" t="n"/>
      <c r="N2201" s="23" t="n"/>
      <c r="O2201" s="20">
        <f>IF(OR(I2201="",COUNT(J2201:N2201)=0),"",IF(SUM(J2201:N2201)=I2201,"✓","⚠ "&amp;SUM(J2201:N2201)&amp;" statt "&amp;I2201))</f>
        <v/>
      </c>
      <c r="P2201" s="21" t="n"/>
      <c r="Q2201" s="21" t="n"/>
      <c r="R2201" s="21" t="n"/>
      <c r="S2201" s="24" t="n"/>
      <c r="T2201" s="24" t="n"/>
      <c r="V2201">
        <f>IF(A2201="","",MONTH(A2201))</f>
        <v/>
      </c>
      <c r="W2201">
        <f>N(W2200)+IF(AND(C2201&lt;&gt;"",T2201&lt;&gt;""),IF(C2201=WOCHE!$B$3,1,0),0)</f>
        <v/>
      </c>
      <c r="X2201">
        <f>N(X2200)+IF(AND(V2201&lt;&gt;"",T2201&lt;&gt;""),IF(V2201=MONAT!$AZ$3,1,0),0)</f>
        <v/>
      </c>
    </row>
    <row r="2202">
      <c r="A2202" s="19" t="n"/>
      <c r="B2202" s="20">
        <f>IF(A2202="","",CHOOSE(WEEKDAY(A2202,2),"Mo","Di","Mi","Do","Fr","Sa","So"))</f>
        <v/>
      </c>
      <c r="C2202" s="20">
        <f>IF(A2202="","",INT((A2202-DATE(YEAR(A2202-WEEKDAY(A2202-1)+4),1,3)+WEEKDAY(DATE(YEAR(A2202-WEEKDAY(A2202-1)+4),1,3))+5)/7))</f>
        <v/>
      </c>
      <c r="D2202" s="21" t="n"/>
      <c r="E2202" s="22" t="n"/>
      <c r="F2202" s="23" t="n"/>
      <c r="G2202" s="23" t="n"/>
      <c r="H2202" s="23" t="n"/>
      <c r="I2202" s="20">
        <f>IF(COUNT(F2202:H2202)=0,"",SUM(F2202:H2202))</f>
        <v/>
      </c>
      <c r="J2202" s="23" t="n"/>
      <c r="K2202" s="23" t="n"/>
      <c r="L2202" s="23" t="n"/>
      <c r="M2202" s="23" t="n"/>
      <c r="N2202" s="23" t="n"/>
      <c r="O2202" s="20">
        <f>IF(OR(I2202="",COUNT(J2202:N2202)=0),"",IF(SUM(J2202:N2202)=I2202,"✓","⚠ "&amp;SUM(J2202:N2202)&amp;" statt "&amp;I2202))</f>
        <v/>
      </c>
      <c r="P2202" s="21" t="n"/>
      <c r="Q2202" s="21" t="n"/>
      <c r="R2202" s="21" t="n"/>
      <c r="S2202" s="24" t="n"/>
      <c r="T2202" s="24" t="n"/>
      <c r="V2202">
        <f>IF(A2202="","",MONTH(A2202))</f>
        <v/>
      </c>
      <c r="W2202">
        <f>N(W2201)+IF(AND(C2202&lt;&gt;"",T2202&lt;&gt;""),IF(C2202=WOCHE!$B$3,1,0),0)</f>
        <v/>
      </c>
      <c r="X2202">
        <f>N(X2201)+IF(AND(V2202&lt;&gt;"",T2202&lt;&gt;""),IF(V2202=MONAT!$AZ$3,1,0),0)</f>
        <v/>
      </c>
    </row>
    <row r="2203">
      <c r="A2203" s="19" t="n"/>
      <c r="B2203" s="20">
        <f>IF(A2203="","",CHOOSE(WEEKDAY(A2203,2),"Mo","Di","Mi","Do","Fr","Sa","So"))</f>
        <v/>
      </c>
      <c r="C2203" s="20">
        <f>IF(A2203="","",INT((A2203-DATE(YEAR(A2203-WEEKDAY(A2203-1)+4),1,3)+WEEKDAY(DATE(YEAR(A2203-WEEKDAY(A2203-1)+4),1,3))+5)/7))</f>
        <v/>
      </c>
      <c r="D2203" s="21" t="n"/>
      <c r="E2203" s="22" t="n"/>
      <c r="F2203" s="23" t="n"/>
      <c r="G2203" s="23" t="n"/>
      <c r="H2203" s="23" t="n"/>
      <c r="I2203" s="20">
        <f>IF(COUNT(F2203:H2203)=0,"",SUM(F2203:H2203))</f>
        <v/>
      </c>
      <c r="J2203" s="23" t="n"/>
      <c r="K2203" s="23" t="n"/>
      <c r="L2203" s="23" t="n"/>
      <c r="M2203" s="23" t="n"/>
      <c r="N2203" s="23" t="n"/>
      <c r="O2203" s="20">
        <f>IF(OR(I2203="",COUNT(J2203:N2203)=0),"",IF(SUM(J2203:N2203)=I2203,"✓","⚠ "&amp;SUM(J2203:N2203)&amp;" statt "&amp;I2203))</f>
        <v/>
      </c>
      <c r="P2203" s="21" t="n"/>
      <c r="Q2203" s="21" t="n"/>
      <c r="R2203" s="21" t="n"/>
      <c r="S2203" s="24" t="n"/>
      <c r="T2203" s="24" t="n"/>
      <c r="V2203">
        <f>IF(A2203="","",MONTH(A2203))</f>
        <v/>
      </c>
      <c r="W2203">
        <f>N(W2202)+IF(AND(C2203&lt;&gt;"",T2203&lt;&gt;""),IF(C2203=WOCHE!$B$3,1,0),0)</f>
        <v/>
      </c>
      <c r="X2203">
        <f>N(X2202)+IF(AND(V2203&lt;&gt;"",T2203&lt;&gt;""),IF(V2203=MONAT!$AZ$3,1,0),0)</f>
        <v/>
      </c>
    </row>
    <row r="2204">
      <c r="A2204" s="19" t="n"/>
      <c r="B2204" s="20">
        <f>IF(A2204="","",CHOOSE(WEEKDAY(A2204,2),"Mo","Di","Mi","Do","Fr","Sa","So"))</f>
        <v/>
      </c>
      <c r="C2204" s="20">
        <f>IF(A2204="","",INT((A2204-DATE(YEAR(A2204-WEEKDAY(A2204-1)+4),1,3)+WEEKDAY(DATE(YEAR(A2204-WEEKDAY(A2204-1)+4),1,3))+5)/7))</f>
        <v/>
      </c>
      <c r="D2204" s="21" t="n"/>
      <c r="E2204" s="22" t="n"/>
      <c r="F2204" s="23" t="n"/>
      <c r="G2204" s="23" t="n"/>
      <c r="H2204" s="23" t="n"/>
      <c r="I2204" s="20">
        <f>IF(COUNT(F2204:H2204)=0,"",SUM(F2204:H2204))</f>
        <v/>
      </c>
      <c r="J2204" s="23" t="n"/>
      <c r="K2204" s="23" t="n"/>
      <c r="L2204" s="23" t="n"/>
      <c r="M2204" s="23" t="n"/>
      <c r="N2204" s="23" t="n"/>
      <c r="O2204" s="20">
        <f>IF(OR(I2204="",COUNT(J2204:N2204)=0),"",IF(SUM(J2204:N2204)=I2204,"✓","⚠ "&amp;SUM(J2204:N2204)&amp;" statt "&amp;I2204))</f>
        <v/>
      </c>
      <c r="P2204" s="21" t="n"/>
      <c r="Q2204" s="21" t="n"/>
      <c r="R2204" s="21" t="n"/>
      <c r="S2204" s="24" t="n"/>
      <c r="T2204" s="24" t="n"/>
      <c r="V2204">
        <f>IF(A2204="","",MONTH(A2204))</f>
        <v/>
      </c>
      <c r="W2204">
        <f>N(W2203)+IF(AND(C2204&lt;&gt;"",T2204&lt;&gt;""),IF(C2204=WOCHE!$B$3,1,0),0)</f>
        <v/>
      </c>
      <c r="X2204">
        <f>N(X2203)+IF(AND(V2204&lt;&gt;"",T2204&lt;&gt;""),IF(V2204=MONAT!$AZ$3,1,0),0)</f>
        <v/>
      </c>
    </row>
    <row r="2205">
      <c r="A2205" s="19" t="n"/>
      <c r="B2205" s="20">
        <f>IF(A2205="","",CHOOSE(WEEKDAY(A2205,2),"Mo","Di","Mi","Do","Fr","Sa","So"))</f>
        <v/>
      </c>
      <c r="C2205" s="20">
        <f>IF(A2205="","",INT((A2205-DATE(YEAR(A2205-WEEKDAY(A2205-1)+4),1,3)+WEEKDAY(DATE(YEAR(A2205-WEEKDAY(A2205-1)+4),1,3))+5)/7))</f>
        <v/>
      </c>
      <c r="D2205" s="21" t="n"/>
      <c r="E2205" s="22" t="n"/>
      <c r="F2205" s="23" t="n"/>
      <c r="G2205" s="23" t="n"/>
      <c r="H2205" s="23" t="n"/>
      <c r="I2205" s="20">
        <f>IF(COUNT(F2205:H2205)=0,"",SUM(F2205:H2205))</f>
        <v/>
      </c>
      <c r="J2205" s="23" t="n"/>
      <c r="K2205" s="23" t="n"/>
      <c r="L2205" s="23" t="n"/>
      <c r="M2205" s="23" t="n"/>
      <c r="N2205" s="23" t="n"/>
      <c r="O2205" s="20">
        <f>IF(OR(I2205="",COUNT(J2205:N2205)=0),"",IF(SUM(J2205:N2205)=I2205,"✓","⚠ "&amp;SUM(J2205:N2205)&amp;" statt "&amp;I2205))</f>
        <v/>
      </c>
      <c r="P2205" s="21" t="n"/>
      <c r="Q2205" s="21" t="n"/>
      <c r="R2205" s="21" t="n"/>
      <c r="S2205" s="24" t="n"/>
      <c r="T2205" s="24" t="n"/>
      <c r="V2205">
        <f>IF(A2205="","",MONTH(A2205))</f>
        <v/>
      </c>
      <c r="W2205">
        <f>N(W2204)+IF(AND(C2205&lt;&gt;"",T2205&lt;&gt;""),IF(C2205=WOCHE!$B$3,1,0),0)</f>
        <v/>
      </c>
      <c r="X2205">
        <f>N(X2204)+IF(AND(V2205&lt;&gt;"",T2205&lt;&gt;""),IF(V2205=MONAT!$AZ$3,1,0),0)</f>
        <v/>
      </c>
    </row>
    <row r="2206">
      <c r="A2206" s="19" t="n"/>
      <c r="B2206" s="20">
        <f>IF(A2206="","",CHOOSE(WEEKDAY(A2206,2),"Mo","Di","Mi","Do","Fr","Sa","So"))</f>
        <v/>
      </c>
      <c r="C2206" s="20">
        <f>IF(A2206="","",INT((A2206-DATE(YEAR(A2206-WEEKDAY(A2206-1)+4),1,3)+WEEKDAY(DATE(YEAR(A2206-WEEKDAY(A2206-1)+4),1,3))+5)/7))</f>
        <v/>
      </c>
      <c r="D2206" s="21" t="n"/>
      <c r="E2206" s="22" t="n"/>
      <c r="F2206" s="23" t="n"/>
      <c r="G2206" s="23" t="n"/>
      <c r="H2206" s="23" t="n"/>
      <c r="I2206" s="20">
        <f>IF(COUNT(F2206:H2206)=0,"",SUM(F2206:H2206))</f>
        <v/>
      </c>
      <c r="J2206" s="23" t="n"/>
      <c r="K2206" s="23" t="n"/>
      <c r="L2206" s="23" t="n"/>
      <c r="M2206" s="23" t="n"/>
      <c r="N2206" s="23" t="n"/>
      <c r="O2206" s="20">
        <f>IF(OR(I2206="",COUNT(J2206:N2206)=0),"",IF(SUM(J2206:N2206)=I2206,"✓","⚠ "&amp;SUM(J2206:N2206)&amp;" statt "&amp;I2206))</f>
        <v/>
      </c>
      <c r="P2206" s="21" t="n"/>
      <c r="Q2206" s="21" t="n"/>
      <c r="R2206" s="21" t="n"/>
      <c r="S2206" s="24" t="n"/>
      <c r="T2206" s="24" t="n"/>
      <c r="V2206">
        <f>IF(A2206="","",MONTH(A2206))</f>
        <v/>
      </c>
      <c r="W2206">
        <f>N(W2205)+IF(AND(C2206&lt;&gt;"",T2206&lt;&gt;""),IF(C2206=WOCHE!$B$3,1,0),0)</f>
        <v/>
      </c>
      <c r="X2206">
        <f>N(X2205)+IF(AND(V2206&lt;&gt;"",T2206&lt;&gt;""),IF(V2206=MONAT!$AZ$3,1,0),0)</f>
        <v/>
      </c>
    </row>
    <row r="2207">
      <c r="A2207" s="19" t="n"/>
      <c r="B2207" s="20">
        <f>IF(A2207="","",CHOOSE(WEEKDAY(A2207,2),"Mo","Di","Mi","Do","Fr","Sa","So"))</f>
        <v/>
      </c>
      <c r="C2207" s="20">
        <f>IF(A2207="","",INT((A2207-DATE(YEAR(A2207-WEEKDAY(A2207-1)+4),1,3)+WEEKDAY(DATE(YEAR(A2207-WEEKDAY(A2207-1)+4),1,3))+5)/7))</f>
        <v/>
      </c>
      <c r="D2207" s="21" t="n"/>
      <c r="E2207" s="22" t="n"/>
      <c r="F2207" s="23" t="n"/>
      <c r="G2207" s="23" t="n"/>
      <c r="H2207" s="23" t="n"/>
      <c r="I2207" s="20">
        <f>IF(COUNT(F2207:H2207)=0,"",SUM(F2207:H2207))</f>
        <v/>
      </c>
      <c r="J2207" s="23" t="n"/>
      <c r="K2207" s="23" t="n"/>
      <c r="L2207" s="23" t="n"/>
      <c r="M2207" s="23" t="n"/>
      <c r="N2207" s="23" t="n"/>
      <c r="O2207" s="20">
        <f>IF(OR(I2207="",COUNT(J2207:N2207)=0),"",IF(SUM(J2207:N2207)=I2207,"✓","⚠ "&amp;SUM(J2207:N2207)&amp;" statt "&amp;I2207))</f>
        <v/>
      </c>
      <c r="P2207" s="21" t="n"/>
      <c r="Q2207" s="21" t="n"/>
      <c r="R2207" s="21" t="n"/>
      <c r="S2207" s="24" t="n"/>
      <c r="T2207" s="24" t="n"/>
      <c r="V2207">
        <f>IF(A2207="","",MONTH(A2207))</f>
        <v/>
      </c>
      <c r="W2207">
        <f>N(W2206)+IF(AND(C2207&lt;&gt;"",T2207&lt;&gt;""),IF(C2207=WOCHE!$B$3,1,0),0)</f>
        <v/>
      </c>
      <c r="X2207">
        <f>N(X2206)+IF(AND(V2207&lt;&gt;"",T2207&lt;&gt;""),IF(V2207=MONAT!$AZ$3,1,0),0)</f>
        <v/>
      </c>
    </row>
    <row r="2208">
      <c r="A2208" s="19" t="n"/>
      <c r="B2208" s="20">
        <f>IF(A2208="","",CHOOSE(WEEKDAY(A2208,2),"Mo","Di","Mi","Do","Fr","Sa","So"))</f>
        <v/>
      </c>
      <c r="C2208" s="20">
        <f>IF(A2208="","",INT((A2208-DATE(YEAR(A2208-WEEKDAY(A2208-1)+4),1,3)+WEEKDAY(DATE(YEAR(A2208-WEEKDAY(A2208-1)+4),1,3))+5)/7))</f>
        <v/>
      </c>
      <c r="D2208" s="21" t="n"/>
      <c r="E2208" s="22" t="n"/>
      <c r="F2208" s="23" t="n"/>
      <c r="G2208" s="23" t="n"/>
      <c r="H2208" s="23" t="n"/>
      <c r="I2208" s="20">
        <f>IF(COUNT(F2208:H2208)=0,"",SUM(F2208:H2208))</f>
        <v/>
      </c>
      <c r="J2208" s="23" t="n"/>
      <c r="K2208" s="23" t="n"/>
      <c r="L2208" s="23" t="n"/>
      <c r="M2208" s="23" t="n"/>
      <c r="N2208" s="23" t="n"/>
      <c r="O2208" s="20">
        <f>IF(OR(I2208="",COUNT(J2208:N2208)=0),"",IF(SUM(J2208:N2208)=I2208,"✓","⚠ "&amp;SUM(J2208:N2208)&amp;" statt "&amp;I2208))</f>
        <v/>
      </c>
      <c r="P2208" s="21" t="n"/>
      <c r="Q2208" s="21" t="n"/>
      <c r="R2208" s="21" t="n"/>
      <c r="S2208" s="24" t="n"/>
      <c r="T2208" s="24" t="n"/>
      <c r="V2208">
        <f>IF(A2208="","",MONTH(A2208))</f>
        <v/>
      </c>
      <c r="W2208">
        <f>N(W2207)+IF(AND(C2208&lt;&gt;"",T2208&lt;&gt;""),IF(C2208=WOCHE!$B$3,1,0),0)</f>
        <v/>
      </c>
      <c r="X2208">
        <f>N(X2207)+IF(AND(V2208&lt;&gt;"",T2208&lt;&gt;""),IF(V2208=MONAT!$AZ$3,1,0),0)</f>
        <v/>
      </c>
    </row>
    <row r="2209">
      <c r="A2209" s="19" t="n"/>
      <c r="B2209" s="20">
        <f>IF(A2209="","",CHOOSE(WEEKDAY(A2209,2),"Mo","Di","Mi","Do","Fr","Sa","So"))</f>
        <v/>
      </c>
      <c r="C2209" s="20">
        <f>IF(A2209="","",INT((A2209-DATE(YEAR(A2209-WEEKDAY(A2209-1)+4),1,3)+WEEKDAY(DATE(YEAR(A2209-WEEKDAY(A2209-1)+4),1,3))+5)/7))</f>
        <v/>
      </c>
      <c r="D2209" s="21" t="n"/>
      <c r="E2209" s="22" t="n"/>
      <c r="F2209" s="23" t="n"/>
      <c r="G2209" s="23" t="n"/>
      <c r="H2209" s="23" t="n"/>
      <c r="I2209" s="20">
        <f>IF(COUNT(F2209:H2209)=0,"",SUM(F2209:H2209))</f>
        <v/>
      </c>
      <c r="J2209" s="23" t="n"/>
      <c r="K2209" s="23" t="n"/>
      <c r="L2209" s="23" t="n"/>
      <c r="M2209" s="23" t="n"/>
      <c r="N2209" s="23" t="n"/>
      <c r="O2209" s="20">
        <f>IF(OR(I2209="",COUNT(J2209:N2209)=0),"",IF(SUM(J2209:N2209)=I2209,"✓","⚠ "&amp;SUM(J2209:N2209)&amp;" statt "&amp;I2209))</f>
        <v/>
      </c>
      <c r="P2209" s="21" t="n"/>
      <c r="Q2209" s="21" t="n"/>
      <c r="R2209" s="21" t="n"/>
      <c r="S2209" s="24" t="n"/>
      <c r="T2209" s="24" t="n"/>
      <c r="V2209">
        <f>IF(A2209="","",MONTH(A2209))</f>
        <v/>
      </c>
      <c r="W2209">
        <f>N(W2208)+IF(AND(C2209&lt;&gt;"",T2209&lt;&gt;""),IF(C2209=WOCHE!$B$3,1,0),0)</f>
        <v/>
      </c>
      <c r="X2209">
        <f>N(X2208)+IF(AND(V2209&lt;&gt;"",T2209&lt;&gt;""),IF(V2209=MONAT!$AZ$3,1,0),0)</f>
        <v/>
      </c>
    </row>
    <row r="2210">
      <c r="A2210" s="19" t="n"/>
      <c r="B2210" s="20">
        <f>IF(A2210="","",CHOOSE(WEEKDAY(A2210,2),"Mo","Di","Mi","Do","Fr","Sa","So"))</f>
        <v/>
      </c>
      <c r="C2210" s="20">
        <f>IF(A2210="","",INT((A2210-DATE(YEAR(A2210-WEEKDAY(A2210-1)+4),1,3)+WEEKDAY(DATE(YEAR(A2210-WEEKDAY(A2210-1)+4),1,3))+5)/7))</f>
        <v/>
      </c>
      <c r="D2210" s="21" t="n"/>
      <c r="E2210" s="22" t="n"/>
      <c r="F2210" s="23" t="n"/>
      <c r="G2210" s="23" t="n"/>
      <c r="H2210" s="23" t="n"/>
      <c r="I2210" s="20">
        <f>IF(COUNT(F2210:H2210)=0,"",SUM(F2210:H2210))</f>
        <v/>
      </c>
      <c r="J2210" s="23" t="n"/>
      <c r="K2210" s="23" t="n"/>
      <c r="L2210" s="23" t="n"/>
      <c r="M2210" s="23" t="n"/>
      <c r="N2210" s="23" t="n"/>
      <c r="O2210" s="20">
        <f>IF(OR(I2210="",COUNT(J2210:N2210)=0),"",IF(SUM(J2210:N2210)=I2210,"✓","⚠ "&amp;SUM(J2210:N2210)&amp;" statt "&amp;I2210))</f>
        <v/>
      </c>
      <c r="P2210" s="21" t="n"/>
      <c r="Q2210" s="21" t="n"/>
      <c r="R2210" s="21" t="n"/>
      <c r="S2210" s="24" t="n"/>
      <c r="T2210" s="24" t="n"/>
      <c r="V2210">
        <f>IF(A2210="","",MONTH(A2210))</f>
        <v/>
      </c>
      <c r="W2210">
        <f>N(W2209)+IF(AND(C2210&lt;&gt;"",T2210&lt;&gt;""),IF(C2210=WOCHE!$B$3,1,0),0)</f>
        <v/>
      </c>
      <c r="X2210">
        <f>N(X2209)+IF(AND(V2210&lt;&gt;"",T2210&lt;&gt;""),IF(V2210=MONAT!$AZ$3,1,0),0)</f>
        <v/>
      </c>
    </row>
    <row r="2211">
      <c r="A2211" s="19" t="n"/>
      <c r="B2211" s="20">
        <f>IF(A2211="","",CHOOSE(WEEKDAY(A2211,2),"Mo","Di","Mi","Do","Fr","Sa","So"))</f>
        <v/>
      </c>
      <c r="C2211" s="20">
        <f>IF(A2211="","",INT((A2211-DATE(YEAR(A2211-WEEKDAY(A2211-1)+4),1,3)+WEEKDAY(DATE(YEAR(A2211-WEEKDAY(A2211-1)+4),1,3))+5)/7))</f>
        <v/>
      </c>
      <c r="D2211" s="21" t="n"/>
      <c r="E2211" s="22" t="n"/>
      <c r="F2211" s="23" t="n"/>
      <c r="G2211" s="23" t="n"/>
      <c r="H2211" s="23" t="n"/>
      <c r="I2211" s="20">
        <f>IF(COUNT(F2211:H2211)=0,"",SUM(F2211:H2211))</f>
        <v/>
      </c>
      <c r="J2211" s="23" t="n"/>
      <c r="K2211" s="23" t="n"/>
      <c r="L2211" s="23" t="n"/>
      <c r="M2211" s="23" t="n"/>
      <c r="N2211" s="23" t="n"/>
      <c r="O2211" s="20">
        <f>IF(OR(I2211="",COUNT(J2211:N2211)=0),"",IF(SUM(J2211:N2211)=I2211,"✓","⚠ "&amp;SUM(J2211:N2211)&amp;" statt "&amp;I2211))</f>
        <v/>
      </c>
      <c r="P2211" s="21" t="n"/>
      <c r="Q2211" s="21" t="n"/>
      <c r="R2211" s="21" t="n"/>
      <c r="S2211" s="24" t="n"/>
      <c r="T2211" s="24" t="n"/>
      <c r="V2211">
        <f>IF(A2211="","",MONTH(A2211))</f>
        <v/>
      </c>
      <c r="W2211">
        <f>N(W2210)+IF(AND(C2211&lt;&gt;"",T2211&lt;&gt;""),IF(C2211=WOCHE!$B$3,1,0),0)</f>
        <v/>
      </c>
      <c r="X2211">
        <f>N(X2210)+IF(AND(V2211&lt;&gt;"",T2211&lt;&gt;""),IF(V2211=MONAT!$AZ$3,1,0),0)</f>
        <v/>
      </c>
    </row>
    <row r="2212">
      <c r="A2212" s="19" t="n"/>
      <c r="B2212" s="20">
        <f>IF(A2212="","",CHOOSE(WEEKDAY(A2212,2),"Mo","Di","Mi","Do","Fr","Sa","So"))</f>
        <v/>
      </c>
      <c r="C2212" s="20">
        <f>IF(A2212="","",INT((A2212-DATE(YEAR(A2212-WEEKDAY(A2212-1)+4),1,3)+WEEKDAY(DATE(YEAR(A2212-WEEKDAY(A2212-1)+4),1,3))+5)/7))</f>
        <v/>
      </c>
      <c r="D2212" s="21" t="n"/>
      <c r="E2212" s="22" t="n"/>
      <c r="F2212" s="23" t="n"/>
      <c r="G2212" s="23" t="n"/>
      <c r="H2212" s="23" t="n"/>
      <c r="I2212" s="20">
        <f>IF(COUNT(F2212:H2212)=0,"",SUM(F2212:H2212))</f>
        <v/>
      </c>
      <c r="J2212" s="23" t="n"/>
      <c r="K2212" s="23" t="n"/>
      <c r="L2212" s="23" t="n"/>
      <c r="M2212" s="23" t="n"/>
      <c r="N2212" s="23" t="n"/>
      <c r="O2212" s="20">
        <f>IF(OR(I2212="",COUNT(J2212:N2212)=0),"",IF(SUM(J2212:N2212)=I2212,"✓","⚠ "&amp;SUM(J2212:N2212)&amp;" statt "&amp;I2212))</f>
        <v/>
      </c>
      <c r="P2212" s="21" t="n"/>
      <c r="Q2212" s="21" t="n"/>
      <c r="R2212" s="21" t="n"/>
      <c r="S2212" s="24" t="n"/>
      <c r="T2212" s="24" t="n"/>
      <c r="V2212">
        <f>IF(A2212="","",MONTH(A2212))</f>
        <v/>
      </c>
      <c r="W2212">
        <f>N(W2211)+IF(AND(C2212&lt;&gt;"",T2212&lt;&gt;""),IF(C2212=WOCHE!$B$3,1,0),0)</f>
        <v/>
      </c>
      <c r="X2212">
        <f>N(X2211)+IF(AND(V2212&lt;&gt;"",T2212&lt;&gt;""),IF(V2212=MONAT!$AZ$3,1,0),0)</f>
        <v/>
      </c>
    </row>
    <row r="2213">
      <c r="A2213" s="19" t="n"/>
      <c r="B2213" s="20">
        <f>IF(A2213="","",CHOOSE(WEEKDAY(A2213,2),"Mo","Di","Mi","Do","Fr","Sa","So"))</f>
        <v/>
      </c>
      <c r="C2213" s="20">
        <f>IF(A2213="","",INT((A2213-DATE(YEAR(A2213-WEEKDAY(A2213-1)+4),1,3)+WEEKDAY(DATE(YEAR(A2213-WEEKDAY(A2213-1)+4),1,3))+5)/7))</f>
        <v/>
      </c>
      <c r="D2213" s="21" t="n"/>
      <c r="E2213" s="22" t="n"/>
      <c r="F2213" s="23" t="n"/>
      <c r="G2213" s="23" t="n"/>
      <c r="H2213" s="23" t="n"/>
      <c r="I2213" s="20">
        <f>IF(COUNT(F2213:H2213)=0,"",SUM(F2213:H2213))</f>
        <v/>
      </c>
      <c r="J2213" s="23" t="n"/>
      <c r="K2213" s="23" t="n"/>
      <c r="L2213" s="23" t="n"/>
      <c r="M2213" s="23" t="n"/>
      <c r="N2213" s="23" t="n"/>
      <c r="O2213" s="20">
        <f>IF(OR(I2213="",COUNT(J2213:N2213)=0),"",IF(SUM(J2213:N2213)=I2213,"✓","⚠ "&amp;SUM(J2213:N2213)&amp;" statt "&amp;I2213))</f>
        <v/>
      </c>
      <c r="P2213" s="21" t="n"/>
      <c r="Q2213" s="21" t="n"/>
      <c r="R2213" s="21" t="n"/>
      <c r="S2213" s="24" t="n"/>
      <c r="T2213" s="24" t="n"/>
      <c r="V2213">
        <f>IF(A2213="","",MONTH(A2213))</f>
        <v/>
      </c>
      <c r="W2213">
        <f>N(W2212)+IF(AND(C2213&lt;&gt;"",T2213&lt;&gt;""),IF(C2213=WOCHE!$B$3,1,0),0)</f>
        <v/>
      </c>
      <c r="X2213">
        <f>N(X2212)+IF(AND(V2213&lt;&gt;"",T2213&lt;&gt;""),IF(V2213=MONAT!$AZ$3,1,0),0)</f>
        <v/>
      </c>
    </row>
    <row r="2214">
      <c r="A2214" s="19" t="n"/>
      <c r="B2214" s="20">
        <f>IF(A2214="","",CHOOSE(WEEKDAY(A2214,2),"Mo","Di","Mi","Do","Fr","Sa","So"))</f>
        <v/>
      </c>
      <c r="C2214" s="20">
        <f>IF(A2214="","",INT((A2214-DATE(YEAR(A2214-WEEKDAY(A2214-1)+4),1,3)+WEEKDAY(DATE(YEAR(A2214-WEEKDAY(A2214-1)+4),1,3))+5)/7))</f>
        <v/>
      </c>
      <c r="D2214" s="21" t="n"/>
      <c r="E2214" s="22" t="n"/>
      <c r="F2214" s="23" t="n"/>
      <c r="G2214" s="23" t="n"/>
      <c r="H2214" s="23" t="n"/>
      <c r="I2214" s="20">
        <f>IF(COUNT(F2214:H2214)=0,"",SUM(F2214:H2214))</f>
        <v/>
      </c>
      <c r="J2214" s="23" t="n"/>
      <c r="K2214" s="23" t="n"/>
      <c r="L2214" s="23" t="n"/>
      <c r="M2214" s="23" t="n"/>
      <c r="N2214" s="23" t="n"/>
      <c r="O2214" s="20">
        <f>IF(OR(I2214="",COUNT(J2214:N2214)=0),"",IF(SUM(J2214:N2214)=I2214,"✓","⚠ "&amp;SUM(J2214:N2214)&amp;" statt "&amp;I2214))</f>
        <v/>
      </c>
      <c r="P2214" s="21" t="n"/>
      <c r="Q2214" s="21" t="n"/>
      <c r="R2214" s="21" t="n"/>
      <c r="S2214" s="24" t="n"/>
      <c r="T2214" s="24" t="n"/>
      <c r="V2214">
        <f>IF(A2214="","",MONTH(A2214))</f>
        <v/>
      </c>
      <c r="W2214">
        <f>N(W2213)+IF(AND(C2214&lt;&gt;"",T2214&lt;&gt;""),IF(C2214=WOCHE!$B$3,1,0),0)</f>
        <v/>
      </c>
      <c r="X2214">
        <f>N(X2213)+IF(AND(V2214&lt;&gt;"",T2214&lt;&gt;""),IF(V2214=MONAT!$AZ$3,1,0),0)</f>
        <v/>
      </c>
    </row>
    <row r="2215">
      <c r="A2215" s="19" t="n"/>
      <c r="B2215" s="20">
        <f>IF(A2215="","",CHOOSE(WEEKDAY(A2215,2),"Mo","Di","Mi","Do","Fr","Sa","So"))</f>
        <v/>
      </c>
      <c r="C2215" s="20">
        <f>IF(A2215="","",INT((A2215-DATE(YEAR(A2215-WEEKDAY(A2215-1)+4),1,3)+WEEKDAY(DATE(YEAR(A2215-WEEKDAY(A2215-1)+4),1,3))+5)/7))</f>
        <v/>
      </c>
      <c r="D2215" s="21" t="n"/>
      <c r="E2215" s="22" t="n"/>
      <c r="F2215" s="23" t="n"/>
      <c r="G2215" s="23" t="n"/>
      <c r="H2215" s="23" t="n"/>
      <c r="I2215" s="20">
        <f>IF(COUNT(F2215:H2215)=0,"",SUM(F2215:H2215))</f>
        <v/>
      </c>
      <c r="J2215" s="23" t="n"/>
      <c r="K2215" s="23" t="n"/>
      <c r="L2215" s="23" t="n"/>
      <c r="M2215" s="23" t="n"/>
      <c r="N2215" s="23" t="n"/>
      <c r="O2215" s="20">
        <f>IF(OR(I2215="",COUNT(J2215:N2215)=0),"",IF(SUM(J2215:N2215)=I2215,"✓","⚠ "&amp;SUM(J2215:N2215)&amp;" statt "&amp;I2215))</f>
        <v/>
      </c>
      <c r="P2215" s="21" t="n"/>
      <c r="Q2215" s="21" t="n"/>
      <c r="R2215" s="21" t="n"/>
      <c r="S2215" s="24" t="n"/>
      <c r="T2215" s="24" t="n"/>
      <c r="V2215">
        <f>IF(A2215="","",MONTH(A2215))</f>
        <v/>
      </c>
      <c r="W2215">
        <f>N(W2214)+IF(AND(C2215&lt;&gt;"",T2215&lt;&gt;""),IF(C2215=WOCHE!$B$3,1,0),0)</f>
        <v/>
      </c>
      <c r="X2215">
        <f>N(X2214)+IF(AND(V2215&lt;&gt;"",T2215&lt;&gt;""),IF(V2215=MONAT!$AZ$3,1,0),0)</f>
        <v/>
      </c>
    </row>
    <row r="2216">
      <c r="A2216" s="19" t="n"/>
      <c r="B2216" s="20">
        <f>IF(A2216="","",CHOOSE(WEEKDAY(A2216,2),"Mo","Di","Mi","Do","Fr","Sa","So"))</f>
        <v/>
      </c>
      <c r="C2216" s="20">
        <f>IF(A2216="","",INT((A2216-DATE(YEAR(A2216-WEEKDAY(A2216-1)+4),1,3)+WEEKDAY(DATE(YEAR(A2216-WEEKDAY(A2216-1)+4),1,3))+5)/7))</f>
        <v/>
      </c>
      <c r="D2216" s="21" t="n"/>
      <c r="E2216" s="22" t="n"/>
      <c r="F2216" s="23" t="n"/>
      <c r="G2216" s="23" t="n"/>
      <c r="H2216" s="23" t="n"/>
      <c r="I2216" s="20">
        <f>IF(COUNT(F2216:H2216)=0,"",SUM(F2216:H2216))</f>
        <v/>
      </c>
      <c r="J2216" s="23" t="n"/>
      <c r="K2216" s="23" t="n"/>
      <c r="L2216" s="23" t="n"/>
      <c r="M2216" s="23" t="n"/>
      <c r="N2216" s="23" t="n"/>
      <c r="O2216" s="20">
        <f>IF(OR(I2216="",COUNT(J2216:N2216)=0),"",IF(SUM(J2216:N2216)=I2216,"✓","⚠ "&amp;SUM(J2216:N2216)&amp;" statt "&amp;I2216))</f>
        <v/>
      </c>
      <c r="P2216" s="21" t="n"/>
      <c r="Q2216" s="21" t="n"/>
      <c r="R2216" s="21" t="n"/>
      <c r="S2216" s="24" t="n"/>
      <c r="T2216" s="24" t="n"/>
      <c r="V2216">
        <f>IF(A2216="","",MONTH(A2216))</f>
        <v/>
      </c>
      <c r="W2216">
        <f>N(W2215)+IF(AND(C2216&lt;&gt;"",T2216&lt;&gt;""),IF(C2216=WOCHE!$B$3,1,0),0)</f>
        <v/>
      </c>
      <c r="X2216">
        <f>N(X2215)+IF(AND(V2216&lt;&gt;"",T2216&lt;&gt;""),IF(V2216=MONAT!$AZ$3,1,0),0)</f>
        <v/>
      </c>
    </row>
    <row r="2217">
      <c r="A2217" s="19" t="n"/>
      <c r="B2217" s="20">
        <f>IF(A2217="","",CHOOSE(WEEKDAY(A2217,2),"Mo","Di","Mi","Do","Fr","Sa","So"))</f>
        <v/>
      </c>
      <c r="C2217" s="20">
        <f>IF(A2217="","",INT((A2217-DATE(YEAR(A2217-WEEKDAY(A2217-1)+4),1,3)+WEEKDAY(DATE(YEAR(A2217-WEEKDAY(A2217-1)+4),1,3))+5)/7))</f>
        <v/>
      </c>
      <c r="D2217" s="21" t="n"/>
      <c r="E2217" s="22" t="n"/>
      <c r="F2217" s="23" t="n"/>
      <c r="G2217" s="23" t="n"/>
      <c r="H2217" s="23" t="n"/>
      <c r="I2217" s="20">
        <f>IF(COUNT(F2217:H2217)=0,"",SUM(F2217:H2217))</f>
        <v/>
      </c>
      <c r="J2217" s="23" t="n"/>
      <c r="K2217" s="23" t="n"/>
      <c r="L2217" s="23" t="n"/>
      <c r="M2217" s="23" t="n"/>
      <c r="N2217" s="23" t="n"/>
      <c r="O2217" s="20">
        <f>IF(OR(I2217="",COUNT(J2217:N2217)=0),"",IF(SUM(J2217:N2217)=I2217,"✓","⚠ "&amp;SUM(J2217:N2217)&amp;" statt "&amp;I2217))</f>
        <v/>
      </c>
      <c r="P2217" s="21" t="n"/>
      <c r="Q2217" s="21" t="n"/>
      <c r="R2217" s="21" t="n"/>
      <c r="S2217" s="24" t="n"/>
      <c r="T2217" s="24" t="n"/>
      <c r="V2217">
        <f>IF(A2217="","",MONTH(A2217))</f>
        <v/>
      </c>
      <c r="W2217">
        <f>N(W2216)+IF(AND(C2217&lt;&gt;"",T2217&lt;&gt;""),IF(C2217=WOCHE!$B$3,1,0),0)</f>
        <v/>
      </c>
      <c r="X2217">
        <f>N(X2216)+IF(AND(V2217&lt;&gt;"",T2217&lt;&gt;""),IF(V2217=MONAT!$AZ$3,1,0),0)</f>
        <v/>
      </c>
    </row>
    <row r="2218">
      <c r="A2218" s="19" t="n"/>
      <c r="B2218" s="20">
        <f>IF(A2218="","",CHOOSE(WEEKDAY(A2218,2),"Mo","Di","Mi","Do","Fr","Sa","So"))</f>
        <v/>
      </c>
      <c r="C2218" s="20">
        <f>IF(A2218="","",INT((A2218-DATE(YEAR(A2218-WEEKDAY(A2218-1)+4),1,3)+WEEKDAY(DATE(YEAR(A2218-WEEKDAY(A2218-1)+4),1,3))+5)/7))</f>
        <v/>
      </c>
      <c r="D2218" s="21" t="n"/>
      <c r="E2218" s="22" t="n"/>
      <c r="F2218" s="23" t="n"/>
      <c r="G2218" s="23" t="n"/>
      <c r="H2218" s="23" t="n"/>
      <c r="I2218" s="20">
        <f>IF(COUNT(F2218:H2218)=0,"",SUM(F2218:H2218))</f>
        <v/>
      </c>
      <c r="J2218" s="23" t="n"/>
      <c r="K2218" s="23" t="n"/>
      <c r="L2218" s="23" t="n"/>
      <c r="M2218" s="23" t="n"/>
      <c r="N2218" s="23" t="n"/>
      <c r="O2218" s="20">
        <f>IF(OR(I2218="",COUNT(J2218:N2218)=0),"",IF(SUM(J2218:N2218)=I2218,"✓","⚠ "&amp;SUM(J2218:N2218)&amp;" statt "&amp;I2218))</f>
        <v/>
      </c>
      <c r="P2218" s="21" t="n"/>
      <c r="Q2218" s="21" t="n"/>
      <c r="R2218" s="21" t="n"/>
      <c r="S2218" s="24" t="n"/>
      <c r="T2218" s="24" t="n"/>
      <c r="V2218">
        <f>IF(A2218="","",MONTH(A2218))</f>
        <v/>
      </c>
      <c r="W2218">
        <f>N(W2217)+IF(AND(C2218&lt;&gt;"",T2218&lt;&gt;""),IF(C2218=WOCHE!$B$3,1,0),0)</f>
        <v/>
      </c>
      <c r="X2218">
        <f>N(X2217)+IF(AND(V2218&lt;&gt;"",T2218&lt;&gt;""),IF(V2218=MONAT!$AZ$3,1,0),0)</f>
        <v/>
      </c>
    </row>
    <row r="2219">
      <c r="A2219" s="19" t="n"/>
      <c r="B2219" s="20">
        <f>IF(A2219="","",CHOOSE(WEEKDAY(A2219,2),"Mo","Di","Mi","Do","Fr","Sa","So"))</f>
        <v/>
      </c>
      <c r="C2219" s="20">
        <f>IF(A2219="","",INT((A2219-DATE(YEAR(A2219-WEEKDAY(A2219-1)+4),1,3)+WEEKDAY(DATE(YEAR(A2219-WEEKDAY(A2219-1)+4),1,3))+5)/7))</f>
        <v/>
      </c>
      <c r="D2219" s="21" t="n"/>
      <c r="E2219" s="22" t="n"/>
      <c r="F2219" s="23" t="n"/>
      <c r="G2219" s="23" t="n"/>
      <c r="H2219" s="23" t="n"/>
      <c r="I2219" s="20">
        <f>IF(COUNT(F2219:H2219)=0,"",SUM(F2219:H2219))</f>
        <v/>
      </c>
      <c r="J2219" s="23" t="n"/>
      <c r="K2219" s="23" t="n"/>
      <c r="L2219" s="23" t="n"/>
      <c r="M2219" s="23" t="n"/>
      <c r="N2219" s="23" t="n"/>
      <c r="O2219" s="20">
        <f>IF(OR(I2219="",COUNT(J2219:N2219)=0),"",IF(SUM(J2219:N2219)=I2219,"✓","⚠ "&amp;SUM(J2219:N2219)&amp;" statt "&amp;I2219))</f>
        <v/>
      </c>
      <c r="P2219" s="21" t="n"/>
      <c r="Q2219" s="21" t="n"/>
      <c r="R2219" s="21" t="n"/>
      <c r="S2219" s="24" t="n"/>
      <c r="T2219" s="24" t="n"/>
      <c r="V2219">
        <f>IF(A2219="","",MONTH(A2219))</f>
        <v/>
      </c>
      <c r="W2219">
        <f>N(W2218)+IF(AND(C2219&lt;&gt;"",T2219&lt;&gt;""),IF(C2219=WOCHE!$B$3,1,0),0)</f>
        <v/>
      </c>
      <c r="X2219">
        <f>N(X2218)+IF(AND(V2219&lt;&gt;"",T2219&lt;&gt;""),IF(V2219=MONAT!$AZ$3,1,0),0)</f>
        <v/>
      </c>
    </row>
    <row r="2220">
      <c r="A2220" s="19" t="n"/>
      <c r="B2220" s="20">
        <f>IF(A2220="","",CHOOSE(WEEKDAY(A2220,2),"Mo","Di","Mi","Do","Fr","Sa","So"))</f>
        <v/>
      </c>
      <c r="C2220" s="20">
        <f>IF(A2220="","",INT((A2220-DATE(YEAR(A2220-WEEKDAY(A2220-1)+4),1,3)+WEEKDAY(DATE(YEAR(A2220-WEEKDAY(A2220-1)+4),1,3))+5)/7))</f>
        <v/>
      </c>
      <c r="D2220" s="21" t="n"/>
      <c r="E2220" s="22" t="n"/>
      <c r="F2220" s="23" t="n"/>
      <c r="G2220" s="23" t="n"/>
      <c r="H2220" s="23" t="n"/>
      <c r="I2220" s="20">
        <f>IF(COUNT(F2220:H2220)=0,"",SUM(F2220:H2220))</f>
        <v/>
      </c>
      <c r="J2220" s="23" t="n"/>
      <c r="K2220" s="23" t="n"/>
      <c r="L2220" s="23" t="n"/>
      <c r="M2220" s="23" t="n"/>
      <c r="N2220" s="23" t="n"/>
      <c r="O2220" s="20">
        <f>IF(OR(I2220="",COUNT(J2220:N2220)=0),"",IF(SUM(J2220:N2220)=I2220,"✓","⚠ "&amp;SUM(J2220:N2220)&amp;" statt "&amp;I2220))</f>
        <v/>
      </c>
      <c r="P2220" s="21" t="n"/>
      <c r="Q2220" s="21" t="n"/>
      <c r="R2220" s="21" t="n"/>
      <c r="S2220" s="24" t="n"/>
      <c r="T2220" s="24" t="n"/>
      <c r="V2220">
        <f>IF(A2220="","",MONTH(A2220))</f>
        <v/>
      </c>
      <c r="W2220">
        <f>N(W2219)+IF(AND(C2220&lt;&gt;"",T2220&lt;&gt;""),IF(C2220=WOCHE!$B$3,1,0),0)</f>
        <v/>
      </c>
      <c r="X2220">
        <f>N(X2219)+IF(AND(V2220&lt;&gt;"",T2220&lt;&gt;""),IF(V2220=MONAT!$AZ$3,1,0),0)</f>
        <v/>
      </c>
    </row>
    <row r="2221">
      <c r="A2221" s="19" t="n"/>
      <c r="B2221" s="20">
        <f>IF(A2221="","",CHOOSE(WEEKDAY(A2221,2),"Mo","Di","Mi","Do","Fr","Sa","So"))</f>
        <v/>
      </c>
      <c r="C2221" s="20">
        <f>IF(A2221="","",INT((A2221-DATE(YEAR(A2221-WEEKDAY(A2221-1)+4),1,3)+WEEKDAY(DATE(YEAR(A2221-WEEKDAY(A2221-1)+4),1,3))+5)/7))</f>
        <v/>
      </c>
      <c r="D2221" s="21" t="n"/>
      <c r="E2221" s="22" t="n"/>
      <c r="F2221" s="23" t="n"/>
      <c r="G2221" s="23" t="n"/>
      <c r="H2221" s="23" t="n"/>
      <c r="I2221" s="20">
        <f>IF(COUNT(F2221:H2221)=0,"",SUM(F2221:H2221))</f>
        <v/>
      </c>
      <c r="J2221" s="23" t="n"/>
      <c r="K2221" s="23" t="n"/>
      <c r="L2221" s="23" t="n"/>
      <c r="M2221" s="23" t="n"/>
      <c r="N2221" s="23" t="n"/>
      <c r="O2221" s="20">
        <f>IF(OR(I2221="",COUNT(J2221:N2221)=0),"",IF(SUM(J2221:N2221)=I2221,"✓","⚠ "&amp;SUM(J2221:N2221)&amp;" statt "&amp;I2221))</f>
        <v/>
      </c>
      <c r="P2221" s="21" t="n"/>
      <c r="Q2221" s="21" t="n"/>
      <c r="R2221" s="21" t="n"/>
      <c r="S2221" s="24" t="n"/>
      <c r="T2221" s="24" t="n"/>
      <c r="V2221">
        <f>IF(A2221="","",MONTH(A2221))</f>
        <v/>
      </c>
      <c r="W2221">
        <f>N(W2220)+IF(AND(C2221&lt;&gt;"",T2221&lt;&gt;""),IF(C2221=WOCHE!$B$3,1,0),0)</f>
        <v/>
      </c>
      <c r="X2221">
        <f>N(X2220)+IF(AND(V2221&lt;&gt;"",T2221&lt;&gt;""),IF(V2221=MONAT!$AZ$3,1,0),0)</f>
        <v/>
      </c>
    </row>
    <row r="2222">
      <c r="A2222" s="19" t="n"/>
      <c r="B2222" s="20">
        <f>IF(A2222="","",CHOOSE(WEEKDAY(A2222,2),"Mo","Di","Mi","Do","Fr","Sa","So"))</f>
        <v/>
      </c>
      <c r="C2222" s="20">
        <f>IF(A2222="","",INT((A2222-DATE(YEAR(A2222-WEEKDAY(A2222-1)+4),1,3)+WEEKDAY(DATE(YEAR(A2222-WEEKDAY(A2222-1)+4),1,3))+5)/7))</f>
        <v/>
      </c>
      <c r="D2222" s="21" t="n"/>
      <c r="E2222" s="22" t="n"/>
      <c r="F2222" s="23" t="n"/>
      <c r="G2222" s="23" t="n"/>
      <c r="H2222" s="23" t="n"/>
      <c r="I2222" s="20">
        <f>IF(COUNT(F2222:H2222)=0,"",SUM(F2222:H2222))</f>
        <v/>
      </c>
      <c r="J2222" s="23" t="n"/>
      <c r="K2222" s="23" t="n"/>
      <c r="L2222" s="23" t="n"/>
      <c r="M2222" s="23" t="n"/>
      <c r="N2222" s="23" t="n"/>
      <c r="O2222" s="20">
        <f>IF(OR(I2222="",COUNT(J2222:N2222)=0),"",IF(SUM(J2222:N2222)=I2222,"✓","⚠ "&amp;SUM(J2222:N2222)&amp;" statt "&amp;I2222))</f>
        <v/>
      </c>
      <c r="P2222" s="21" t="n"/>
      <c r="Q2222" s="21" t="n"/>
      <c r="R2222" s="21" t="n"/>
      <c r="S2222" s="24" t="n"/>
      <c r="T2222" s="24" t="n"/>
      <c r="V2222">
        <f>IF(A2222="","",MONTH(A2222))</f>
        <v/>
      </c>
      <c r="W2222">
        <f>N(W2221)+IF(AND(C2222&lt;&gt;"",T2222&lt;&gt;""),IF(C2222=WOCHE!$B$3,1,0),0)</f>
        <v/>
      </c>
      <c r="X2222">
        <f>N(X2221)+IF(AND(V2222&lt;&gt;"",T2222&lt;&gt;""),IF(V2222=MONAT!$AZ$3,1,0),0)</f>
        <v/>
      </c>
    </row>
    <row r="2223">
      <c r="A2223" s="19" t="n"/>
      <c r="B2223" s="20">
        <f>IF(A2223="","",CHOOSE(WEEKDAY(A2223,2),"Mo","Di","Mi","Do","Fr","Sa","So"))</f>
        <v/>
      </c>
      <c r="C2223" s="20">
        <f>IF(A2223="","",INT((A2223-DATE(YEAR(A2223-WEEKDAY(A2223-1)+4),1,3)+WEEKDAY(DATE(YEAR(A2223-WEEKDAY(A2223-1)+4),1,3))+5)/7))</f>
        <v/>
      </c>
      <c r="D2223" s="21" t="n"/>
      <c r="E2223" s="22" t="n"/>
      <c r="F2223" s="23" t="n"/>
      <c r="G2223" s="23" t="n"/>
      <c r="H2223" s="23" t="n"/>
      <c r="I2223" s="20">
        <f>IF(COUNT(F2223:H2223)=0,"",SUM(F2223:H2223))</f>
        <v/>
      </c>
      <c r="J2223" s="23" t="n"/>
      <c r="K2223" s="23" t="n"/>
      <c r="L2223" s="23" t="n"/>
      <c r="M2223" s="23" t="n"/>
      <c r="N2223" s="23" t="n"/>
      <c r="O2223" s="20">
        <f>IF(OR(I2223="",COUNT(J2223:N2223)=0),"",IF(SUM(J2223:N2223)=I2223,"✓","⚠ "&amp;SUM(J2223:N2223)&amp;" statt "&amp;I2223))</f>
        <v/>
      </c>
      <c r="P2223" s="21" t="n"/>
      <c r="Q2223" s="21" t="n"/>
      <c r="R2223" s="21" t="n"/>
      <c r="S2223" s="24" t="n"/>
      <c r="T2223" s="24" t="n"/>
      <c r="V2223">
        <f>IF(A2223="","",MONTH(A2223))</f>
        <v/>
      </c>
      <c r="W2223">
        <f>N(W2222)+IF(AND(C2223&lt;&gt;"",T2223&lt;&gt;""),IF(C2223=WOCHE!$B$3,1,0),0)</f>
        <v/>
      </c>
      <c r="X2223">
        <f>N(X2222)+IF(AND(V2223&lt;&gt;"",T2223&lt;&gt;""),IF(V2223=MONAT!$AZ$3,1,0),0)</f>
        <v/>
      </c>
    </row>
    <row r="2224">
      <c r="A2224" s="19" t="n"/>
      <c r="B2224" s="20">
        <f>IF(A2224="","",CHOOSE(WEEKDAY(A2224,2),"Mo","Di","Mi","Do","Fr","Sa","So"))</f>
        <v/>
      </c>
      <c r="C2224" s="20">
        <f>IF(A2224="","",INT((A2224-DATE(YEAR(A2224-WEEKDAY(A2224-1)+4),1,3)+WEEKDAY(DATE(YEAR(A2224-WEEKDAY(A2224-1)+4),1,3))+5)/7))</f>
        <v/>
      </c>
      <c r="D2224" s="21" t="n"/>
      <c r="E2224" s="22" t="n"/>
      <c r="F2224" s="23" t="n"/>
      <c r="G2224" s="23" t="n"/>
      <c r="H2224" s="23" t="n"/>
      <c r="I2224" s="20">
        <f>IF(COUNT(F2224:H2224)=0,"",SUM(F2224:H2224))</f>
        <v/>
      </c>
      <c r="J2224" s="23" t="n"/>
      <c r="K2224" s="23" t="n"/>
      <c r="L2224" s="23" t="n"/>
      <c r="M2224" s="23" t="n"/>
      <c r="N2224" s="23" t="n"/>
      <c r="O2224" s="20">
        <f>IF(OR(I2224="",COUNT(J2224:N2224)=0),"",IF(SUM(J2224:N2224)=I2224,"✓","⚠ "&amp;SUM(J2224:N2224)&amp;" statt "&amp;I2224))</f>
        <v/>
      </c>
      <c r="P2224" s="21" t="n"/>
      <c r="Q2224" s="21" t="n"/>
      <c r="R2224" s="21" t="n"/>
      <c r="S2224" s="24" t="n"/>
      <c r="T2224" s="24" t="n"/>
      <c r="V2224">
        <f>IF(A2224="","",MONTH(A2224))</f>
        <v/>
      </c>
      <c r="W2224">
        <f>N(W2223)+IF(AND(C2224&lt;&gt;"",T2224&lt;&gt;""),IF(C2224=WOCHE!$B$3,1,0),0)</f>
        <v/>
      </c>
      <c r="X2224">
        <f>N(X2223)+IF(AND(V2224&lt;&gt;"",T2224&lt;&gt;""),IF(V2224=MONAT!$AZ$3,1,0),0)</f>
        <v/>
      </c>
    </row>
    <row r="2225">
      <c r="A2225" s="19" t="n"/>
      <c r="B2225" s="20">
        <f>IF(A2225="","",CHOOSE(WEEKDAY(A2225,2),"Mo","Di","Mi","Do","Fr","Sa","So"))</f>
        <v/>
      </c>
      <c r="C2225" s="20">
        <f>IF(A2225="","",INT((A2225-DATE(YEAR(A2225-WEEKDAY(A2225-1)+4),1,3)+WEEKDAY(DATE(YEAR(A2225-WEEKDAY(A2225-1)+4),1,3))+5)/7))</f>
        <v/>
      </c>
      <c r="D2225" s="21" t="n"/>
      <c r="E2225" s="22" t="n"/>
      <c r="F2225" s="23" t="n"/>
      <c r="G2225" s="23" t="n"/>
      <c r="H2225" s="23" t="n"/>
      <c r="I2225" s="20">
        <f>IF(COUNT(F2225:H2225)=0,"",SUM(F2225:H2225))</f>
        <v/>
      </c>
      <c r="J2225" s="23" t="n"/>
      <c r="K2225" s="23" t="n"/>
      <c r="L2225" s="23" t="n"/>
      <c r="M2225" s="23" t="n"/>
      <c r="N2225" s="23" t="n"/>
      <c r="O2225" s="20">
        <f>IF(OR(I2225="",COUNT(J2225:N2225)=0),"",IF(SUM(J2225:N2225)=I2225,"✓","⚠ "&amp;SUM(J2225:N2225)&amp;" statt "&amp;I2225))</f>
        <v/>
      </c>
      <c r="P2225" s="21" t="n"/>
      <c r="Q2225" s="21" t="n"/>
      <c r="R2225" s="21" t="n"/>
      <c r="S2225" s="24" t="n"/>
      <c r="T2225" s="24" t="n"/>
      <c r="V2225">
        <f>IF(A2225="","",MONTH(A2225))</f>
        <v/>
      </c>
      <c r="W2225">
        <f>N(W2224)+IF(AND(C2225&lt;&gt;"",T2225&lt;&gt;""),IF(C2225=WOCHE!$B$3,1,0),0)</f>
        <v/>
      </c>
      <c r="X2225">
        <f>N(X2224)+IF(AND(V2225&lt;&gt;"",T2225&lt;&gt;""),IF(V2225=MONAT!$AZ$3,1,0),0)</f>
        <v/>
      </c>
    </row>
    <row r="2226">
      <c r="A2226" s="19" t="n"/>
      <c r="B2226" s="20">
        <f>IF(A2226="","",CHOOSE(WEEKDAY(A2226,2),"Mo","Di","Mi","Do","Fr","Sa","So"))</f>
        <v/>
      </c>
      <c r="C2226" s="20">
        <f>IF(A2226="","",INT((A2226-DATE(YEAR(A2226-WEEKDAY(A2226-1)+4),1,3)+WEEKDAY(DATE(YEAR(A2226-WEEKDAY(A2226-1)+4),1,3))+5)/7))</f>
        <v/>
      </c>
      <c r="D2226" s="21" t="n"/>
      <c r="E2226" s="22" t="n"/>
      <c r="F2226" s="23" t="n"/>
      <c r="G2226" s="23" t="n"/>
      <c r="H2226" s="23" t="n"/>
      <c r="I2226" s="20">
        <f>IF(COUNT(F2226:H2226)=0,"",SUM(F2226:H2226))</f>
        <v/>
      </c>
      <c r="J2226" s="23" t="n"/>
      <c r="K2226" s="23" t="n"/>
      <c r="L2226" s="23" t="n"/>
      <c r="M2226" s="23" t="n"/>
      <c r="N2226" s="23" t="n"/>
      <c r="O2226" s="20">
        <f>IF(OR(I2226="",COUNT(J2226:N2226)=0),"",IF(SUM(J2226:N2226)=I2226,"✓","⚠ "&amp;SUM(J2226:N2226)&amp;" statt "&amp;I2226))</f>
        <v/>
      </c>
      <c r="P2226" s="21" t="n"/>
      <c r="Q2226" s="21" t="n"/>
      <c r="R2226" s="21" t="n"/>
      <c r="S2226" s="24" t="n"/>
      <c r="T2226" s="24" t="n"/>
      <c r="V2226">
        <f>IF(A2226="","",MONTH(A2226))</f>
        <v/>
      </c>
      <c r="W2226">
        <f>N(W2225)+IF(AND(C2226&lt;&gt;"",T2226&lt;&gt;""),IF(C2226=WOCHE!$B$3,1,0),0)</f>
        <v/>
      </c>
      <c r="X2226">
        <f>N(X2225)+IF(AND(V2226&lt;&gt;"",T2226&lt;&gt;""),IF(V2226=MONAT!$AZ$3,1,0),0)</f>
        <v/>
      </c>
    </row>
    <row r="2227">
      <c r="A2227" s="19" t="n"/>
      <c r="B2227" s="20">
        <f>IF(A2227="","",CHOOSE(WEEKDAY(A2227,2),"Mo","Di","Mi","Do","Fr","Sa","So"))</f>
        <v/>
      </c>
      <c r="C2227" s="20">
        <f>IF(A2227="","",INT((A2227-DATE(YEAR(A2227-WEEKDAY(A2227-1)+4),1,3)+WEEKDAY(DATE(YEAR(A2227-WEEKDAY(A2227-1)+4),1,3))+5)/7))</f>
        <v/>
      </c>
      <c r="D2227" s="21" t="n"/>
      <c r="E2227" s="22" t="n"/>
      <c r="F2227" s="23" t="n"/>
      <c r="G2227" s="23" t="n"/>
      <c r="H2227" s="23" t="n"/>
      <c r="I2227" s="20">
        <f>IF(COUNT(F2227:H2227)=0,"",SUM(F2227:H2227))</f>
        <v/>
      </c>
      <c r="J2227" s="23" t="n"/>
      <c r="K2227" s="23" t="n"/>
      <c r="L2227" s="23" t="n"/>
      <c r="M2227" s="23" t="n"/>
      <c r="N2227" s="23" t="n"/>
      <c r="O2227" s="20">
        <f>IF(OR(I2227="",COUNT(J2227:N2227)=0),"",IF(SUM(J2227:N2227)=I2227,"✓","⚠ "&amp;SUM(J2227:N2227)&amp;" statt "&amp;I2227))</f>
        <v/>
      </c>
      <c r="P2227" s="21" t="n"/>
      <c r="Q2227" s="21" t="n"/>
      <c r="R2227" s="21" t="n"/>
      <c r="S2227" s="24" t="n"/>
      <c r="T2227" s="24" t="n"/>
      <c r="V2227">
        <f>IF(A2227="","",MONTH(A2227))</f>
        <v/>
      </c>
      <c r="W2227">
        <f>N(W2226)+IF(AND(C2227&lt;&gt;"",T2227&lt;&gt;""),IF(C2227=WOCHE!$B$3,1,0),0)</f>
        <v/>
      </c>
      <c r="X2227">
        <f>N(X2226)+IF(AND(V2227&lt;&gt;"",T2227&lt;&gt;""),IF(V2227=MONAT!$AZ$3,1,0),0)</f>
        <v/>
      </c>
    </row>
    <row r="2228">
      <c r="A2228" s="19" t="n"/>
      <c r="B2228" s="20">
        <f>IF(A2228="","",CHOOSE(WEEKDAY(A2228,2),"Mo","Di","Mi","Do","Fr","Sa","So"))</f>
        <v/>
      </c>
      <c r="C2228" s="20">
        <f>IF(A2228="","",INT((A2228-DATE(YEAR(A2228-WEEKDAY(A2228-1)+4),1,3)+WEEKDAY(DATE(YEAR(A2228-WEEKDAY(A2228-1)+4),1,3))+5)/7))</f>
        <v/>
      </c>
      <c r="D2228" s="21" t="n"/>
      <c r="E2228" s="22" t="n"/>
      <c r="F2228" s="23" t="n"/>
      <c r="G2228" s="23" t="n"/>
      <c r="H2228" s="23" t="n"/>
      <c r="I2228" s="20">
        <f>IF(COUNT(F2228:H2228)=0,"",SUM(F2228:H2228))</f>
        <v/>
      </c>
      <c r="J2228" s="23" t="n"/>
      <c r="K2228" s="23" t="n"/>
      <c r="L2228" s="23" t="n"/>
      <c r="M2228" s="23" t="n"/>
      <c r="N2228" s="23" t="n"/>
      <c r="O2228" s="20">
        <f>IF(OR(I2228="",COUNT(J2228:N2228)=0),"",IF(SUM(J2228:N2228)=I2228,"✓","⚠ "&amp;SUM(J2228:N2228)&amp;" statt "&amp;I2228))</f>
        <v/>
      </c>
      <c r="P2228" s="21" t="n"/>
      <c r="Q2228" s="21" t="n"/>
      <c r="R2228" s="21" t="n"/>
      <c r="S2228" s="24" t="n"/>
      <c r="T2228" s="24" t="n"/>
      <c r="V2228">
        <f>IF(A2228="","",MONTH(A2228))</f>
        <v/>
      </c>
      <c r="W2228">
        <f>N(W2227)+IF(AND(C2228&lt;&gt;"",T2228&lt;&gt;""),IF(C2228=WOCHE!$B$3,1,0),0)</f>
        <v/>
      </c>
      <c r="X2228">
        <f>N(X2227)+IF(AND(V2228&lt;&gt;"",T2228&lt;&gt;""),IF(V2228=MONAT!$AZ$3,1,0),0)</f>
        <v/>
      </c>
    </row>
    <row r="2229">
      <c r="A2229" s="19" t="n"/>
      <c r="B2229" s="20">
        <f>IF(A2229="","",CHOOSE(WEEKDAY(A2229,2),"Mo","Di","Mi","Do","Fr","Sa","So"))</f>
        <v/>
      </c>
      <c r="C2229" s="20">
        <f>IF(A2229="","",INT((A2229-DATE(YEAR(A2229-WEEKDAY(A2229-1)+4),1,3)+WEEKDAY(DATE(YEAR(A2229-WEEKDAY(A2229-1)+4),1,3))+5)/7))</f>
        <v/>
      </c>
      <c r="D2229" s="21" t="n"/>
      <c r="E2229" s="22" t="n"/>
      <c r="F2229" s="23" t="n"/>
      <c r="G2229" s="23" t="n"/>
      <c r="H2229" s="23" t="n"/>
      <c r="I2229" s="20">
        <f>IF(COUNT(F2229:H2229)=0,"",SUM(F2229:H2229))</f>
        <v/>
      </c>
      <c r="J2229" s="23" t="n"/>
      <c r="K2229" s="23" t="n"/>
      <c r="L2229" s="23" t="n"/>
      <c r="M2229" s="23" t="n"/>
      <c r="N2229" s="23" t="n"/>
      <c r="O2229" s="20">
        <f>IF(OR(I2229="",COUNT(J2229:N2229)=0),"",IF(SUM(J2229:N2229)=I2229,"✓","⚠ "&amp;SUM(J2229:N2229)&amp;" statt "&amp;I2229))</f>
        <v/>
      </c>
      <c r="P2229" s="21" t="n"/>
      <c r="Q2229" s="21" t="n"/>
      <c r="R2229" s="21" t="n"/>
      <c r="S2229" s="24" t="n"/>
      <c r="T2229" s="24" t="n"/>
      <c r="V2229">
        <f>IF(A2229="","",MONTH(A2229))</f>
        <v/>
      </c>
      <c r="W2229">
        <f>N(W2228)+IF(AND(C2229&lt;&gt;"",T2229&lt;&gt;""),IF(C2229=WOCHE!$B$3,1,0),0)</f>
        <v/>
      </c>
      <c r="X2229">
        <f>N(X2228)+IF(AND(V2229&lt;&gt;"",T2229&lt;&gt;""),IF(V2229=MONAT!$AZ$3,1,0),0)</f>
        <v/>
      </c>
    </row>
    <row r="2230">
      <c r="A2230" s="19" t="n"/>
      <c r="B2230" s="20">
        <f>IF(A2230="","",CHOOSE(WEEKDAY(A2230,2),"Mo","Di","Mi","Do","Fr","Sa","So"))</f>
        <v/>
      </c>
      <c r="C2230" s="20">
        <f>IF(A2230="","",INT((A2230-DATE(YEAR(A2230-WEEKDAY(A2230-1)+4),1,3)+WEEKDAY(DATE(YEAR(A2230-WEEKDAY(A2230-1)+4),1,3))+5)/7))</f>
        <v/>
      </c>
      <c r="D2230" s="21" t="n"/>
      <c r="E2230" s="22" t="n"/>
      <c r="F2230" s="23" t="n"/>
      <c r="G2230" s="23" t="n"/>
      <c r="H2230" s="23" t="n"/>
      <c r="I2230" s="20">
        <f>IF(COUNT(F2230:H2230)=0,"",SUM(F2230:H2230))</f>
        <v/>
      </c>
      <c r="J2230" s="23" t="n"/>
      <c r="K2230" s="23" t="n"/>
      <c r="L2230" s="23" t="n"/>
      <c r="M2230" s="23" t="n"/>
      <c r="N2230" s="23" t="n"/>
      <c r="O2230" s="20">
        <f>IF(OR(I2230="",COUNT(J2230:N2230)=0),"",IF(SUM(J2230:N2230)=I2230,"✓","⚠ "&amp;SUM(J2230:N2230)&amp;" statt "&amp;I2230))</f>
        <v/>
      </c>
      <c r="P2230" s="21" t="n"/>
      <c r="Q2230" s="21" t="n"/>
      <c r="R2230" s="21" t="n"/>
      <c r="S2230" s="24" t="n"/>
      <c r="T2230" s="24" t="n"/>
      <c r="V2230">
        <f>IF(A2230="","",MONTH(A2230))</f>
        <v/>
      </c>
      <c r="W2230">
        <f>N(W2229)+IF(AND(C2230&lt;&gt;"",T2230&lt;&gt;""),IF(C2230=WOCHE!$B$3,1,0),0)</f>
        <v/>
      </c>
      <c r="X2230">
        <f>N(X2229)+IF(AND(V2230&lt;&gt;"",T2230&lt;&gt;""),IF(V2230=MONAT!$AZ$3,1,0),0)</f>
        <v/>
      </c>
    </row>
    <row r="2231">
      <c r="A2231" s="19" t="n"/>
      <c r="B2231" s="20">
        <f>IF(A2231="","",CHOOSE(WEEKDAY(A2231,2),"Mo","Di","Mi","Do","Fr","Sa","So"))</f>
        <v/>
      </c>
      <c r="C2231" s="20">
        <f>IF(A2231="","",INT((A2231-DATE(YEAR(A2231-WEEKDAY(A2231-1)+4),1,3)+WEEKDAY(DATE(YEAR(A2231-WEEKDAY(A2231-1)+4),1,3))+5)/7))</f>
        <v/>
      </c>
      <c r="D2231" s="21" t="n"/>
      <c r="E2231" s="22" t="n"/>
      <c r="F2231" s="23" t="n"/>
      <c r="G2231" s="23" t="n"/>
      <c r="H2231" s="23" t="n"/>
      <c r="I2231" s="20">
        <f>IF(COUNT(F2231:H2231)=0,"",SUM(F2231:H2231))</f>
        <v/>
      </c>
      <c r="J2231" s="23" t="n"/>
      <c r="K2231" s="23" t="n"/>
      <c r="L2231" s="23" t="n"/>
      <c r="M2231" s="23" t="n"/>
      <c r="N2231" s="23" t="n"/>
      <c r="O2231" s="20">
        <f>IF(OR(I2231="",COUNT(J2231:N2231)=0),"",IF(SUM(J2231:N2231)=I2231,"✓","⚠ "&amp;SUM(J2231:N2231)&amp;" statt "&amp;I2231))</f>
        <v/>
      </c>
      <c r="P2231" s="21" t="n"/>
      <c r="Q2231" s="21" t="n"/>
      <c r="R2231" s="21" t="n"/>
      <c r="S2231" s="24" t="n"/>
      <c r="T2231" s="24" t="n"/>
      <c r="V2231">
        <f>IF(A2231="","",MONTH(A2231))</f>
        <v/>
      </c>
      <c r="W2231">
        <f>N(W2230)+IF(AND(C2231&lt;&gt;"",T2231&lt;&gt;""),IF(C2231=WOCHE!$B$3,1,0),0)</f>
        <v/>
      </c>
      <c r="X2231">
        <f>N(X2230)+IF(AND(V2231&lt;&gt;"",T2231&lt;&gt;""),IF(V2231=MONAT!$AZ$3,1,0),0)</f>
        <v/>
      </c>
    </row>
    <row r="2232">
      <c r="A2232" s="19" t="n"/>
      <c r="B2232" s="20">
        <f>IF(A2232="","",CHOOSE(WEEKDAY(A2232,2),"Mo","Di","Mi","Do","Fr","Sa","So"))</f>
        <v/>
      </c>
      <c r="C2232" s="20">
        <f>IF(A2232="","",INT((A2232-DATE(YEAR(A2232-WEEKDAY(A2232-1)+4),1,3)+WEEKDAY(DATE(YEAR(A2232-WEEKDAY(A2232-1)+4),1,3))+5)/7))</f>
        <v/>
      </c>
      <c r="D2232" s="21" t="n"/>
      <c r="E2232" s="22" t="n"/>
      <c r="F2232" s="23" t="n"/>
      <c r="G2232" s="23" t="n"/>
      <c r="H2232" s="23" t="n"/>
      <c r="I2232" s="20">
        <f>IF(COUNT(F2232:H2232)=0,"",SUM(F2232:H2232))</f>
        <v/>
      </c>
      <c r="J2232" s="23" t="n"/>
      <c r="K2232" s="23" t="n"/>
      <c r="L2232" s="23" t="n"/>
      <c r="M2232" s="23" t="n"/>
      <c r="N2232" s="23" t="n"/>
      <c r="O2232" s="20">
        <f>IF(OR(I2232="",COUNT(J2232:N2232)=0),"",IF(SUM(J2232:N2232)=I2232,"✓","⚠ "&amp;SUM(J2232:N2232)&amp;" statt "&amp;I2232))</f>
        <v/>
      </c>
      <c r="P2232" s="21" t="n"/>
      <c r="Q2232" s="21" t="n"/>
      <c r="R2232" s="21" t="n"/>
      <c r="S2232" s="24" t="n"/>
      <c r="T2232" s="24" t="n"/>
      <c r="V2232">
        <f>IF(A2232="","",MONTH(A2232))</f>
        <v/>
      </c>
      <c r="W2232">
        <f>N(W2231)+IF(AND(C2232&lt;&gt;"",T2232&lt;&gt;""),IF(C2232=WOCHE!$B$3,1,0),0)</f>
        <v/>
      </c>
      <c r="X2232">
        <f>N(X2231)+IF(AND(V2232&lt;&gt;"",T2232&lt;&gt;""),IF(V2232=MONAT!$AZ$3,1,0),0)</f>
        <v/>
      </c>
    </row>
    <row r="2233">
      <c r="A2233" s="19" t="n"/>
      <c r="B2233" s="20">
        <f>IF(A2233="","",CHOOSE(WEEKDAY(A2233,2),"Mo","Di","Mi","Do","Fr","Sa","So"))</f>
        <v/>
      </c>
      <c r="C2233" s="20">
        <f>IF(A2233="","",INT((A2233-DATE(YEAR(A2233-WEEKDAY(A2233-1)+4),1,3)+WEEKDAY(DATE(YEAR(A2233-WEEKDAY(A2233-1)+4),1,3))+5)/7))</f>
        <v/>
      </c>
      <c r="D2233" s="21" t="n"/>
      <c r="E2233" s="22" t="n"/>
      <c r="F2233" s="23" t="n"/>
      <c r="G2233" s="23" t="n"/>
      <c r="H2233" s="23" t="n"/>
      <c r="I2233" s="20">
        <f>IF(COUNT(F2233:H2233)=0,"",SUM(F2233:H2233))</f>
        <v/>
      </c>
      <c r="J2233" s="23" t="n"/>
      <c r="K2233" s="23" t="n"/>
      <c r="L2233" s="23" t="n"/>
      <c r="M2233" s="23" t="n"/>
      <c r="N2233" s="23" t="n"/>
      <c r="O2233" s="20">
        <f>IF(OR(I2233="",COUNT(J2233:N2233)=0),"",IF(SUM(J2233:N2233)=I2233,"✓","⚠ "&amp;SUM(J2233:N2233)&amp;" statt "&amp;I2233))</f>
        <v/>
      </c>
      <c r="P2233" s="21" t="n"/>
      <c r="Q2233" s="21" t="n"/>
      <c r="R2233" s="21" t="n"/>
      <c r="S2233" s="24" t="n"/>
      <c r="T2233" s="24" t="n"/>
      <c r="V2233">
        <f>IF(A2233="","",MONTH(A2233))</f>
        <v/>
      </c>
      <c r="W2233">
        <f>N(W2232)+IF(AND(C2233&lt;&gt;"",T2233&lt;&gt;""),IF(C2233=WOCHE!$B$3,1,0),0)</f>
        <v/>
      </c>
      <c r="X2233">
        <f>N(X2232)+IF(AND(V2233&lt;&gt;"",T2233&lt;&gt;""),IF(V2233=MONAT!$AZ$3,1,0),0)</f>
        <v/>
      </c>
    </row>
    <row r="2234">
      <c r="A2234" s="19" t="n"/>
      <c r="B2234" s="20">
        <f>IF(A2234="","",CHOOSE(WEEKDAY(A2234,2),"Mo","Di","Mi","Do","Fr","Sa","So"))</f>
        <v/>
      </c>
      <c r="C2234" s="20">
        <f>IF(A2234="","",INT((A2234-DATE(YEAR(A2234-WEEKDAY(A2234-1)+4),1,3)+WEEKDAY(DATE(YEAR(A2234-WEEKDAY(A2234-1)+4),1,3))+5)/7))</f>
        <v/>
      </c>
      <c r="D2234" s="21" t="n"/>
      <c r="E2234" s="22" t="n"/>
      <c r="F2234" s="23" t="n"/>
      <c r="G2234" s="23" t="n"/>
      <c r="H2234" s="23" t="n"/>
      <c r="I2234" s="20">
        <f>IF(COUNT(F2234:H2234)=0,"",SUM(F2234:H2234))</f>
        <v/>
      </c>
      <c r="J2234" s="23" t="n"/>
      <c r="K2234" s="23" t="n"/>
      <c r="L2234" s="23" t="n"/>
      <c r="M2234" s="23" t="n"/>
      <c r="N2234" s="23" t="n"/>
      <c r="O2234" s="20">
        <f>IF(OR(I2234="",COUNT(J2234:N2234)=0),"",IF(SUM(J2234:N2234)=I2234,"✓","⚠ "&amp;SUM(J2234:N2234)&amp;" statt "&amp;I2234))</f>
        <v/>
      </c>
      <c r="P2234" s="21" t="n"/>
      <c r="Q2234" s="21" t="n"/>
      <c r="R2234" s="21" t="n"/>
      <c r="S2234" s="24" t="n"/>
      <c r="T2234" s="24" t="n"/>
      <c r="V2234">
        <f>IF(A2234="","",MONTH(A2234))</f>
        <v/>
      </c>
      <c r="W2234">
        <f>N(W2233)+IF(AND(C2234&lt;&gt;"",T2234&lt;&gt;""),IF(C2234=WOCHE!$B$3,1,0),0)</f>
        <v/>
      </c>
      <c r="X2234">
        <f>N(X2233)+IF(AND(V2234&lt;&gt;"",T2234&lt;&gt;""),IF(V2234=MONAT!$AZ$3,1,0),0)</f>
        <v/>
      </c>
    </row>
    <row r="2235">
      <c r="A2235" s="19" t="n"/>
      <c r="B2235" s="20">
        <f>IF(A2235="","",CHOOSE(WEEKDAY(A2235,2),"Mo","Di","Mi","Do","Fr","Sa","So"))</f>
        <v/>
      </c>
      <c r="C2235" s="20">
        <f>IF(A2235="","",INT((A2235-DATE(YEAR(A2235-WEEKDAY(A2235-1)+4),1,3)+WEEKDAY(DATE(YEAR(A2235-WEEKDAY(A2235-1)+4),1,3))+5)/7))</f>
        <v/>
      </c>
      <c r="D2235" s="21" t="n"/>
      <c r="E2235" s="22" t="n"/>
      <c r="F2235" s="23" t="n"/>
      <c r="G2235" s="23" t="n"/>
      <c r="H2235" s="23" t="n"/>
      <c r="I2235" s="20">
        <f>IF(COUNT(F2235:H2235)=0,"",SUM(F2235:H2235))</f>
        <v/>
      </c>
      <c r="J2235" s="23" t="n"/>
      <c r="K2235" s="23" t="n"/>
      <c r="L2235" s="23" t="n"/>
      <c r="M2235" s="23" t="n"/>
      <c r="N2235" s="23" t="n"/>
      <c r="O2235" s="20">
        <f>IF(OR(I2235="",COUNT(J2235:N2235)=0),"",IF(SUM(J2235:N2235)=I2235,"✓","⚠ "&amp;SUM(J2235:N2235)&amp;" statt "&amp;I2235))</f>
        <v/>
      </c>
      <c r="P2235" s="21" t="n"/>
      <c r="Q2235" s="21" t="n"/>
      <c r="R2235" s="21" t="n"/>
      <c r="S2235" s="24" t="n"/>
      <c r="T2235" s="24" t="n"/>
      <c r="V2235">
        <f>IF(A2235="","",MONTH(A2235))</f>
        <v/>
      </c>
      <c r="W2235">
        <f>N(W2234)+IF(AND(C2235&lt;&gt;"",T2235&lt;&gt;""),IF(C2235=WOCHE!$B$3,1,0),0)</f>
        <v/>
      </c>
      <c r="X2235">
        <f>N(X2234)+IF(AND(V2235&lt;&gt;"",T2235&lt;&gt;""),IF(V2235=MONAT!$AZ$3,1,0),0)</f>
        <v/>
      </c>
    </row>
    <row r="2236">
      <c r="A2236" s="19" t="n"/>
      <c r="B2236" s="20">
        <f>IF(A2236="","",CHOOSE(WEEKDAY(A2236,2),"Mo","Di","Mi","Do","Fr","Sa","So"))</f>
        <v/>
      </c>
      <c r="C2236" s="20">
        <f>IF(A2236="","",INT((A2236-DATE(YEAR(A2236-WEEKDAY(A2236-1)+4),1,3)+WEEKDAY(DATE(YEAR(A2236-WEEKDAY(A2236-1)+4),1,3))+5)/7))</f>
        <v/>
      </c>
      <c r="D2236" s="21" t="n"/>
      <c r="E2236" s="22" t="n"/>
      <c r="F2236" s="23" t="n"/>
      <c r="G2236" s="23" t="n"/>
      <c r="H2236" s="23" t="n"/>
      <c r="I2236" s="20">
        <f>IF(COUNT(F2236:H2236)=0,"",SUM(F2236:H2236))</f>
        <v/>
      </c>
      <c r="J2236" s="23" t="n"/>
      <c r="K2236" s="23" t="n"/>
      <c r="L2236" s="23" t="n"/>
      <c r="M2236" s="23" t="n"/>
      <c r="N2236" s="23" t="n"/>
      <c r="O2236" s="20">
        <f>IF(OR(I2236="",COUNT(J2236:N2236)=0),"",IF(SUM(J2236:N2236)=I2236,"✓","⚠ "&amp;SUM(J2236:N2236)&amp;" statt "&amp;I2236))</f>
        <v/>
      </c>
      <c r="P2236" s="21" t="n"/>
      <c r="Q2236" s="21" t="n"/>
      <c r="R2236" s="21" t="n"/>
      <c r="S2236" s="24" t="n"/>
      <c r="T2236" s="24" t="n"/>
      <c r="V2236">
        <f>IF(A2236="","",MONTH(A2236))</f>
        <v/>
      </c>
      <c r="W2236">
        <f>N(W2235)+IF(AND(C2236&lt;&gt;"",T2236&lt;&gt;""),IF(C2236=WOCHE!$B$3,1,0),0)</f>
        <v/>
      </c>
      <c r="X2236">
        <f>N(X2235)+IF(AND(V2236&lt;&gt;"",T2236&lt;&gt;""),IF(V2236=MONAT!$AZ$3,1,0),0)</f>
        <v/>
      </c>
    </row>
    <row r="2237">
      <c r="A2237" s="19" t="n"/>
      <c r="B2237" s="20">
        <f>IF(A2237="","",CHOOSE(WEEKDAY(A2237,2),"Mo","Di","Mi","Do","Fr","Sa","So"))</f>
        <v/>
      </c>
      <c r="C2237" s="20">
        <f>IF(A2237="","",INT((A2237-DATE(YEAR(A2237-WEEKDAY(A2237-1)+4),1,3)+WEEKDAY(DATE(YEAR(A2237-WEEKDAY(A2237-1)+4),1,3))+5)/7))</f>
        <v/>
      </c>
      <c r="D2237" s="21" t="n"/>
      <c r="E2237" s="22" t="n"/>
      <c r="F2237" s="23" t="n"/>
      <c r="G2237" s="23" t="n"/>
      <c r="H2237" s="23" t="n"/>
      <c r="I2237" s="20">
        <f>IF(COUNT(F2237:H2237)=0,"",SUM(F2237:H2237))</f>
        <v/>
      </c>
      <c r="J2237" s="23" t="n"/>
      <c r="K2237" s="23" t="n"/>
      <c r="L2237" s="23" t="n"/>
      <c r="M2237" s="23" t="n"/>
      <c r="N2237" s="23" t="n"/>
      <c r="O2237" s="20">
        <f>IF(OR(I2237="",COUNT(J2237:N2237)=0),"",IF(SUM(J2237:N2237)=I2237,"✓","⚠ "&amp;SUM(J2237:N2237)&amp;" statt "&amp;I2237))</f>
        <v/>
      </c>
      <c r="P2237" s="21" t="n"/>
      <c r="Q2237" s="21" t="n"/>
      <c r="R2237" s="21" t="n"/>
      <c r="S2237" s="24" t="n"/>
      <c r="T2237" s="24" t="n"/>
      <c r="V2237">
        <f>IF(A2237="","",MONTH(A2237))</f>
        <v/>
      </c>
      <c r="W2237">
        <f>N(W2236)+IF(AND(C2237&lt;&gt;"",T2237&lt;&gt;""),IF(C2237=WOCHE!$B$3,1,0),0)</f>
        <v/>
      </c>
      <c r="X2237">
        <f>N(X2236)+IF(AND(V2237&lt;&gt;"",T2237&lt;&gt;""),IF(V2237=MONAT!$AZ$3,1,0),0)</f>
        <v/>
      </c>
    </row>
    <row r="2238">
      <c r="A2238" s="19" t="n"/>
      <c r="B2238" s="20">
        <f>IF(A2238="","",CHOOSE(WEEKDAY(A2238,2),"Mo","Di","Mi","Do","Fr","Sa","So"))</f>
        <v/>
      </c>
      <c r="C2238" s="20">
        <f>IF(A2238="","",INT((A2238-DATE(YEAR(A2238-WEEKDAY(A2238-1)+4),1,3)+WEEKDAY(DATE(YEAR(A2238-WEEKDAY(A2238-1)+4),1,3))+5)/7))</f>
        <v/>
      </c>
      <c r="D2238" s="21" t="n"/>
      <c r="E2238" s="22" t="n"/>
      <c r="F2238" s="23" t="n"/>
      <c r="G2238" s="23" t="n"/>
      <c r="H2238" s="23" t="n"/>
      <c r="I2238" s="20">
        <f>IF(COUNT(F2238:H2238)=0,"",SUM(F2238:H2238))</f>
        <v/>
      </c>
      <c r="J2238" s="23" t="n"/>
      <c r="K2238" s="23" t="n"/>
      <c r="L2238" s="23" t="n"/>
      <c r="M2238" s="23" t="n"/>
      <c r="N2238" s="23" t="n"/>
      <c r="O2238" s="20">
        <f>IF(OR(I2238="",COUNT(J2238:N2238)=0),"",IF(SUM(J2238:N2238)=I2238,"✓","⚠ "&amp;SUM(J2238:N2238)&amp;" statt "&amp;I2238))</f>
        <v/>
      </c>
      <c r="P2238" s="21" t="n"/>
      <c r="Q2238" s="21" t="n"/>
      <c r="R2238" s="21" t="n"/>
      <c r="S2238" s="24" t="n"/>
      <c r="T2238" s="24" t="n"/>
      <c r="V2238">
        <f>IF(A2238="","",MONTH(A2238))</f>
        <v/>
      </c>
      <c r="W2238">
        <f>N(W2237)+IF(AND(C2238&lt;&gt;"",T2238&lt;&gt;""),IF(C2238=WOCHE!$B$3,1,0),0)</f>
        <v/>
      </c>
      <c r="X2238">
        <f>N(X2237)+IF(AND(V2238&lt;&gt;"",T2238&lt;&gt;""),IF(V2238=MONAT!$AZ$3,1,0),0)</f>
        <v/>
      </c>
    </row>
    <row r="2239">
      <c r="A2239" s="19" t="n"/>
      <c r="B2239" s="20">
        <f>IF(A2239="","",CHOOSE(WEEKDAY(A2239,2),"Mo","Di","Mi","Do","Fr","Sa","So"))</f>
        <v/>
      </c>
      <c r="C2239" s="20">
        <f>IF(A2239="","",INT((A2239-DATE(YEAR(A2239-WEEKDAY(A2239-1)+4),1,3)+WEEKDAY(DATE(YEAR(A2239-WEEKDAY(A2239-1)+4),1,3))+5)/7))</f>
        <v/>
      </c>
      <c r="D2239" s="21" t="n"/>
      <c r="E2239" s="22" t="n"/>
      <c r="F2239" s="23" t="n"/>
      <c r="G2239" s="23" t="n"/>
      <c r="H2239" s="23" t="n"/>
      <c r="I2239" s="20">
        <f>IF(COUNT(F2239:H2239)=0,"",SUM(F2239:H2239))</f>
        <v/>
      </c>
      <c r="J2239" s="23" t="n"/>
      <c r="K2239" s="23" t="n"/>
      <c r="L2239" s="23" t="n"/>
      <c r="M2239" s="23" t="n"/>
      <c r="N2239" s="23" t="n"/>
      <c r="O2239" s="20">
        <f>IF(OR(I2239="",COUNT(J2239:N2239)=0),"",IF(SUM(J2239:N2239)=I2239,"✓","⚠ "&amp;SUM(J2239:N2239)&amp;" statt "&amp;I2239))</f>
        <v/>
      </c>
      <c r="P2239" s="21" t="n"/>
      <c r="Q2239" s="21" t="n"/>
      <c r="R2239" s="21" t="n"/>
      <c r="S2239" s="24" t="n"/>
      <c r="T2239" s="24" t="n"/>
      <c r="V2239">
        <f>IF(A2239="","",MONTH(A2239))</f>
        <v/>
      </c>
      <c r="W2239">
        <f>N(W2238)+IF(AND(C2239&lt;&gt;"",T2239&lt;&gt;""),IF(C2239=WOCHE!$B$3,1,0),0)</f>
        <v/>
      </c>
      <c r="X2239">
        <f>N(X2238)+IF(AND(V2239&lt;&gt;"",T2239&lt;&gt;""),IF(V2239=MONAT!$AZ$3,1,0),0)</f>
        <v/>
      </c>
    </row>
    <row r="2240">
      <c r="A2240" s="19" t="n"/>
      <c r="B2240" s="20">
        <f>IF(A2240="","",CHOOSE(WEEKDAY(A2240,2),"Mo","Di","Mi","Do","Fr","Sa","So"))</f>
        <v/>
      </c>
      <c r="C2240" s="20">
        <f>IF(A2240="","",INT((A2240-DATE(YEAR(A2240-WEEKDAY(A2240-1)+4),1,3)+WEEKDAY(DATE(YEAR(A2240-WEEKDAY(A2240-1)+4),1,3))+5)/7))</f>
        <v/>
      </c>
      <c r="D2240" s="21" t="n"/>
      <c r="E2240" s="22" t="n"/>
      <c r="F2240" s="23" t="n"/>
      <c r="G2240" s="23" t="n"/>
      <c r="H2240" s="23" t="n"/>
      <c r="I2240" s="20">
        <f>IF(COUNT(F2240:H2240)=0,"",SUM(F2240:H2240))</f>
        <v/>
      </c>
      <c r="J2240" s="23" t="n"/>
      <c r="K2240" s="23" t="n"/>
      <c r="L2240" s="23" t="n"/>
      <c r="M2240" s="23" t="n"/>
      <c r="N2240" s="23" t="n"/>
      <c r="O2240" s="20">
        <f>IF(OR(I2240="",COUNT(J2240:N2240)=0),"",IF(SUM(J2240:N2240)=I2240,"✓","⚠ "&amp;SUM(J2240:N2240)&amp;" statt "&amp;I2240))</f>
        <v/>
      </c>
      <c r="P2240" s="21" t="n"/>
      <c r="Q2240" s="21" t="n"/>
      <c r="R2240" s="21" t="n"/>
      <c r="S2240" s="24" t="n"/>
      <c r="T2240" s="24" t="n"/>
      <c r="V2240">
        <f>IF(A2240="","",MONTH(A2240))</f>
        <v/>
      </c>
      <c r="W2240">
        <f>N(W2239)+IF(AND(C2240&lt;&gt;"",T2240&lt;&gt;""),IF(C2240=WOCHE!$B$3,1,0),0)</f>
        <v/>
      </c>
      <c r="X2240">
        <f>N(X2239)+IF(AND(V2240&lt;&gt;"",T2240&lt;&gt;""),IF(V2240=MONAT!$AZ$3,1,0),0)</f>
        <v/>
      </c>
    </row>
    <row r="2241">
      <c r="A2241" s="19" t="n"/>
      <c r="B2241" s="20">
        <f>IF(A2241="","",CHOOSE(WEEKDAY(A2241,2),"Mo","Di","Mi","Do","Fr","Sa","So"))</f>
        <v/>
      </c>
      <c r="C2241" s="20">
        <f>IF(A2241="","",INT((A2241-DATE(YEAR(A2241-WEEKDAY(A2241-1)+4),1,3)+WEEKDAY(DATE(YEAR(A2241-WEEKDAY(A2241-1)+4),1,3))+5)/7))</f>
        <v/>
      </c>
      <c r="D2241" s="21" t="n"/>
      <c r="E2241" s="22" t="n"/>
      <c r="F2241" s="23" t="n"/>
      <c r="G2241" s="23" t="n"/>
      <c r="H2241" s="23" t="n"/>
      <c r="I2241" s="20">
        <f>IF(COUNT(F2241:H2241)=0,"",SUM(F2241:H2241))</f>
        <v/>
      </c>
      <c r="J2241" s="23" t="n"/>
      <c r="K2241" s="23" t="n"/>
      <c r="L2241" s="23" t="n"/>
      <c r="M2241" s="23" t="n"/>
      <c r="N2241" s="23" t="n"/>
      <c r="O2241" s="20">
        <f>IF(OR(I2241="",COUNT(J2241:N2241)=0),"",IF(SUM(J2241:N2241)=I2241,"✓","⚠ "&amp;SUM(J2241:N2241)&amp;" statt "&amp;I2241))</f>
        <v/>
      </c>
      <c r="P2241" s="21" t="n"/>
      <c r="Q2241" s="21" t="n"/>
      <c r="R2241" s="21" t="n"/>
      <c r="S2241" s="24" t="n"/>
      <c r="T2241" s="24" t="n"/>
      <c r="V2241">
        <f>IF(A2241="","",MONTH(A2241))</f>
        <v/>
      </c>
      <c r="W2241">
        <f>N(W2240)+IF(AND(C2241&lt;&gt;"",T2241&lt;&gt;""),IF(C2241=WOCHE!$B$3,1,0),0)</f>
        <v/>
      </c>
      <c r="X2241">
        <f>N(X2240)+IF(AND(V2241&lt;&gt;"",T2241&lt;&gt;""),IF(V2241=MONAT!$AZ$3,1,0),0)</f>
        <v/>
      </c>
    </row>
    <row r="2242">
      <c r="A2242" s="19" t="n"/>
      <c r="B2242" s="20">
        <f>IF(A2242="","",CHOOSE(WEEKDAY(A2242,2),"Mo","Di","Mi","Do","Fr","Sa","So"))</f>
        <v/>
      </c>
      <c r="C2242" s="20">
        <f>IF(A2242="","",INT((A2242-DATE(YEAR(A2242-WEEKDAY(A2242-1)+4),1,3)+WEEKDAY(DATE(YEAR(A2242-WEEKDAY(A2242-1)+4),1,3))+5)/7))</f>
        <v/>
      </c>
      <c r="D2242" s="21" t="n"/>
      <c r="E2242" s="22" t="n"/>
      <c r="F2242" s="23" t="n"/>
      <c r="G2242" s="23" t="n"/>
      <c r="H2242" s="23" t="n"/>
      <c r="I2242" s="20">
        <f>IF(COUNT(F2242:H2242)=0,"",SUM(F2242:H2242))</f>
        <v/>
      </c>
      <c r="J2242" s="23" t="n"/>
      <c r="K2242" s="23" t="n"/>
      <c r="L2242" s="23" t="n"/>
      <c r="M2242" s="23" t="n"/>
      <c r="N2242" s="23" t="n"/>
      <c r="O2242" s="20">
        <f>IF(OR(I2242="",COUNT(J2242:N2242)=0),"",IF(SUM(J2242:N2242)=I2242,"✓","⚠ "&amp;SUM(J2242:N2242)&amp;" statt "&amp;I2242))</f>
        <v/>
      </c>
      <c r="P2242" s="21" t="n"/>
      <c r="Q2242" s="21" t="n"/>
      <c r="R2242" s="21" t="n"/>
      <c r="S2242" s="24" t="n"/>
      <c r="T2242" s="24" t="n"/>
      <c r="V2242">
        <f>IF(A2242="","",MONTH(A2242))</f>
        <v/>
      </c>
      <c r="W2242">
        <f>N(W2241)+IF(AND(C2242&lt;&gt;"",T2242&lt;&gt;""),IF(C2242=WOCHE!$B$3,1,0),0)</f>
        <v/>
      </c>
      <c r="X2242">
        <f>N(X2241)+IF(AND(V2242&lt;&gt;"",T2242&lt;&gt;""),IF(V2242=MONAT!$AZ$3,1,0),0)</f>
        <v/>
      </c>
    </row>
    <row r="2243">
      <c r="A2243" s="19" t="n"/>
      <c r="B2243" s="20">
        <f>IF(A2243="","",CHOOSE(WEEKDAY(A2243,2),"Mo","Di","Mi","Do","Fr","Sa","So"))</f>
        <v/>
      </c>
      <c r="C2243" s="20">
        <f>IF(A2243="","",INT((A2243-DATE(YEAR(A2243-WEEKDAY(A2243-1)+4),1,3)+WEEKDAY(DATE(YEAR(A2243-WEEKDAY(A2243-1)+4),1,3))+5)/7))</f>
        <v/>
      </c>
      <c r="D2243" s="21" t="n"/>
      <c r="E2243" s="22" t="n"/>
      <c r="F2243" s="23" t="n"/>
      <c r="G2243" s="23" t="n"/>
      <c r="H2243" s="23" t="n"/>
      <c r="I2243" s="20">
        <f>IF(COUNT(F2243:H2243)=0,"",SUM(F2243:H2243))</f>
        <v/>
      </c>
      <c r="J2243" s="23" t="n"/>
      <c r="K2243" s="23" t="n"/>
      <c r="L2243" s="23" t="n"/>
      <c r="M2243" s="23" t="n"/>
      <c r="N2243" s="23" t="n"/>
      <c r="O2243" s="20">
        <f>IF(OR(I2243="",COUNT(J2243:N2243)=0),"",IF(SUM(J2243:N2243)=I2243,"✓","⚠ "&amp;SUM(J2243:N2243)&amp;" statt "&amp;I2243))</f>
        <v/>
      </c>
      <c r="P2243" s="21" t="n"/>
      <c r="Q2243" s="21" t="n"/>
      <c r="R2243" s="21" t="n"/>
      <c r="S2243" s="24" t="n"/>
      <c r="T2243" s="24" t="n"/>
      <c r="V2243">
        <f>IF(A2243="","",MONTH(A2243))</f>
        <v/>
      </c>
      <c r="W2243">
        <f>N(W2242)+IF(AND(C2243&lt;&gt;"",T2243&lt;&gt;""),IF(C2243=WOCHE!$B$3,1,0),0)</f>
        <v/>
      </c>
      <c r="X2243">
        <f>N(X2242)+IF(AND(V2243&lt;&gt;"",T2243&lt;&gt;""),IF(V2243=MONAT!$AZ$3,1,0),0)</f>
        <v/>
      </c>
    </row>
    <row r="2244">
      <c r="A2244" s="19" t="n"/>
      <c r="B2244" s="20">
        <f>IF(A2244="","",CHOOSE(WEEKDAY(A2244,2),"Mo","Di","Mi","Do","Fr","Sa","So"))</f>
        <v/>
      </c>
      <c r="C2244" s="20">
        <f>IF(A2244="","",INT((A2244-DATE(YEAR(A2244-WEEKDAY(A2244-1)+4),1,3)+WEEKDAY(DATE(YEAR(A2244-WEEKDAY(A2244-1)+4),1,3))+5)/7))</f>
        <v/>
      </c>
      <c r="D2244" s="21" t="n"/>
      <c r="E2244" s="22" t="n"/>
      <c r="F2244" s="23" t="n"/>
      <c r="G2244" s="23" t="n"/>
      <c r="H2244" s="23" t="n"/>
      <c r="I2244" s="20">
        <f>IF(COUNT(F2244:H2244)=0,"",SUM(F2244:H2244))</f>
        <v/>
      </c>
      <c r="J2244" s="23" t="n"/>
      <c r="K2244" s="23" t="n"/>
      <c r="L2244" s="23" t="n"/>
      <c r="M2244" s="23" t="n"/>
      <c r="N2244" s="23" t="n"/>
      <c r="O2244" s="20">
        <f>IF(OR(I2244="",COUNT(J2244:N2244)=0),"",IF(SUM(J2244:N2244)=I2244,"✓","⚠ "&amp;SUM(J2244:N2244)&amp;" statt "&amp;I2244))</f>
        <v/>
      </c>
      <c r="P2244" s="21" t="n"/>
      <c r="Q2244" s="21" t="n"/>
      <c r="R2244" s="21" t="n"/>
      <c r="S2244" s="24" t="n"/>
      <c r="T2244" s="24" t="n"/>
      <c r="V2244">
        <f>IF(A2244="","",MONTH(A2244))</f>
        <v/>
      </c>
      <c r="W2244">
        <f>N(W2243)+IF(AND(C2244&lt;&gt;"",T2244&lt;&gt;""),IF(C2244=WOCHE!$B$3,1,0),0)</f>
        <v/>
      </c>
      <c r="X2244">
        <f>N(X2243)+IF(AND(V2244&lt;&gt;"",T2244&lt;&gt;""),IF(V2244=MONAT!$AZ$3,1,0),0)</f>
        <v/>
      </c>
    </row>
    <row r="2245">
      <c r="A2245" s="19" t="n"/>
      <c r="B2245" s="20">
        <f>IF(A2245="","",CHOOSE(WEEKDAY(A2245,2),"Mo","Di","Mi","Do","Fr","Sa","So"))</f>
        <v/>
      </c>
      <c r="C2245" s="20">
        <f>IF(A2245="","",INT((A2245-DATE(YEAR(A2245-WEEKDAY(A2245-1)+4),1,3)+WEEKDAY(DATE(YEAR(A2245-WEEKDAY(A2245-1)+4),1,3))+5)/7))</f>
        <v/>
      </c>
      <c r="D2245" s="21" t="n"/>
      <c r="E2245" s="22" t="n"/>
      <c r="F2245" s="23" t="n"/>
      <c r="G2245" s="23" t="n"/>
      <c r="H2245" s="23" t="n"/>
      <c r="I2245" s="20">
        <f>IF(COUNT(F2245:H2245)=0,"",SUM(F2245:H2245))</f>
        <v/>
      </c>
      <c r="J2245" s="23" t="n"/>
      <c r="K2245" s="23" t="n"/>
      <c r="L2245" s="23" t="n"/>
      <c r="M2245" s="23" t="n"/>
      <c r="N2245" s="23" t="n"/>
      <c r="O2245" s="20">
        <f>IF(OR(I2245="",COUNT(J2245:N2245)=0),"",IF(SUM(J2245:N2245)=I2245,"✓","⚠ "&amp;SUM(J2245:N2245)&amp;" statt "&amp;I2245))</f>
        <v/>
      </c>
      <c r="P2245" s="21" t="n"/>
      <c r="Q2245" s="21" t="n"/>
      <c r="R2245" s="21" t="n"/>
      <c r="S2245" s="24" t="n"/>
      <c r="T2245" s="24" t="n"/>
      <c r="V2245">
        <f>IF(A2245="","",MONTH(A2245))</f>
        <v/>
      </c>
      <c r="W2245">
        <f>N(W2244)+IF(AND(C2245&lt;&gt;"",T2245&lt;&gt;""),IF(C2245=WOCHE!$B$3,1,0),0)</f>
        <v/>
      </c>
      <c r="X2245">
        <f>N(X2244)+IF(AND(V2245&lt;&gt;"",T2245&lt;&gt;""),IF(V2245=MONAT!$AZ$3,1,0),0)</f>
        <v/>
      </c>
    </row>
    <row r="2246">
      <c r="A2246" s="19" t="n"/>
      <c r="B2246" s="20">
        <f>IF(A2246="","",CHOOSE(WEEKDAY(A2246,2),"Mo","Di","Mi","Do","Fr","Sa","So"))</f>
        <v/>
      </c>
      <c r="C2246" s="20">
        <f>IF(A2246="","",INT((A2246-DATE(YEAR(A2246-WEEKDAY(A2246-1)+4),1,3)+WEEKDAY(DATE(YEAR(A2246-WEEKDAY(A2246-1)+4),1,3))+5)/7))</f>
        <v/>
      </c>
      <c r="D2246" s="21" t="n"/>
      <c r="E2246" s="22" t="n"/>
      <c r="F2246" s="23" t="n"/>
      <c r="G2246" s="23" t="n"/>
      <c r="H2246" s="23" t="n"/>
      <c r="I2246" s="20">
        <f>IF(COUNT(F2246:H2246)=0,"",SUM(F2246:H2246))</f>
        <v/>
      </c>
      <c r="J2246" s="23" t="n"/>
      <c r="K2246" s="23" t="n"/>
      <c r="L2246" s="23" t="n"/>
      <c r="M2246" s="23" t="n"/>
      <c r="N2246" s="23" t="n"/>
      <c r="O2246" s="20">
        <f>IF(OR(I2246="",COUNT(J2246:N2246)=0),"",IF(SUM(J2246:N2246)=I2246,"✓","⚠ "&amp;SUM(J2246:N2246)&amp;" statt "&amp;I2246))</f>
        <v/>
      </c>
      <c r="P2246" s="21" t="n"/>
      <c r="Q2246" s="21" t="n"/>
      <c r="R2246" s="21" t="n"/>
      <c r="S2246" s="24" t="n"/>
      <c r="T2246" s="24" t="n"/>
      <c r="V2246">
        <f>IF(A2246="","",MONTH(A2246))</f>
        <v/>
      </c>
      <c r="W2246">
        <f>N(W2245)+IF(AND(C2246&lt;&gt;"",T2246&lt;&gt;""),IF(C2246=WOCHE!$B$3,1,0),0)</f>
        <v/>
      </c>
      <c r="X2246">
        <f>N(X2245)+IF(AND(V2246&lt;&gt;"",T2246&lt;&gt;""),IF(V2246=MONAT!$AZ$3,1,0),0)</f>
        <v/>
      </c>
    </row>
    <row r="2247">
      <c r="A2247" s="19" t="n"/>
      <c r="B2247" s="20">
        <f>IF(A2247="","",CHOOSE(WEEKDAY(A2247,2),"Mo","Di","Mi","Do","Fr","Sa","So"))</f>
        <v/>
      </c>
      <c r="C2247" s="20">
        <f>IF(A2247="","",INT((A2247-DATE(YEAR(A2247-WEEKDAY(A2247-1)+4),1,3)+WEEKDAY(DATE(YEAR(A2247-WEEKDAY(A2247-1)+4),1,3))+5)/7))</f>
        <v/>
      </c>
      <c r="D2247" s="21" t="n"/>
      <c r="E2247" s="22" t="n"/>
      <c r="F2247" s="23" t="n"/>
      <c r="G2247" s="23" t="n"/>
      <c r="H2247" s="23" t="n"/>
      <c r="I2247" s="20">
        <f>IF(COUNT(F2247:H2247)=0,"",SUM(F2247:H2247))</f>
        <v/>
      </c>
      <c r="J2247" s="23" t="n"/>
      <c r="K2247" s="23" t="n"/>
      <c r="L2247" s="23" t="n"/>
      <c r="M2247" s="23" t="n"/>
      <c r="N2247" s="23" t="n"/>
      <c r="O2247" s="20">
        <f>IF(OR(I2247="",COUNT(J2247:N2247)=0),"",IF(SUM(J2247:N2247)=I2247,"✓","⚠ "&amp;SUM(J2247:N2247)&amp;" statt "&amp;I2247))</f>
        <v/>
      </c>
      <c r="P2247" s="21" t="n"/>
      <c r="Q2247" s="21" t="n"/>
      <c r="R2247" s="21" t="n"/>
      <c r="S2247" s="24" t="n"/>
      <c r="T2247" s="24" t="n"/>
      <c r="V2247">
        <f>IF(A2247="","",MONTH(A2247))</f>
        <v/>
      </c>
      <c r="W2247">
        <f>N(W2246)+IF(AND(C2247&lt;&gt;"",T2247&lt;&gt;""),IF(C2247=WOCHE!$B$3,1,0),0)</f>
        <v/>
      </c>
      <c r="X2247">
        <f>N(X2246)+IF(AND(V2247&lt;&gt;"",T2247&lt;&gt;""),IF(V2247=MONAT!$AZ$3,1,0),0)</f>
        <v/>
      </c>
    </row>
    <row r="2248">
      <c r="A2248" s="19" t="n"/>
      <c r="B2248" s="20">
        <f>IF(A2248="","",CHOOSE(WEEKDAY(A2248,2),"Mo","Di","Mi","Do","Fr","Sa","So"))</f>
        <v/>
      </c>
      <c r="C2248" s="20">
        <f>IF(A2248="","",INT((A2248-DATE(YEAR(A2248-WEEKDAY(A2248-1)+4),1,3)+WEEKDAY(DATE(YEAR(A2248-WEEKDAY(A2248-1)+4),1,3))+5)/7))</f>
        <v/>
      </c>
      <c r="D2248" s="21" t="n"/>
      <c r="E2248" s="22" t="n"/>
      <c r="F2248" s="23" t="n"/>
      <c r="G2248" s="23" t="n"/>
      <c r="H2248" s="23" t="n"/>
      <c r="I2248" s="20">
        <f>IF(COUNT(F2248:H2248)=0,"",SUM(F2248:H2248))</f>
        <v/>
      </c>
      <c r="J2248" s="23" t="n"/>
      <c r="K2248" s="23" t="n"/>
      <c r="L2248" s="23" t="n"/>
      <c r="M2248" s="23" t="n"/>
      <c r="N2248" s="23" t="n"/>
      <c r="O2248" s="20">
        <f>IF(OR(I2248="",COUNT(J2248:N2248)=0),"",IF(SUM(J2248:N2248)=I2248,"✓","⚠ "&amp;SUM(J2248:N2248)&amp;" statt "&amp;I2248))</f>
        <v/>
      </c>
      <c r="P2248" s="21" t="n"/>
      <c r="Q2248" s="21" t="n"/>
      <c r="R2248" s="21" t="n"/>
      <c r="S2248" s="24" t="n"/>
      <c r="T2248" s="24" t="n"/>
      <c r="V2248">
        <f>IF(A2248="","",MONTH(A2248))</f>
        <v/>
      </c>
      <c r="W2248">
        <f>N(W2247)+IF(AND(C2248&lt;&gt;"",T2248&lt;&gt;""),IF(C2248=WOCHE!$B$3,1,0),0)</f>
        <v/>
      </c>
      <c r="X2248">
        <f>N(X2247)+IF(AND(V2248&lt;&gt;"",T2248&lt;&gt;""),IF(V2248=MONAT!$AZ$3,1,0),0)</f>
        <v/>
      </c>
    </row>
    <row r="2249">
      <c r="A2249" s="19" t="n"/>
      <c r="B2249" s="20">
        <f>IF(A2249="","",CHOOSE(WEEKDAY(A2249,2),"Mo","Di","Mi","Do","Fr","Sa","So"))</f>
        <v/>
      </c>
      <c r="C2249" s="20">
        <f>IF(A2249="","",INT((A2249-DATE(YEAR(A2249-WEEKDAY(A2249-1)+4),1,3)+WEEKDAY(DATE(YEAR(A2249-WEEKDAY(A2249-1)+4),1,3))+5)/7))</f>
        <v/>
      </c>
      <c r="D2249" s="21" t="n"/>
      <c r="E2249" s="22" t="n"/>
      <c r="F2249" s="23" t="n"/>
      <c r="G2249" s="23" t="n"/>
      <c r="H2249" s="23" t="n"/>
      <c r="I2249" s="20">
        <f>IF(COUNT(F2249:H2249)=0,"",SUM(F2249:H2249))</f>
        <v/>
      </c>
      <c r="J2249" s="23" t="n"/>
      <c r="K2249" s="23" t="n"/>
      <c r="L2249" s="23" t="n"/>
      <c r="M2249" s="23" t="n"/>
      <c r="N2249" s="23" t="n"/>
      <c r="O2249" s="20">
        <f>IF(OR(I2249="",COUNT(J2249:N2249)=0),"",IF(SUM(J2249:N2249)=I2249,"✓","⚠ "&amp;SUM(J2249:N2249)&amp;" statt "&amp;I2249))</f>
        <v/>
      </c>
      <c r="P2249" s="21" t="n"/>
      <c r="Q2249" s="21" t="n"/>
      <c r="R2249" s="21" t="n"/>
      <c r="S2249" s="24" t="n"/>
      <c r="T2249" s="24" t="n"/>
      <c r="V2249">
        <f>IF(A2249="","",MONTH(A2249))</f>
        <v/>
      </c>
      <c r="W2249">
        <f>N(W2248)+IF(AND(C2249&lt;&gt;"",T2249&lt;&gt;""),IF(C2249=WOCHE!$B$3,1,0),0)</f>
        <v/>
      </c>
      <c r="X2249">
        <f>N(X2248)+IF(AND(V2249&lt;&gt;"",T2249&lt;&gt;""),IF(V2249=MONAT!$AZ$3,1,0),0)</f>
        <v/>
      </c>
    </row>
    <row r="2250">
      <c r="A2250" s="19" t="n"/>
      <c r="B2250" s="20">
        <f>IF(A2250="","",CHOOSE(WEEKDAY(A2250,2),"Mo","Di","Mi","Do","Fr","Sa","So"))</f>
        <v/>
      </c>
      <c r="C2250" s="20">
        <f>IF(A2250="","",INT((A2250-DATE(YEAR(A2250-WEEKDAY(A2250-1)+4),1,3)+WEEKDAY(DATE(YEAR(A2250-WEEKDAY(A2250-1)+4),1,3))+5)/7))</f>
        <v/>
      </c>
      <c r="D2250" s="21" t="n"/>
      <c r="E2250" s="22" t="n"/>
      <c r="F2250" s="23" t="n"/>
      <c r="G2250" s="23" t="n"/>
      <c r="H2250" s="23" t="n"/>
      <c r="I2250" s="20">
        <f>IF(COUNT(F2250:H2250)=0,"",SUM(F2250:H2250))</f>
        <v/>
      </c>
      <c r="J2250" s="23" t="n"/>
      <c r="K2250" s="23" t="n"/>
      <c r="L2250" s="23" t="n"/>
      <c r="M2250" s="23" t="n"/>
      <c r="N2250" s="23" t="n"/>
      <c r="O2250" s="20">
        <f>IF(OR(I2250="",COUNT(J2250:N2250)=0),"",IF(SUM(J2250:N2250)=I2250,"✓","⚠ "&amp;SUM(J2250:N2250)&amp;" statt "&amp;I2250))</f>
        <v/>
      </c>
      <c r="P2250" s="21" t="n"/>
      <c r="Q2250" s="21" t="n"/>
      <c r="R2250" s="21" t="n"/>
      <c r="S2250" s="24" t="n"/>
      <c r="T2250" s="24" t="n"/>
      <c r="V2250">
        <f>IF(A2250="","",MONTH(A2250))</f>
        <v/>
      </c>
      <c r="W2250">
        <f>N(W2249)+IF(AND(C2250&lt;&gt;"",T2250&lt;&gt;""),IF(C2250=WOCHE!$B$3,1,0),0)</f>
        <v/>
      </c>
      <c r="X2250">
        <f>N(X2249)+IF(AND(V2250&lt;&gt;"",T2250&lt;&gt;""),IF(V2250=MONAT!$AZ$3,1,0),0)</f>
        <v/>
      </c>
    </row>
    <row r="2251">
      <c r="A2251" s="19" t="n"/>
      <c r="B2251" s="20">
        <f>IF(A2251="","",CHOOSE(WEEKDAY(A2251,2),"Mo","Di","Mi","Do","Fr","Sa","So"))</f>
        <v/>
      </c>
      <c r="C2251" s="20">
        <f>IF(A2251="","",INT((A2251-DATE(YEAR(A2251-WEEKDAY(A2251-1)+4),1,3)+WEEKDAY(DATE(YEAR(A2251-WEEKDAY(A2251-1)+4),1,3))+5)/7))</f>
        <v/>
      </c>
      <c r="D2251" s="21" t="n"/>
      <c r="E2251" s="22" t="n"/>
      <c r="F2251" s="23" t="n"/>
      <c r="G2251" s="23" t="n"/>
      <c r="H2251" s="23" t="n"/>
      <c r="I2251" s="20">
        <f>IF(COUNT(F2251:H2251)=0,"",SUM(F2251:H2251))</f>
        <v/>
      </c>
      <c r="J2251" s="23" t="n"/>
      <c r="K2251" s="23" t="n"/>
      <c r="L2251" s="23" t="n"/>
      <c r="M2251" s="23" t="n"/>
      <c r="N2251" s="23" t="n"/>
      <c r="O2251" s="20">
        <f>IF(OR(I2251="",COUNT(J2251:N2251)=0),"",IF(SUM(J2251:N2251)=I2251,"✓","⚠ "&amp;SUM(J2251:N2251)&amp;" statt "&amp;I2251))</f>
        <v/>
      </c>
      <c r="P2251" s="21" t="n"/>
      <c r="Q2251" s="21" t="n"/>
      <c r="R2251" s="21" t="n"/>
      <c r="S2251" s="24" t="n"/>
      <c r="T2251" s="24" t="n"/>
      <c r="V2251">
        <f>IF(A2251="","",MONTH(A2251))</f>
        <v/>
      </c>
      <c r="W2251">
        <f>N(W2250)+IF(AND(C2251&lt;&gt;"",T2251&lt;&gt;""),IF(C2251=WOCHE!$B$3,1,0),0)</f>
        <v/>
      </c>
      <c r="X2251">
        <f>N(X2250)+IF(AND(V2251&lt;&gt;"",T2251&lt;&gt;""),IF(V2251=MONAT!$AZ$3,1,0),0)</f>
        <v/>
      </c>
    </row>
    <row r="2252">
      <c r="A2252" s="19" t="n"/>
      <c r="B2252" s="20">
        <f>IF(A2252="","",CHOOSE(WEEKDAY(A2252,2),"Mo","Di","Mi","Do","Fr","Sa","So"))</f>
        <v/>
      </c>
      <c r="C2252" s="20">
        <f>IF(A2252="","",INT((A2252-DATE(YEAR(A2252-WEEKDAY(A2252-1)+4),1,3)+WEEKDAY(DATE(YEAR(A2252-WEEKDAY(A2252-1)+4),1,3))+5)/7))</f>
        <v/>
      </c>
      <c r="D2252" s="21" t="n"/>
      <c r="E2252" s="22" t="n"/>
      <c r="F2252" s="23" t="n"/>
      <c r="G2252" s="23" t="n"/>
      <c r="H2252" s="23" t="n"/>
      <c r="I2252" s="20">
        <f>IF(COUNT(F2252:H2252)=0,"",SUM(F2252:H2252))</f>
        <v/>
      </c>
      <c r="J2252" s="23" t="n"/>
      <c r="K2252" s="23" t="n"/>
      <c r="L2252" s="23" t="n"/>
      <c r="M2252" s="23" t="n"/>
      <c r="N2252" s="23" t="n"/>
      <c r="O2252" s="20">
        <f>IF(OR(I2252="",COUNT(J2252:N2252)=0),"",IF(SUM(J2252:N2252)=I2252,"✓","⚠ "&amp;SUM(J2252:N2252)&amp;" statt "&amp;I2252))</f>
        <v/>
      </c>
      <c r="P2252" s="21" t="n"/>
      <c r="Q2252" s="21" t="n"/>
      <c r="R2252" s="21" t="n"/>
      <c r="S2252" s="24" t="n"/>
      <c r="T2252" s="24" t="n"/>
      <c r="V2252">
        <f>IF(A2252="","",MONTH(A2252))</f>
        <v/>
      </c>
      <c r="W2252">
        <f>N(W2251)+IF(AND(C2252&lt;&gt;"",T2252&lt;&gt;""),IF(C2252=WOCHE!$B$3,1,0),0)</f>
        <v/>
      </c>
      <c r="X2252">
        <f>N(X2251)+IF(AND(V2252&lt;&gt;"",T2252&lt;&gt;""),IF(V2252=MONAT!$AZ$3,1,0),0)</f>
        <v/>
      </c>
    </row>
    <row r="2253">
      <c r="A2253" s="19" t="n"/>
      <c r="B2253" s="20">
        <f>IF(A2253="","",CHOOSE(WEEKDAY(A2253,2),"Mo","Di","Mi","Do","Fr","Sa","So"))</f>
        <v/>
      </c>
      <c r="C2253" s="20">
        <f>IF(A2253="","",INT((A2253-DATE(YEAR(A2253-WEEKDAY(A2253-1)+4),1,3)+WEEKDAY(DATE(YEAR(A2253-WEEKDAY(A2253-1)+4),1,3))+5)/7))</f>
        <v/>
      </c>
      <c r="D2253" s="21" t="n"/>
      <c r="E2253" s="22" t="n"/>
      <c r="F2253" s="23" t="n"/>
      <c r="G2253" s="23" t="n"/>
      <c r="H2253" s="23" t="n"/>
      <c r="I2253" s="20">
        <f>IF(COUNT(F2253:H2253)=0,"",SUM(F2253:H2253))</f>
        <v/>
      </c>
      <c r="J2253" s="23" t="n"/>
      <c r="K2253" s="23" t="n"/>
      <c r="L2253" s="23" t="n"/>
      <c r="M2253" s="23" t="n"/>
      <c r="N2253" s="23" t="n"/>
      <c r="O2253" s="20">
        <f>IF(OR(I2253="",COUNT(J2253:N2253)=0),"",IF(SUM(J2253:N2253)=I2253,"✓","⚠ "&amp;SUM(J2253:N2253)&amp;" statt "&amp;I2253))</f>
        <v/>
      </c>
      <c r="P2253" s="21" t="n"/>
      <c r="Q2253" s="21" t="n"/>
      <c r="R2253" s="21" t="n"/>
      <c r="S2253" s="24" t="n"/>
      <c r="T2253" s="24" t="n"/>
      <c r="V2253">
        <f>IF(A2253="","",MONTH(A2253))</f>
        <v/>
      </c>
      <c r="W2253">
        <f>N(W2252)+IF(AND(C2253&lt;&gt;"",T2253&lt;&gt;""),IF(C2253=WOCHE!$B$3,1,0),0)</f>
        <v/>
      </c>
      <c r="X2253">
        <f>N(X2252)+IF(AND(V2253&lt;&gt;"",T2253&lt;&gt;""),IF(V2253=MONAT!$AZ$3,1,0),0)</f>
        <v/>
      </c>
    </row>
    <row r="2254">
      <c r="A2254" s="19" t="n"/>
      <c r="B2254" s="20">
        <f>IF(A2254="","",CHOOSE(WEEKDAY(A2254,2),"Mo","Di","Mi","Do","Fr","Sa","So"))</f>
        <v/>
      </c>
      <c r="C2254" s="20">
        <f>IF(A2254="","",INT((A2254-DATE(YEAR(A2254-WEEKDAY(A2254-1)+4),1,3)+WEEKDAY(DATE(YEAR(A2254-WEEKDAY(A2254-1)+4),1,3))+5)/7))</f>
        <v/>
      </c>
      <c r="D2254" s="21" t="n"/>
      <c r="E2254" s="22" t="n"/>
      <c r="F2254" s="23" t="n"/>
      <c r="G2254" s="23" t="n"/>
      <c r="H2254" s="23" t="n"/>
      <c r="I2254" s="20">
        <f>IF(COUNT(F2254:H2254)=0,"",SUM(F2254:H2254))</f>
        <v/>
      </c>
      <c r="J2254" s="23" t="n"/>
      <c r="K2254" s="23" t="n"/>
      <c r="L2254" s="23" t="n"/>
      <c r="M2254" s="23" t="n"/>
      <c r="N2254" s="23" t="n"/>
      <c r="O2254" s="20">
        <f>IF(OR(I2254="",COUNT(J2254:N2254)=0),"",IF(SUM(J2254:N2254)=I2254,"✓","⚠ "&amp;SUM(J2254:N2254)&amp;" statt "&amp;I2254))</f>
        <v/>
      </c>
      <c r="P2254" s="21" t="n"/>
      <c r="Q2254" s="21" t="n"/>
      <c r="R2254" s="21" t="n"/>
      <c r="S2254" s="24" t="n"/>
      <c r="T2254" s="24" t="n"/>
      <c r="V2254">
        <f>IF(A2254="","",MONTH(A2254))</f>
        <v/>
      </c>
      <c r="W2254">
        <f>N(W2253)+IF(AND(C2254&lt;&gt;"",T2254&lt;&gt;""),IF(C2254=WOCHE!$B$3,1,0),0)</f>
        <v/>
      </c>
      <c r="X2254">
        <f>N(X2253)+IF(AND(V2254&lt;&gt;"",T2254&lt;&gt;""),IF(V2254=MONAT!$AZ$3,1,0),0)</f>
        <v/>
      </c>
    </row>
    <row r="2255">
      <c r="A2255" s="19" t="n"/>
      <c r="B2255" s="20">
        <f>IF(A2255="","",CHOOSE(WEEKDAY(A2255,2),"Mo","Di","Mi","Do","Fr","Sa","So"))</f>
        <v/>
      </c>
      <c r="C2255" s="20">
        <f>IF(A2255="","",INT((A2255-DATE(YEAR(A2255-WEEKDAY(A2255-1)+4),1,3)+WEEKDAY(DATE(YEAR(A2255-WEEKDAY(A2255-1)+4),1,3))+5)/7))</f>
        <v/>
      </c>
      <c r="D2255" s="21" t="n"/>
      <c r="E2255" s="22" t="n"/>
      <c r="F2255" s="23" t="n"/>
      <c r="G2255" s="23" t="n"/>
      <c r="H2255" s="23" t="n"/>
      <c r="I2255" s="20">
        <f>IF(COUNT(F2255:H2255)=0,"",SUM(F2255:H2255))</f>
        <v/>
      </c>
      <c r="J2255" s="23" t="n"/>
      <c r="K2255" s="23" t="n"/>
      <c r="L2255" s="23" t="n"/>
      <c r="M2255" s="23" t="n"/>
      <c r="N2255" s="23" t="n"/>
      <c r="O2255" s="20">
        <f>IF(OR(I2255="",COUNT(J2255:N2255)=0),"",IF(SUM(J2255:N2255)=I2255,"✓","⚠ "&amp;SUM(J2255:N2255)&amp;" statt "&amp;I2255))</f>
        <v/>
      </c>
      <c r="P2255" s="21" t="n"/>
      <c r="Q2255" s="21" t="n"/>
      <c r="R2255" s="21" t="n"/>
      <c r="S2255" s="24" t="n"/>
      <c r="T2255" s="24" t="n"/>
      <c r="V2255">
        <f>IF(A2255="","",MONTH(A2255))</f>
        <v/>
      </c>
      <c r="W2255">
        <f>N(W2254)+IF(AND(C2255&lt;&gt;"",T2255&lt;&gt;""),IF(C2255=WOCHE!$B$3,1,0),0)</f>
        <v/>
      </c>
      <c r="X2255">
        <f>N(X2254)+IF(AND(V2255&lt;&gt;"",T2255&lt;&gt;""),IF(V2255=MONAT!$AZ$3,1,0),0)</f>
        <v/>
      </c>
    </row>
    <row r="2256">
      <c r="A2256" s="19" t="n"/>
      <c r="B2256" s="20">
        <f>IF(A2256="","",CHOOSE(WEEKDAY(A2256,2),"Mo","Di","Mi","Do","Fr","Sa","So"))</f>
        <v/>
      </c>
      <c r="C2256" s="20">
        <f>IF(A2256="","",INT((A2256-DATE(YEAR(A2256-WEEKDAY(A2256-1)+4),1,3)+WEEKDAY(DATE(YEAR(A2256-WEEKDAY(A2256-1)+4),1,3))+5)/7))</f>
        <v/>
      </c>
      <c r="D2256" s="21" t="n"/>
      <c r="E2256" s="22" t="n"/>
      <c r="F2256" s="23" t="n"/>
      <c r="G2256" s="23" t="n"/>
      <c r="H2256" s="23" t="n"/>
      <c r="I2256" s="20">
        <f>IF(COUNT(F2256:H2256)=0,"",SUM(F2256:H2256))</f>
        <v/>
      </c>
      <c r="J2256" s="23" t="n"/>
      <c r="K2256" s="23" t="n"/>
      <c r="L2256" s="23" t="n"/>
      <c r="M2256" s="23" t="n"/>
      <c r="N2256" s="23" t="n"/>
      <c r="O2256" s="20">
        <f>IF(OR(I2256="",COUNT(J2256:N2256)=0),"",IF(SUM(J2256:N2256)=I2256,"✓","⚠ "&amp;SUM(J2256:N2256)&amp;" statt "&amp;I2256))</f>
        <v/>
      </c>
      <c r="P2256" s="21" t="n"/>
      <c r="Q2256" s="21" t="n"/>
      <c r="R2256" s="21" t="n"/>
      <c r="S2256" s="24" t="n"/>
      <c r="T2256" s="24" t="n"/>
      <c r="V2256">
        <f>IF(A2256="","",MONTH(A2256))</f>
        <v/>
      </c>
      <c r="W2256">
        <f>N(W2255)+IF(AND(C2256&lt;&gt;"",T2256&lt;&gt;""),IF(C2256=WOCHE!$B$3,1,0),0)</f>
        <v/>
      </c>
      <c r="X2256">
        <f>N(X2255)+IF(AND(V2256&lt;&gt;"",T2256&lt;&gt;""),IF(V2256=MONAT!$AZ$3,1,0),0)</f>
        <v/>
      </c>
    </row>
    <row r="2257">
      <c r="A2257" s="19" t="n"/>
      <c r="B2257" s="20">
        <f>IF(A2257="","",CHOOSE(WEEKDAY(A2257,2),"Mo","Di","Mi","Do","Fr","Sa","So"))</f>
        <v/>
      </c>
      <c r="C2257" s="20">
        <f>IF(A2257="","",INT((A2257-DATE(YEAR(A2257-WEEKDAY(A2257-1)+4),1,3)+WEEKDAY(DATE(YEAR(A2257-WEEKDAY(A2257-1)+4),1,3))+5)/7))</f>
        <v/>
      </c>
      <c r="D2257" s="21" t="n"/>
      <c r="E2257" s="22" t="n"/>
      <c r="F2257" s="23" t="n"/>
      <c r="G2257" s="23" t="n"/>
      <c r="H2257" s="23" t="n"/>
      <c r="I2257" s="20">
        <f>IF(COUNT(F2257:H2257)=0,"",SUM(F2257:H2257))</f>
        <v/>
      </c>
      <c r="J2257" s="23" t="n"/>
      <c r="K2257" s="23" t="n"/>
      <c r="L2257" s="23" t="n"/>
      <c r="M2257" s="23" t="n"/>
      <c r="N2257" s="23" t="n"/>
      <c r="O2257" s="20">
        <f>IF(OR(I2257="",COUNT(J2257:N2257)=0),"",IF(SUM(J2257:N2257)=I2257,"✓","⚠ "&amp;SUM(J2257:N2257)&amp;" statt "&amp;I2257))</f>
        <v/>
      </c>
      <c r="P2257" s="21" t="n"/>
      <c r="Q2257" s="21" t="n"/>
      <c r="R2257" s="21" t="n"/>
      <c r="S2257" s="24" t="n"/>
      <c r="T2257" s="24" t="n"/>
      <c r="V2257">
        <f>IF(A2257="","",MONTH(A2257))</f>
        <v/>
      </c>
      <c r="W2257">
        <f>N(W2256)+IF(AND(C2257&lt;&gt;"",T2257&lt;&gt;""),IF(C2257=WOCHE!$B$3,1,0),0)</f>
        <v/>
      </c>
      <c r="X2257">
        <f>N(X2256)+IF(AND(V2257&lt;&gt;"",T2257&lt;&gt;""),IF(V2257=MONAT!$AZ$3,1,0),0)</f>
        <v/>
      </c>
    </row>
    <row r="2258">
      <c r="A2258" s="19" t="n"/>
      <c r="B2258" s="20">
        <f>IF(A2258="","",CHOOSE(WEEKDAY(A2258,2),"Mo","Di","Mi","Do","Fr","Sa","So"))</f>
        <v/>
      </c>
      <c r="C2258" s="20">
        <f>IF(A2258="","",INT((A2258-DATE(YEAR(A2258-WEEKDAY(A2258-1)+4),1,3)+WEEKDAY(DATE(YEAR(A2258-WEEKDAY(A2258-1)+4),1,3))+5)/7))</f>
        <v/>
      </c>
      <c r="D2258" s="21" t="n"/>
      <c r="E2258" s="22" t="n"/>
      <c r="F2258" s="23" t="n"/>
      <c r="G2258" s="23" t="n"/>
      <c r="H2258" s="23" t="n"/>
      <c r="I2258" s="20">
        <f>IF(COUNT(F2258:H2258)=0,"",SUM(F2258:H2258))</f>
        <v/>
      </c>
      <c r="J2258" s="23" t="n"/>
      <c r="K2258" s="23" t="n"/>
      <c r="L2258" s="23" t="n"/>
      <c r="M2258" s="23" t="n"/>
      <c r="N2258" s="23" t="n"/>
      <c r="O2258" s="20">
        <f>IF(OR(I2258="",COUNT(J2258:N2258)=0),"",IF(SUM(J2258:N2258)=I2258,"✓","⚠ "&amp;SUM(J2258:N2258)&amp;" statt "&amp;I2258))</f>
        <v/>
      </c>
      <c r="P2258" s="21" t="n"/>
      <c r="Q2258" s="21" t="n"/>
      <c r="R2258" s="21" t="n"/>
      <c r="S2258" s="24" t="n"/>
      <c r="T2258" s="24" t="n"/>
      <c r="V2258">
        <f>IF(A2258="","",MONTH(A2258))</f>
        <v/>
      </c>
      <c r="W2258">
        <f>N(W2257)+IF(AND(C2258&lt;&gt;"",T2258&lt;&gt;""),IF(C2258=WOCHE!$B$3,1,0),0)</f>
        <v/>
      </c>
      <c r="X2258">
        <f>N(X2257)+IF(AND(V2258&lt;&gt;"",T2258&lt;&gt;""),IF(V2258=MONAT!$AZ$3,1,0),0)</f>
        <v/>
      </c>
    </row>
    <row r="2259">
      <c r="A2259" s="19" t="n"/>
      <c r="B2259" s="20">
        <f>IF(A2259="","",CHOOSE(WEEKDAY(A2259,2),"Mo","Di","Mi","Do","Fr","Sa","So"))</f>
        <v/>
      </c>
      <c r="C2259" s="20">
        <f>IF(A2259="","",INT((A2259-DATE(YEAR(A2259-WEEKDAY(A2259-1)+4),1,3)+WEEKDAY(DATE(YEAR(A2259-WEEKDAY(A2259-1)+4),1,3))+5)/7))</f>
        <v/>
      </c>
      <c r="D2259" s="21" t="n"/>
      <c r="E2259" s="22" t="n"/>
      <c r="F2259" s="23" t="n"/>
      <c r="G2259" s="23" t="n"/>
      <c r="H2259" s="23" t="n"/>
      <c r="I2259" s="20">
        <f>IF(COUNT(F2259:H2259)=0,"",SUM(F2259:H2259))</f>
        <v/>
      </c>
      <c r="J2259" s="23" t="n"/>
      <c r="K2259" s="23" t="n"/>
      <c r="L2259" s="23" t="n"/>
      <c r="M2259" s="23" t="n"/>
      <c r="N2259" s="23" t="n"/>
      <c r="O2259" s="20">
        <f>IF(OR(I2259="",COUNT(J2259:N2259)=0),"",IF(SUM(J2259:N2259)=I2259,"✓","⚠ "&amp;SUM(J2259:N2259)&amp;" statt "&amp;I2259))</f>
        <v/>
      </c>
      <c r="P2259" s="21" t="n"/>
      <c r="Q2259" s="21" t="n"/>
      <c r="R2259" s="21" t="n"/>
      <c r="S2259" s="24" t="n"/>
      <c r="T2259" s="24" t="n"/>
      <c r="V2259">
        <f>IF(A2259="","",MONTH(A2259))</f>
        <v/>
      </c>
      <c r="W2259">
        <f>N(W2258)+IF(AND(C2259&lt;&gt;"",T2259&lt;&gt;""),IF(C2259=WOCHE!$B$3,1,0),0)</f>
        <v/>
      </c>
      <c r="X2259">
        <f>N(X2258)+IF(AND(V2259&lt;&gt;"",T2259&lt;&gt;""),IF(V2259=MONAT!$AZ$3,1,0),0)</f>
        <v/>
      </c>
    </row>
    <row r="2260">
      <c r="A2260" s="19" t="n"/>
      <c r="B2260" s="20">
        <f>IF(A2260="","",CHOOSE(WEEKDAY(A2260,2),"Mo","Di","Mi","Do","Fr","Sa","So"))</f>
        <v/>
      </c>
      <c r="C2260" s="20">
        <f>IF(A2260="","",INT((A2260-DATE(YEAR(A2260-WEEKDAY(A2260-1)+4),1,3)+WEEKDAY(DATE(YEAR(A2260-WEEKDAY(A2260-1)+4),1,3))+5)/7))</f>
        <v/>
      </c>
      <c r="D2260" s="21" t="n"/>
      <c r="E2260" s="22" t="n"/>
      <c r="F2260" s="23" t="n"/>
      <c r="G2260" s="23" t="n"/>
      <c r="H2260" s="23" t="n"/>
      <c r="I2260" s="20">
        <f>IF(COUNT(F2260:H2260)=0,"",SUM(F2260:H2260))</f>
        <v/>
      </c>
      <c r="J2260" s="23" t="n"/>
      <c r="K2260" s="23" t="n"/>
      <c r="L2260" s="23" t="n"/>
      <c r="M2260" s="23" t="n"/>
      <c r="N2260" s="23" t="n"/>
      <c r="O2260" s="20">
        <f>IF(OR(I2260="",COUNT(J2260:N2260)=0),"",IF(SUM(J2260:N2260)=I2260,"✓","⚠ "&amp;SUM(J2260:N2260)&amp;" statt "&amp;I2260))</f>
        <v/>
      </c>
      <c r="P2260" s="21" t="n"/>
      <c r="Q2260" s="21" t="n"/>
      <c r="R2260" s="21" t="n"/>
      <c r="S2260" s="24" t="n"/>
      <c r="T2260" s="24" t="n"/>
      <c r="V2260">
        <f>IF(A2260="","",MONTH(A2260))</f>
        <v/>
      </c>
      <c r="W2260">
        <f>N(W2259)+IF(AND(C2260&lt;&gt;"",T2260&lt;&gt;""),IF(C2260=WOCHE!$B$3,1,0),0)</f>
        <v/>
      </c>
      <c r="X2260">
        <f>N(X2259)+IF(AND(V2260&lt;&gt;"",T2260&lt;&gt;""),IF(V2260=MONAT!$AZ$3,1,0),0)</f>
        <v/>
      </c>
    </row>
    <row r="2261">
      <c r="A2261" s="19" t="n"/>
      <c r="B2261" s="20">
        <f>IF(A2261="","",CHOOSE(WEEKDAY(A2261,2),"Mo","Di","Mi","Do","Fr","Sa","So"))</f>
        <v/>
      </c>
      <c r="C2261" s="20">
        <f>IF(A2261="","",INT((A2261-DATE(YEAR(A2261-WEEKDAY(A2261-1)+4),1,3)+WEEKDAY(DATE(YEAR(A2261-WEEKDAY(A2261-1)+4),1,3))+5)/7))</f>
        <v/>
      </c>
      <c r="D2261" s="21" t="n"/>
      <c r="E2261" s="22" t="n"/>
      <c r="F2261" s="23" t="n"/>
      <c r="G2261" s="23" t="n"/>
      <c r="H2261" s="23" t="n"/>
      <c r="I2261" s="20">
        <f>IF(COUNT(F2261:H2261)=0,"",SUM(F2261:H2261))</f>
        <v/>
      </c>
      <c r="J2261" s="23" t="n"/>
      <c r="K2261" s="23" t="n"/>
      <c r="L2261" s="23" t="n"/>
      <c r="M2261" s="23" t="n"/>
      <c r="N2261" s="23" t="n"/>
      <c r="O2261" s="20">
        <f>IF(OR(I2261="",COUNT(J2261:N2261)=0),"",IF(SUM(J2261:N2261)=I2261,"✓","⚠ "&amp;SUM(J2261:N2261)&amp;" statt "&amp;I2261))</f>
        <v/>
      </c>
      <c r="P2261" s="21" t="n"/>
      <c r="Q2261" s="21" t="n"/>
      <c r="R2261" s="21" t="n"/>
      <c r="S2261" s="24" t="n"/>
      <c r="T2261" s="24" t="n"/>
      <c r="V2261">
        <f>IF(A2261="","",MONTH(A2261))</f>
        <v/>
      </c>
      <c r="W2261">
        <f>N(W2260)+IF(AND(C2261&lt;&gt;"",T2261&lt;&gt;""),IF(C2261=WOCHE!$B$3,1,0),0)</f>
        <v/>
      </c>
      <c r="X2261">
        <f>N(X2260)+IF(AND(V2261&lt;&gt;"",T2261&lt;&gt;""),IF(V2261=MONAT!$AZ$3,1,0),0)</f>
        <v/>
      </c>
    </row>
    <row r="2262">
      <c r="A2262" s="19" t="n"/>
      <c r="B2262" s="20">
        <f>IF(A2262="","",CHOOSE(WEEKDAY(A2262,2),"Mo","Di","Mi","Do","Fr","Sa","So"))</f>
        <v/>
      </c>
      <c r="C2262" s="20">
        <f>IF(A2262="","",INT((A2262-DATE(YEAR(A2262-WEEKDAY(A2262-1)+4),1,3)+WEEKDAY(DATE(YEAR(A2262-WEEKDAY(A2262-1)+4),1,3))+5)/7))</f>
        <v/>
      </c>
      <c r="D2262" s="21" t="n"/>
      <c r="E2262" s="22" t="n"/>
      <c r="F2262" s="23" t="n"/>
      <c r="G2262" s="23" t="n"/>
      <c r="H2262" s="23" t="n"/>
      <c r="I2262" s="20">
        <f>IF(COUNT(F2262:H2262)=0,"",SUM(F2262:H2262))</f>
        <v/>
      </c>
      <c r="J2262" s="23" t="n"/>
      <c r="K2262" s="23" t="n"/>
      <c r="L2262" s="23" t="n"/>
      <c r="M2262" s="23" t="n"/>
      <c r="N2262" s="23" t="n"/>
      <c r="O2262" s="20">
        <f>IF(OR(I2262="",COUNT(J2262:N2262)=0),"",IF(SUM(J2262:N2262)=I2262,"✓","⚠ "&amp;SUM(J2262:N2262)&amp;" statt "&amp;I2262))</f>
        <v/>
      </c>
      <c r="P2262" s="21" t="n"/>
      <c r="Q2262" s="21" t="n"/>
      <c r="R2262" s="21" t="n"/>
      <c r="S2262" s="24" t="n"/>
      <c r="T2262" s="24" t="n"/>
      <c r="V2262">
        <f>IF(A2262="","",MONTH(A2262))</f>
        <v/>
      </c>
      <c r="W2262">
        <f>N(W2261)+IF(AND(C2262&lt;&gt;"",T2262&lt;&gt;""),IF(C2262=WOCHE!$B$3,1,0),0)</f>
        <v/>
      </c>
      <c r="X2262">
        <f>N(X2261)+IF(AND(V2262&lt;&gt;"",T2262&lt;&gt;""),IF(V2262=MONAT!$AZ$3,1,0),0)</f>
        <v/>
      </c>
    </row>
    <row r="2263">
      <c r="A2263" s="19" t="n"/>
      <c r="B2263" s="20">
        <f>IF(A2263="","",CHOOSE(WEEKDAY(A2263,2),"Mo","Di","Mi","Do","Fr","Sa","So"))</f>
        <v/>
      </c>
      <c r="C2263" s="20">
        <f>IF(A2263="","",INT((A2263-DATE(YEAR(A2263-WEEKDAY(A2263-1)+4),1,3)+WEEKDAY(DATE(YEAR(A2263-WEEKDAY(A2263-1)+4),1,3))+5)/7))</f>
        <v/>
      </c>
      <c r="D2263" s="21" t="n"/>
      <c r="E2263" s="22" t="n"/>
      <c r="F2263" s="23" t="n"/>
      <c r="G2263" s="23" t="n"/>
      <c r="H2263" s="23" t="n"/>
      <c r="I2263" s="20">
        <f>IF(COUNT(F2263:H2263)=0,"",SUM(F2263:H2263))</f>
        <v/>
      </c>
      <c r="J2263" s="23" t="n"/>
      <c r="K2263" s="23" t="n"/>
      <c r="L2263" s="23" t="n"/>
      <c r="M2263" s="23" t="n"/>
      <c r="N2263" s="23" t="n"/>
      <c r="O2263" s="20">
        <f>IF(OR(I2263="",COUNT(J2263:N2263)=0),"",IF(SUM(J2263:N2263)=I2263,"✓","⚠ "&amp;SUM(J2263:N2263)&amp;" statt "&amp;I2263))</f>
        <v/>
      </c>
      <c r="P2263" s="21" t="n"/>
      <c r="Q2263" s="21" t="n"/>
      <c r="R2263" s="21" t="n"/>
      <c r="S2263" s="24" t="n"/>
      <c r="T2263" s="24" t="n"/>
      <c r="V2263">
        <f>IF(A2263="","",MONTH(A2263))</f>
        <v/>
      </c>
      <c r="W2263">
        <f>N(W2262)+IF(AND(C2263&lt;&gt;"",T2263&lt;&gt;""),IF(C2263=WOCHE!$B$3,1,0),0)</f>
        <v/>
      </c>
      <c r="X2263">
        <f>N(X2262)+IF(AND(V2263&lt;&gt;"",T2263&lt;&gt;""),IF(V2263=MONAT!$AZ$3,1,0),0)</f>
        <v/>
      </c>
    </row>
    <row r="2264">
      <c r="A2264" s="19" t="n"/>
      <c r="B2264" s="20">
        <f>IF(A2264="","",CHOOSE(WEEKDAY(A2264,2),"Mo","Di","Mi","Do","Fr","Sa","So"))</f>
        <v/>
      </c>
      <c r="C2264" s="20">
        <f>IF(A2264="","",INT((A2264-DATE(YEAR(A2264-WEEKDAY(A2264-1)+4),1,3)+WEEKDAY(DATE(YEAR(A2264-WEEKDAY(A2264-1)+4),1,3))+5)/7))</f>
        <v/>
      </c>
      <c r="D2264" s="21" t="n"/>
      <c r="E2264" s="22" t="n"/>
      <c r="F2264" s="23" t="n"/>
      <c r="G2264" s="23" t="n"/>
      <c r="H2264" s="23" t="n"/>
      <c r="I2264" s="20">
        <f>IF(COUNT(F2264:H2264)=0,"",SUM(F2264:H2264))</f>
        <v/>
      </c>
      <c r="J2264" s="23" t="n"/>
      <c r="K2264" s="23" t="n"/>
      <c r="L2264" s="23" t="n"/>
      <c r="M2264" s="23" t="n"/>
      <c r="N2264" s="23" t="n"/>
      <c r="O2264" s="20">
        <f>IF(OR(I2264="",COUNT(J2264:N2264)=0),"",IF(SUM(J2264:N2264)=I2264,"✓","⚠ "&amp;SUM(J2264:N2264)&amp;" statt "&amp;I2264))</f>
        <v/>
      </c>
      <c r="P2264" s="21" t="n"/>
      <c r="Q2264" s="21" t="n"/>
      <c r="R2264" s="21" t="n"/>
      <c r="S2264" s="24" t="n"/>
      <c r="T2264" s="24" t="n"/>
      <c r="V2264">
        <f>IF(A2264="","",MONTH(A2264))</f>
        <v/>
      </c>
      <c r="W2264">
        <f>N(W2263)+IF(AND(C2264&lt;&gt;"",T2264&lt;&gt;""),IF(C2264=WOCHE!$B$3,1,0),0)</f>
        <v/>
      </c>
      <c r="X2264">
        <f>N(X2263)+IF(AND(V2264&lt;&gt;"",T2264&lt;&gt;""),IF(V2264=MONAT!$AZ$3,1,0),0)</f>
        <v/>
      </c>
    </row>
    <row r="2265">
      <c r="A2265" s="19" t="n"/>
      <c r="B2265" s="20">
        <f>IF(A2265="","",CHOOSE(WEEKDAY(A2265,2),"Mo","Di","Mi","Do","Fr","Sa","So"))</f>
        <v/>
      </c>
      <c r="C2265" s="20">
        <f>IF(A2265="","",INT((A2265-DATE(YEAR(A2265-WEEKDAY(A2265-1)+4),1,3)+WEEKDAY(DATE(YEAR(A2265-WEEKDAY(A2265-1)+4),1,3))+5)/7))</f>
        <v/>
      </c>
      <c r="D2265" s="21" t="n"/>
      <c r="E2265" s="22" t="n"/>
      <c r="F2265" s="23" t="n"/>
      <c r="G2265" s="23" t="n"/>
      <c r="H2265" s="23" t="n"/>
      <c r="I2265" s="20">
        <f>IF(COUNT(F2265:H2265)=0,"",SUM(F2265:H2265))</f>
        <v/>
      </c>
      <c r="J2265" s="23" t="n"/>
      <c r="K2265" s="23" t="n"/>
      <c r="L2265" s="23" t="n"/>
      <c r="M2265" s="23" t="n"/>
      <c r="N2265" s="23" t="n"/>
      <c r="O2265" s="20">
        <f>IF(OR(I2265="",COUNT(J2265:N2265)=0),"",IF(SUM(J2265:N2265)=I2265,"✓","⚠ "&amp;SUM(J2265:N2265)&amp;" statt "&amp;I2265))</f>
        <v/>
      </c>
      <c r="P2265" s="21" t="n"/>
      <c r="Q2265" s="21" t="n"/>
      <c r="R2265" s="21" t="n"/>
      <c r="S2265" s="24" t="n"/>
      <c r="T2265" s="24" t="n"/>
      <c r="V2265">
        <f>IF(A2265="","",MONTH(A2265))</f>
        <v/>
      </c>
      <c r="W2265">
        <f>N(W2264)+IF(AND(C2265&lt;&gt;"",T2265&lt;&gt;""),IF(C2265=WOCHE!$B$3,1,0),0)</f>
        <v/>
      </c>
      <c r="X2265">
        <f>N(X2264)+IF(AND(V2265&lt;&gt;"",T2265&lt;&gt;""),IF(V2265=MONAT!$AZ$3,1,0),0)</f>
        <v/>
      </c>
    </row>
    <row r="2266">
      <c r="A2266" s="19" t="n"/>
      <c r="B2266" s="20">
        <f>IF(A2266="","",CHOOSE(WEEKDAY(A2266,2),"Mo","Di","Mi","Do","Fr","Sa","So"))</f>
        <v/>
      </c>
      <c r="C2266" s="20">
        <f>IF(A2266="","",INT((A2266-DATE(YEAR(A2266-WEEKDAY(A2266-1)+4),1,3)+WEEKDAY(DATE(YEAR(A2266-WEEKDAY(A2266-1)+4),1,3))+5)/7))</f>
        <v/>
      </c>
      <c r="D2266" s="21" t="n"/>
      <c r="E2266" s="22" t="n"/>
      <c r="F2266" s="23" t="n"/>
      <c r="G2266" s="23" t="n"/>
      <c r="H2266" s="23" t="n"/>
      <c r="I2266" s="20">
        <f>IF(COUNT(F2266:H2266)=0,"",SUM(F2266:H2266))</f>
        <v/>
      </c>
      <c r="J2266" s="23" t="n"/>
      <c r="K2266" s="23" t="n"/>
      <c r="L2266" s="23" t="n"/>
      <c r="M2266" s="23" t="n"/>
      <c r="N2266" s="23" t="n"/>
      <c r="O2266" s="20">
        <f>IF(OR(I2266="",COUNT(J2266:N2266)=0),"",IF(SUM(J2266:N2266)=I2266,"✓","⚠ "&amp;SUM(J2266:N2266)&amp;" statt "&amp;I2266))</f>
        <v/>
      </c>
      <c r="P2266" s="21" t="n"/>
      <c r="Q2266" s="21" t="n"/>
      <c r="R2266" s="21" t="n"/>
      <c r="S2266" s="24" t="n"/>
      <c r="T2266" s="24" t="n"/>
      <c r="V2266">
        <f>IF(A2266="","",MONTH(A2266))</f>
        <v/>
      </c>
      <c r="W2266">
        <f>N(W2265)+IF(AND(C2266&lt;&gt;"",T2266&lt;&gt;""),IF(C2266=WOCHE!$B$3,1,0),0)</f>
        <v/>
      </c>
      <c r="X2266">
        <f>N(X2265)+IF(AND(V2266&lt;&gt;"",T2266&lt;&gt;""),IF(V2266=MONAT!$AZ$3,1,0),0)</f>
        <v/>
      </c>
    </row>
    <row r="2267">
      <c r="A2267" s="19" t="n"/>
      <c r="B2267" s="20">
        <f>IF(A2267="","",CHOOSE(WEEKDAY(A2267,2),"Mo","Di","Mi","Do","Fr","Sa","So"))</f>
        <v/>
      </c>
      <c r="C2267" s="20">
        <f>IF(A2267="","",INT((A2267-DATE(YEAR(A2267-WEEKDAY(A2267-1)+4),1,3)+WEEKDAY(DATE(YEAR(A2267-WEEKDAY(A2267-1)+4),1,3))+5)/7))</f>
        <v/>
      </c>
      <c r="D2267" s="21" t="n"/>
      <c r="E2267" s="22" t="n"/>
      <c r="F2267" s="23" t="n"/>
      <c r="G2267" s="23" t="n"/>
      <c r="H2267" s="23" t="n"/>
      <c r="I2267" s="20">
        <f>IF(COUNT(F2267:H2267)=0,"",SUM(F2267:H2267))</f>
        <v/>
      </c>
      <c r="J2267" s="23" t="n"/>
      <c r="K2267" s="23" t="n"/>
      <c r="L2267" s="23" t="n"/>
      <c r="M2267" s="23" t="n"/>
      <c r="N2267" s="23" t="n"/>
      <c r="O2267" s="20">
        <f>IF(OR(I2267="",COUNT(J2267:N2267)=0),"",IF(SUM(J2267:N2267)=I2267,"✓","⚠ "&amp;SUM(J2267:N2267)&amp;" statt "&amp;I2267))</f>
        <v/>
      </c>
      <c r="P2267" s="21" t="n"/>
      <c r="Q2267" s="21" t="n"/>
      <c r="R2267" s="21" t="n"/>
      <c r="S2267" s="24" t="n"/>
      <c r="T2267" s="24" t="n"/>
      <c r="V2267">
        <f>IF(A2267="","",MONTH(A2267))</f>
        <v/>
      </c>
      <c r="W2267">
        <f>N(W2266)+IF(AND(C2267&lt;&gt;"",T2267&lt;&gt;""),IF(C2267=WOCHE!$B$3,1,0),0)</f>
        <v/>
      </c>
      <c r="X2267">
        <f>N(X2266)+IF(AND(V2267&lt;&gt;"",T2267&lt;&gt;""),IF(V2267=MONAT!$AZ$3,1,0),0)</f>
        <v/>
      </c>
    </row>
    <row r="2268">
      <c r="A2268" s="19" t="n"/>
      <c r="B2268" s="20">
        <f>IF(A2268="","",CHOOSE(WEEKDAY(A2268,2),"Mo","Di","Mi","Do","Fr","Sa","So"))</f>
        <v/>
      </c>
      <c r="C2268" s="20">
        <f>IF(A2268="","",INT((A2268-DATE(YEAR(A2268-WEEKDAY(A2268-1)+4),1,3)+WEEKDAY(DATE(YEAR(A2268-WEEKDAY(A2268-1)+4),1,3))+5)/7))</f>
        <v/>
      </c>
      <c r="D2268" s="21" t="n"/>
      <c r="E2268" s="22" t="n"/>
      <c r="F2268" s="23" t="n"/>
      <c r="G2268" s="23" t="n"/>
      <c r="H2268" s="23" t="n"/>
      <c r="I2268" s="20">
        <f>IF(COUNT(F2268:H2268)=0,"",SUM(F2268:H2268))</f>
        <v/>
      </c>
      <c r="J2268" s="23" t="n"/>
      <c r="K2268" s="23" t="n"/>
      <c r="L2268" s="23" t="n"/>
      <c r="M2268" s="23" t="n"/>
      <c r="N2268" s="23" t="n"/>
      <c r="O2268" s="20">
        <f>IF(OR(I2268="",COUNT(J2268:N2268)=0),"",IF(SUM(J2268:N2268)=I2268,"✓","⚠ "&amp;SUM(J2268:N2268)&amp;" statt "&amp;I2268))</f>
        <v/>
      </c>
      <c r="P2268" s="21" t="n"/>
      <c r="Q2268" s="21" t="n"/>
      <c r="R2268" s="21" t="n"/>
      <c r="S2268" s="24" t="n"/>
      <c r="T2268" s="24" t="n"/>
      <c r="V2268">
        <f>IF(A2268="","",MONTH(A2268))</f>
        <v/>
      </c>
      <c r="W2268">
        <f>N(W2267)+IF(AND(C2268&lt;&gt;"",T2268&lt;&gt;""),IF(C2268=WOCHE!$B$3,1,0),0)</f>
        <v/>
      </c>
      <c r="X2268">
        <f>N(X2267)+IF(AND(V2268&lt;&gt;"",T2268&lt;&gt;""),IF(V2268=MONAT!$AZ$3,1,0),0)</f>
        <v/>
      </c>
    </row>
    <row r="2269">
      <c r="A2269" s="19" t="n"/>
      <c r="B2269" s="20">
        <f>IF(A2269="","",CHOOSE(WEEKDAY(A2269,2),"Mo","Di","Mi","Do","Fr","Sa","So"))</f>
        <v/>
      </c>
      <c r="C2269" s="20">
        <f>IF(A2269="","",INT((A2269-DATE(YEAR(A2269-WEEKDAY(A2269-1)+4),1,3)+WEEKDAY(DATE(YEAR(A2269-WEEKDAY(A2269-1)+4),1,3))+5)/7))</f>
        <v/>
      </c>
      <c r="D2269" s="21" t="n"/>
      <c r="E2269" s="22" t="n"/>
      <c r="F2269" s="23" t="n"/>
      <c r="G2269" s="23" t="n"/>
      <c r="H2269" s="23" t="n"/>
      <c r="I2269" s="20">
        <f>IF(COUNT(F2269:H2269)=0,"",SUM(F2269:H2269))</f>
        <v/>
      </c>
      <c r="J2269" s="23" t="n"/>
      <c r="K2269" s="23" t="n"/>
      <c r="L2269" s="23" t="n"/>
      <c r="M2269" s="23" t="n"/>
      <c r="N2269" s="23" t="n"/>
      <c r="O2269" s="20">
        <f>IF(OR(I2269="",COUNT(J2269:N2269)=0),"",IF(SUM(J2269:N2269)=I2269,"✓","⚠ "&amp;SUM(J2269:N2269)&amp;" statt "&amp;I2269))</f>
        <v/>
      </c>
      <c r="P2269" s="21" t="n"/>
      <c r="Q2269" s="21" t="n"/>
      <c r="R2269" s="21" t="n"/>
      <c r="S2269" s="24" t="n"/>
      <c r="T2269" s="24" t="n"/>
      <c r="V2269">
        <f>IF(A2269="","",MONTH(A2269))</f>
        <v/>
      </c>
      <c r="W2269">
        <f>N(W2268)+IF(AND(C2269&lt;&gt;"",T2269&lt;&gt;""),IF(C2269=WOCHE!$B$3,1,0),0)</f>
        <v/>
      </c>
      <c r="X2269">
        <f>N(X2268)+IF(AND(V2269&lt;&gt;"",T2269&lt;&gt;""),IF(V2269=MONAT!$AZ$3,1,0),0)</f>
        <v/>
      </c>
    </row>
    <row r="2270">
      <c r="A2270" s="19" t="n"/>
      <c r="B2270" s="20">
        <f>IF(A2270="","",CHOOSE(WEEKDAY(A2270,2),"Mo","Di","Mi","Do","Fr","Sa","So"))</f>
        <v/>
      </c>
      <c r="C2270" s="20">
        <f>IF(A2270="","",INT((A2270-DATE(YEAR(A2270-WEEKDAY(A2270-1)+4),1,3)+WEEKDAY(DATE(YEAR(A2270-WEEKDAY(A2270-1)+4),1,3))+5)/7))</f>
        <v/>
      </c>
      <c r="D2270" s="21" t="n"/>
      <c r="E2270" s="22" t="n"/>
      <c r="F2270" s="23" t="n"/>
      <c r="G2270" s="23" t="n"/>
      <c r="H2270" s="23" t="n"/>
      <c r="I2270" s="20">
        <f>IF(COUNT(F2270:H2270)=0,"",SUM(F2270:H2270))</f>
        <v/>
      </c>
      <c r="J2270" s="23" t="n"/>
      <c r="K2270" s="23" t="n"/>
      <c r="L2270" s="23" t="n"/>
      <c r="M2270" s="23" t="n"/>
      <c r="N2270" s="23" t="n"/>
      <c r="O2270" s="20">
        <f>IF(OR(I2270="",COUNT(J2270:N2270)=0),"",IF(SUM(J2270:N2270)=I2270,"✓","⚠ "&amp;SUM(J2270:N2270)&amp;" statt "&amp;I2270))</f>
        <v/>
      </c>
      <c r="P2270" s="21" t="n"/>
      <c r="Q2270" s="21" t="n"/>
      <c r="R2270" s="21" t="n"/>
      <c r="S2270" s="24" t="n"/>
      <c r="T2270" s="24" t="n"/>
      <c r="V2270">
        <f>IF(A2270="","",MONTH(A2270))</f>
        <v/>
      </c>
      <c r="W2270">
        <f>N(W2269)+IF(AND(C2270&lt;&gt;"",T2270&lt;&gt;""),IF(C2270=WOCHE!$B$3,1,0),0)</f>
        <v/>
      </c>
      <c r="X2270">
        <f>N(X2269)+IF(AND(V2270&lt;&gt;"",T2270&lt;&gt;""),IF(V2270=MONAT!$AZ$3,1,0),0)</f>
        <v/>
      </c>
    </row>
    <row r="2271">
      <c r="A2271" s="19" t="n"/>
      <c r="B2271" s="20">
        <f>IF(A2271="","",CHOOSE(WEEKDAY(A2271,2),"Mo","Di","Mi","Do","Fr","Sa","So"))</f>
        <v/>
      </c>
      <c r="C2271" s="20">
        <f>IF(A2271="","",INT((A2271-DATE(YEAR(A2271-WEEKDAY(A2271-1)+4),1,3)+WEEKDAY(DATE(YEAR(A2271-WEEKDAY(A2271-1)+4),1,3))+5)/7))</f>
        <v/>
      </c>
      <c r="D2271" s="21" t="n"/>
      <c r="E2271" s="22" t="n"/>
      <c r="F2271" s="23" t="n"/>
      <c r="G2271" s="23" t="n"/>
      <c r="H2271" s="23" t="n"/>
      <c r="I2271" s="20">
        <f>IF(COUNT(F2271:H2271)=0,"",SUM(F2271:H2271))</f>
        <v/>
      </c>
      <c r="J2271" s="23" t="n"/>
      <c r="K2271" s="23" t="n"/>
      <c r="L2271" s="23" t="n"/>
      <c r="M2271" s="23" t="n"/>
      <c r="N2271" s="23" t="n"/>
      <c r="O2271" s="20">
        <f>IF(OR(I2271="",COUNT(J2271:N2271)=0),"",IF(SUM(J2271:N2271)=I2271,"✓","⚠ "&amp;SUM(J2271:N2271)&amp;" statt "&amp;I2271))</f>
        <v/>
      </c>
      <c r="P2271" s="21" t="n"/>
      <c r="Q2271" s="21" t="n"/>
      <c r="R2271" s="21" t="n"/>
      <c r="S2271" s="24" t="n"/>
      <c r="T2271" s="24" t="n"/>
      <c r="V2271">
        <f>IF(A2271="","",MONTH(A2271))</f>
        <v/>
      </c>
      <c r="W2271">
        <f>N(W2270)+IF(AND(C2271&lt;&gt;"",T2271&lt;&gt;""),IF(C2271=WOCHE!$B$3,1,0),0)</f>
        <v/>
      </c>
      <c r="X2271">
        <f>N(X2270)+IF(AND(V2271&lt;&gt;"",T2271&lt;&gt;""),IF(V2271=MONAT!$AZ$3,1,0),0)</f>
        <v/>
      </c>
    </row>
    <row r="2272">
      <c r="A2272" s="19" t="n"/>
      <c r="B2272" s="20">
        <f>IF(A2272="","",CHOOSE(WEEKDAY(A2272,2),"Mo","Di","Mi","Do","Fr","Sa","So"))</f>
        <v/>
      </c>
      <c r="C2272" s="20">
        <f>IF(A2272="","",INT((A2272-DATE(YEAR(A2272-WEEKDAY(A2272-1)+4),1,3)+WEEKDAY(DATE(YEAR(A2272-WEEKDAY(A2272-1)+4),1,3))+5)/7))</f>
        <v/>
      </c>
      <c r="D2272" s="21" t="n"/>
      <c r="E2272" s="22" t="n"/>
      <c r="F2272" s="23" t="n"/>
      <c r="G2272" s="23" t="n"/>
      <c r="H2272" s="23" t="n"/>
      <c r="I2272" s="20">
        <f>IF(COUNT(F2272:H2272)=0,"",SUM(F2272:H2272))</f>
        <v/>
      </c>
      <c r="J2272" s="23" t="n"/>
      <c r="K2272" s="23" t="n"/>
      <c r="L2272" s="23" t="n"/>
      <c r="M2272" s="23" t="n"/>
      <c r="N2272" s="23" t="n"/>
      <c r="O2272" s="20">
        <f>IF(OR(I2272="",COUNT(J2272:N2272)=0),"",IF(SUM(J2272:N2272)=I2272,"✓","⚠ "&amp;SUM(J2272:N2272)&amp;" statt "&amp;I2272))</f>
        <v/>
      </c>
      <c r="P2272" s="21" t="n"/>
      <c r="Q2272" s="21" t="n"/>
      <c r="R2272" s="21" t="n"/>
      <c r="S2272" s="24" t="n"/>
      <c r="T2272" s="24" t="n"/>
      <c r="V2272">
        <f>IF(A2272="","",MONTH(A2272))</f>
        <v/>
      </c>
      <c r="W2272">
        <f>N(W2271)+IF(AND(C2272&lt;&gt;"",T2272&lt;&gt;""),IF(C2272=WOCHE!$B$3,1,0),0)</f>
        <v/>
      </c>
      <c r="X2272">
        <f>N(X2271)+IF(AND(V2272&lt;&gt;"",T2272&lt;&gt;""),IF(V2272=MONAT!$AZ$3,1,0),0)</f>
        <v/>
      </c>
    </row>
    <row r="2273">
      <c r="A2273" s="19" t="n"/>
      <c r="B2273" s="20">
        <f>IF(A2273="","",CHOOSE(WEEKDAY(A2273,2),"Mo","Di","Mi","Do","Fr","Sa","So"))</f>
        <v/>
      </c>
      <c r="C2273" s="20">
        <f>IF(A2273="","",INT((A2273-DATE(YEAR(A2273-WEEKDAY(A2273-1)+4),1,3)+WEEKDAY(DATE(YEAR(A2273-WEEKDAY(A2273-1)+4),1,3))+5)/7))</f>
        <v/>
      </c>
      <c r="D2273" s="21" t="n"/>
      <c r="E2273" s="22" t="n"/>
      <c r="F2273" s="23" t="n"/>
      <c r="G2273" s="23" t="n"/>
      <c r="H2273" s="23" t="n"/>
      <c r="I2273" s="20">
        <f>IF(COUNT(F2273:H2273)=0,"",SUM(F2273:H2273))</f>
        <v/>
      </c>
      <c r="J2273" s="23" t="n"/>
      <c r="K2273" s="23" t="n"/>
      <c r="L2273" s="23" t="n"/>
      <c r="M2273" s="23" t="n"/>
      <c r="N2273" s="23" t="n"/>
      <c r="O2273" s="20">
        <f>IF(OR(I2273="",COUNT(J2273:N2273)=0),"",IF(SUM(J2273:N2273)=I2273,"✓","⚠ "&amp;SUM(J2273:N2273)&amp;" statt "&amp;I2273))</f>
        <v/>
      </c>
      <c r="P2273" s="21" t="n"/>
      <c r="Q2273" s="21" t="n"/>
      <c r="R2273" s="21" t="n"/>
      <c r="S2273" s="24" t="n"/>
      <c r="T2273" s="24" t="n"/>
      <c r="V2273">
        <f>IF(A2273="","",MONTH(A2273))</f>
        <v/>
      </c>
      <c r="W2273">
        <f>N(W2272)+IF(AND(C2273&lt;&gt;"",T2273&lt;&gt;""),IF(C2273=WOCHE!$B$3,1,0),0)</f>
        <v/>
      </c>
      <c r="X2273">
        <f>N(X2272)+IF(AND(V2273&lt;&gt;"",T2273&lt;&gt;""),IF(V2273=MONAT!$AZ$3,1,0),0)</f>
        <v/>
      </c>
    </row>
    <row r="2274">
      <c r="A2274" s="19" t="n"/>
      <c r="B2274" s="20">
        <f>IF(A2274="","",CHOOSE(WEEKDAY(A2274,2),"Mo","Di","Mi","Do","Fr","Sa","So"))</f>
        <v/>
      </c>
      <c r="C2274" s="20">
        <f>IF(A2274="","",INT((A2274-DATE(YEAR(A2274-WEEKDAY(A2274-1)+4),1,3)+WEEKDAY(DATE(YEAR(A2274-WEEKDAY(A2274-1)+4),1,3))+5)/7))</f>
        <v/>
      </c>
      <c r="D2274" s="21" t="n"/>
      <c r="E2274" s="22" t="n"/>
      <c r="F2274" s="23" t="n"/>
      <c r="G2274" s="23" t="n"/>
      <c r="H2274" s="23" t="n"/>
      <c r="I2274" s="20">
        <f>IF(COUNT(F2274:H2274)=0,"",SUM(F2274:H2274))</f>
        <v/>
      </c>
      <c r="J2274" s="23" t="n"/>
      <c r="K2274" s="23" t="n"/>
      <c r="L2274" s="23" t="n"/>
      <c r="M2274" s="23" t="n"/>
      <c r="N2274" s="23" t="n"/>
      <c r="O2274" s="20">
        <f>IF(OR(I2274="",COUNT(J2274:N2274)=0),"",IF(SUM(J2274:N2274)=I2274,"✓","⚠ "&amp;SUM(J2274:N2274)&amp;" statt "&amp;I2274))</f>
        <v/>
      </c>
      <c r="P2274" s="21" t="n"/>
      <c r="Q2274" s="21" t="n"/>
      <c r="R2274" s="21" t="n"/>
      <c r="S2274" s="24" t="n"/>
      <c r="T2274" s="24" t="n"/>
      <c r="V2274">
        <f>IF(A2274="","",MONTH(A2274))</f>
        <v/>
      </c>
      <c r="W2274">
        <f>N(W2273)+IF(AND(C2274&lt;&gt;"",T2274&lt;&gt;""),IF(C2274=WOCHE!$B$3,1,0),0)</f>
        <v/>
      </c>
      <c r="X2274">
        <f>N(X2273)+IF(AND(V2274&lt;&gt;"",T2274&lt;&gt;""),IF(V2274=MONAT!$AZ$3,1,0),0)</f>
        <v/>
      </c>
    </row>
    <row r="2275">
      <c r="A2275" s="19" t="n"/>
      <c r="B2275" s="20">
        <f>IF(A2275="","",CHOOSE(WEEKDAY(A2275,2),"Mo","Di","Mi","Do","Fr","Sa","So"))</f>
        <v/>
      </c>
      <c r="C2275" s="20">
        <f>IF(A2275="","",INT((A2275-DATE(YEAR(A2275-WEEKDAY(A2275-1)+4),1,3)+WEEKDAY(DATE(YEAR(A2275-WEEKDAY(A2275-1)+4),1,3))+5)/7))</f>
        <v/>
      </c>
      <c r="D2275" s="21" t="n"/>
      <c r="E2275" s="22" t="n"/>
      <c r="F2275" s="23" t="n"/>
      <c r="G2275" s="23" t="n"/>
      <c r="H2275" s="23" t="n"/>
      <c r="I2275" s="20">
        <f>IF(COUNT(F2275:H2275)=0,"",SUM(F2275:H2275))</f>
        <v/>
      </c>
      <c r="J2275" s="23" t="n"/>
      <c r="K2275" s="23" t="n"/>
      <c r="L2275" s="23" t="n"/>
      <c r="M2275" s="23" t="n"/>
      <c r="N2275" s="23" t="n"/>
      <c r="O2275" s="20">
        <f>IF(OR(I2275="",COUNT(J2275:N2275)=0),"",IF(SUM(J2275:N2275)=I2275,"✓","⚠ "&amp;SUM(J2275:N2275)&amp;" statt "&amp;I2275))</f>
        <v/>
      </c>
      <c r="P2275" s="21" t="n"/>
      <c r="Q2275" s="21" t="n"/>
      <c r="R2275" s="21" t="n"/>
      <c r="S2275" s="24" t="n"/>
      <c r="T2275" s="24" t="n"/>
      <c r="V2275">
        <f>IF(A2275="","",MONTH(A2275))</f>
        <v/>
      </c>
      <c r="W2275">
        <f>N(W2274)+IF(AND(C2275&lt;&gt;"",T2275&lt;&gt;""),IF(C2275=WOCHE!$B$3,1,0),0)</f>
        <v/>
      </c>
      <c r="X2275">
        <f>N(X2274)+IF(AND(V2275&lt;&gt;"",T2275&lt;&gt;""),IF(V2275=MONAT!$AZ$3,1,0),0)</f>
        <v/>
      </c>
    </row>
    <row r="2276">
      <c r="A2276" s="19" t="n"/>
      <c r="B2276" s="20">
        <f>IF(A2276="","",CHOOSE(WEEKDAY(A2276,2),"Mo","Di","Mi","Do","Fr","Sa","So"))</f>
        <v/>
      </c>
      <c r="C2276" s="20">
        <f>IF(A2276="","",INT((A2276-DATE(YEAR(A2276-WEEKDAY(A2276-1)+4),1,3)+WEEKDAY(DATE(YEAR(A2276-WEEKDAY(A2276-1)+4),1,3))+5)/7))</f>
        <v/>
      </c>
      <c r="D2276" s="21" t="n"/>
      <c r="E2276" s="22" t="n"/>
      <c r="F2276" s="23" t="n"/>
      <c r="G2276" s="23" t="n"/>
      <c r="H2276" s="23" t="n"/>
      <c r="I2276" s="20">
        <f>IF(COUNT(F2276:H2276)=0,"",SUM(F2276:H2276))</f>
        <v/>
      </c>
      <c r="J2276" s="23" t="n"/>
      <c r="K2276" s="23" t="n"/>
      <c r="L2276" s="23" t="n"/>
      <c r="M2276" s="23" t="n"/>
      <c r="N2276" s="23" t="n"/>
      <c r="O2276" s="20">
        <f>IF(OR(I2276="",COUNT(J2276:N2276)=0),"",IF(SUM(J2276:N2276)=I2276,"✓","⚠ "&amp;SUM(J2276:N2276)&amp;" statt "&amp;I2276))</f>
        <v/>
      </c>
      <c r="P2276" s="21" t="n"/>
      <c r="Q2276" s="21" t="n"/>
      <c r="R2276" s="21" t="n"/>
      <c r="S2276" s="24" t="n"/>
      <c r="T2276" s="24" t="n"/>
      <c r="V2276">
        <f>IF(A2276="","",MONTH(A2276))</f>
        <v/>
      </c>
      <c r="W2276">
        <f>N(W2275)+IF(AND(C2276&lt;&gt;"",T2276&lt;&gt;""),IF(C2276=WOCHE!$B$3,1,0),0)</f>
        <v/>
      </c>
      <c r="X2276">
        <f>N(X2275)+IF(AND(V2276&lt;&gt;"",T2276&lt;&gt;""),IF(V2276=MONAT!$AZ$3,1,0),0)</f>
        <v/>
      </c>
    </row>
    <row r="2277">
      <c r="A2277" s="19" t="n"/>
      <c r="B2277" s="20">
        <f>IF(A2277="","",CHOOSE(WEEKDAY(A2277,2),"Mo","Di","Mi","Do","Fr","Sa","So"))</f>
        <v/>
      </c>
      <c r="C2277" s="20">
        <f>IF(A2277="","",INT((A2277-DATE(YEAR(A2277-WEEKDAY(A2277-1)+4),1,3)+WEEKDAY(DATE(YEAR(A2277-WEEKDAY(A2277-1)+4),1,3))+5)/7))</f>
        <v/>
      </c>
      <c r="D2277" s="21" t="n"/>
      <c r="E2277" s="22" t="n"/>
      <c r="F2277" s="23" t="n"/>
      <c r="G2277" s="23" t="n"/>
      <c r="H2277" s="23" t="n"/>
      <c r="I2277" s="20">
        <f>IF(COUNT(F2277:H2277)=0,"",SUM(F2277:H2277))</f>
        <v/>
      </c>
      <c r="J2277" s="23" t="n"/>
      <c r="K2277" s="23" t="n"/>
      <c r="L2277" s="23" t="n"/>
      <c r="M2277" s="23" t="n"/>
      <c r="N2277" s="23" t="n"/>
      <c r="O2277" s="20">
        <f>IF(OR(I2277="",COUNT(J2277:N2277)=0),"",IF(SUM(J2277:N2277)=I2277,"✓","⚠ "&amp;SUM(J2277:N2277)&amp;" statt "&amp;I2277))</f>
        <v/>
      </c>
      <c r="P2277" s="21" t="n"/>
      <c r="Q2277" s="21" t="n"/>
      <c r="R2277" s="21" t="n"/>
      <c r="S2277" s="24" t="n"/>
      <c r="T2277" s="24" t="n"/>
      <c r="V2277">
        <f>IF(A2277="","",MONTH(A2277))</f>
        <v/>
      </c>
      <c r="W2277">
        <f>N(W2276)+IF(AND(C2277&lt;&gt;"",T2277&lt;&gt;""),IF(C2277=WOCHE!$B$3,1,0),0)</f>
        <v/>
      </c>
      <c r="X2277">
        <f>N(X2276)+IF(AND(V2277&lt;&gt;"",T2277&lt;&gt;""),IF(V2277=MONAT!$AZ$3,1,0),0)</f>
        <v/>
      </c>
    </row>
    <row r="2278">
      <c r="A2278" s="19" t="n"/>
      <c r="B2278" s="20">
        <f>IF(A2278="","",CHOOSE(WEEKDAY(A2278,2),"Mo","Di","Mi","Do","Fr","Sa","So"))</f>
        <v/>
      </c>
      <c r="C2278" s="20">
        <f>IF(A2278="","",INT((A2278-DATE(YEAR(A2278-WEEKDAY(A2278-1)+4),1,3)+WEEKDAY(DATE(YEAR(A2278-WEEKDAY(A2278-1)+4),1,3))+5)/7))</f>
        <v/>
      </c>
      <c r="D2278" s="21" t="n"/>
      <c r="E2278" s="22" t="n"/>
      <c r="F2278" s="23" t="n"/>
      <c r="G2278" s="23" t="n"/>
      <c r="H2278" s="23" t="n"/>
      <c r="I2278" s="20">
        <f>IF(COUNT(F2278:H2278)=0,"",SUM(F2278:H2278))</f>
        <v/>
      </c>
      <c r="J2278" s="23" t="n"/>
      <c r="K2278" s="23" t="n"/>
      <c r="L2278" s="23" t="n"/>
      <c r="M2278" s="23" t="n"/>
      <c r="N2278" s="23" t="n"/>
      <c r="O2278" s="20">
        <f>IF(OR(I2278="",COUNT(J2278:N2278)=0),"",IF(SUM(J2278:N2278)=I2278,"✓","⚠ "&amp;SUM(J2278:N2278)&amp;" statt "&amp;I2278))</f>
        <v/>
      </c>
      <c r="P2278" s="21" t="n"/>
      <c r="Q2278" s="21" t="n"/>
      <c r="R2278" s="21" t="n"/>
      <c r="S2278" s="24" t="n"/>
      <c r="T2278" s="24" t="n"/>
      <c r="V2278">
        <f>IF(A2278="","",MONTH(A2278))</f>
        <v/>
      </c>
      <c r="W2278">
        <f>N(W2277)+IF(AND(C2278&lt;&gt;"",T2278&lt;&gt;""),IF(C2278=WOCHE!$B$3,1,0),0)</f>
        <v/>
      </c>
      <c r="X2278">
        <f>N(X2277)+IF(AND(V2278&lt;&gt;"",T2278&lt;&gt;""),IF(V2278=MONAT!$AZ$3,1,0),0)</f>
        <v/>
      </c>
    </row>
    <row r="2279">
      <c r="A2279" s="19" t="n"/>
      <c r="B2279" s="20">
        <f>IF(A2279="","",CHOOSE(WEEKDAY(A2279,2),"Mo","Di","Mi","Do","Fr","Sa","So"))</f>
        <v/>
      </c>
      <c r="C2279" s="20">
        <f>IF(A2279="","",INT((A2279-DATE(YEAR(A2279-WEEKDAY(A2279-1)+4),1,3)+WEEKDAY(DATE(YEAR(A2279-WEEKDAY(A2279-1)+4),1,3))+5)/7))</f>
        <v/>
      </c>
      <c r="D2279" s="21" t="n"/>
      <c r="E2279" s="22" t="n"/>
      <c r="F2279" s="23" t="n"/>
      <c r="G2279" s="23" t="n"/>
      <c r="H2279" s="23" t="n"/>
      <c r="I2279" s="20">
        <f>IF(COUNT(F2279:H2279)=0,"",SUM(F2279:H2279))</f>
        <v/>
      </c>
      <c r="J2279" s="23" t="n"/>
      <c r="K2279" s="23" t="n"/>
      <c r="L2279" s="23" t="n"/>
      <c r="M2279" s="23" t="n"/>
      <c r="N2279" s="23" t="n"/>
      <c r="O2279" s="20">
        <f>IF(OR(I2279="",COUNT(J2279:N2279)=0),"",IF(SUM(J2279:N2279)=I2279,"✓","⚠ "&amp;SUM(J2279:N2279)&amp;" statt "&amp;I2279))</f>
        <v/>
      </c>
      <c r="P2279" s="21" t="n"/>
      <c r="Q2279" s="21" t="n"/>
      <c r="R2279" s="21" t="n"/>
      <c r="S2279" s="24" t="n"/>
      <c r="T2279" s="24" t="n"/>
      <c r="V2279">
        <f>IF(A2279="","",MONTH(A2279))</f>
        <v/>
      </c>
      <c r="W2279">
        <f>N(W2278)+IF(AND(C2279&lt;&gt;"",T2279&lt;&gt;""),IF(C2279=WOCHE!$B$3,1,0),0)</f>
        <v/>
      </c>
      <c r="X2279">
        <f>N(X2278)+IF(AND(V2279&lt;&gt;"",T2279&lt;&gt;""),IF(V2279=MONAT!$AZ$3,1,0),0)</f>
        <v/>
      </c>
    </row>
    <row r="2280">
      <c r="A2280" s="19" t="n"/>
      <c r="B2280" s="20">
        <f>IF(A2280="","",CHOOSE(WEEKDAY(A2280,2),"Mo","Di","Mi","Do","Fr","Sa","So"))</f>
        <v/>
      </c>
      <c r="C2280" s="20">
        <f>IF(A2280="","",INT((A2280-DATE(YEAR(A2280-WEEKDAY(A2280-1)+4),1,3)+WEEKDAY(DATE(YEAR(A2280-WEEKDAY(A2280-1)+4),1,3))+5)/7))</f>
        <v/>
      </c>
      <c r="D2280" s="21" t="n"/>
      <c r="E2280" s="22" t="n"/>
      <c r="F2280" s="23" t="n"/>
      <c r="G2280" s="23" t="n"/>
      <c r="H2280" s="23" t="n"/>
      <c r="I2280" s="20">
        <f>IF(COUNT(F2280:H2280)=0,"",SUM(F2280:H2280))</f>
        <v/>
      </c>
      <c r="J2280" s="23" t="n"/>
      <c r="K2280" s="23" t="n"/>
      <c r="L2280" s="23" t="n"/>
      <c r="M2280" s="23" t="n"/>
      <c r="N2280" s="23" t="n"/>
      <c r="O2280" s="20">
        <f>IF(OR(I2280="",COUNT(J2280:N2280)=0),"",IF(SUM(J2280:N2280)=I2280,"✓","⚠ "&amp;SUM(J2280:N2280)&amp;" statt "&amp;I2280))</f>
        <v/>
      </c>
      <c r="P2280" s="21" t="n"/>
      <c r="Q2280" s="21" t="n"/>
      <c r="R2280" s="21" t="n"/>
      <c r="S2280" s="24" t="n"/>
      <c r="T2280" s="24" t="n"/>
      <c r="V2280">
        <f>IF(A2280="","",MONTH(A2280))</f>
        <v/>
      </c>
      <c r="W2280">
        <f>N(W2279)+IF(AND(C2280&lt;&gt;"",T2280&lt;&gt;""),IF(C2280=WOCHE!$B$3,1,0),0)</f>
        <v/>
      </c>
      <c r="X2280">
        <f>N(X2279)+IF(AND(V2280&lt;&gt;"",T2280&lt;&gt;""),IF(V2280=MONAT!$AZ$3,1,0),0)</f>
        <v/>
      </c>
    </row>
    <row r="2281">
      <c r="A2281" s="19" t="n"/>
      <c r="B2281" s="20">
        <f>IF(A2281="","",CHOOSE(WEEKDAY(A2281,2),"Mo","Di","Mi","Do","Fr","Sa","So"))</f>
        <v/>
      </c>
      <c r="C2281" s="20">
        <f>IF(A2281="","",INT((A2281-DATE(YEAR(A2281-WEEKDAY(A2281-1)+4),1,3)+WEEKDAY(DATE(YEAR(A2281-WEEKDAY(A2281-1)+4),1,3))+5)/7))</f>
        <v/>
      </c>
      <c r="D2281" s="21" t="n"/>
      <c r="E2281" s="22" t="n"/>
      <c r="F2281" s="23" t="n"/>
      <c r="G2281" s="23" t="n"/>
      <c r="H2281" s="23" t="n"/>
      <c r="I2281" s="20">
        <f>IF(COUNT(F2281:H2281)=0,"",SUM(F2281:H2281))</f>
        <v/>
      </c>
      <c r="J2281" s="23" t="n"/>
      <c r="K2281" s="23" t="n"/>
      <c r="L2281" s="23" t="n"/>
      <c r="M2281" s="23" t="n"/>
      <c r="N2281" s="23" t="n"/>
      <c r="O2281" s="20">
        <f>IF(OR(I2281="",COUNT(J2281:N2281)=0),"",IF(SUM(J2281:N2281)=I2281,"✓","⚠ "&amp;SUM(J2281:N2281)&amp;" statt "&amp;I2281))</f>
        <v/>
      </c>
      <c r="P2281" s="21" t="n"/>
      <c r="Q2281" s="21" t="n"/>
      <c r="R2281" s="21" t="n"/>
      <c r="S2281" s="24" t="n"/>
      <c r="T2281" s="24" t="n"/>
      <c r="V2281">
        <f>IF(A2281="","",MONTH(A2281))</f>
        <v/>
      </c>
      <c r="W2281">
        <f>N(W2280)+IF(AND(C2281&lt;&gt;"",T2281&lt;&gt;""),IF(C2281=WOCHE!$B$3,1,0),0)</f>
        <v/>
      </c>
      <c r="X2281">
        <f>N(X2280)+IF(AND(V2281&lt;&gt;"",T2281&lt;&gt;""),IF(V2281=MONAT!$AZ$3,1,0),0)</f>
        <v/>
      </c>
    </row>
    <row r="2282">
      <c r="A2282" s="19" t="n"/>
      <c r="B2282" s="20">
        <f>IF(A2282="","",CHOOSE(WEEKDAY(A2282,2),"Mo","Di","Mi","Do","Fr","Sa","So"))</f>
        <v/>
      </c>
      <c r="C2282" s="20">
        <f>IF(A2282="","",INT((A2282-DATE(YEAR(A2282-WEEKDAY(A2282-1)+4),1,3)+WEEKDAY(DATE(YEAR(A2282-WEEKDAY(A2282-1)+4),1,3))+5)/7))</f>
        <v/>
      </c>
      <c r="D2282" s="21" t="n"/>
      <c r="E2282" s="22" t="n"/>
      <c r="F2282" s="23" t="n"/>
      <c r="G2282" s="23" t="n"/>
      <c r="H2282" s="23" t="n"/>
      <c r="I2282" s="20">
        <f>IF(COUNT(F2282:H2282)=0,"",SUM(F2282:H2282))</f>
        <v/>
      </c>
      <c r="J2282" s="23" t="n"/>
      <c r="K2282" s="23" t="n"/>
      <c r="L2282" s="23" t="n"/>
      <c r="M2282" s="23" t="n"/>
      <c r="N2282" s="23" t="n"/>
      <c r="O2282" s="20">
        <f>IF(OR(I2282="",COUNT(J2282:N2282)=0),"",IF(SUM(J2282:N2282)=I2282,"✓","⚠ "&amp;SUM(J2282:N2282)&amp;" statt "&amp;I2282))</f>
        <v/>
      </c>
      <c r="P2282" s="21" t="n"/>
      <c r="Q2282" s="21" t="n"/>
      <c r="R2282" s="21" t="n"/>
      <c r="S2282" s="24" t="n"/>
      <c r="T2282" s="24" t="n"/>
      <c r="V2282">
        <f>IF(A2282="","",MONTH(A2282))</f>
        <v/>
      </c>
      <c r="W2282">
        <f>N(W2281)+IF(AND(C2282&lt;&gt;"",T2282&lt;&gt;""),IF(C2282=WOCHE!$B$3,1,0),0)</f>
        <v/>
      </c>
      <c r="X2282">
        <f>N(X2281)+IF(AND(V2282&lt;&gt;"",T2282&lt;&gt;""),IF(V2282=MONAT!$AZ$3,1,0),0)</f>
        <v/>
      </c>
    </row>
    <row r="2283">
      <c r="A2283" s="19" t="n"/>
      <c r="B2283" s="20">
        <f>IF(A2283="","",CHOOSE(WEEKDAY(A2283,2),"Mo","Di","Mi","Do","Fr","Sa","So"))</f>
        <v/>
      </c>
      <c r="C2283" s="20">
        <f>IF(A2283="","",INT((A2283-DATE(YEAR(A2283-WEEKDAY(A2283-1)+4),1,3)+WEEKDAY(DATE(YEAR(A2283-WEEKDAY(A2283-1)+4),1,3))+5)/7))</f>
        <v/>
      </c>
      <c r="D2283" s="21" t="n"/>
      <c r="E2283" s="22" t="n"/>
      <c r="F2283" s="23" t="n"/>
      <c r="G2283" s="23" t="n"/>
      <c r="H2283" s="23" t="n"/>
      <c r="I2283" s="20">
        <f>IF(COUNT(F2283:H2283)=0,"",SUM(F2283:H2283))</f>
        <v/>
      </c>
      <c r="J2283" s="23" t="n"/>
      <c r="K2283" s="23" t="n"/>
      <c r="L2283" s="23" t="n"/>
      <c r="M2283" s="23" t="n"/>
      <c r="N2283" s="23" t="n"/>
      <c r="O2283" s="20">
        <f>IF(OR(I2283="",COUNT(J2283:N2283)=0),"",IF(SUM(J2283:N2283)=I2283,"✓","⚠ "&amp;SUM(J2283:N2283)&amp;" statt "&amp;I2283))</f>
        <v/>
      </c>
      <c r="P2283" s="21" t="n"/>
      <c r="Q2283" s="21" t="n"/>
      <c r="R2283" s="21" t="n"/>
      <c r="S2283" s="24" t="n"/>
      <c r="T2283" s="24" t="n"/>
      <c r="V2283">
        <f>IF(A2283="","",MONTH(A2283))</f>
        <v/>
      </c>
      <c r="W2283">
        <f>N(W2282)+IF(AND(C2283&lt;&gt;"",T2283&lt;&gt;""),IF(C2283=WOCHE!$B$3,1,0),0)</f>
        <v/>
      </c>
      <c r="X2283">
        <f>N(X2282)+IF(AND(V2283&lt;&gt;"",T2283&lt;&gt;""),IF(V2283=MONAT!$AZ$3,1,0),0)</f>
        <v/>
      </c>
    </row>
    <row r="2284">
      <c r="A2284" s="19" t="n"/>
      <c r="B2284" s="20">
        <f>IF(A2284="","",CHOOSE(WEEKDAY(A2284,2),"Mo","Di","Mi","Do","Fr","Sa","So"))</f>
        <v/>
      </c>
      <c r="C2284" s="20">
        <f>IF(A2284="","",INT((A2284-DATE(YEAR(A2284-WEEKDAY(A2284-1)+4),1,3)+WEEKDAY(DATE(YEAR(A2284-WEEKDAY(A2284-1)+4),1,3))+5)/7))</f>
        <v/>
      </c>
      <c r="D2284" s="21" t="n"/>
      <c r="E2284" s="22" t="n"/>
      <c r="F2284" s="23" t="n"/>
      <c r="G2284" s="23" t="n"/>
      <c r="H2284" s="23" t="n"/>
      <c r="I2284" s="20">
        <f>IF(COUNT(F2284:H2284)=0,"",SUM(F2284:H2284))</f>
        <v/>
      </c>
      <c r="J2284" s="23" t="n"/>
      <c r="K2284" s="23" t="n"/>
      <c r="L2284" s="23" t="n"/>
      <c r="M2284" s="23" t="n"/>
      <c r="N2284" s="23" t="n"/>
      <c r="O2284" s="20">
        <f>IF(OR(I2284="",COUNT(J2284:N2284)=0),"",IF(SUM(J2284:N2284)=I2284,"✓","⚠ "&amp;SUM(J2284:N2284)&amp;" statt "&amp;I2284))</f>
        <v/>
      </c>
      <c r="P2284" s="21" t="n"/>
      <c r="Q2284" s="21" t="n"/>
      <c r="R2284" s="21" t="n"/>
      <c r="S2284" s="24" t="n"/>
      <c r="T2284" s="24" t="n"/>
      <c r="V2284">
        <f>IF(A2284="","",MONTH(A2284))</f>
        <v/>
      </c>
      <c r="W2284">
        <f>N(W2283)+IF(AND(C2284&lt;&gt;"",T2284&lt;&gt;""),IF(C2284=WOCHE!$B$3,1,0),0)</f>
        <v/>
      </c>
      <c r="X2284">
        <f>N(X2283)+IF(AND(V2284&lt;&gt;"",T2284&lt;&gt;""),IF(V2284=MONAT!$AZ$3,1,0),0)</f>
        <v/>
      </c>
    </row>
    <row r="2285">
      <c r="A2285" s="19" t="n"/>
      <c r="B2285" s="20">
        <f>IF(A2285="","",CHOOSE(WEEKDAY(A2285,2),"Mo","Di","Mi","Do","Fr","Sa","So"))</f>
        <v/>
      </c>
      <c r="C2285" s="20">
        <f>IF(A2285="","",INT((A2285-DATE(YEAR(A2285-WEEKDAY(A2285-1)+4),1,3)+WEEKDAY(DATE(YEAR(A2285-WEEKDAY(A2285-1)+4),1,3))+5)/7))</f>
        <v/>
      </c>
      <c r="D2285" s="21" t="n"/>
      <c r="E2285" s="22" t="n"/>
      <c r="F2285" s="23" t="n"/>
      <c r="G2285" s="23" t="n"/>
      <c r="H2285" s="23" t="n"/>
      <c r="I2285" s="20">
        <f>IF(COUNT(F2285:H2285)=0,"",SUM(F2285:H2285))</f>
        <v/>
      </c>
      <c r="J2285" s="23" t="n"/>
      <c r="K2285" s="23" t="n"/>
      <c r="L2285" s="23" t="n"/>
      <c r="M2285" s="23" t="n"/>
      <c r="N2285" s="23" t="n"/>
      <c r="O2285" s="20">
        <f>IF(OR(I2285="",COUNT(J2285:N2285)=0),"",IF(SUM(J2285:N2285)=I2285,"✓","⚠ "&amp;SUM(J2285:N2285)&amp;" statt "&amp;I2285))</f>
        <v/>
      </c>
      <c r="P2285" s="21" t="n"/>
      <c r="Q2285" s="21" t="n"/>
      <c r="R2285" s="21" t="n"/>
      <c r="S2285" s="24" t="n"/>
      <c r="T2285" s="24" t="n"/>
      <c r="V2285">
        <f>IF(A2285="","",MONTH(A2285))</f>
        <v/>
      </c>
      <c r="W2285">
        <f>N(W2284)+IF(AND(C2285&lt;&gt;"",T2285&lt;&gt;""),IF(C2285=WOCHE!$B$3,1,0),0)</f>
        <v/>
      </c>
      <c r="X2285">
        <f>N(X2284)+IF(AND(V2285&lt;&gt;"",T2285&lt;&gt;""),IF(V2285=MONAT!$AZ$3,1,0),0)</f>
        <v/>
      </c>
    </row>
    <row r="2286">
      <c r="A2286" s="19" t="n"/>
      <c r="B2286" s="20">
        <f>IF(A2286="","",CHOOSE(WEEKDAY(A2286,2),"Mo","Di","Mi","Do","Fr","Sa","So"))</f>
        <v/>
      </c>
      <c r="C2286" s="20">
        <f>IF(A2286="","",INT((A2286-DATE(YEAR(A2286-WEEKDAY(A2286-1)+4),1,3)+WEEKDAY(DATE(YEAR(A2286-WEEKDAY(A2286-1)+4),1,3))+5)/7))</f>
        <v/>
      </c>
      <c r="D2286" s="21" t="n"/>
      <c r="E2286" s="22" t="n"/>
      <c r="F2286" s="23" t="n"/>
      <c r="G2286" s="23" t="n"/>
      <c r="H2286" s="23" t="n"/>
      <c r="I2286" s="20">
        <f>IF(COUNT(F2286:H2286)=0,"",SUM(F2286:H2286))</f>
        <v/>
      </c>
      <c r="J2286" s="23" t="n"/>
      <c r="K2286" s="23" t="n"/>
      <c r="L2286" s="23" t="n"/>
      <c r="M2286" s="23" t="n"/>
      <c r="N2286" s="23" t="n"/>
      <c r="O2286" s="20">
        <f>IF(OR(I2286="",COUNT(J2286:N2286)=0),"",IF(SUM(J2286:N2286)=I2286,"✓","⚠ "&amp;SUM(J2286:N2286)&amp;" statt "&amp;I2286))</f>
        <v/>
      </c>
      <c r="P2286" s="21" t="n"/>
      <c r="Q2286" s="21" t="n"/>
      <c r="R2286" s="21" t="n"/>
      <c r="S2286" s="24" t="n"/>
      <c r="T2286" s="24" t="n"/>
      <c r="V2286">
        <f>IF(A2286="","",MONTH(A2286))</f>
        <v/>
      </c>
      <c r="W2286">
        <f>N(W2285)+IF(AND(C2286&lt;&gt;"",T2286&lt;&gt;""),IF(C2286=WOCHE!$B$3,1,0),0)</f>
        <v/>
      </c>
      <c r="X2286">
        <f>N(X2285)+IF(AND(V2286&lt;&gt;"",T2286&lt;&gt;""),IF(V2286=MONAT!$AZ$3,1,0),0)</f>
        <v/>
      </c>
    </row>
    <row r="2287">
      <c r="A2287" s="19" t="n"/>
      <c r="B2287" s="20">
        <f>IF(A2287="","",CHOOSE(WEEKDAY(A2287,2),"Mo","Di","Mi","Do","Fr","Sa","So"))</f>
        <v/>
      </c>
      <c r="C2287" s="20">
        <f>IF(A2287="","",INT((A2287-DATE(YEAR(A2287-WEEKDAY(A2287-1)+4),1,3)+WEEKDAY(DATE(YEAR(A2287-WEEKDAY(A2287-1)+4),1,3))+5)/7))</f>
        <v/>
      </c>
      <c r="D2287" s="21" t="n"/>
      <c r="E2287" s="22" t="n"/>
      <c r="F2287" s="23" t="n"/>
      <c r="G2287" s="23" t="n"/>
      <c r="H2287" s="23" t="n"/>
      <c r="I2287" s="20">
        <f>IF(COUNT(F2287:H2287)=0,"",SUM(F2287:H2287))</f>
        <v/>
      </c>
      <c r="J2287" s="23" t="n"/>
      <c r="K2287" s="23" t="n"/>
      <c r="L2287" s="23" t="n"/>
      <c r="M2287" s="23" t="n"/>
      <c r="N2287" s="23" t="n"/>
      <c r="O2287" s="20">
        <f>IF(OR(I2287="",COUNT(J2287:N2287)=0),"",IF(SUM(J2287:N2287)=I2287,"✓","⚠ "&amp;SUM(J2287:N2287)&amp;" statt "&amp;I2287))</f>
        <v/>
      </c>
      <c r="P2287" s="21" t="n"/>
      <c r="Q2287" s="21" t="n"/>
      <c r="R2287" s="21" t="n"/>
      <c r="S2287" s="24" t="n"/>
      <c r="T2287" s="24" t="n"/>
      <c r="V2287">
        <f>IF(A2287="","",MONTH(A2287))</f>
        <v/>
      </c>
      <c r="W2287">
        <f>N(W2286)+IF(AND(C2287&lt;&gt;"",T2287&lt;&gt;""),IF(C2287=WOCHE!$B$3,1,0),0)</f>
        <v/>
      </c>
      <c r="X2287">
        <f>N(X2286)+IF(AND(V2287&lt;&gt;"",T2287&lt;&gt;""),IF(V2287=MONAT!$AZ$3,1,0),0)</f>
        <v/>
      </c>
    </row>
    <row r="2288">
      <c r="A2288" s="19" t="n"/>
      <c r="B2288" s="20">
        <f>IF(A2288="","",CHOOSE(WEEKDAY(A2288,2),"Mo","Di","Mi","Do","Fr","Sa","So"))</f>
        <v/>
      </c>
      <c r="C2288" s="20">
        <f>IF(A2288="","",INT((A2288-DATE(YEAR(A2288-WEEKDAY(A2288-1)+4),1,3)+WEEKDAY(DATE(YEAR(A2288-WEEKDAY(A2288-1)+4),1,3))+5)/7))</f>
        <v/>
      </c>
      <c r="D2288" s="21" t="n"/>
      <c r="E2288" s="22" t="n"/>
      <c r="F2288" s="23" t="n"/>
      <c r="G2288" s="23" t="n"/>
      <c r="H2288" s="23" t="n"/>
      <c r="I2288" s="20">
        <f>IF(COUNT(F2288:H2288)=0,"",SUM(F2288:H2288))</f>
        <v/>
      </c>
      <c r="J2288" s="23" t="n"/>
      <c r="K2288" s="23" t="n"/>
      <c r="L2288" s="23" t="n"/>
      <c r="M2288" s="23" t="n"/>
      <c r="N2288" s="23" t="n"/>
      <c r="O2288" s="20">
        <f>IF(OR(I2288="",COUNT(J2288:N2288)=0),"",IF(SUM(J2288:N2288)=I2288,"✓","⚠ "&amp;SUM(J2288:N2288)&amp;" statt "&amp;I2288))</f>
        <v/>
      </c>
      <c r="P2288" s="21" t="n"/>
      <c r="Q2288" s="21" t="n"/>
      <c r="R2288" s="21" t="n"/>
      <c r="S2288" s="24" t="n"/>
      <c r="T2288" s="24" t="n"/>
      <c r="V2288">
        <f>IF(A2288="","",MONTH(A2288))</f>
        <v/>
      </c>
      <c r="W2288">
        <f>N(W2287)+IF(AND(C2288&lt;&gt;"",T2288&lt;&gt;""),IF(C2288=WOCHE!$B$3,1,0),0)</f>
        <v/>
      </c>
      <c r="X2288">
        <f>N(X2287)+IF(AND(V2288&lt;&gt;"",T2288&lt;&gt;""),IF(V2288=MONAT!$AZ$3,1,0),0)</f>
        <v/>
      </c>
    </row>
    <row r="2289">
      <c r="A2289" s="19" t="n"/>
      <c r="B2289" s="20">
        <f>IF(A2289="","",CHOOSE(WEEKDAY(A2289,2),"Mo","Di","Mi","Do","Fr","Sa","So"))</f>
        <v/>
      </c>
      <c r="C2289" s="20">
        <f>IF(A2289="","",INT((A2289-DATE(YEAR(A2289-WEEKDAY(A2289-1)+4),1,3)+WEEKDAY(DATE(YEAR(A2289-WEEKDAY(A2289-1)+4),1,3))+5)/7))</f>
        <v/>
      </c>
      <c r="D2289" s="21" t="n"/>
      <c r="E2289" s="22" t="n"/>
      <c r="F2289" s="23" t="n"/>
      <c r="G2289" s="23" t="n"/>
      <c r="H2289" s="23" t="n"/>
      <c r="I2289" s="20">
        <f>IF(COUNT(F2289:H2289)=0,"",SUM(F2289:H2289))</f>
        <v/>
      </c>
      <c r="J2289" s="23" t="n"/>
      <c r="K2289" s="23" t="n"/>
      <c r="L2289" s="23" t="n"/>
      <c r="M2289" s="23" t="n"/>
      <c r="N2289" s="23" t="n"/>
      <c r="O2289" s="20">
        <f>IF(OR(I2289="",COUNT(J2289:N2289)=0),"",IF(SUM(J2289:N2289)=I2289,"✓","⚠ "&amp;SUM(J2289:N2289)&amp;" statt "&amp;I2289))</f>
        <v/>
      </c>
      <c r="P2289" s="21" t="n"/>
      <c r="Q2289" s="21" t="n"/>
      <c r="R2289" s="21" t="n"/>
      <c r="S2289" s="24" t="n"/>
      <c r="T2289" s="24" t="n"/>
      <c r="V2289">
        <f>IF(A2289="","",MONTH(A2289))</f>
        <v/>
      </c>
      <c r="W2289">
        <f>N(W2288)+IF(AND(C2289&lt;&gt;"",T2289&lt;&gt;""),IF(C2289=WOCHE!$B$3,1,0),0)</f>
        <v/>
      </c>
      <c r="X2289">
        <f>N(X2288)+IF(AND(V2289&lt;&gt;"",T2289&lt;&gt;""),IF(V2289=MONAT!$AZ$3,1,0),0)</f>
        <v/>
      </c>
    </row>
    <row r="2290">
      <c r="A2290" s="19" t="n"/>
      <c r="B2290" s="20">
        <f>IF(A2290="","",CHOOSE(WEEKDAY(A2290,2),"Mo","Di","Mi","Do","Fr","Sa","So"))</f>
        <v/>
      </c>
      <c r="C2290" s="20">
        <f>IF(A2290="","",INT((A2290-DATE(YEAR(A2290-WEEKDAY(A2290-1)+4),1,3)+WEEKDAY(DATE(YEAR(A2290-WEEKDAY(A2290-1)+4),1,3))+5)/7))</f>
        <v/>
      </c>
      <c r="D2290" s="21" t="n"/>
      <c r="E2290" s="22" t="n"/>
      <c r="F2290" s="23" t="n"/>
      <c r="G2290" s="23" t="n"/>
      <c r="H2290" s="23" t="n"/>
      <c r="I2290" s="20">
        <f>IF(COUNT(F2290:H2290)=0,"",SUM(F2290:H2290))</f>
        <v/>
      </c>
      <c r="J2290" s="23" t="n"/>
      <c r="K2290" s="23" t="n"/>
      <c r="L2290" s="23" t="n"/>
      <c r="M2290" s="23" t="n"/>
      <c r="N2290" s="23" t="n"/>
      <c r="O2290" s="20">
        <f>IF(OR(I2290="",COUNT(J2290:N2290)=0),"",IF(SUM(J2290:N2290)=I2290,"✓","⚠ "&amp;SUM(J2290:N2290)&amp;" statt "&amp;I2290))</f>
        <v/>
      </c>
      <c r="P2290" s="21" t="n"/>
      <c r="Q2290" s="21" t="n"/>
      <c r="R2290" s="21" t="n"/>
      <c r="S2290" s="24" t="n"/>
      <c r="T2290" s="24" t="n"/>
      <c r="V2290">
        <f>IF(A2290="","",MONTH(A2290))</f>
        <v/>
      </c>
      <c r="W2290">
        <f>N(W2289)+IF(AND(C2290&lt;&gt;"",T2290&lt;&gt;""),IF(C2290=WOCHE!$B$3,1,0),0)</f>
        <v/>
      </c>
      <c r="X2290">
        <f>N(X2289)+IF(AND(V2290&lt;&gt;"",T2290&lt;&gt;""),IF(V2290=MONAT!$AZ$3,1,0),0)</f>
        <v/>
      </c>
    </row>
    <row r="2291">
      <c r="A2291" s="19" t="n"/>
      <c r="B2291" s="20">
        <f>IF(A2291="","",CHOOSE(WEEKDAY(A2291,2),"Mo","Di","Mi","Do","Fr","Sa","So"))</f>
        <v/>
      </c>
      <c r="C2291" s="20">
        <f>IF(A2291="","",INT((A2291-DATE(YEAR(A2291-WEEKDAY(A2291-1)+4),1,3)+WEEKDAY(DATE(YEAR(A2291-WEEKDAY(A2291-1)+4),1,3))+5)/7))</f>
        <v/>
      </c>
      <c r="D2291" s="21" t="n"/>
      <c r="E2291" s="22" t="n"/>
      <c r="F2291" s="23" t="n"/>
      <c r="G2291" s="23" t="n"/>
      <c r="H2291" s="23" t="n"/>
      <c r="I2291" s="20">
        <f>IF(COUNT(F2291:H2291)=0,"",SUM(F2291:H2291))</f>
        <v/>
      </c>
      <c r="J2291" s="23" t="n"/>
      <c r="K2291" s="23" t="n"/>
      <c r="L2291" s="23" t="n"/>
      <c r="M2291" s="23" t="n"/>
      <c r="N2291" s="23" t="n"/>
      <c r="O2291" s="20">
        <f>IF(OR(I2291="",COUNT(J2291:N2291)=0),"",IF(SUM(J2291:N2291)=I2291,"✓","⚠ "&amp;SUM(J2291:N2291)&amp;" statt "&amp;I2291))</f>
        <v/>
      </c>
      <c r="P2291" s="21" t="n"/>
      <c r="Q2291" s="21" t="n"/>
      <c r="R2291" s="21" t="n"/>
      <c r="S2291" s="24" t="n"/>
      <c r="T2291" s="24" t="n"/>
      <c r="V2291">
        <f>IF(A2291="","",MONTH(A2291))</f>
        <v/>
      </c>
      <c r="W2291">
        <f>N(W2290)+IF(AND(C2291&lt;&gt;"",T2291&lt;&gt;""),IF(C2291=WOCHE!$B$3,1,0),0)</f>
        <v/>
      </c>
      <c r="X2291">
        <f>N(X2290)+IF(AND(V2291&lt;&gt;"",T2291&lt;&gt;""),IF(V2291=MONAT!$AZ$3,1,0),0)</f>
        <v/>
      </c>
    </row>
    <row r="2292">
      <c r="A2292" s="19" t="n"/>
      <c r="B2292" s="20">
        <f>IF(A2292="","",CHOOSE(WEEKDAY(A2292,2),"Mo","Di","Mi","Do","Fr","Sa","So"))</f>
        <v/>
      </c>
      <c r="C2292" s="20">
        <f>IF(A2292="","",INT((A2292-DATE(YEAR(A2292-WEEKDAY(A2292-1)+4),1,3)+WEEKDAY(DATE(YEAR(A2292-WEEKDAY(A2292-1)+4),1,3))+5)/7))</f>
        <v/>
      </c>
      <c r="D2292" s="21" t="n"/>
      <c r="E2292" s="22" t="n"/>
      <c r="F2292" s="23" t="n"/>
      <c r="G2292" s="23" t="n"/>
      <c r="H2292" s="23" t="n"/>
      <c r="I2292" s="20">
        <f>IF(COUNT(F2292:H2292)=0,"",SUM(F2292:H2292))</f>
        <v/>
      </c>
      <c r="J2292" s="23" t="n"/>
      <c r="K2292" s="23" t="n"/>
      <c r="L2292" s="23" t="n"/>
      <c r="M2292" s="23" t="n"/>
      <c r="N2292" s="23" t="n"/>
      <c r="O2292" s="20">
        <f>IF(OR(I2292="",COUNT(J2292:N2292)=0),"",IF(SUM(J2292:N2292)=I2292,"✓","⚠ "&amp;SUM(J2292:N2292)&amp;" statt "&amp;I2292))</f>
        <v/>
      </c>
      <c r="P2292" s="21" t="n"/>
      <c r="Q2292" s="21" t="n"/>
      <c r="R2292" s="21" t="n"/>
      <c r="S2292" s="24" t="n"/>
      <c r="T2292" s="24" t="n"/>
      <c r="V2292">
        <f>IF(A2292="","",MONTH(A2292))</f>
        <v/>
      </c>
      <c r="W2292">
        <f>N(W2291)+IF(AND(C2292&lt;&gt;"",T2292&lt;&gt;""),IF(C2292=WOCHE!$B$3,1,0),0)</f>
        <v/>
      </c>
      <c r="X2292">
        <f>N(X2291)+IF(AND(V2292&lt;&gt;"",T2292&lt;&gt;""),IF(V2292=MONAT!$AZ$3,1,0),0)</f>
        <v/>
      </c>
    </row>
    <row r="2293">
      <c r="A2293" s="19" t="n"/>
      <c r="B2293" s="20">
        <f>IF(A2293="","",CHOOSE(WEEKDAY(A2293,2),"Mo","Di","Mi","Do","Fr","Sa","So"))</f>
        <v/>
      </c>
      <c r="C2293" s="20">
        <f>IF(A2293="","",INT((A2293-DATE(YEAR(A2293-WEEKDAY(A2293-1)+4),1,3)+WEEKDAY(DATE(YEAR(A2293-WEEKDAY(A2293-1)+4),1,3))+5)/7))</f>
        <v/>
      </c>
      <c r="D2293" s="21" t="n"/>
      <c r="E2293" s="22" t="n"/>
      <c r="F2293" s="23" t="n"/>
      <c r="G2293" s="23" t="n"/>
      <c r="H2293" s="23" t="n"/>
      <c r="I2293" s="20">
        <f>IF(COUNT(F2293:H2293)=0,"",SUM(F2293:H2293))</f>
        <v/>
      </c>
      <c r="J2293" s="23" t="n"/>
      <c r="K2293" s="23" t="n"/>
      <c r="L2293" s="23" t="n"/>
      <c r="M2293" s="23" t="n"/>
      <c r="N2293" s="23" t="n"/>
      <c r="O2293" s="20">
        <f>IF(OR(I2293="",COUNT(J2293:N2293)=0),"",IF(SUM(J2293:N2293)=I2293,"✓","⚠ "&amp;SUM(J2293:N2293)&amp;" statt "&amp;I2293))</f>
        <v/>
      </c>
      <c r="P2293" s="21" t="n"/>
      <c r="Q2293" s="21" t="n"/>
      <c r="R2293" s="21" t="n"/>
      <c r="S2293" s="24" t="n"/>
      <c r="T2293" s="24" t="n"/>
      <c r="V2293">
        <f>IF(A2293="","",MONTH(A2293))</f>
        <v/>
      </c>
      <c r="W2293">
        <f>N(W2292)+IF(AND(C2293&lt;&gt;"",T2293&lt;&gt;""),IF(C2293=WOCHE!$B$3,1,0),0)</f>
        <v/>
      </c>
      <c r="X2293">
        <f>N(X2292)+IF(AND(V2293&lt;&gt;"",T2293&lt;&gt;""),IF(V2293=MONAT!$AZ$3,1,0),0)</f>
        <v/>
      </c>
    </row>
    <row r="2294">
      <c r="A2294" s="19" t="n"/>
      <c r="B2294" s="20">
        <f>IF(A2294="","",CHOOSE(WEEKDAY(A2294,2),"Mo","Di","Mi","Do","Fr","Sa","So"))</f>
        <v/>
      </c>
      <c r="C2294" s="20">
        <f>IF(A2294="","",INT((A2294-DATE(YEAR(A2294-WEEKDAY(A2294-1)+4),1,3)+WEEKDAY(DATE(YEAR(A2294-WEEKDAY(A2294-1)+4),1,3))+5)/7))</f>
        <v/>
      </c>
      <c r="D2294" s="21" t="n"/>
      <c r="E2294" s="22" t="n"/>
      <c r="F2294" s="23" t="n"/>
      <c r="G2294" s="23" t="n"/>
      <c r="H2294" s="23" t="n"/>
      <c r="I2294" s="20">
        <f>IF(COUNT(F2294:H2294)=0,"",SUM(F2294:H2294))</f>
        <v/>
      </c>
      <c r="J2294" s="23" t="n"/>
      <c r="K2294" s="23" t="n"/>
      <c r="L2294" s="23" t="n"/>
      <c r="M2294" s="23" t="n"/>
      <c r="N2294" s="23" t="n"/>
      <c r="O2294" s="20">
        <f>IF(OR(I2294="",COUNT(J2294:N2294)=0),"",IF(SUM(J2294:N2294)=I2294,"✓","⚠ "&amp;SUM(J2294:N2294)&amp;" statt "&amp;I2294))</f>
        <v/>
      </c>
      <c r="P2294" s="21" t="n"/>
      <c r="Q2294" s="21" t="n"/>
      <c r="R2294" s="21" t="n"/>
      <c r="S2294" s="24" t="n"/>
      <c r="T2294" s="24" t="n"/>
      <c r="V2294">
        <f>IF(A2294="","",MONTH(A2294))</f>
        <v/>
      </c>
      <c r="W2294">
        <f>N(W2293)+IF(AND(C2294&lt;&gt;"",T2294&lt;&gt;""),IF(C2294=WOCHE!$B$3,1,0),0)</f>
        <v/>
      </c>
      <c r="X2294">
        <f>N(X2293)+IF(AND(V2294&lt;&gt;"",T2294&lt;&gt;""),IF(V2294=MONAT!$AZ$3,1,0),0)</f>
        <v/>
      </c>
    </row>
    <row r="2295">
      <c r="A2295" s="19" t="n"/>
      <c r="B2295" s="20">
        <f>IF(A2295="","",CHOOSE(WEEKDAY(A2295,2),"Mo","Di","Mi","Do","Fr","Sa","So"))</f>
        <v/>
      </c>
      <c r="C2295" s="20">
        <f>IF(A2295="","",INT((A2295-DATE(YEAR(A2295-WEEKDAY(A2295-1)+4),1,3)+WEEKDAY(DATE(YEAR(A2295-WEEKDAY(A2295-1)+4),1,3))+5)/7))</f>
        <v/>
      </c>
      <c r="D2295" s="21" t="n"/>
      <c r="E2295" s="22" t="n"/>
      <c r="F2295" s="23" t="n"/>
      <c r="G2295" s="23" t="n"/>
      <c r="H2295" s="23" t="n"/>
      <c r="I2295" s="20">
        <f>IF(COUNT(F2295:H2295)=0,"",SUM(F2295:H2295))</f>
        <v/>
      </c>
      <c r="J2295" s="23" t="n"/>
      <c r="K2295" s="23" t="n"/>
      <c r="L2295" s="23" t="n"/>
      <c r="M2295" s="23" t="n"/>
      <c r="N2295" s="23" t="n"/>
      <c r="O2295" s="20">
        <f>IF(OR(I2295="",COUNT(J2295:N2295)=0),"",IF(SUM(J2295:N2295)=I2295,"✓","⚠ "&amp;SUM(J2295:N2295)&amp;" statt "&amp;I2295))</f>
        <v/>
      </c>
      <c r="P2295" s="21" t="n"/>
      <c r="Q2295" s="21" t="n"/>
      <c r="R2295" s="21" t="n"/>
      <c r="S2295" s="24" t="n"/>
      <c r="T2295" s="24" t="n"/>
      <c r="V2295">
        <f>IF(A2295="","",MONTH(A2295))</f>
        <v/>
      </c>
      <c r="W2295">
        <f>N(W2294)+IF(AND(C2295&lt;&gt;"",T2295&lt;&gt;""),IF(C2295=WOCHE!$B$3,1,0),0)</f>
        <v/>
      </c>
      <c r="X2295">
        <f>N(X2294)+IF(AND(V2295&lt;&gt;"",T2295&lt;&gt;""),IF(V2295=MONAT!$AZ$3,1,0),0)</f>
        <v/>
      </c>
    </row>
    <row r="2296">
      <c r="A2296" s="19" t="n"/>
      <c r="B2296" s="20">
        <f>IF(A2296="","",CHOOSE(WEEKDAY(A2296,2),"Mo","Di","Mi","Do","Fr","Sa","So"))</f>
        <v/>
      </c>
      <c r="C2296" s="20">
        <f>IF(A2296="","",INT((A2296-DATE(YEAR(A2296-WEEKDAY(A2296-1)+4),1,3)+WEEKDAY(DATE(YEAR(A2296-WEEKDAY(A2296-1)+4),1,3))+5)/7))</f>
        <v/>
      </c>
      <c r="D2296" s="21" t="n"/>
      <c r="E2296" s="22" t="n"/>
      <c r="F2296" s="23" t="n"/>
      <c r="G2296" s="23" t="n"/>
      <c r="H2296" s="23" t="n"/>
      <c r="I2296" s="20">
        <f>IF(COUNT(F2296:H2296)=0,"",SUM(F2296:H2296))</f>
        <v/>
      </c>
      <c r="J2296" s="23" t="n"/>
      <c r="K2296" s="23" t="n"/>
      <c r="L2296" s="23" t="n"/>
      <c r="M2296" s="23" t="n"/>
      <c r="N2296" s="23" t="n"/>
      <c r="O2296" s="20">
        <f>IF(OR(I2296="",COUNT(J2296:N2296)=0),"",IF(SUM(J2296:N2296)=I2296,"✓","⚠ "&amp;SUM(J2296:N2296)&amp;" statt "&amp;I2296))</f>
        <v/>
      </c>
      <c r="P2296" s="21" t="n"/>
      <c r="Q2296" s="21" t="n"/>
      <c r="R2296" s="21" t="n"/>
      <c r="S2296" s="24" t="n"/>
      <c r="T2296" s="24" t="n"/>
      <c r="V2296">
        <f>IF(A2296="","",MONTH(A2296))</f>
        <v/>
      </c>
      <c r="W2296">
        <f>N(W2295)+IF(AND(C2296&lt;&gt;"",T2296&lt;&gt;""),IF(C2296=WOCHE!$B$3,1,0),0)</f>
        <v/>
      </c>
      <c r="X2296">
        <f>N(X2295)+IF(AND(V2296&lt;&gt;"",T2296&lt;&gt;""),IF(V2296=MONAT!$AZ$3,1,0),0)</f>
        <v/>
      </c>
    </row>
    <row r="2297">
      <c r="A2297" s="19" t="n"/>
      <c r="B2297" s="20">
        <f>IF(A2297="","",CHOOSE(WEEKDAY(A2297,2),"Mo","Di","Mi","Do","Fr","Sa","So"))</f>
        <v/>
      </c>
      <c r="C2297" s="20">
        <f>IF(A2297="","",INT((A2297-DATE(YEAR(A2297-WEEKDAY(A2297-1)+4),1,3)+WEEKDAY(DATE(YEAR(A2297-WEEKDAY(A2297-1)+4),1,3))+5)/7))</f>
        <v/>
      </c>
      <c r="D2297" s="21" t="n"/>
      <c r="E2297" s="22" t="n"/>
      <c r="F2297" s="23" t="n"/>
      <c r="G2297" s="23" t="n"/>
      <c r="H2297" s="23" t="n"/>
      <c r="I2297" s="20">
        <f>IF(COUNT(F2297:H2297)=0,"",SUM(F2297:H2297))</f>
        <v/>
      </c>
      <c r="J2297" s="23" t="n"/>
      <c r="K2297" s="23" t="n"/>
      <c r="L2297" s="23" t="n"/>
      <c r="M2297" s="23" t="n"/>
      <c r="N2297" s="23" t="n"/>
      <c r="O2297" s="20">
        <f>IF(OR(I2297="",COUNT(J2297:N2297)=0),"",IF(SUM(J2297:N2297)=I2297,"✓","⚠ "&amp;SUM(J2297:N2297)&amp;" statt "&amp;I2297))</f>
        <v/>
      </c>
      <c r="P2297" s="21" t="n"/>
      <c r="Q2297" s="21" t="n"/>
      <c r="R2297" s="21" t="n"/>
      <c r="S2297" s="24" t="n"/>
      <c r="T2297" s="24" t="n"/>
      <c r="V2297">
        <f>IF(A2297="","",MONTH(A2297))</f>
        <v/>
      </c>
      <c r="W2297">
        <f>N(W2296)+IF(AND(C2297&lt;&gt;"",T2297&lt;&gt;""),IF(C2297=WOCHE!$B$3,1,0),0)</f>
        <v/>
      </c>
      <c r="X2297">
        <f>N(X2296)+IF(AND(V2297&lt;&gt;"",T2297&lt;&gt;""),IF(V2297=MONAT!$AZ$3,1,0),0)</f>
        <v/>
      </c>
    </row>
    <row r="2298">
      <c r="A2298" s="19" t="n"/>
      <c r="B2298" s="20">
        <f>IF(A2298="","",CHOOSE(WEEKDAY(A2298,2),"Mo","Di","Mi","Do","Fr","Sa","So"))</f>
        <v/>
      </c>
      <c r="C2298" s="20">
        <f>IF(A2298="","",INT((A2298-DATE(YEAR(A2298-WEEKDAY(A2298-1)+4),1,3)+WEEKDAY(DATE(YEAR(A2298-WEEKDAY(A2298-1)+4),1,3))+5)/7))</f>
        <v/>
      </c>
      <c r="D2298" s="21" t="n"/>
      <c r="E2298" s="22" t="n"/>
      <c r="F2298" s="23" t="n"/>
      <c r="G2298" s="23" t="n"/>
      <c r="H2298" s="23" t="n"/>
      <c r="I2298" s="20">
        <f>IF(COUNT(F2298:H2298)=0,"",SUM(F2298:H2298))</f>
        <v/>
      </c>
      <c r="J2298" s="23" t="n"/>
      <c r="K2298" s="23" t="n"/>
      <c r="L2298" s="23" t="n"/>
      <c r="M2298" s="23" t="n"/>
      <c r="N2298" s="23" t="n"/>
      <c r="O2298" s="20">
        <f>IF(OR(I2298="",COUNT(J2298:N2298)=0),"",IF(SUM(J2298:N2298)=I2298,"✓","⚠ "&amp;SUM(J2298:N2298)&amp;" statt "&amp;I2298))</f>
        <v/>
      </c>
      <c r="P2298" s="21" t="n"/>
      <c r="Q2298" s="21" t="n"/>
      <c r="R2298" s="21" t="n"/>
      <c r="S2298" s="24" t="n"/>
      <c r="T2298" s="24" t="n"/>
      <c r="V2298">
        <f>IF(A2298="","",MONTH(A2298))</f>
        <v/>
      </c>
      <c r="W2298">
        <f>N(W2297)+IF(AND(C2298&lt;&gt;"",T2298&lt;&gt;""),IF(C2298=WOCHE!$B$3,1,0),0)</f>
        <v/>
      </c>
      <c r="X2298">
        <f>N(X2297)+IF(AND(V2298&lt;&gt;"",T2298&lt;&gt;""),IF(V2298=MONAT!$AZ$3,1,0),0)</f>
        <v/>
      </c>
    </row>
    <row r="2299">
      <c r="A2299" s="19" t="n"/>
      <c r="B2299" s="20">
        <f>IF(A2299="","",CHOOSE(WEEKDAY(A2299,2),"Mo","Di","Mi","Do","Fr","Sa","So"))</f>
        <v/>
      </c>
      <c r="C2299" s="20">
        <f>IF(A2299="","",INT((A2299-DATE(YEAR(A2299-WEEKDAY(A2299-1)+4),1,3)+WEEKDAY(DATE(YEAR(A2299-WEEKDAY(A2299-1)+4),1,3))+5)/7))</f>
        <v/>
      </c>
      <c r="D2299" s="21" t="n"/>
      <c r="E2299" s="22" t="n"/>
      <c r="F2299" s="23" t="n"/>
      <c r="G2299" s="23" t="n"/>
      <c r="H2299" s="23" t="n"/>
      <c r="I2299" s="20">
        <f>IF(COUNT(F2299:H2299)=0,"",SUM(F2299:H2299))</f>
        <v/>
      </c>
      <c r="J2299" s="23" t="n"/>
      <c r="K2299" s="23" t="n"/>
      <c r="L2299" s="23" t="n"/>
      <c r="M2299" s="23" t="n"/>
      <c r="N2299" s="23" t="n"/>
      <c r="O2299" s="20">
        <f>IF(OR(I2299="",COUNT(J2299:N2299)=0),"",IF(SUM(J2299:N2299)=I2299,"✓","⚠ "&amp;SUM(J2299:N2299)&amp;" statt "&amp;I2299))</f>
        <v/>
      </c>
      <c r="P2299" s="21" t="n"/>
      <c r="Q2299" s="21" t="n"/>
      <c r="R2299" s="21" t="n"/>
      <c r="S2299" s="24" t="n"/>
      <c r="T2299" s="24" t="n"/>
      <c r="V2299">
        <f>IF(A2299="","",MONTH(A2299))</f>
        <v/>
      </c>
      <c r="W2299">
        <f>N(W2298)+IF(AND(C2299&lt;&gt;"",T2299&lt;&gt;""),IF(C2299=WOCHE!$B$3,1,0),0)</f>
        <v/>
      </c>
      <c r="X2299">
        <f>N(X2298)+IF(AND(V2299&lt;&gt;"",T2299&lt;&gt;""),IF(V2299=MONAT!$AZ$3,1,0),0)</f>
        <v/>
      </c>
    </row>
    <row r="2300">
      <c r="A2300" s="19" t="n"/>
      <c r="B2300" s="20">
        <f>IF(A2300="","",CHOOSE(WEEKDAY(A2300,2),"Mo","Di","Mi","Do","Fr","Sa","So"))</f>
        <v/>
      </c>
      <c r="C2300" s="20">
        <f>IF(A2300="","",INT((A2300-DATE(YEAR(A2300-WEEKDAY(A2300-1)+4),1,3)+WEEKDAY(DATE(YEAR(A2300-WEEKDAY(A2300-1)+4),1,3))+5)/7))</f>
        <v/>
      </c>
      <c r="D2300" s="21" t="n"/>
      <c r="E2300" s="22" t="n"/>
      <c r="F2300" s="23" t="n"/>
      <c r="G2300" s="23" t="n"/>
      <c r="H2300" s="23" t="n"/>
      <c r="I2300" s="20">
        <f>IF(COUNT(F2300:H2300)=0,"",SUM(F2300:H2300))</f>
        <v/>
      </c>
      <c r="J2300" s="23" t="n"/>
      <c r="K2300" s="23" t="n"/>
      <c r="L2300" s="23" t="n"/>
      <c r="M2300" s="23" t="n"/>
      <c r="N2300" s="23" t="n"/>
      <c r="O2300" s="20">
        <f>IF(OR(I2300="",COUNT(J2300:N2300)=0),"",IF(SUM(J2300:N2300)=I2300,"✓","⚠ "&amp;SUM(J2300:N2300)&amp;" statt "&amp;I2300))</f>
        <v/>
      </c>
      <c r="P2300" s="21" t="n"/>
      <c r="Q2300" s="21" t="n"/>
      <c r="R2300" s="21" t="n"/>
      <c r="S2300" s="24" t="n"/>
      <c r="T2300" s="24" t="n"/>
      <c r="V2300">
        <f>IF(A2300="","",MONTH(A2300))</f>
        <v/>
      </c>
      <c r="W2300">
        <f>N(W2299)+IF(AND(C2300&lt;&gt;"",T2300&lt;&gt;""),IF(C2300=WOCHE!$B$3,1,0),0)</f>
        <v/>
      </c>
      <c r="X2300">
        <f>N(X2299)+IF(AND(V2300&lt;&gt;"",T2300&lt;&gt;""),IF(V2300=MONAT!$AZ$3,1,0),0)</f>
        <v/>
      </c>
    </row>
    <row r="2301">
      <c r="A2301" s="19" t="n"/>
      <c r="B2301" s="20">
        <f>IF(A2301="","",CHOOSE(WEEKDAY(A2301,2),"Mo","Di","Mi","Do","Fr","Sa","So"))</f>
        <v/>
      </c>
      <c r="C2301" s="20">
        <f>IF(A2301="","",INT((A2301-DATE(YEAR(A2301-WEEKDAY(A2301-1)+4),1,3)+WEEKDAY(DATE(YEAR(A2301-WEEKDAY(A2301-1)+4),1,3))+5)/7))</f>
        <v/>
      </c>
      <c r="D2301" s="21" t="n"/>
      <c r="E2301" s="22" t="n"/>
      <c r="F2301" s="23" t="n"/>
      <c r="G2301" s="23" t="n"/>
      <c r="H2301" s="23" t="n"/>
      <c r="I2301" s="20">
        <f>IF(COUNT(F2301:H2301)=0,"",SUM(F2301:H2301))</f>
        <v/>
      </c>
      <c r="J2301" s="23" t="n"/>
      <c r="K2301" s="23" t="n"/>
      <c r="L2301" s="23" t="n"/>
      <c r="M2301" s="23" t="n"/>
      <c r="N2301" s="23" t="n"/>
      <c r="O2301" s="20">
        <f>IF(OR(I2301="",COUNT(J2301:N2301)=0),"",IF(SUM(J2301:N2301)=I2301,"✓","⚠ "&amp;SUM(J2301:N2301)&amp;" statt "&amp;I2301))</f>
        <v/>
      </c>
      <c r="P2301" s="21" t="n"/>
      <c r="Q2301" s="21" t="n"/>
      <c r="R2301" s="21" t="n"/>
      <c r="S2301" s="24" t="n"/>
      <c r="T2301" s="24" t="n"/>
      <c r="V2301">
        <f>IF(A2301="","",MONTH(A2301))</f>
        <v/>
      </c>
      <c r="W2301">
        <f>N(W2300)+IF(AND(C2301&lt;&gt;"",T2301&lt;&gt;""),IF(C2301=WOCHE!$B$3,1,0),0)</f>
        <v/>
      </c>
      <c r="X2301">
        <f>N(X2300)+IF(AND(V2301&lt;&gt;"",T2301&lt;&gt;""),IF(V2301=MONAT!$AZ$3,1,0),0)</f>
        <v/>
      </c>
    </row>
    <row r="2302">
      <c r="A2302" s="19" t="n"/>
      <c r="B2302" s="20">
        <f>IF(A2302="","",CHOOSE(WEEKDAY(A2302,2),"Mo","Di","Mi","Do","Fr","Sa","So"))</f>
        <v/>
      </c>
      <c r="C2302" s="20">
        <f>IF(A2302="","",INT((A2302-DATE(YEAR(A2302-WEEKDAY(A2302-1)+4),1,3)+WEEKDAY(DATE(YEAR(A2302-WEEKDAY(A2302-1)+4),1,3))+5)/7))</f>
        <v/>
      </c>
      <c r="D2302" s="21" t="n"/>
      <c r="E2302" s="22" t="n"/>
      <c r="F2302" s="23" t="n"/>
      <c r="G2302" s="23" t="n"/>
      <c r="H2302" s="23" t="n"/>
      <c r="I2302" s="20">
        <f>IF(COUNT(F2302:H2302)=0,"",SUM(F2302:H2302))</f>
        <v/>
      </c>
      <c r="J2302" s="23" t="n"/>
      <c r="K2302" s="23" t="n"/>
      <c r="L2302" s="23" t="n"/>
      <c r="M2302" s="23" t="n"/>
      <c r="N2302" s="23" t="n"/>
      <c r="O2302" s="20">
        <f>IF(OR(I2302="",COUNT(J2302:N2302)=0),"",IF(SUM(J2302:N2302)=I2302,"✓","⚠ "&amp;SUM(J2302:N2302)&amp;" statt "&amp;I2302))</f>
        <v/>
      </c>
      <c r="P2302" s="21" t="n"/>
      <c r="Q2302" s="21" t="n"/>
      <c r="R2302" s="21" t="n"/>
      <c r="S2302" s="24" t="n"/>
      <c r="T2302" s="24" t="n"/>
      <c r="V2302">
        <f>IF(A2302="","",MONTH(A2302))</f>
        <v/>
      </c>
      <c r="W2302">
        <f>N(W2301)+IF(AND(C2302&lt;&gt;"",T2302&lt;&gt;""),IF(C2302=WOCHE!$B$3,1,0),0)</f>
        <v/>
      </c>
      <c r="X2302">
        <f>N(X2301)+IF(AND(V2302&lt;&gt;"",T2302&lt;&gt;""),IF(V2302=MONAT!$AZ$3,1,0),0)</f>
        <v/>
      </c>
    </row>
    <row r="2303">
      <c r="A2303" s="19" t="n"/>
      <c r="B2303" s="20">
        <f>IF(A2303="","",CHOOSE(WEEKDAY(A2303,2),"Mo","Di","Mi","Do","Fr","Sa","So"))</f>
        <v/>
      </c>
      <c r="C2303" s="20">
        <f>IF(A2303="","",INT((A2303-DATE(YEAR(A2303-WEEKDAY(A2303-1)+4),1,3)+WEEKDAY(DATE(YEAR(A2303-WEEKDAY(A2303-1)+4),1,3))+5)/7))</f>
        <v/>
      </c>
      <c r="D2303" s="21" t="n"/>
      <c r="E2303" s="22" t="n"/>
      <c r="F2303" s="23" t="n"/>
      <c r="G2303" s="23" t="n"/>
      <c r="H2303" s="23" t="n"/>
      <c r="I2303" s="20">
        <f>IF(COUNT(F2303:H2303)=0,"",SUM(F2303:H2303))</f>
        <v/>
      </c>
      <c r="J2303" s="23" t="n"/>
      <c r="K2303" s="23" t="n"/>
      <c r="L2303" s="23" t="n"/>
      <c r="M2303" s="23" t="n"/>
      <c r="N2303" s="23" t="n"/>
      <c r="O2303" s="20">
        <f>IF(OR(I2303="",COUNT(J2303:N2303)=0),"",IF(SUM(J2303:N2303)=I2303,"✓","⚠ "&amp;SUM(J2303:N2303)&amp;" statt "&amp;I2303))</f>
        <v/>
      </c>
      <c r="P2303" s="21" t="n"/>
      <c r="Q2303" s="21" t="n"/>
      <c r="R2303" s="21" t="n"/>
      <c r="S2303" s="24" t="n"/>
      <c r="T2303" s="24" t="n"/>
      <c r="V2303">
        <f>IF(A2303="","",MONTH(A2303))</f>
        <v/>
      </c>
      <c r="W2303">
        <f>N(W2302)+IF(AND(C2303&lt;&gt;"",T2303&lt;&gt;""),IF(C2303=WOCHE!$B$3,1,0),0)</f>
        <v/>
      </c>
      <c r="X2303">
        <f>N(X2302)+IF(AND(V2303&lt;&gt;"",T2303&lt;&gt;""),IF(V2303=MONAT!$AZ$3,1,0),0)</f>
        <v/>
      </c>
    </row>
    <row r="2304">
      <c r="A2304" s="19" t="n"/>
      <c r="B2304" s="20">
        <f>IF(A2304="","",CHOOSE(WEEKDAY(A2304,2),"Mo","Di","Mi","Do","Fr","Sa","So"))</f>
        <v/>
      </c>
      <c r="C2304" s="20">
        <f>IF(A2304="","",INT((A2304-DATE(YEAR(A2304-WEEKDAY(A2304-1)+4),1,3)+WEEKDAY(DATE(YEAR(A2304-WEEKDAY(A2304-1)+4),1,3))+5)/7))</f>
        <v/>
      </c>
      <c r="D2304" s="21" t="n"/>
      <c r="E2304" s="22" t="n"/>
      <c r="F2304" s="23" t="n"/>
      <c r="G2304" s="23" t="n"/>
      <c r="H2304" s="23" t="n"/>
      <c r="I2304" s="20">
        <f>IF(COUNT(F2304:H2304)=0,"",SUM(F2304:H2304))</f>
        <v/>
      </c>
      <c r="J2304" s="23" t="n"/>
      <c r="K2304" s="23" t="n"/>
      <c r="L2304" s="23" t="n"/>
      <c r="M2304" s="23" t="n"/>
      <c r="N2304" s="23" t="n"/>
      <c r="O2304" s="20">
        <f>IF(OR(I2304="",COUNT(J2304:N2304)=0),"",IF(SUM(J2304:N2304)=I2304,"✓","⚠ "&amp;SUM(J2304:N2304)&amp;" statt "&amp;I2304))</f>
        <v/>
      </c>
      <c r="P2304" s="21" t="n"/>
      <c r="Q2304" s="21" t="n"/>
      <c r="R2304" s="21" t="n"/>
      <c r="S2304" s="24" t="n"/>
      <c r="T2304" s="24" t="n"/>
      <c r="V2304">
        <f>IF(A2304="","",MONTH(A2304))</f>
        <v/>
      </c>
      <c r="W2304">
        <f>N(W2303)+IF(AND(C2304&lt;&gt;"",T2304&lt;&gt;""),IF(C2304=WOCHE!$B$3,1,0),0)</f>
        <v/>
      </c>
      <c r="X2304">
        <f>N(X2303)+IF(AND(V2304&lt;&gt;"",T2304&lt;&gt;""),IF(V2304=MONAT!$AZ$3,1,0),0)</f>
        <v/>
      </c>
    </row>
    <row r="2305">
      <c r="A2305" s="19" t="n"/>
      <c r="B2305" s="20">
        <f>IF(A2305="","",CHOOSE(WEEKDAY(A2305,2),"Mo","Di","Mi","Do","Fr","Sa","So"))</f>
        <v/>
      </c>
      <c r="C2305" s="20">
        <f>IF(A2305="","",INT((A2305-DATE(YEAR(A2305-WEEKDAY(A2305-1)+4),1,3)+WEEKDAY(DATE(YEAR(A2305-WEEKDAY(A2305-1)+4),1,3))+5)/7))</f>
        <v/>
      </c>
      <c r="D2305" s="21" t="n"/>
      <c r="E2305" s="22" t="n"/>
      <c r="F2305" s="23" t="n"/>
      <c r="G2305" s="23" t="n"/>
      <c r="H2305" s="23" t="n"/>
      <c r="I2305" s="20">
        <f>IF(COUNT(F2305:H2305)=0,"",SUM(F2305:H2305))</f>
        <v/>
      </c>
      <c r="J2305" s="23" t="n"/>
      <c r="K2305" s="23" t="n"/>
      <c r="L2305" s="23" t="n"/>
      <c r="M2305" s="23" t="n"/>
      <c r="N2305" s="23" t="n"/>
      <c r="O2305" s="20">
        <f>IF(OR(I2305="",COUNT(J2305:N2305)=0),"",IF(SUM(J2305:N2305)=I2305,"✓","⚠ "&amp;SUM(J2305:N2305)&amp;" statt "&amp;I2305))</f>
        <v/>
      </c>
      <c r="P2305" s="21" t="n"/>
      <c r="Q2305" s="21" t="n"/>
      <c r="R2305" s="21" t="n"/>
      <c r="S2305" s="24" t="n"/>
      <c r="T2305" s="24" t="n"/>
      <c r="V2305">
        <f>IF(A2305="","",MONTH(A2305))</f>
        <v/>
      </c>
      <c r="W2305">
        <f>N(W2304)+IF(AND(C2305&lt;&gt;"",T2305&lt;&gt;""),IF(C2305=WOCHE!$B$3,1,0),0)</f>
        <v/>
      </c>
      <c r="X2305">
        <f>N(X2304)+IF(AND(V2305&lt;&gt;"",T2305&lt;&gt;""),IF(V2305=MONAT!$AZ$3,1,0),0)</f>
        <v/>
      </c>
    </row>
    <row r="2306">
      <c r="A2306" s="19" t="n"/>
      <c r="B2306" s="20">
        <f>IF(A2306="","",CHOOSE(WEEKDAY(A2306,2),"Mo","Di","Mi","Do","Fr","Sa","So"))</f>
        <v/>
      </c>
      <c r="C2306" s="20">
        <f>IF(A2306="","",INT((A2306-DATE(YEAR(A2306-WEEKDAY(A2306-1)+4),1,3)+WEEKDAY(DATE(YEAR(A2306-WEEKDAY(A2306-1)+4),1,3))+5)/7))</f>
        <v/>
      </c>
      <c r="D2306" s="21" t="n"/>
      <c r="E2306" s="22" t="n"/>
      <c r="F2306" s="23" t="n"/>
      <c r="G2306" s="23" t="n"/>
      <c r="H2306" s="23" t="n"/>
      <c r="I2306" s="20">
        <f>IF(COUNT(F2306:H2306)=0,"",SUM(F2306:H2306))</f>
        <v/>
      </c>
      <c r="J2306" s="23" t="n"/>
      <c r="K2306" s="23" t="n"/>
      <c r="L2306" s="23" t="n"/>
      <c r="M2306" s="23" t="n"/>
      <c r="N2306" s="23" t="n"/>
      <c r="O2306" s="20">
        <f>IF(OR(I2306="",COUNT(J2306:N2306)=0),"",IF(SUM(J2306:N2306)=I2306,"✓","⚠ "&amp;SUM(J2306:N2306)&amp;" statt "&amp;I2306))</f>
        <v/>
      </c>
      <c r="P2306" s="21" t="n"/>
      <c r="Q2306" s="21" t="n"/>
      <c r="R2306" s="21" t="n"/>
      <c r="S2306" s="24" t="n"/>
      <c r="T2306" s="24" t="n"/>
      <c r="V2306">
        <f>IF(A2306="","",MONTH(A2306))</f>
        <v/>
      </c>
      <c r="W2306">
        <f>N(W2305)+IF(AND(C2306&lt;&gt;"",T2306&lt;&gt;""),IF(C2306=WOCHE!$B$3,1,0),0)</f>
        <v/>
      </c>
      <c r="X2306">
        <f>N(X2305)+IF(AND(V2306&lt;&gt;"",T2306&lt;&gt;""),IF(V2306=MONAT!$AZ$3,1,0),0)</f>
        <v/>
      </c>
    </row>
    <row r="2307">
      <c r="A2307" s="19" t="n"/>
      <c r="B2307" s="20">
        <f>IF(A2307="","",CHOOSE(WEEKDAY(A2307,2),"Mo","Di","Mi","Do","Fr","Sa","So"))</f>
        <v/>
      </c>
      <c r="C2307" s="20">
        <f>IF(A2307="","",INT((A2307-DATE(YEAR(A2307-WEEKDAY(A2307-1)+4),1,3)+WEEKDAY(DATE(YEAR(A2307-WEEKDAY(A2307-1)+4),1,3))+5)/7))</f>
        <v/>
      </c>
      <c r="D2307" s="21" t="n"/>
      <c r="E2307" s="22" t="n"/>
      <c r="F2307" s="23" t="n"/>
      <c r="G2307" s="23" t="n"/>
      <c r="H2307" s="23" t="n"/>
      <c r="I2307" s="20">
        <f>IF(COUNT(F2307:H2307)=0,"",SUM(F2307:H2307))</f>
        <v/>
      </c>
      <c r="J2307" s="23" t="n"/>
      <c r="K2307" s="23" t="n"/>
      <c r="L2307" s="23" t="n"/>
      <c r="M2307" s="23" t="n"/>
      <c r="N2307" s="23" t="n"/>
      <c r="O2307" s="20">
        <f>IF(OR(I2307="",COUNT(J2307:N2307)=0),"",IF(SUM(J2307:N2307)=I2307,"✓","⚠ "&amp;SUM(J2307:N2307)&amp;" statt "&amp;I2307))</f>
        <v/>
      </c>
      <c r="P2307" s="21" t="n"/>
      <c r="Q2307" s="21" t="n"/>
      <c r="R2307" s="21" t="n"/>
      <c r="S2307" s="24" t="n"/>
      <c r="T2307" s="24" t="n"/>
      <c r="V2307">
        <f>IF(A2307="","",MONTH(A2307))</f>
        <v/>
      </c>
      <c r="W2307">
        <f>N(W2306)+IF(AND(C2307&lt;&gt;"",T2307&lt;&gt;""),IF(C2307=WOCHE!$B$3,1,0),0)</f>
        <v/>
      </c>
      <c r="X2307">
        <f>N(X2306)+IF(AND(V2307&lt;&gt;"",T2307&lt;&gt;""),IF(V2307=MONAT!$AZ$3,1,0),0)</f>
        <v/>
      </c>
    </row>
    <row r="2308">
      <c r="A2308" s="19" t="n"/>
      <c r="B2308" s="20">
        <f>IF(A2308="","",CHOOSE(WEEKDAY(A2308,2),"Mo","Di","Mi","Do","Fr","Sa","So"))</f>
        <v/>
      </c>
      <c r="C2308" s="20">
        <f>IF(A2308="","",INT((A2308-DATE(YEAR(A2308-WEEKDAY(A2308-1)+4),1,3)+WEEKDAY(DATE(YEAR(A2308-WEEKDAY(A2308-1)+4),1,3))+5)/7))</f>
        <v/>
      </c>
      <c r="D2308" s="21" t="n"/>
      <c r="E2308" s="22" t="n"/>
      <c r="F2308" s="23" t="n"/>
      <c r="G2308" s="23" t="n"/>
      <c r="H2308" s="23" t="n"/>
      <c r="I2308" s="20">
        <f>IF(COUNT(F2308:H2308)=0,"",SUM(F2308:H2308))</f>
        <v/>
      </c>
      <c r="J2308" s="23" t="n"/>
      <c r="K2308" s="23" t="n"/>
      <c r="L2308" s="23" t="n"/>
      <c r="M2308" s="23" t="n"/>
      <c r="N2308" s="23" t="n"/>
      <c r="O2308" s="20">
        <f>IF(OR(I2308="",COUNT(J2308:N2308)=0),"",IF(SUM(J2308:N2308)=I2308,"✓","⚠ "&amp;SUM(J2308:N2308)&amp;" statt "&amp;I2308))</f>
        <v/>
      </c>
      <c r="P2308" s="21" t="n"/>
      <c r="Q2308" s="21" t="n"/>
      <c r="R2308" s="21" t="n"/>
      <c r="S2308" s="24" t="n"/>
      <c r="T2308" s="24" t="n"/>
      <c r="V2308">
        <f>IF(A2308="","",MONTH(A2308))</f>
        <v/>
      </c>
      <c r="W2308">
        <f>N(W2307)+IF(AND(C2308&lt;&gt;"",T2308&lt;&gt;""),IF(C2308=WOCHE!$B$3,1,0),0)</f>
        <v/>
      </c>
      <c r="X2308">
        <f>N(X2307)+IF(AND(V2308&lt;&gt;"",T2308&lt;&gt;""),IF(V2308=MONAT!$AZ$3,1,0),0)</f>
        <v/>
      </c>
    </row>
    <row r="2309">
      <c r="A2309" s="19" t="n"/>
      <c r="B2309" s="20">
        <f>IF(A2309="","",CHOOSE(WEEKDAY(A2309,2),"Mo","Di","Mi","Do","Fr","Sa","So"))</f>
        <v/>
      </c>
      <c r="C2309" s="20">
        <f>IF(A2309="","",INT((A2309-DATE(YEAR(A2309-WEEKDAY(A2309-1)+4),1,3)+WEEKDAY(DATE(YEAR(A2309-WEEKDAY(A2309-1)+4),1,3))+5)/7))</f>
        <v/>
      </c>
      <c r="D2309" s="21" t="n"/>
      <c r="E2309" s="22" t="n"/>
      <c r="F2309" s="23" t="n"/>
      <c r="G2309" s="23" t="n"/>
      <c r="H2309" s="23" t="n"/>
      <c r="I2309" s="20">
        <f>IF(COUNT(F2309:H2309)=0,"",SUM(F2309:H2309))</f>
        <v/>
      </c>
      <c r="J2309" s="23" t="n"/>
      <c r="K2309" s="23" t="n"/>
      <c r="L2309" s="23" t="n"/>
      <c r="M2309" s="23" t="n"/>
      <c r="N2309" s="23" t="n"/>
      <c r="O2309" s="20">
        <f>IF(OR(I2309="",COUNT(J2309:N2309)=0),"",IF(SUM(J2309:N2309)=I2309,"✓","⚠ "&amp;SUM(J2309:N2309)&amp;" statt "&amp;I2309))</f>
        <v/>
      </c>
      <c r="P2309" s="21" t="n"/>
      <c r="Q2309" s="21" t="n"/>
      <c r="R2309" s="21" t="n"/>
      <c r="S2309" s="24" t="n"/>
      <c r="T2309" s="24" t="n"/>
      <c r="V2309">
        <f>IF(A2309="","",MONTH(A2309))</f>
        <v/>
      </c>
      <c r="W2309">
        <f>N(W2308)+IF(AND(C2309&lt;&gt;"",T2309&lt;&gt;""),IF(C2309=WOCHE!$B$3,1,0),0)</f>
        <v/>
      </c>
      <c r="X2309">
        <f>N(X2308)+IF(AND(V2309&lt;&gt;"",T2309&lt;&gt;""),IF(V2309=MONAT!$AZ$3,1,0),0)</f>
        <v/>
      </c>
    </row>
    <row r="2310">
      <c r="A2310" s="19" t="n"/>
      <c r="B2310" s="20">
        <f>IF(A2310="","",CHOOSE(WEEKDAY(A2310,2),"Mo","Di","Mi","Do","Fr","Sa","So"))</f>
        <v/>
      </c>
      <c r="C2310" s="20">
        <f>IF(A2310="","",INT((A2310-DATE(YEAR(A2310-WEEKDAY(A2310-1)+4),1,3)+WEEKDAY(DATE(YEAR(A2310-WEEKDAY(A2310-1)+4),1,3))+5)/7))</f>
        <v/>
      </c>
      <c r="D2310" s="21" t="n"/>
      <c r="E2310" s="22" t="n"/>
      <c r="F2310" s="23" t="n"/>
      <c r="G2310" s="23" t="n"/>
      <c r="H2310" s="23" t="n"/>
      <c r="I2310" s="20">
        <f>IF(COUNT(F2310:H2310)=0,"",SUM(F2310:H2310))</f>
        <v/>
      </c>
      <c r="J2310" s="23" t="n"/>
      <c r="K2310" s="23" t="n"/>
      <c r="L2310" s="23" t="n"/>
      <c r="M2310" s="23" t="n"/>
      <c r="N2310" s="23" t="n"/>
      <c r="O2310" s="20">
        <f>IF(OR(I2310="",COUNT(J2310:N2310)=0),"",IF(SUM(J2310:N2310)=I2310,"✓","⚠ "&amp;SUM(J2310:N2310)&amp;" statt "&amp;I2310))</f>
        <v/>
      </c>
      <c r="P2310" s="21" t="n"/>
      <c r="Q2310" s="21" t="n"/>
      <c r="R2310" s="21" t="n"/>
      <c r="S2310" s="24" t="n"/>
      <c r="T2310" s="24" t="n"/>
      <c r="V2310">
        <f>IF(A2310="","",MONTH(A2310))</f>
        <v/>
      </c>
      <c r="W2310">
        <f>N(W2309)+IF(AND(C2310&lt;&gt;"",T2310&lt;&gt;""),IF(C2310=WOCHE!$B$3,1,0),0)</f>
        <v/>
      </c>
      <c r="X2310">
        <f>N(X2309)+IF(AND(V2310&lt;&gt;"",T2310&lt;&gt;""),IF(V2310=MONAT!$AZ$3,1,0),0)</f>
        <v/>
      </c>
    </row>
    <row r="2311">
      <c r="A2311" s="19" t="n"/>
      <c r="B2311" s="20">
        <f>IF(A2311="","",CHOOSE(WEEKDAY(A2311,2),"Mo","Di","Mi","Do","Fr","Sa","So"))</f>
        <v/>
      </c>
      <c r="C2311" s="20">
        <f>IF(A2311="","",INT((A2311-DATE(YEAR(A2311-WEEKDAY(A2311-1)+4),1,3)+WEEKDAY(DATE(YEAR(A2311-WEEKDAY(A2311-1)+4),1,3))+5)/7))</f>
        <v/>
      </c>
      <c r="D2311" s="21" t="n"/>
      <c r="E2311" s="22" t="n"/>
      <c r="F2311" s="23" t="n"/>
      <c r="G2311" s="23" t="n"/>
      <c r="H2311" s="23" t="n"/>
      <c r="I2311" s="20">
        <f>IF(COUNT(F2311:H2311)=0,"",SUM(F2311:H2311))</f>
        <v/>
      </c>
      <c r="J2311" s="23" t="n"/>
      <c r="K2311" s="23" t="n"/>
      <c r="L2311" s="23" t="n"/>
      <c r="M2311" s="23" t="n"/>
      <c r="N2311" s="23" t="n"/>
      <c r="O2311" s="20">
        <f>IF(OR(I2311="",COUNT(J2311:N2311)=0),"",IF(SUM(J2311:N2311)=I2311,"✓","⚠ "&amp;SUM(J2311:N2311)&amp;" statt "&amp;I2311))</f>
        <v/>
      </c>
      <c r="P2311" s="21" t="n"/>
      <c r="Q2311" s="21" t="n"/>
      <c r="R2311" s="21" t="n"/>
      <c r="S2311" s="24" t="n"/>
      <c r="T2311" s="24" t="n"/>
      <c r="V2311">
        <f>IF(A2311="","",MONTH(A2311))</f>
        <v/>
      </c>
      <c r="W2311">
        <f>N(W2310)+IF(AND(C2311&lt;&gt;"",T2311&lt;&gt;""),IF(C2311=WOCHE!$B$3,1,0),0)</f>
        <v/>
      </c>
      <c r="X2311">
        <f>N(X2310)+IF(AND(V2311&lt;&gt;"",T2311&lt;&gt;""),IF(V2311=MONAT!$AZ$3,1,0),0)</f>
        <v/>
      </c>
    </row>
    <row r="2312">
      <c r="A2312" s="19" t="n"/>
      <c r="B2312" s="20">
        <f>IF(A2312="","",CHOOSE(WEEKDAY(A2312,2),"Mo","Di","Mi","Do","Fr","Sa","So"))</f>
        <v/>
      </c>
      <c r="C2312" s="20">
        <f>IF(A2312="","",INT((A2312-DATE(YEAR(A2312-WEEKDAY(A2312-1)+4),1,3)+WEEKDAY(DATE(YEAR(A2312-WEEKDAY(A2312-1)+4),1,3))+5)/7))</f>
        <v/>
      </c>
      <c r="D2312" s="21" t="n"/>
      <c r="E2312" s="22" t="n"/>
      <c r="F2312" s="23" t="n"/>
      <c r="G2312" s="23" t="n"/>
      <c r="H2312" s="23" t="n"/>
      <c r="I2312" s="20">
        <f>IF(COUNT(F2312:H2312)=0,"",SUM(F2312:H2312))</f>
        <v/>
      </c>
      <c r="J2312" s="23" t="n"/>
      <c r="K2312" s="23" t="n"/>
      <c r="L2312" s="23" t="n"/>
      <c r="M2312" s="23" t="n"/>
      <c r="N2312" s="23" t="n"/>
      <c r="O2312" s="20">
        <f>IF(OR(I2312="",COUNT(J2312:N2312)=0),"",IF(SUM(J2312:N2312)=I2312,"✓","⚠ "&amp;SUM(J2312:N2312)&amp;" statt "&amp;I2312))</f>
        <v/>
      </c>
      <c r="P2312" s="21" t="n"/>
      <c r="Q2312" s="21" t="n"/>
      <c r="R2312" s="21" t="n"/>
      <c r="S2312" s="24" t="n"/>
      <c r="T2312" s="24" t="n"/>
      <c r="V2312">
        <f>IF(A2312="","",MONTH(A2312))</f>
        <v/>
      </c>
      <c r="W2312">
        <f>N(W2311)+IF(AND(C2312&lt;&gt;"",T2312&lt;&gt;""),IF(C2312=WOCHE!$B$3,1,0),0)</f>
        <v/>
      </c>
      <c r="X2312">
        <f>N(X2311)+IF(AND(V2312&lt;&gt;"",T2312&lt;&gt;""),IF(V2312=MONAT!$AZ$3,1,0),0)</f>
        <v/>
      </c>
    </row>
    <row r="2313">
      <c r="A2313" s="19" t="n"/>
      <c r="B2313" s="20">
        <f>IF(A2313="","",CHOOSE(WEEKDAY(A2313,2),"Mo","Di","Mi","Do","Fr","Sa","So"))</f>
        <v/>
      </c>
      <c r="C2313" s="20">
        <f>IF(A2313="","",INT((A2313-DATE(YEAR(A2313-WEEKDAY(A2313-1)+4),1,3)+WEEKDAY(DATE(YEAR(A2313-WEEKDAY(A2313-1)+4),1,3))+5)/7))</f>
        <v/>
      </c>
      <c r="D2313" s="21" t="n"/>
      <c r="E2313" s="22" t="n"/>
      <c r="F2313" s="23" t="n"/>
      <c r="G2313" s="23" t="n"/>
      <c r="H2313" s="23" t="n"/>
      <c r="I2313" s="20">
        <f>IF(COUNT(F2313:H2313)=0,"",SUM(F2313:H2313))</f>
        <v/>
      </c>
      <c r="J2313" s="23" t="n"/>
      <c r="K2313" s="23" t="n"/>
      <c r="L2313" s="23" t="n"/>
      <c r="M2313" s="23" t="n"/>
      <c r="N2313" s="23" t="n"/>
      <c r="O2313" s="20">
        <f>IF(OR(I2313="",COUNT(J2313:N2313)=0),"",IF(SUM(J2313:N2313)=I2313,"✓","⚠ "&amp;SUM(J2313:N2313)&amp;" statt "&amp;I2313))</f>
        <v/>
      </c>
      <c r="P2313" s="21" t="n"/>
      <c r="Q2313" s="21" t="n"/>
      <c r="R2313" s="21" t="n"/>
      <c r="S2313" s="24" t="n"/>
      <c r="T2313" s="24" t="n"/>
      <c r="V2313">
        <f>IF(A2313="","",MONTH(A2313))</f>
        <v/>
      </c>
      <c r="W2313">
        <f>N(W2312)+IF(AND(C2313&lt;&gt;"",T2313&lt;&gt;""),IF(C2313=WOCHE!$B$3,1,0),0)</f>
        <v/>
      </c>
      <c r="X2313">
        <f>N(X2312)+IF(AND(V2313&lt;&gt;"",T2313&lt;&gt;""),IF(V2313=MONAT!$AZ$3,1,0),0)</f>
        <v/>
      </c>
    </row>
    <row r="2314">
      <c r="A2314" s="19" t="n"/>
      <c r="B2314" s="20">
        <f>IF(A2314="","",CHOOSE(WEEKDAY(A2314,2),"Mo","Di","Mi","Do","Fr","Sa","So"))</f>
        <v/>
      </c>
      <c r="C2314" s="20">
        <f>IF(A2314="","",INT((A2314-DATE(YEAR(A2314-WEEKDAY(A2314-1)+4),1,3)+WEEKDAY(DATE(YEAR(A2314-WEEKDAY(A2314-1)+4),1,3))+5)/7))</f>
        <v/>
      </c>
      <c r="D2314" s="21" t="n"/>
      <c r="E2314" s="22" t="n"/>
      <c r="F2314" s="23" t="n"/>
      <c r="G2314" s="23" t="n"/>
      <c r="H2314" s="23" t="n"/>
      <c r="I2314" s="20">
        <f>IF(COUNT(F2314:H2314)=0,"",SUM(F2314:H2314))</f>
        <v/>
      </c>
      <c r="J2314" s="23" t="n"/>
      <c r="K2314" s="23" t="n"/>
      <c r="L2314" s="23" t="n"/>
      <c r="M2314" s="23" t="n"/>
      <c r="N2314" s="23" t="n"/>
      <c r="O2314" s="20">
        <f>IF(OR(I2314="",COUNT(J2314:N2314)=0),"",IF(SUM(J2314:N2314)=I2314,"✓","⚠ "&amp;SUM(J2314:N2314)&amp;" statt "&amp;I2314))</f>
        <v/>
      </c>
      <c r="P2314" s="21" t="n"/>
      <c r="Q2314" s="21" t="n"/>
      <c r="R2314" s="21" t="n"/>
      <c r="S2314" s="24" t="n"/>
      <c r="T2314" s="24" t="n"/>
      <c r="V2314">
        <f>IF(A2314="","",MONTH(A2314))</f>
        <v/>
      </c>
      <c r="W2314">
        <f>N(W2313)+IF(AND(C2314&lt;&gt;"",T2314&lt;&gt;""),IF(C2314=WOCHE!$B$3,1,0),0)</f>
        <v/>
      </c>
      <c r="X2314">
        <f>N(X2313)+IF(AND(V2314&lt;&gt;"",T2314&lt;&gt;""),IF(V2314=MONAT!$AZ$3,1,0),0)</f>
        <v/>
      </c>
    </row>
    <row r="2315">
      <c r="A2315" s="19" t="n"/>
      <c r="B2315" s="20">
        <f>IF(A2315="","",CHOOSE(WEEKDAY(A2315,2),"Mo","Di","Mi","Do","Fr","Sa","So"))</f>
        <v/>
      </c>
      <c r="C2315" s="20">
        <f>IF(A2315="","",INT((A2315-DATE(YEAR(A2315-WEEKDAY(A2315-1)+4),1,3)+WEEKDAY(DATE(YEAR(A2315-WEEKDAY(A2315-1)+4),1,3))+5)/7))</f>
        <v/>
      </c>
      <c r="D2315" s="21" t="n"/>
      <c r="E2315" s="22" t="n"/>
      <c r="F2315" s="23" t="n"/>
      <c r="G2315" s="23" t="n"/>
      <c r="H2315" s="23" t="n"/>
      <c r="I2315" s="20">
        <f>IF(COUNT(F2315:H2315)=0,"",SUM(F2315:H2315))</f>
        <v/>
      </c>
      <c r="J2315" s="23" t="n"/>
      <c r="K2315" s="23" t="n"/>
      <c r="L2315" s="23" t="n"/>
      <c r="M2315" s="23" t="n"/>
      <c r="N2315" s="23" t="n"/>
      <c r="O2315" s="20">
        <f>IF(OR(I2315="",COUNT(J2315:N2315)=0),"",IF(SUM(J2315:N2315)=I2315,"✓","⚠ "&amp;SUM(J2315:N2315)&amp;" statt "&amp;I2315))</f>
        <v/>
      </c>
      <c r="P2315" s="21" t="n"/>
      <c r="Q2315" s="21" t="n"/>
      <c r="R2315" s="21" t="n"/>
      <c r="S2315" s="24" t="n"/>
      <c r="T2315" s="24" t="n"/>
      <c r="V2315">
        <f>IF(A2315="","",MONTH(A2315))</f>
        <v/>
      </c>
      <c r="W2315">
        <f>N(W2314)+IF(AND(C2315&lt;&gt;"",T2315&lt;&gt;""),IF(C2315=WOCHE!$B$3,1,0),0)</f>
        <v/>
      </c>
      <c r="X2315">
        <f>N(X2314)+IF(AND(V2315&lt;&gt;"",T2315&lt;&gt;""),IF(V2315=MONAT!$AZ$3,1,0),0)</f>
        <v/>
      </c>
    </row>
    <row r="2316">
      <c r="A2316" s="19" t="n"/>
      <c r="B2316" s="20">
        <f>IF(A2316="","",CHOOSE(WEEKDAY(A2316,2),"Mo","Di","Mi","Do","Fr","Sa","So"))</f>
        <v/>
      </c>
      <c r="C2316" s="20">
        <f>IF(A2316="","",INT((A2316-DATE(YEAR(A2316-WEEKDAY(A2316-1)+4),1,3)+WEEKDAY(DATE(YEAR(A2316-WEEKDAY(A2316-1)+4),1,3))+5)/7))</f>
        <v/>
      </c>
      <c r="D2316" s="21" t="n"/>
      <c r="E2316" s="22" t="n"/>
      <c r="F2316" s="23" t="n"/>
      <c r="G2316" s="23" t="n"/>
      <c r="H2316" s="23" t="n"/>
      <c r="I2316" s="20">
        <f>IF(COUNT(F2316:H2316)=0,"",SUM(F2316:H2316))</f>
        <v/>
      </c>
      <c r="J2316" s="23" t="n"/>
      <c r="K2316" s="23" t="n"/>
      <c r="L2316" s="23" t="n"/>
      <c r="M2316" s="23" t="n"/>
      <c r="N2316" s="23" t="n"/>
      <c r="O2316" s="20">
        <f>IF(OR(I2316="",COUNT(J2316:N2316)=0),"",IF(SUM(J2316:N2316)=I2316,"✓","⚠ "&amp;SUM(J2316:N2316)&amp;" statt "&amp;I2316))</f>
        <v/>
      </c>
      <c r="P2316" s="21" t="n"/>
      <c r="Q2316" s="21" t="n"/>
      <c r="R2316" s="21" t="n"/>
      <c r="S2316" s="24" t="n"/>
      <c r="T2316" s="24" t="n"/>
      <c r="V2316">
        <f>IF(A2316="","",MONTH(A2316))</f>
        <v/>
      </c>
      <c r="W2316">
        <f>N(W2315)+IF(AND(C2316&lt;&gt;"",T2316&lt;&gt;""),IF(C2316=WOCHE!$B$3,1,0),0)</f>
        <v/>
      </c>
      <c r="X2316">
        <f>N(X2315)+IF(AND(V2316&lt;&gt;"",T2316&lt;&gt;""),IF(V2316=MONAT!$AZ$3,1,0),0)</f>
        <v/>
      </c>
    </row>
    <row r="2317">
      <c r="A2317" s="19" t="n"/>
      <c r="B2317" s="20">
        <f>IF(A2317="","",CHOOSE(WEEKDAY(A2317,2),"Mo","Di","Mi","Do","Fr","Sa","So"))</f>
        <v/>
      </c>
      <c r="C2317" s="20">
        <f>IF(A2317="","",INT((A2317-DATE(YEAR(A2317-WEEKDAY(A2317-1)+4),1,3)+WEEKDAY(DATE(YEAR(A2317-WEEKDAY(A2317-1)+4),1,3))+5)/7))</f>
        <v/>
      </c>
      <c r="D2317" s="21" t="n"/>
      <c r="E2317" s="22" t="n"/>
      <c r="F2317" s="23" t="n"/>
      <c r="G2317" s="23" t="n"/>
      <c r="H2317" s="23" t="n"/>
      <c r="I2317" s="20">
        <f>IF(COUNT(F2317:H2317)=0,"",SUM(F2317:H2317))</f>
        <v/>
      </c>
      <c r="J2317" s="23" t="n"/>
      <c r="K2317" s="23" t="n"/>
      <c r="L2317" s="23" t="n"/>
      <c r="M2317" s="23" t="n"/>
      <c r="N2317" s="23" t="n"/>
      <c r="O2317" s="20">
        <f>IF(OR(I2317="",COUNT(J2317:N2317)=0),"",IF(SUM(J2317:N2317)=I2317,"✓","⚠ "&amp;SUM(J2317:N2317)&amp;" statt "&amp;I2317))</f>
        <v/>
      </c>
      <c r="P2317" s="21" t="n"/>
      <c r="Q2317" s="21" t="n"/>
      <c r="R2317" s="21" t="n"/>
      <c r="S2317" s="24" t="n"/>
      <c r="T2317" s="24" t="n"/>
      <c r="V2317">
        <f>IF(A2317="","",MONTH(A2317))</f>
        <v/>
      </c>
      <c r="W2317">
        <f>N(W2316)+IF(AND(C2317&lt;&gt;"",T2317&lt;&gt;""),IF(C2317=WOCHE!$B$3,1,0),0)</f>
        <v/>
      </c>
      <c r="X2317">
        <f>N(X2316)+IF(AND(V2317&lt;&gt;"",T2317&lt;&gt;""),IF(V2317=MONAT!$AZ$3,1,0),0)</f>
        <v/>
      </c>
    </row>
    <row r="2318">
      <c r="A2318" s="19" t="n"/>
      <c r="B2318" s="20">
        <f>IF(A2318="","",CHOOSE(WEEKDAY(A2318,2),"Mo","Di","Mi","Do","Fr","Sa","So"))</f>
        <v/>
      </c>
      <c r="C2318" s="20">
        <f>IF(A2318="","",INT((A2318-DATE(YEAR(A2318-WEEKDAY(A2318-1)+4),1,3)+WEEKDAY(DATE(YEAR(A2318-WEEKDAY(A2318-1)+4),1,3))+5)/7))</f>
        <v/>
      </c>
      <c r="D2318" s="21" t="n"/>
      <c r="E2318" s="22" t="n"/>
      <c r="F2318" s="23" t="n"/>
      <c r="G2318" s="23" t="n"/>
      <c r="H2318" s="23" t="n"/>
      <c r="I2318" s="20">
        <f>IF(COUNT(F2318:H2318)=0,"",SUM(F2318:H2318))</f>
        <v/>
      </c>
      <c r="J2318" s="23" t="n"/>
      <c r="K2318" s="23" t="n"/>
      <c r="L2318" s="23" t="n"/>
      <c r="M2318" s="23" t="n"/>
      <c r="N2318" s="23" t="n"/>
      <c r="O2318" s="20">
        <f>IF(OR(I2318="",COUNT(J2318:N2318)=0),"",IF(SUM(J2318:N2318)=I2318,"✓","⚠ "&amp;SUM(J2318:N2318)&amp;" statt "&amp;I2318))</f>
        <v/>
      </c>
      <c r="P2318" s="21" t="n"/>
      <c r="Q2318" s="21" t="n"/>
      <c r="R2318" s="21" t="n"/>
      <c r="S2318" s="24" t="n"/>
      <c r="T2318" s="24" t="n"/>
      <c r="V2318">
        <f>IF(A2318="","",MONTH(A2318))</f>
        <v/>
      </c>
      <c r="W2318">
        <f>N(W2317)+IF(AND(C2318&lt;&gt;"",T2318&lt;&gt;""),IF(C2318=WOCHE!$B$3,1,0),0)</f>
        <v/>
      </c>
      <c r="X2318">
        <f>N(X2317)+IF(AND(V2318&lt;&gt;"",T2318&lt;&gt;""),IF(V2318=MONAT!$AZ$3,1,0),0)</f>
        <v/>
      </c>
    </row>
    <row r="2319">
      <c r="A2319" s="19" t="n"/>
      <c r="B2319" s="20">
        <f>IF(A2319="","",CHOOSE(WEEKDAY(A2319,2),"Mo","Di","Mi","Do","Fr","Sa","So"))</f>
        <v/>
      </c>
      <c r="C2319" s="20">
        <f>IF(A2319="","",INT((A2319-DATE(YEAR(A2319-WEEKDAY(A2319-1)+4),1,3)+WEEKDAY(DATE(YEAR(A2319-WEEKDAY(A2319-1)+4),1,3))+5)/7))</f>
        <v/>
      </c>
      <c r="D2319" s="21" t="n"/>
      <c r="E2319" s="22" t="n"/>
      <c r="F2319" s="23" t="n"/>
      <c r="G2319" s="23" t="n"/>
      <c r="H2319" s="23" t="n"/>
      <c r="I2319" s="20">
        <f>IF(COUNT(F2319:H2319)=0,"",SUM(F2319:H2319))</f>
        <v/>
      </c>
      <c r="J2319" s="23" t="n"/>
      <c r="K2319" s="23" t="n"/>
      <c r="L2319" s="23" t="n"/>
      <c r="M2319" s="23" t="n"/>
      <c r="N2319" s="23" t="n"/>
      <c r="O2319" s="20">
        <f>IF(OR(I2319="",COUNT(J2319:N2319)=0),"",IF(SUM(J2319:N2319)=I2319,"✓","⚠ "&amp;SUM(J2319:N2319)&amp;" statt "&amp;I2319))</f>
        <v/>
      </c>
      <c r="P2319" s="21" t="n"/>
      <c r="Q2319" s="21" t="n"/>
      <c r="R2319" s="21" t="n"/>
      <c r="S2319" s="24" t="n"/>
      <c r="T2319" s="24" t="n"/>
      <c r="V2319">
        <f>IF(A2319="","",MONTH(A2319))</f>
        <v/>
      </c>
      <c r="W2319">
        <f>N(W2318)+IF(AND(C2319&lt;&gt;"",T2319&lt;&gt;""),IF(C2319=WOCHE!$B$3,1,0),0)</f>
        <v/>
      </c>
      <c r="X2319">
        <f>N(X2318)+IF(AND(V2319&lt;&gt;"",T2319&lt;&gt;""),IF(V2319=MONAT!$AZ$3,1,0),0)</f>
        <v/>
      </c>
    </row>
    <row r="2320">
      <c r="A2320" s="19" t="n"/>
      <c r="B2320" s="20">
        <f>IF(A2320="","",CHOOSE(WEEKDAY(A2320,2),"Mo","Di","Mi","Do","Fr","Sa","So"))</f>
        <v/>
      </c>
      <c r="C2320" s="20">
        <f>IF(A2320="","",INT((A2320-DATE(YEAR(A2320-WEEKDAY(A2320-1)+4),1,3)+WEEKDAY(DATE(YEAR(A2320-WEEKDAY(A2320-1)+4),1,3))+5)/7))</f>
        <v/>
      </c>
      <c r="D2320" s="21" t="n"/>
      <c r="E2320" s="22" t="n"/>
      <c r="F2320" s="23" t="n"/>
      <c r="G2320" s="23" t="n"/>
      <c r="H2320" s="23" t="n"/>
      <c r="I2320" s="20">
        <f>IF(COUNT(F2320:H2320)=0,"",SUM(F2320:H2320))</f>
        <v/>
      </c>
      <c r="J2320" s="23" t="n"/>
      <c r="K2320" s="23" t="n"/>
      <c r="L2320" s="23" t="n"/>
      <c r="M2320" s="23" t="n"/>
      <c r="N2320" s="23" t="n"/>
      <c r="O2320" s="20">
        <f>IF(OR(I2320="",COUNT(J2320:N2320)=0),"",IF(SUM(J2320:N2320)=I2320,"✓","⚠ "&amp;SUM(J2320:N2320)&amp;" statt "&amp;I2320))</f>
        <v/>
      </c>
      <c r="P2320" s="21" t="n"/>
      <c r="Q2320" s="21" t="n"/>
      <c r="R2320" s="21" t="n"/>
      <c r="S2320" s="24" t="n"/>
      <c r="T2320" s="24" t="n"/>
      <c r="V2320">
        <f>IF(A2320="","",MONTH(A2320))</f>
        <v/>
      </c>
      <c r="W2320">
        <f>N(W2319)+IF(AND(C2320&lt;&gt;"",T2320&lt;&gt;""),IF(C2320=WOCHE!$B$3,1,0),0)</f>
        <v/>
      </c>
      <c r="X2320">
        <f>N(X2319)+IF(AND(V2320&lt;&gt;"",T2320&lt;&gt;""),IF(V2320=MONAT!$AZ$3,1,0),0)</f>
        <v/>
      </c>
    </row>
    <row r="2321">
      <c r="A2321" s="19" t="n"/>
      <c r="B2321" s="20">
        <f>IF(A2321="","",CHOOSE(WEEKDAY(A2321,2),"Mo","Di","Mi","Do","Fr","Sa","So"))</f>
        <v/>
      </c>
      <c r="C2321" s="20">
        <f>IF(A2321="","",INT((A2321-DATE(YEAR(A2321-WEEKDAY(A2321-1)+4),1,3)+WEEKDAY(DATE(YEAR(A2321-WEEKDAY(A2321-1)+4),1,3))+5)/7))</f>
        <v/>
      </c>
      <c r="D2321" s="21" t="n"/>
      <c r="E2321" s="22" t="n"/>
      <c r="F2321" s="23" t="n"/>
      <c r="G2321" s="23" t="n"/>
      <c r="H2321" s="23" t="n"/>
      <c r="I2321" s="20">
        <f>IF(COUNT(F2321:H2321)=0,"",SUM(F2321:H2321))</f>
        <v/>
      </c>
      <c r="J2321" s="23" t="n"/>
      <c r="K2321" s="23" t="n"/>
      <c r="L2321" s="23" t="n"/>
      <c r="M2321" s="23" t="n"/>
      <c r="N2321" s="23" t="n"/>
      <c r="O2321" s="20">
        <f>IF(OR(I2321="",COUNT(J2321:N2321)=0),"",IF(SUM(J2321:N2321)=I2321,"✓","⚠ "&amp;SUM(J2321:N2321)&amp;" statt "&amp;I2321))</f>
        <v/>
      </c>
      <c r="P2321" s="21" t="n"/>
      <c r="Q2321" s="21" t="n"/>
      <c r="R2321" s="21" t="n"/>
      <c r="S2321" s="24" t="n"/>
      <c r="T2321" s="24" t="n"/>
      <c r="V2321">
        <f>IF(A2321="","",MONTH(A2321))</f>
        <v/>
      </c>
      <c r="W2321">
        <f>N(W2320)+IF(AND(C2321&lt;&gt;"",T2321&lt;&gt;""),IF(C2321=WOCHE!$B$3,1,0),0)</f>
        <v/>
      </c>
      <c r="X2321">
        <f>N(X2320)+IF(AND(V2321&lt;&gt;"",T2321&lt;&gt;""),IF(V2321=MONAT!$AZ$3,1,0),0)</f>
        <v/>
      </c>
    </row>
    <row r="2322">
      <c r="A2322" s="19" t="n"/>
      <c r="B2322" s="20">
        <f>IF(A2322="","",CHOOSE(WEEKDAY(A2322,2),"Mo","Di","Mi","Do","Fr","Sa","So"))</f>
        <v/>
      </c>
      <c r="C2322" s="20">
        <f>IF(A2322="","",INT((A2322-DATE(YEAR(A2322-WEEKDAY(A2322-1)+4),1,3)+WEEKDAY(DATE(YEAR(A2322-WEEKDAY(A2322-1)+4),1,3))+5)/7))</f>
        <v/>
      </c>
      <c r="D2322" s="21" t="n"/>
      <c r="E2322" s="22" t="n"/>
      <c r="F2322" s="23" t="n"/>
      <c r="G2322" s="23" t="n"/>
      <c r="H2322" s="23" t="n"/>
      <c r="I2322" s="20">
        <f>IF(COUNT(F2322:H2322)=0,"",SUM(F2322:H2322))</f>
        <v/>
      </c>
      <c r="J2322" s="23" t="n"/>
      <c r="K2322" s="23" t="n"/>
      <c r="L2322" s="23" t="n"/>
      <c r="M2322" s="23" t="n"/>
      <c r="N2322" s="23" t="n"/>
      <c r="O2322" s="20">
        <f>IF(OR(I2322="",COUNT(J2322:N2322)=0),"",IF(SUM(J2322:N2322)=I2322,"✓","⚠ "&amp;SUM(J2322:N2322)&amp;" statt "&amp;I2322))</f>
        <v/>
      </c>
      <c r="P2322" s="21" t="n"/>
      <c r="Q2322" s="21" t="n"/>
      <c r="R2322" s="21" t="n"/>
      <c r="S2322" s="24" t="n"/>
      <c r="T2322" s="24" t="n"/>
      <c r="V2322">
        <f>IF(A2322="","",MONTH(A2322))</f>
        <v/>
      </c>
      <c r="W2322">
        <f>N(W2321)+IF(AND(C2322&lt;&gt;"",T2322&lt;&gt;""),IF(C2322=WOCHE!$B$3,1,0),0)</f>
        <v/>
      </c>
      <c r="X2322">
        <f>N(X2321)+IF(AND(V2322&lt;&gt;"",T2322&lt;&gt;""),IF(V2322=MONAT!$AZ$3,1,0),0)</f>
        <v/>
      </c>
    </row>
    <row r="2323">
      <c r="A2323" s="19" t="n"/>
      <c r="B2323" s="20">
        <f>IF(A2323="","",CHOOSE(WEEKDAY(A2323,2),"Mo","Di","Mi","Do","Fr","Sa","So"))</f>
        <v/>
      </c>
      <c r="C2323" s="20">
        <f>IF(A2323="","",INT((A2323-DATE(YEAR(A2323-WEEKDAY(A2323-1)+4),1,3)+WEEKDAY(DATE(YEAR(A2323-WEEKDAY(A2323-1)+4),1,3))+5)/7))</f>
        <v/>
      </c>
      <c r="D2323" s="21" t="n"/>
      <c r="E2323" s="22" t="n"/>
      <c r="F2323" s="23" t="n"/>
      <c r="G2323" s="23" t="n"/>
      <c r="H2323" s="23" t="n"/>
      <c r="I2323" s="20">
        <f>IF(COUNT(F2323:H2323)=0,"",SUM(F2323:H2323))</f>
        <v/>
      </c>
      <c r="J2323" s="23" t="n"/>
      <c r="K2323" s="23" t="n"/>
      <c r="L2323" s="23" t="n"/>
      <c r="M2323" s="23" t="n"/>
      <c r="N2323" s="23" t="n"/>
      <c r="O2323" s="20">
        <f>IF(OR(I2323="",COUNT(J2323:N2323)=0),"",IF(SUM(J2323:N2323)=I2323,"✓","⚠ "&amp;SUM(J2323:N2323)&amp;" statt "&amp;I2323))</f>
        <v/>
      </c>
      <c r="P2323" s="21" t="n"/>
      <c r="Q2323" s="21" t="n"/>
      <c r="R2323" s="21" t="n"/>
      <c r="S2323" s="24" t="n"/>
      <c r="T2323" s="24" t="n"/>
      <c r="V2323">
        <f>IF(A2323="","",MONTH(A2323))</f>
        <v/>
      </c>
      <c r="W2323">
        <f>N(W2322)+IF(AND(C2323&lt;&gt;"",T2323&lt;&gt;""),IF(C2323=WOCHE!$B$3,1,0),0)</f>
        <v/>
      </c>
      <c r="X2323">
        <f>N(X2322)+IF(AND(V2323&lt;&gt;"",T2323&lt;&gt;""),IF(V2323=MONAT!$AZ$3,1,0),0)</f>
        <v/>
      </c>
    </row>
    <row r="2324">
      <c r="A2324" s="19" t="n"/>
      <c r="B2324" s="20">
        <f>IF(A2324="","",CHOOSE(WEEKDAY(A2324,2),"Mo","Di","Mi","Do","Fr","Sa","So"))</f>
        <v/>
      </c>
      <c r="C2324" s="20">
        <f>IF(A2324="","",INT((A2324-DATE(YEAR(A2324-WEEKDAY(A2324-1)+4),1,3)+WEEKDAY(DATE(YEAR(A2324-WEEKDAY(A2324-1)+4),1,3))+5)/7))</f>
        <v/>
      </c>
      <c r="D2324" s="21" t="n"/>
      <c r="E2324" s="22" t="n"/>
      <c r="F2324" s="23" t="n"/>
      <c r="G2324" s="23" t="n"/>
      <c r="H2324" s="23" t="n"/>
      <c r="I2324" s="20">
        <f>IF(COUNT(F2324:H2324)=0,"",SUM(F2324:H2324))</f>
        <v/>
      </c>
      <c r="J2324" s="23" t="n"/>
      <c r="K2324" s="23" t="n"/>
      <c r="L2324" s="23" t="n"/>
      <c r="M2324" s="23" t="n"/>
      <c r="N2324" s="23" t="n"/>
      <c r="O2324" s="20">
        <f>IF(OR(I2324="",COUNT(J2324:N2324)=0),"",IF(SUM(J2324:N2324)=I2324,"✓","⚠ "&amp;SUM(J2324:N2324)&amp;" statt "&amp;I2324))</f>
        <v/>
      </c>
      <c r="P2324" s="21" t="n"/>
      <c r="Q2324" s="21" t="n"/>
      <c r="R2324" s="21" t="n"/>
      <c r="S2324" s="24" t="n"/>
      <c r="T2324" s="24" t="n"/>
      <c r="V2324">
        <f>IF(A2324="","",MONTH(A2324))</f>
        <v/>
      </c>
      <c r="W2324">
        <f>N(W2323)+IF(AND(C2324&lt;&gt;"",T2324&lt;&gt;""),IF(C2324=WOCHE!$B$3,1,0),0)</f>
        <v/>
      </c>
      <c r="X2324">
        <f>N(X2323)+IF(AND(V2324&lt;&gt;"",T2324&lt;&gt;""),IF(V2324=MONAT!$AZ$3,1,0),0)</f>
        <v/>
      </c>
    </row>
    <row r="2325">
      <c r="A2325" s="19" t="n"/>
      <c r="B2325" s="20">
        <f>IF(A2325="","",CHOOSE(WEEKDAY(A2325,2),"Mo","Di","Mi","Do","Fr","Sa","So"))</f>
        <v/>
      </c>
      <c r="C2325" s="20">
        <f>IF(A2325="","",INT((A2325-DATE(YEAR(A2325-WEEKDAY(A2325-1)+4),1,3)+WEEKDAY(DATE(YEAR(A2325-WEEKDAY(A2325-1)+4),1,3))+5)/7))</f>
        <v/>
      </c>
      <c r="D2325" s="21" t="n"/>
      <c r="E2325" s="22" t="n"/>
      <c r="F2325" s="23" t="n"/>
      <c r="G2325" s="23" t="n"/>
      <c r="H2325" s="23" t="n"/>
      <c r="I2325" s="20">
        <f>IF(COUNT(F2325:H2325)=0,"",SUM(F2325:H2325))</f>
        <v/>
      </c>
      <c r="J2325" s="23" t="n"/>
      <c r="K2325" s="23" t="n"/>
      <c r="L2325" s="23" t="n"/>
      <c r="M2325" s="23" t="n"/>
      <c r="N2325" s="23" t="n"/>
      <c r="O2325" s="20">
        <f>IF(OR(I2325="",COUNT(J2325:N2325)=0),"",IF(SUM(J2325:N2325)=I2325,"✓","⚠ "&amp;SUM(J2325:N2325)&amp;" statt "&amp;I2325))</f>
        <v/>
      </c>
      <c r="P2325" s="21" t="n"/>
      <c r="Q2325" s="21" t="n"/>
      <c r="R2325" s="21" t="n"/>
      <c r="S2325" s="24" t="n"/>
      <c r="T2325" s="24" t="n"/>
      <c r="V2325">
        <f>IF(A2325="","",MONTH(A2325))</f>
        <v/>
      </c>
      <c r="W2325">
        <f>N(W2324)+IF(AND(C2325&lt;&gt;"",T2325&lt;&gt;""),IF(C2325=WOCHE!$B$3,1,0),0)</f>
        <v/>
      </c>
      <c r="X2325">
        <f>N(X2324)+IF(AND(V2325&lt;&gt;"",T2325&lt;&gt;""),IF(V2325=MONAT!$AZ$3,1,0),0)</f>
        <v/>
      </c>
    </row>
    <row r="2326">
      <c r="A2326" s="19" t="n"/>
      <c r="B2326" s="20">
        <f>IF(A2326="","",CHOOSE(WEEKDAY(A2326,2),"Mo","Di","Mi","Do","Fr","Sa","So"))</f>
        <v/>
      </c>
      <c r="C2326" s="20">
        <f>IF(A2326="","",INT((A2326-DATE(YEAR(A2326-WEEKDAY(A2326-1)+4),1,3)+WEEKDAY(DATE(YEAR(A2326-WEEKDAY(A2326-1)+4),1,3))+5)/7))</f>
        <v/>
      </c>
      <c r="D2326" s="21" t="n"/>
      <c r="E2326" s="22" t="n"/>
      <c r="F2326" s="23" t="n"/>
      <c r="G2326" s="23" t="n"/>
      <c r="H2326" s="23" t="n"/>
      <c r="I2326" s="20">
        <f>IF(COUNT(F2326:H2326)=0,"",SUM(F2326:H2326))</f>
        <v/>
      </c>
      <c r="J2326" s="23" t="n"/>
      <c r="K2326" s="23" t="n"/>
      <c r="L2326" s="23" t="n"/>
      <c r="M2326" s="23" t="n"/>
      <c r="N2326" s="23" t="n"/>
      <c r="O2326" s="20">
        <f>IF(OR(I2326="",COUNT(J2326:N2326)=0),"",IF(SUM(J2326:N2326)=I2326,"✓","⚠ "&amp;SUM(J2326:N2326)&amp;" statt "&amp;I2326))</f>
        <v/>
      </c>
      <c r="P2326" s="21" t="n"/>
      <c r="Q2326" s="21" t="n"/>
      <c r="R2326" s="21" t="n"/>
      <c r="S2326" s="24" t="n"/>
      <c r="T2326" s="24" t="n"/>
      <c r="V2326">
        <f>IF(A2326="","",MONTH(A2326))</f>
        <v/>
      </c>
      <c r="W2326">
        <f>N(W2325)+IF(AND(C2326&lt;&gt;"",T2326&lt;&gt;""),IF(C2326=WOCHE!$B$3,1,0),0)</f>
        <v/>
      </c>
      <c r="X2326">
        <f>N(X2325)+IF(AND(V2326&lt;&gt;"",T2326&lt;&gt;""),IF(V2326=MONAT!$AZ$3,1,0),0)</f>
        <v/>
      </c>
    </row>
    <row r="2327">
      <c r="A2327" s="19" t="n"/>
      <c r="B2327" s="20">
        <f>IF(A2327="","",CHOOSE(WEEKDAY(A2327,2),"Mo","Di","Mi","Do","Fr","Sa","So"))</f>
        <v/>
      </c>
      <c r="C2327" s="20">
        <f>IF(A2327="","",INT((A2327-DATE(YEAR(A2327-WEEKDAY(A2327-1)+4),1,3)+WEEKDAY(DATE(YEAR(A2327-WEEKDAY(A2327-1)+4),1,3))+5)/7))</f>
        <v/>
      </c>
      <c r="D2327" s="21" t="n"/>
      <c r="E2327" s="22" t="n"/>
      <c r="F2327" s="23" t="n"/>
      <c r="G2327" s="23" t="n"/>
      <c r="H2327" s="23" t="n"/>
      <c r="I2327" s="20">
        <f>IF(COUNT(F2327:H2327)=0,"",SUM(F2327:H2327))</f>
        <v/>
      </c>
      <c r="J2327" s="23" t="n"/>
      <c r="K2327" s="23" t="n"/>
      <c r="L2327" s="23" t="n"/>
      <c r="M2327" s="23" t="n"/>
      <c r="N2327" s="23" t="n"/>
      <c r="O2327" s="20">
        <f>IF(OR(I2327="",COUNT(J2327:N2327)=0),"",IF(SUM(J2327:N2327)=I2327,"✓","⚠ "&amp;SUM(J2327:N2327)&amp;" statt "&amp;I2327))</f>
        <v/>
      </c>
      <c r="P2327" s="21" t="n"/>
      <c r="Q2327" s="21" t="n"/>
      <c r="R2327" s="21" t="n"/>
      <c r="S2327" s="24" t="n"/>
      <c r="T2327" s="24" t="n"/>
      <c r="V2327">
        <f>IF(A2327="","",MONTH(A2327))</f>
        <v/>
      </c>
      <c r="W2327">
        <f>N(W2326)+IF(AND(C2327&lt;&gt;"",T2327&lt;&gt;""),IF(C2327=WOCHE!$B$3,1,0),0)</f>
        <v/>
      </c>
      <c r="X2327">
        <f>N(X2326)+IF(AND(V2327&lt;&gt;"",T2327&lt;&gt;""),IF(V2327=MONAT!$AZ$3,1,0),0)</f>
        <v/>
      </c>
    </row>
    <row r="2328">
      <c r="A2328" s="19" t="n"/>
      <c r="B2328" s="20">
        <f>IF(A2328="","",CHOOSE(WEEKDAY(A2328,2),"Mo","Di","Mi","Do","Fr","Sa","So"))</f>
        <v/>
      </c>
      <c r="C2328" s="20">
        <f>IF(A2328="","",INT((A2328-DATE(YEAR(A2328-WEEKDAY(A2328-1)+4),1,3)+WEEKDAY(DATE(YEAR(A2328-WEEKDAY(A2328-1)+4),1,3))+5)/7))</f>
        <v/>
      </c>
      <c r="D2328" s="21" t="n"/>
      <c r="E2328" s="22" t="n"/>
      <c r="F2328" s="23" t="n"/>
      <c r="G2328" s="23" t="n"/>
      <c r="H2328" s="23" t="n"/>
      <c r="I2328" s="20">
        <f>IF(COUNT(F2328:H2328)=0,"",SUM(F2328:H2328))</f>
        <v/>
      </c>
      <c r="J2328" s="23" t="n"/>
      <c r="K2328" s="23" t="n"/>
      <c r="L2328" s="23" t="n"/>
      <c r="M2328" s="23" t="n"/>
      <c r="N2328" s="23" t="n"/>
      <c r="O2328" s="20">
        <f>IF(OR(I2328="",COUNT(J2328:N2328)=0),"",IF(SUM(J2328:N2328)=I2328,"✓","⚠ "&amp;SUM(J2328:N2328)&amp;" statt "&amp;I2328))</f>
        <v/>
      </c>
      <c r="P2328" s="21" t="n"/>
      <c r="Q2328" s="21" t="n"/>
      <c r="R2328" s="21" t="n"/>
      <c r="S2328" s="24" t="n"/>
      <c r="T2328" s="24" t="n"/>
      <c r="V2328">
        <f>IF(A2328="","",MONTH(A2328))</f>
        <v/>
      </c>
      <c r="W2328">
        <f>N(W2327)+IF(AND(C2328&lt;&gt;"",T2328&lt;&gt;""),IF(C2328=WOCHE!$B$3,1,0),0)</f>
        <v/>
      </c>
      <c r="X2328">
        <f>N(X2327)+IF(AND(V2328&lt;&gt;"",T2328&lt;&gt;""),IF(V2328=MONAT!$AZ$3,1,0),0)</f>
        <v/>
      </c>
    </row>
    <row r="2329">
      <c r="A2329" s="19" t="n"/>
      <c r="B2329" s="20">
        <f>IF(A2329="","",CHOOSE(WEEKDAY(A2329,2),"Mo","Di","Mi","Do","Fr","Sa","So"))</f>
        <v/>
      </c>
      <c r="C2329" s="20">
        <f>IF(A2329="","",INT((A2329-DATE(YEAR(A2329-WEEKDAY(A2329-1)+4),1,3)+WEEKDAY(DATE(YEAR(A2329-WEEKDAY(A2329-1)+4),1,3))+5)/7))</f>
        <v/>
      </c>
      <c r="D2329" s="21" t="n"/>
      <c r="E2329" s="22" t="n"/>
      <c r="F2329" s="23" t="n"/>
      <c r="G2329" s="23" t="n"/>
      <c r="H2329" s="23" t="n"/>
      <c r="I2329" s="20">
        <f>IF(COUNT(F2329:H2329)=0,"",SUM(F2329:H2329))</f>
        <v/>
      </c>
      <c r="J2329" s="23" t="n"/>
      <c r="K2329" s="23" t="n"/>
      <c r="L2329" s="23" t="n"/>
      <c r="M2329" s="23" t="n"/>
      <c r="N2329" s="23" t="n"/>
      <c r="O2329" s="20">
        <f>IF(OR(I2329="",COUNT(J2329:N2329)=0),"",IF(SUM(J2329:N2329)=I2329,"✓","⚠ "&amp;SUM(J2329:N2329)&amp;" statt "&amp;I2329))</f>
        <v/>
      </c>
      <c r="P2329" s="21" t="n"/>
      <c r="Q2329" s="21" t="n"/>
      <c r="R2329" s="21" t="n"/>
      <c r="S2329" s="24" t="n"/>
      <c r="T2329" s="24" t="n"/>
      <c r="V2329">
        <f>IF(A2329="","",MONTH(A2329))</f>
        <v/>
      </c>
      <c r="W2329">
        <f>N(W2328)+IF(AND(C2329&lt;&gt;"",T2329&lt;&gt;""),IF(C2329=WOCHE!$B$3,1,0),0)</f>
        <v/>
      </c>
      <c r="X2329">
        <f>N(X2328)+IF(AND(V2329&lt;&gt;"",T2329&lt;&gt;""),IF(V2329=MONAT!$AZ$3,1,0),0)</f>
        <v/>
      </c>
    </row>
    <row r="2330">
      <c r="A2330" s="19" t="n"/>
      <c r="B2330" s="20">
        <f>IF(A2330="","",CHOOSE(WEEKDAY(A2330,2),"Mo","Di","Mi","Do","Fr","Sa","So"))</f>
        <v/>
      </c>
      <c r="C2330" s="20">
        <f>IF(A2330="","",INT((A2330-DATE(YEAR(A2330-WEEKDAY(A2330-1)+4),1,3)+WEEKDAY(DATE(YEAR(A2330-WEEKDAY(A2330-1)+4),1,3))+5)/7))</f>
        <v/>
      </c>
      <c r="D2330" s="21" t="n"/>
      <c r="E2330" s="22" t="n"/>
      <c r="F2330" s="23" t="n"/>
      <c r="G2330" s="23" t="n"/>
      <c r="H2330" s="23" t="n"/>
      <c r="I2330" s="20">
        <f>IF(COUNT(F2330:H2330)=0,"",SUM(F2330:H2330))</f>
        <v/>
      </c>
      <c r="J2330" s="23" t="n"/>
      <c r="K2330" s="23" t="n"/>
      <c r="L2330" s="23" t="n"/>
      <c r="M2330" s="23" t="n"/>
      <c r="N2330" s="23" t="n"/>
      <c r="O2330" s="20">
        <f>IF(OR(I2330="",COUNT(J2330:N2330)=0),"",IF(SUM(J2330:N2330)=I2330,"✓","⚠ "&amp;SUM(J2330:N2330)&amp;" statt "&amp;I2330))</f>
        <v/>
      </c>
      <c r="P2330" s="21" t="n"/>
      <c r="Q2330" s="21" t="n"/>
      <c r="R2330" s="21" t="n"/>
      <c r="S2330" s="24" t="n"/>
      <c r="T2330" s="24" t="n"/>
      <c r="V2330">
        <f>IF(A2330="","",MONTH(A2330))</f>
        <v/>
      </c>
      <c r="W2330">
        <f>N(W2329)+IF(AND(C2330&lt;&gt;"",T2330&lt;&gt;""),IF(C2330=WOCHE!$B$3,1,0),0)</f>
        <v/>
      </c>
      <c r="X2330">
        <f>N(X2329)+IF(AND(V2330&lt;&gt;"",T2330&lt;&gt;""),IF(V2330=MONAT!$AZ$3,1,0),0)</f>
        <v/>
      </c>
    </row>
    <row r="2331">
      <c r="A2331" s="19" t="n"/>
      <c r="B2331" s="20">
        <f>IF(A2331="","",CHOOSE(WEEKDAY(A2331,2),"Mo","Di","Mi","Do","Fr","Sa","So"))</f>
        <v/>
      </c>
      <c r="C2331" s="20">
        <f>IF(A2331="","",INT((A2331-DATE(YEAR(A2331-WEEKDAY(A2331-1)+4),1,3)+WEEKDAY(DATE(YEAR(A2331-WEEKDAY(A2331-1)+4),1,3))+5)/7))</f>
        <v/>
      </c>
      <c r="D2331" s="21" t="n"/>
      <c r="E2331" s="22" t="n"/>
      <c r="F2331" s="23" t="n"/>
      <c r="G2331" s="23" t="n"/>
      <c r="H2331" s="23" t="n"/>
      <c r="I2331" s="20">
        <f>IF(COUNT(F2331:H2331)=0,"",SUM(F2331:H2331))</f>
        <v/>
      </c>
      <c r="J2331" s="23" t="n"/>
      <c r="K2331" s="23" t="n"/>
      <c r="L2331" s="23" t="n"/>
      <c r="M2331" s="23" t="n"/>
      <c r="N2331" s="23" t="n"/>
      <c r="O2331" s="20">
        <f>IF(OR(I2331="",COUNT(J2331:N2331)=0),"",IF(SUM(J2331:N2331)=I2331,"✓","⚠ "&amp;SUM(J2331:N2331)&amp;" statt "&amp;I2331))</f>
        <v/>
      </c>
      <c r="P2331" s="21" t="n"/>
      <c r="Q2331" s="21" t="n"/>
      <c r="R2331" s="21" t="n"/>
      <c r="S2331" s="24" t="n"/>
      <c r="T2331" s="24" t="n"/>
      <c r="V2331">
        <f>IF(A2331="","",MONTH(A2331))</f>
        <v/>
      </c>
      <c r="W2331">
        <f>N(W2330)+IF(AND(C2331&lt;&gt;"",T2331&lt;&gt;""),IF(C2331=WOCHE!$B$3,1,0),0)</f>
        <v/>
      </c>
      <c r="X2331">
        <f>N(X2330)+IF(AND(V2331&lt;&gt;"",T2331&lt;&gt;""),IF(V2331=MONAT!$AZ$3,1,0),0)</f>
        <v/>
      </c>
    </row>
    <row r="2332">
      <c r="A2332" s="19" t="n"/>
      <c r="B2332" s="20">
        <f>IF(A2332="","",CHOOSE(WEEKDAY(A2332,2),"Mo","Di","Mi","Do","Fr","Sa","So"))</f>
        <v/>
      </c>
      <c r="C2332" s="20">
        <f>IF(A2332="","",INT((A2332-DATE(YEAR(A2332-WEEKDAY(A2332-1)+4),1,3)+WEEKDAY(DATE(YEAR(A2332-WEEKDAY(A2332-1)+4),1,3))+5)/7))</f>
        <v/>
      </c>
      <c r="D2332" s="21" t="n"/>
      <c r="E2332" s="22" t="n"/>
      <c r="F2332" s="23" t="n"/>
      <c r="G2332" s="23" t="n"/>
      <c r="H2332" s="23" t="n"/>
      <c r="I2332" s="20">
        <f>IF(COUNT(F2332:H2332)=0,"",SUM(F2332:H2332))</f>
        <v/>
      </c>
      <c r="J2332" s="23" t="n"/>
      <c r="K2332" s="23" t="n"/>
      <c r="L2332" s="23" t="n"/>
      <c r="M2332" s="23" t="n"/>
      <c r="N2332" s="23" t="n"/>
      <c r="O2332" s="20">
        <f>IF(OR(I2332="",COUNT(J2332:N2332)=0),"",IF(SUM(J2332:N2332)=I2332,"✓","⚠ "&amp;SUM(J2332:N2332)&amp;" statt "&amp;I2332))</f>
        <v/>
      </c>
      <c r="P2332" s="21" t="n"/>
      <c r="Q2332" s="21" t="n"/>
      <c r="R2332" s="21" t="n"/>
      <c r="S2332" s="24" t="n"/>
      <c r="T2332" s="24" t="n"/>
      <c r="V2332">
        <f>IF(A2332="","",MONTH(A2332))</f>
        <v/>
      </c>
      <c r="W2332">
        <f>N(W2331)+IF(AND(C2332&lt;&gt;"",T2332&lt;&gt;""),IF(C2332=WOCHE!$B$3,1,0),0)</f>
        <v/>
      </c>
      <c r="X2332">
        <f>N(X2331)+IF(AND(V2332&lt;&gt;"",T2332&lt;&gt;""),IF(V2332=MONAT!$AZ$3,1,0),0)</f>
        <v/>
      </c>
    </row>
    <row r="2333">
      <c r="A2333" s="19" t="n"/>
      <c r="B2333" s="20">
        <f>IF(A2333="","",CHOOSE(WEEKDAY(A2333,2),"Mo","Di","Mi","Do","Fr","Sa","So"))</f>
        <v/>
      </c>
      <c r="C2333" s="20">
        <f>IF(A2333="","",INT((A2333-DATE(YEAR(A2333-WEEKDAY(A2333-1)+4),1,3)+WEEKDAY(DATE(YEAR(A2333-WEEKDAY(A2333-1)+4),1,3))+5)/7))</f>
        <v/>
      </c>
      <c r="D2333" s="21" t="n"/>
      <c r="E2333" s="22" t="n"/>
      <c r="F2333" s="23" t="n"/>
      <c r="G2333" s="23" t="n"/>
      <c r="H2333" s="23" t="n"/>
      <c r="I2333" s="20">
        <f>IF(COUNT(F2333:H2333)=0,"",SUM(F2333:H2333))</f>
        <v/>
      </c>
      <c r="J2333" s="23" t="n"/>
      <c r="K2333" s="23" t="n"/>
      <c r="L2333" s="23" t="n"/>
      <c r="M2333" s="23" t="n"/>
      <c r="N2333" s="23" t="n"/>
      <c r="O2333" s="20">
        <f>IF(OR(I2333="",COUNT(J2333:N2333)=0),"",IF(SUM(J2333:N2333)=I2333,"✓","⚠ "&amp;SUM(J2333:N2333)&amp;" statt "&amp;I2333))</f>
        <v/>
      </c>
      <c r="P2333" s="21" t="n"/>
      <c r="Q2333" s="21" t="n"/>
      <c r="R2333" s="21" t="n"/>
      <c r="S2333" s="24" t="n"/>
      <c r="T2333" s="24" t="n"/>
      <c r="V2333">
        <f>IF(A2333="","",MONTH(A2333))</f>
        <v/>
      </c>
      <c r="W2333">
        <f>N(W2332)+IF(AND(C2333&lt;&gt;"",T2333&lt;&gt;""),IF(C2333=WOCHE!$B$3,1,0),0)</f>
        <v/>
      </c>
      <c r="X2333">
        <f>N(X2332)+IF(AND(V2333&lt;&gt;"",T2333&lt;&gt;""),IF(V2333=MONAT!$AZ$3,1,0),0)</f>
        <v/>
      </c>
    </row>
    <row r="2334">
      <c r="A2334" s="19" t="n"/>
      <c r="B2334" s="20">
        <f>IF(A2334="","",CHOOSE(WEEKDAY(A2334,2),"Mo","Di","Mi","Do","Fr","Sa","So"))</f>
        <v/>
      </c>
      <c r="C2334" s="20">
        <f>IF(A2334="","",INT((A2334-DATE(YEAR(A2334-WEEKDAY(A2334-1)+4),1,3)+WEEKDAY(DATE(YEAR(A2334-WEEKDAY(A2334-1)+4),1,3))+5)/7))</f>
        <v/>
      </c>
      <c r="D2334" s="21" t="n"/>
      <c r="E2334" s="22" t="n"/>
      <c r="F2334" s="23" t="n"/>
      <c r="G2334" s="23" t="n"/>
      <c r="H2334" s="23" t="n"/>
      <c r="I2334" s="20">
        <f>IF(COUNT(F2334:H2334)=0,"",SUM(F2334:H2334))</f>
        <v/>
      </c>
      <c r="J2334" s="23" t="n"/>
      <c r="K2334" s="23" t="n"/>
      <c r="L2334" s="23" t="n"/>
      <c r="M2334" s="23" t="n"/>
      <c r="N2334" s="23" t="n"/>
      <c r="O2334" s="20">
        <f>IF(OR(I2334="",COUNT(J2334:N2334)=0),"",IF(SUM(J2334:N2334)=I2334,"✓","⚠ "&amp;SUM(J2334:N2334)&amp;" statt "&amp;I2334))</f>
        <v/>
      </c>
      <c r="P2334" s="21" t="n"/>
      <c r="Q2334" s="21" t="n"/>
      <c r="R2334" s="21" t="n"/>
      <c r="S2334" s="24" t="n"/>
      <c r="T2334" s="24" t="n"/>
      <c r="V2334">
        <f>IF(A2334="","",MONTH(A2334))</f>
        <v/>
      </c>
      <c r="W2334">
        <f>N(W2333)+IF(AND(C2334&lt;&gt;"",T2334&lt;&gt;""),IF(C2334=WOCHE!$B$3,1,0),0)</f>
        <v/>
      </c>
      <c r="X2334">
        <f>N(X2333)+IF(AND(V2334&lt;&gt;"",T2334&lt;&gt;""),IF(V2334=MONAT!$AZ$3,1,0),0)</f>
        <v/>
      </c>
    </row>
    <row r="2335">
      <c r="A2335" s="19" t="n"/>
      <c r="B2335" s="20">
        <f>IF(A2335="","",CHOOSE(WEEKDAY(A2335,2),"Mo","Di","Mi","Do","Fr","Sa","So"))</f>
        <v/>
      </c>
      <c r="C2335" s="20">
        <f>IF(A2335="","",INT((A2335-DATE(YEAR(A2335-WEEKDAY(A2335-1)+4),1,3)+WEEKDAY(DATE(YEAR(A2335-WEEKDAY(A2335-1)+4),1,3))+5)/7))</f>
        <v/>
      </c>
      <c r="D2335" s="21" t="n"/>
      <c r="E2335" s="22" t="n"/>
      <c r="F2335" s="23" t="n"/>
      <c r="G2335" s="23" t="n"/>
      <c r="H2335" s="23" t="n"/>
      <c r="I2335" s="20">
        <f>IF(COUNT(F2335:H2335)=0,"",SUM(F2335:H2335))</f>
        <v/>
      </c>
      <c r="J2335" s="23" t="n"/>
      <c r="K2335" s="23" t="n"/>
      <c r="L2335" s="23" t="n"/>
      <c r="M2335" s="23" t="n"/>
      <c r="N2335" s="23" t="n"/>
      <c r="O2335" s="20">
        <f>IF(OR(I2335="",COUNT(J2335:N2335)=0),"",IF(SUM(J2335:N2335)=I2335,"✓","⚠ "&amp;SUM(J2335:N2335)&amp;" statt "&amp;I2335))</f>
        <v/>
      </c>
      <c r="P2335" s="21" t="n"/>
      <c r="Q2335" s="21" t="n"/>
      <c r="R2335" s="21" t="n"/>
      <c r="S2335" s="24" t="n"/>
      <c r="T2335" s="24" t="n"/>
      <c r="V2335">
        <f>IF(A2335="","",MONTH(A2335))</f>
        <v/>
      </c>
      <c r="W2335">
        <f>N(W2334)+IF(AND(C2335&lt;&gt;"",T2335&lt;&gt;""),IF(C2335=WOCHE!$B$3,1,0),0)</f>
        <v/>
      </c>
      <c r="X2335">
        <f>N(X2334)+IF(AND(V2335&lt;&gt;"",T2335&lt;&gt;""),IF(V2335=MONAT!$AZ$3,1,0),0)</f>
        <v/>
      </c>
    </row>
    <row r="2336">
      <c r="A2336" s="19" t="n"/>
      <c r="B2336" s="20">
        <f>IF(A2336="","",CHOOSE(WEEKDAY(A2336,2),"Mo","Di","Mi","Do","Fr","Sa","So"))</f>
        <v/>
      </c>
      <c r="C2336" s="20">
        <f>IF(A2336="","",INT((A2336-DATE(YEAR(A2336-WEEKDAY(A2336-1)+4),1,3)+WEEKDAY(DATE(YEAR(A2336-WEEKDAY(A2336-1)+4),1,3))+5)/7))</f>
        <v/>
      </c>
      <c r="D2336" s="21" t="n"/>
      <c r="E2336" s="22" t="n"/>
      <c r="F2336" s="23" t="n"/>
      <c r="G2336" s="23" t="n"/>
      <c r="H2336" s="23" t="n"/>
      <c r="I2336" s="20">
        <f>IF(COUNT(F2336:H2336)=0,"",SUM(F2336:H2336))</f>
        <v/>
      </c>
      <c r="J2336" s="23" t="n"/>
      <c r="K2336" s="23" t="n"/>
      <c r="L2336" s="23" t="n"/>
      <c r="M2336" s="23" t="n"/>
      <c r="N2336" s="23" t="n"/>
      <c r="O2336" s="20">
        <f>IF(OR(I2336="",COUNT(J2336:N2336)=0),"",IF(SUM(J2336:N2336)=I2336,"✓","⚠ "&amp;SUM(J2336:N2336)&amp;" statt "&amp;I2336))</f>
        <v/>
      </c>
      <c r="P2336" s="21" t="n"/>
      <c r="Q2336" s="21" t="n"/>
      <c r="R2336" s="21" t="n"/>
      <c r="S2336" s="24" t="n"/>
      <c r="T2336" s="24" t="n"/>
      <c r="V2336">
        <f>IF(A2336="","",MONTH(A2336))</f>
        <v/>
      </c>
      <c r="W2336">
        <f>N(W2335)+IF(AND(C2336&lt;&gt;"",T2336&lt;&gt;""),IF(C2336=WOCHE!$B$3,1,0),0)</f>
        <v/>
      </c>
      <c r="X2336">
        <f>N(X2335)+IF(AND(V2336&lt;&gt;"",T2336&lt;&gt;""),IF(V2336=MONAT!$AZ$3,1,0),0)</f>
        <v/>
      </c>
    </row>
    <row r="2337">
      <c r="A2337" s="19" t="n"/>
      <c r="B2337" s="20">
        <f>IF(A2337="","",CHOOSE(WEEKDAY(A2337,2),"Mo","Di","Mi","Do","Fr","Sa","So"))</f>
        <v/>
      </c>
      <c r="C2337" s="20">
        <f>IF(A2337="","",INT((A2337-DATE(YEAR(A2337-WEEKDAY(A2337-1)+4),1,3)+WEEKDAY(DATE(YEAR(A2337-WEEKDAY(A2337-1)+4),1,3))+5)/7))</f>
        <v/>
      </c>
      <c r="D2337" s="21" t="n"/>
      <c r="E2337" s="22" t="n"/>
      <c r="F2337" s="23" t="n"/>
      <c r="G2337" s="23" t="n"/>
      <c r="H2337" s="23" t="n"/>
      <c r="I2337" s="20">
        <f>IF(COUNT(F2337:H2337)=0,"",SUM(F2337:H2337))</f>
        <v/>
      </c>
      <c r="J2337" s="23" t="n"/>
      <c r="K2337" s="23" t="n"/>
      <c r="L2337" s="23" t="n"/>
      <c r="M2337" s="23" t="n"/>
      <c r="N2337" s="23" t="n"/>
      <c r="O2337" s="20">
        <f>IF(OR(I2337="",COUNT(J2337:N2337)=0),"",IF(SUM(J2337:N2337)=I2337,"✓","⚠ "&amp;SUM(J2337:N2337)&amp;" statt "&amp;I2337))</f>
        <v/>
      </c>
      <c r="P2337" s="21" t="n"/>
      <c r="Q2337" s="21" t="n"/>
      <c r="R2337" s="21" t="n"/>
      <c r="S2337" s="24" t="n"/>
      <c r="T2337" s="24" t="n"/>
      <c r="V2337">
        <f>IF(A2337="","",MONTH(A2337))</f>
        <v/>
      </c>
      <c r="W2337">
        <f>N(W2336)+IF(AND(C2337&lt;&gt;"",T2337&lt;&gt;""),IF(C2337=WOCHE!$B$3,1,0),0)</f>
        <v/>
      </c>
      <c r="X2337">
        <f>N(X2336)+IF(AND(V2337&lt;&gt;"",T2337&lt;&gt;""),IF(V2337=MONAT!$AZ$3,1,0),0)</f>
        <v/>
      </c>
    </row>
    <row r="2338">
      <c r="A2338" s="19" t="n"/>
      <c r="B2338" s="20">
        <f>IF(A2338="","",CHOOSE(WEEKDAY(A2338,2),"Mo","Di","Mi","Do","Fr","Sa","So"))</f>
        <v/>
      </c>
      <c r="C2338" s="20">
        <f>IF(A2338="","",INT((A2338-DATE(YEAR(A2338-WEEKDAY(A2338-1)+4),1,3)+WEEKDAY(DATE(YEAR(A2338-WEEKDAY(A2338-1)+4),1,3))+5)/7))</f>
        <v/>
      </c>
      <c r="D2338" s="21" t="n"/>
      <c r="E2338" s="22" t="n"/>
      <c r="F2338" s="23" t="n"/>
      <c r="G2338" s="23" t="n"/>
      <c r="H2338" s="23" t="n"/>
      <c r="I2338" s="20">
        <f>IF(COUNT(F2338:H2338)=0,"",SUM(F2338:H2338))</f>
        <v/>
      </c>
      <c r="J2338" s="23" t="n"/>
      <c r="K2338" s="23" t="n"/>
      <c r="L2338" s="23" t="n"/>
      <c r="M2338" s="23" t="n"/>
      <c r="N2338" s="23" t="n"/>
      <c r="O2338" s="20">
        <f>IF(OR(I2338="",COUNT(J2338:N2338)=0),"",IF(SUM(J2338:N2338)=I2338,"✓","⚠ "&amp;SUM(J2338:N2338)&amp;" statt "&amp;I2338))</f>
        <v/>
      </c>
      <c r="P2338" s="21" t="n"/>
      <c r="Q2338" s="21" t="n"/>
      <c r="R2338" s="21" t="n"/>
      <c r="S2338" s="24" t="n"/>
      <c r="T2338" s="24" t="n"/>
      <c r="V2338">
        <f>IF(A2338="","",MONTH(A2338))</f>
        <v/>
      </c>
      <c r="W2338">
        <f>N(W2337)+IF(AND(C2338&lt;&gt;"",T2338&lt;&gt;""),IF(C2338=WOCHE!$B$3,1,0),0)</f>
        <v/>
      </c>
      <c r="X2338">
        <f>N(X2337)+IF(AND(V2338&lt;&gt;"",T2338&lt;&gt;""),IF(V2338=MONAT!$AZ$3,1,0),0)</f>
        <v/>
      </c>
    </row>
    <row r="2339">
      <c r="A2339" s="19" t="n"/>
      <c r="B2339" s="20">
        <f>IF(A2339="","",CHOOSE(WEEKDAY(A2339,2),"Mo","Di","Mi","Do","Fr","Sa","So"))</f>
        <v/>
      </c>
      <c r="C2339" s="20">
        <f>IF(A2339="","",INT((A2339-DATE(YEAR(A2339-WEEKDAY(A2339-1)+4),1,3)+WEEKDAY(DATE(YEAR(A2339-WEEKDAY(A2339-1)+4),1,3))+5)/7))</f>
        <v/>
      </c>
      <c r="D2339" s="21" t="n"/>
      <c r="E2339" s="22" t="n"/>
      <c r="F2339" s="23" t="n"/>
      <c r="G2339" s="23" t="n"/>
      <c r="H2339" s="23" t="n"/>
      <c r="I2339" s="20">
        <f>IF(COUNT(F2339:H2339)=0,"",SUM(F2339:H2339))</f>
        <v/>
      </c>
      <c r="J2339" s="23" t="n"/>
      <c r="K2339" s="23" t="n"/>
      <c r="L2339" s="23" t="n"/>
      <c r="M2339" s="23" t="n"/>
      <c r="N2339" s="23" t="n"/>
      <c r="O2339" s="20">
        <f>IF(OR(I2339="",COUNT(J2339:N2339)=0),"",IF(SUM(J2339:N2339)=I2339,"✓","⚠ "&amp;SUM(J2339:N2339)&amp;" statt "&amp;I2339))</f>
        <v/>
      </c>
      <c r="P2339" s="21" t="n"/>
      <c r="Q2339" s="21" t="n"/>
      <c r="R2339" s="21" t="n"/>
      <c r="S2339" s="24" t="n"/>
      <c r="T2339" s="24" t="n"/>
      <c r="V2339">
        <f>IF(A2339="","",MONTH(A2339))</f>
        <v/>
      </c>
      <c r="W2339">
        <f>N(W2338)+IF(AND(C2339&lt;&gt;"",T2339&lt;&gt;""),IF(C2339=WOCHE!$B$3,1,0),0)</f>
        <v/>
      </c>
      <c r="X2339">
        <f>N(X2338)+IF(AND(V2339&lt;&gt;"",T2339&lt;&gt;""),IF(V2339=MONAT!$AZ$3,1,0),0)</f>
        <v/>
      </c>
    </row>
    <row r="2340">
      <c r="A2340" s="19" t="n"/>
      <c r="B2340" s="20">
        <f>IF(A2340="","",CHOOSE(WEEKDAY(A2340,2),"Mo","Di","Mi","Do","Fr","Sa","So"))</f>
        <v/>
      </c>
      <c r="C2340" s="20">
        <f>IF(A2340="","",INT((A2340-DATE(YEAR(A2340-WEEKDAY(A2340-1)+4),1,3)+WEEKDAY(DATE(YEAR(A2340-WEEKDAY(A2340-1)+4),1,3))+5)/7))</f>
        <v/>
      </c>
      <c r="D2340" s="21" t="n"/>
      <c r="E2340" s="22" t="n"/>
      <c r="F2340" s="23" t="n"/>
      <c r="G2340" s="23" t="n"/>
      <c r="H2340" s="23" t="n"/>
      <c r="I2340" s="20">
        <f>IF(COUNT(F2340:H2340)=0,"",SUM(F2340:H2340))</f>
        <v/>
      </c>
      <c r="J2340" s="23" t="n"/>
      <c r="K2340" s="23" t="n"/>
      <c r="L2340" s="23" t="n"/>
      <c r="M2340" s="23" t="n"/>
      <c r="N2340" s="23" t="n"/>
      <c r="O2340" s="20">
        <f>IF(OR(I2340="",COUNT(J2340:N2340)=0),"",IF(SUM(J2340:N2340)=I2340,"✓","⚠ "&amp;SUM(J2340:N2340)&amp;" statt "&amp;I2340))</f>
        <v/>
      </c>
      <c r="P2340" s="21" t="n"/>
      <c r="Q2340" s="21" t="n"/>
      <c r="R2340" s="21" t="n"/>
      <c r="S2340" s="24" t="n"/>
      <c r="T2340" s="24" t="n"/>
      <c r="V2340">
        <f>IF(A2340="","",MONTH(A2340))</f>
        <v/>
      </c>
      <c r="W2340">
        <f>N(W2339)+IF(AND(C2340&lt;&gt;"",T2340&lt;&gt;""),IF(C2340=WOCHE!$B$3,1,0),0)</f>
        <v/>
      </c>
      <c r="X2340">
        <f>N(X2339)+IF(AND(V2340&lt;&gt;"",T2340&lt;&gt;""),IF(V2340=MONAT!$AZ$3,1,0),0)</f>
        <v/>
      </c>
    </row>
    <row r="2341">
      <c r="A2341" s="19" t="n"/>
      <c r="B2341" s="20">
        <f>IF(A2341="","",CHOOSE(WEEKDAY(A2341,2),"Mo","Di","Mi","Do","Fr","Sa","So"))</f>
        <v/>
      </c>
      <c r="C2341" s="20">
        <f>IF(A2341="","",INT((A2341-DATE(YEAR(A2341-WEEKDAY(A2341-1)+4),1,3)+WEEKDAY(DATE(YEAR(A2341-WEEKDAY(A2341-1)+4),1,3))+5)/7))</f>
        <v/>
      </c>
      <c r="D2341" s="21" t="n"/>
      <c r="E2341" s="22" t="n"/>
      <c r="F2341" s="23" t="n"/>
      <c r="G2341" s="23" t="n"/>
      <c r="H2341" s="23" t="n"/>
      <c r="I2341" s="20">
        <f>IF(COUNT(F2341:H2341)=0,"",SUM(F2341:H2341))</f>
        <v/>
      </c>
      <c r="J2341" s="23" t="n"/>
      <c r="K2341" s="23" t="n"/>
      <c r="L2341" s="23" t="n"/>
      <c r="M2341" s="23" t="n"/>
      <c r="N2341" s="23" t="n"/>
      <c r="O2341" s="20">
        <f>IF(OR(I2341="",COUNT(J2341:N2341)=0),"",IF(SUM(J2341:N2341)=I2341,"✓","⚠ "&amp;SUM(J2341:N2341)&amp;" statt "&amp;I2341))</f>
        <v/>
      </c>
      <c r="P2341" s="21" t="n"/>
      <c r="Q2341" s="21" t="n"/>
      <c r="R2341" s="21" t="n"/>
      <c r="S2341" s="24" t="n"/>
      <c r="T2341" s="24" t="n"/>
      <c r="V2341">
        <f>IF(A2341="","",MONTH(A2341))</f>
        <v/>
      </c>
      <c r="W2341">
        <f>N(W2340)+IF(AND(C2341&lt;&gt;"",T2341&lt;&gt;""),IF(C2341=WOCHE!$B$3,1,0),0)</f>
        <v/>
      </c>
      <c r="X2341">
        <f>N(X2340)+IF(AND(V2341&lt;&gt;"",T2341&lt;&gt;""),IF(V2341=MONAT!$AZ$3,1,0),0)</f>
        <v/>
      </c>
    </row>
    <row r="2342">
      <c r="A2342" s="19" t="n"/>
      <c r="B2342" s="20">
        <f>IF(A2342="","",CHOOSE(WEEKDAY(A2342,2),"Mo","Di","Mi","Do","Fr","Sa","So"))</f>
        <v/>
      </c>
      <c r="C2342" s="20">
        <f>IF(A2342="","",INT((A2342-DATE(YEAR(A2342-WEEKDAY(A2342-1)+4),1,3)+WEEKDAY(DATE(YEAR(A2342-WEEKDAY(A2342-1)+4),1,3))+5)/7))</f>
        <v/>
      </c>
      <c r="D2342" s="21" t="n"/>
      <c r="E2342" s="22" t="n"/>
      <c r="F2342" s="23" t="n"/>
      <c r="G2342" s="23" t="n"/>
      <c r="H2342" s="23" t="n"/>
      <c r="I2342" s="20">
        <f>IF(COUNT(F2342:H2342)=0,"",SUM(F2342:H2342))</f>
        <v/>
      </c>
      <c r="J2342" s="23" t="n"/>
      <c r="K2342" s="23" t="n"/>
      <c r="L2342" s="23" t="n"/>
      <c r="M2342" s="23" t="n"/>
      <c r="N2342" s="23" t="n"/>
      <c r="O2342" s="20">
        <f>IF(OR(I2342="",COUNT(J2342:N2342)=0),"",IF(SUM(J2342:N2342)=I2342,"✓","⚠ "&amp;SUM(J2342:N2342)&amp;" statt "&amp;I2342))</f>
        <v/>
      </c>
      <c r="P2342" s="21" t="n"/>
      <c r="Q2342" s="21" t="n"/>
      <c r="R2342" s="21" t="n"/>
      <c r="S2342" s="24" t="n"/>
      <c r="T2342" s="24" t="n"/>
      <c r="V2342">
        <f>IF(A2342="","",MONTH(A2342))</f>
        <v/>
      </c>
      <c r="W2342">
        <f>N(W2341)+IF(AND(C2342&lt;&gt;"",T2342&lt;&gt;""),IF(C2342=WOCHE!$B$3,1,0),0)</f>
        <v/>
      </c>
      <c r="X2342">
        <f>N(X2341)+IF(AND(V2342&lt;&gt;"",T2342&lt;&gt;""),IF(V2342=MONAT!$AZ$3,1,0),0)</f>
        <v/>
      </c>
    </row>
    <row r="2343">
      <c r="A2343" s="19" t="n"/>
      <c r="B2343" s="20">
        <f>IF(A2343="","",CHOOSE(WEEKDAY(A2343,2),"Mo","Di","Mi","Do","Fr","Sa","So"))</f>
        <v/>
      </c>
      <c r="C2343" s="20">
        <f>IF(A2343="","",INT((A2343-DATE(YEAR(A2343-WEEKDAY(A2343-1)+4),1,3)+WEEKDAY(DATE(YEAR(A2343-WEEKDAY(A2343-1)+4),1,3))+5)/7))</f>
        <v/>
      </c>
      <c r="D2343" s="21" t="n"/>
      <c r="E2343" s="22" t="n"/>
      <c r="F2343" s="23" t="n"/>
      <c r="G2343" s="23" t="n"/>
      <c r="H2343" s="23" t="n"/>
      <c r="I2343" s="20">
        <f>IF(COUNT(F2343:H2343)=0,"",SUM(F2343:H2343))</f>
        <v/>
      </c>
      <c r="J2343" s="23" t="n"/>
      <c r="K2343" s="23" t="n"/>
      <c r="L2343" s="23" t="n"/>
      <c r="M2343" s="23" t="n"/>
      <c r="N2343" s="23" t="n"/>
      <c r="O2343" s="20">
        <f>IF(OR(I2343="",COUNT(J2343:N2343)=0),"",IF(SUM(J2343:N2343)=I2343,"✓","⚠ "&amp;SUM(J2343:N2343)&amp;" statt "&amp;I2343))</f>
        <v/>
      </c>
      <c r="P2343" s="21" t="n"/>
      <c r="Q2343" s="21" t="n"/>
      <c r="R2343" s="21" t="n"/>
      <c r="S2343" s="24" t="n"/>
      <c r="T2343" s="24" t="n"/>
      <c r="V2343">
        <f>IF(A2343="","",MONTH(A2343))</f>
        <v/>
      </c>
      <c r="W2343">
        <f>N(W2342)+IF(AND(C2343&lt;&gt;"",T2343&lt;&gt;""),IF(C2343=WOCHE!$B$3,1,0),0)</f>
        <v/>
      </c>
      <c r="X2343">
        <f>N(X2342)+IF(AND(V2343&lt;&gt;"",T2343&lt;&gt;""),IF(V2343=MONAT!$AZ$3,1,0),0)</f>
        <v/>
      </c>
    </row>
    <row r="2344">
      <c r="A2344" s="19" t="n"/>
      <c r="B2344" s="20">
        <f>IF(A2344="","",CHOOSE(WEEKDAY(A2344,2),"Mo","Di","Mi","Do","Fr","Sa","So"))</f>
        <v/>
      </c>
      <c r="C2344" s="20">
        <f>IF(A2344="","",INT((A2344-DATE(YEAR(A2344-WEEKDAY(A2344-1)+4),1,3)+WEEKDAY(DATE(YEAR(A2344-WEEKDAY(A2344-1)+4),1,3))+5)/7))</f>
        <v/>
      </c>
      <c r="D2344" s="21" t="n"/>
      <c r="E2344" s="22" t="n"/>
      <c r="F2344" s="23" t="n"/>
      <c r="G2344" s="23" t="n"/>
      <c r="H2344" s="23" t="n"/>
      <c r="I2344" s="20">
        <f>IF(COUNT(F2344:H2344)=0,"",SUM(F2344:H2344))</f>
        <v/>
      </c>
      <c r="J2344" s="23" t="n"/>
      <c r="K2344" s="23" t="n"/>
      <c r="L2344" s="23" t="n"/>
      <c r="M2344" s="23" t="n"/>
      <c r="N2344" s="23" t="n"/>
      <c r="O2344" s="20">
        <f>IF(OR(I2344="",COUNT(J2344:N2344)=0),"",IF(SUM(J2344:N2344)=I2344,"✓","⚠ "&amp;SUM(J2344:N2344)&amp;" statt "&amp;I2344))</f>
        <v/>
      </c>
      <c r="P2344" s="21" t="n"/>
      <c r="Q2344" s="21" t="n"/>
      <c r="R2344" s="21" t="n"/>
      <c r="S2344" s="24" t="n"/>
      <c r="T2344" s="24" t="n"/>
      <c r="V2344">
        <f>IF(A2344="","",MONTH(A2344))</f>
        <v/>
      </c>
      <c r="W2344">
        <f>N(W2343)+IF(AND(C2344&lt;&gt;"",T2344&lt;&gt;""),IF(C2344=WOCHE!$B$3,1,0),0)</f>
        <v/>
      </c>
      <c r="X2344">
        <f>N(X2343)+IF(AND(V2344&lt;&gt;"",T2344&lt;&gt;""),IF(V2344=MONAT!$AZ$3,1,0),0)</f>
        <v/>
      </c>
    </row>
    <row r="2345">
      <c r="A2345" s="19" t="n"/>
      <c r="B2345" s="20">
        <f>IF(A2345="","",CHOOSE(WEEKDAY(A2345,2),"Mo","Di","Mi","Do","Fr","Sa","So"))</f>
        <v/>
      </c>
      <c r="C2345" s="20">
        <f>IF(A2345="","",INT((A2345-DATE(YEAR(A2345-WEEKDAY(A2345-1)+4),1,3)+WEEKDAY(DATE(YEAR(A2345-WEEKDAY(A2345-1)+4),1,3))+5)/7))</f>
        <v/>
      </c>
      <c r="D2345" s="21" t="n"/>
      <c r="E2345" s="22" t="n"/>
      <c r="F2345" s="23" t="n"/>
      <c r="G2345" s="23" t="n"/>
      <c r="H2345" s="23" t="n"/>
      <c r="I2345" s="20">
        <f>IF(COUNT(F2345:H2345)=0,"",SUM(F2345:H2345))</f>
        <v/>
      </c>
      <c r="J2345" s="23" t="n"/>
      <c r="K2345" s="23" t="n"/>
      <c r="L2345" s="23" t="n"/>
      <c r="M2345" s="23" t="n"/>
      <c r="N2345" s="23" t="n"/>
      <c r="O2345" s="20">
        <f>IF(OR(I2345="",COUNT(J2345:N2345)=0),"",IF(SUM(J2345:N2345)=I2345,"✓","⚠ "&amp;SUM(J2345:N2345)&amp;" statt "&amp;I2345))</f>
        <v/>
      </c>
      <c r="P2345" s="21" t="n"/>
      <c r="Q2345" s="21" t="n"/>
      <c r="R2345" s="21" t="n"/>
      <c r="S2345" s="24" t="n"/>
      <c r="T2345" s="24" t="n"/>
      <c r="V2345">
        <f>IF(A2345="","",MONTH(A2345))</f>
        <v/>
      </c>
      <c r="W2345">
        <f>N(W2344)+IF(AND(C2345&lt;&gt;"",T2345&lt;&gt;""),IF(C2345=WOCHE!$B$3,1,0),0)</f>
        <v/>
      </c>
      <c r="X2345">
        <f>N(X2344)+IF(AND(V2345&lt;&gt;"",T2345&lt;&gt;""),IF(V2345=MONAT!$AZ$3,1,0),0)</f>
        <v/>
      </c>
    </row>
    <row r="2346">
      <c r="A2346" s="19" t="n"/>
      <c r="B2346" s="20">
        <f>IF(A2346="","",CHOOSE(WEEKDAY(A2346,2),"Mo","Di","Mi","Do","Fr","Sa","So"))</f>
        <v/>
      </c>
      <c r="C2346" s="20">
        <f>IF(A2346="","",INT((A2346-DATE(YEAR(A2346-WEEKDAY(A2346-1)+4),1,3)+WEEKDAY(DATE(YEAR(A2346-WEEKDAY(A2346-1)+4),1,3))+5)/7))</f>
        <v/>
      </c>
      <c r="D2346" s="21" t="n"/>
      <c r="E2346" s="22" t="n"/>
      <c r="F2346" s="23" t="n"/>
      <c r="G2346" s="23" t="n"/>
      <c r="H2346" s="23" t="n"/>
      <c r="I2346" s="20">
        <f>IF(COUNT(F2346:H2346)=0,"",SUM(F2346:H2346))</f>
        <v/>
      </c>
      <c r="J2346" s="23" t="n"/>
      <c r="K2346" s="23" t="n"/>
      <c r="L2346" s="23" t="n"/>
      <c r="M2346" s="23" t="n"/>
      <c r="N2346" s="23" t="n"/>
      <c r="O2346" s="20">
        <f>IF(OR(I2346="",COUNT(J2346:N2346)=0),"",IF(SUM(J2346:N2346)=I2346,"✓","⚠ "&amp;SUM(J2346:N2346)&amp;" statt "&amp;I2346))</f>
        <v/>
      </c>
      <c r="P2346" s="21" t="n"/>
      <c r="Q2346" s="21" t="n"/>
      <c r="R2346" s="21" t="n"/>
      <c r="S2346" s="24" t="n"/>
      <c r="T2346" s="24" t="n"/>
      <c r="V2346">
        <f>IF(A2346="","",MONTH(A2346))</f>
        <v/>
      </c>
      <c r="W2346">
        <f>N(W2345)+IF(AND(C2346&lt;&gt;"",T2346&lt;&gt;""),IF(C2346=WOCHE!$B$3,1,0),0)</f>
        <v/>
      </c>
      <c r="X2346">
        <f>N(X2345)+IF(AND(V2346&lt;&gt;"",T2346&lt;&gt;""),IF(V2346=MONAT!$AZ$3,1,0),0)</f>
        <v/>
      </c>
    </row>
    <row r="2347">
      <c r="A2347" s="19" t="n"/>
      <c r="B2347" s="20">
        <f>IF(A2347="","",CHOOSE(WEEKDAY(A2347,2),"Mo","Di","Mi","Do","Fr","Sa","So"))</f>
        <v/>
      </c>
      <c r="C2347" s="20">
        <f>IF(A2347="","",INT((A2347-DATE(YEAR(A2347-WEEKDAY(A2347-1)+4),1,3)+WEEKDAY(DATE(YEAR(A2347-WEEKDAY(A2347-1)+4),1,3))+5)/7))</f>
        <v/>
      </c>
      <c r="D2347" s="21" t="n"/>
      <c r="E2347" s="22" t="n"/>
      <c r="F2347" s="23" t="n"/>
      <c r="G2347" s="23" t="n"/>
      <c r="H2347" s="23" t="n"/>
      <c r="I2347" s="20">
        <f>IF(COUNT(F2347:H2347)=0,"",SUM(F2347:H2347))</f>
        <v/>
      </c>
      <c r="J2347" s="23" t="n"/>
      <c r="K2347" s="23" t="n"/>
      <c r="L2347" s="23" t="n"/>
      <c r="M2347" s="23" t="n"/>
      <c r="N2347" s="23" t="n"/>
      <c r="O2347" s="20">
        <f>IF(OR(I2347="",COUNT(J2347:N2347)=0),"",IF(SUM(J2347:N2347)=I2347,"✓","⚠ "&amp;SUM(J2347:N2347)&amp;" statt "&amp;I2347))</f>
        <v/>
      </c>
      <c r="P2347" s="21" t="n"/>
      <c r="Q2347" s="21" t="n"/>
      <c r="R2347" s="21" t="n"/>
      <c r="S2347" s="24" t="n"/>
      <c r="T2347" s="24" t="n"/>
      <c r="V2347">
        <f>IF(A2347="","",MONTH(A2347))</f>
        <v/>
      </c>
      <c r="W2347">
        <f>N(W2346)+IF(AND(C2347&lt;&gt;"",T2347&lt;&gt;""),IF(C2347=WOCHE!$B$3,1,0),0)</f>
        <v/>
      </c>
      <c r="X2347">
        <f>N(X2346)+IF(AND(V2347&lt;&gt;"",T2347&lt;&gt;""),IF(V2347=MONAT!$AZ$3,1,0),0)</f>
        <v/>
      </c>
    </row>
    <row r="2348">
      <c r="A2348" s="19" t="n"/>
      <c r="B2348" s="20">
        <f>IF(A2348="","",CHOOSE(WEEKDAY(A2348,2),"Mo","Di","Mi","Do","Fr","Sa","So"))</f>
        <v/>
      </c>
      <c r="C2348" s="20">
        <f>IF(A2348="","",INT((A2348-DATE(YEAR(A2348-WEEKDAY(A2348-1)+4),1,3)+WEEKDAY(DATE(YEAR(A2348-WEEKDAY(A2348-1)+4),1,3))+5)/7))</f>
        <v/>
      </c>
      <c r="D2348" s="21" t="n"/>
      <c r="E2348" s="22" t="n"/>
      <c r="F2348" s="23" t="n"/>
      <c r="G2348" s="23" t="n"/>
      <c r="H2348" s="23" t="n"/>
      <c r="I2348" s="20">
        <f>IF(COUNT(F2348:H2348)=0,"",SUM(F2348:H2348))</f>
        <v/>
      </c>
      <c r="J2348" s="23" t="n"/>
      <c r="K2348" s="23" t="n"/>
      <c r="L2348" s="23" t="n"/>
      <c r="M2348" s="23" t="n"/>
      <c r="N2348" s="23" t="n"/>
      <c r="O2348" s="20">
        <f>IF(OR(I2348="",COUNT(J2348:N2348)=0),"",IF(SUM(J2348:N2348)=I2348,"✓","⚠ "&amp;SUM(J2348:N2348)&amp;" statt "&amp;I2348))</f>
        <v/>
      </c>
      <c r="P2348" s="21" t="n"/>
      <c r="Q2348" s="21" t="n"/>
      <c r="R2348" s="21" t="n"/>
      <c r="S2348" s="24" t="n"/>
      <c r="T2348" s="24" t="n"/>
      <c r="V2348">
        <f>IF(A2348="","",MONTH(A2348))</f>
        <v/>
      </c>
      <c r="W2348">
        <f>N(W2347)+IF(AND(C2348&lt;&gt;"",T2348&lt;&gt;""),IF(C2348=WOCHE!$B$3,1,0),0)</f>
        <v/>
      </c>
      <c r="X2348">
        <f>N(X2347)+IF(AND(V2348&lt;&gt;"",T2348&lt;&gt;""),IF(V2348=MONAT!$AZ$3,1,0),0)</f>
        <v/>
      </c>
    </row>
    <row r="2349">
      <c r="A2349" s="19" t="n"/>
      <c r="B2349" s="20">
        <f>IF(A2349="","",CHOOSE(WEEKDAY(A2349,2),"Mo","Di","Mi","Do","Fr","Sa","So"))</f>
        <v/>
      </c>
      <c r="C2349" s="20">
        <f>IF(A2349="","",INT((A2349-DATE(YEAR(A2349-WEEKDAY(A2349-1)+4),1,3)+WEEKDAY(DATE(YEAR(A2349-WEEKDAY(A2349-1)+4),1,3))+5)/7))</f>
        <v/>
      </c>
      <c r="D2349" s="21" t="n"/>
      <c r="E2349" s="22" t="n"/>
      <c r="F2349" s="23" t="n"/>
      <c r="G2349" s="23" t="n"/>
      <c r="H2349" s="23" t="n"/>
      <c r="I2349" s="20">
        <f>IF(COUNT(F2349:H2349)=0,"",SUM(F2349:H2349))</f>
        <v/>
      </c>
      <c r="J2349" s="23" t="n"/>
      <c r="K2349" s="23" t="n"/>
      <c r="L2349" s="23" t="n"/>
      <c r="M2349" s="23" t="n"/>
      <c r="N2349" s="23" t="n"/>
      <c r="O2349" s="20">
        <f>IF(OR(I2349="",COUNT(J2349:N2349)=0),"",IF(SUM(J2349:N2349)=I2349,"✓","⚠ "&amp;SUM(J2349:N2349)&amp;" statt "&amp;I2349))</f>
        <v/>
      </c>
      <c r="P2349" s="21" t="n"/>
      <c r="Q2349" s="21" t="n"/>
      <c r="R2349" s="21" t="n"/>
      <c r="S2349" s="24" t="n"/>
      <c r="T2349" s="24" t="n"/>
      <c r="V2349">
        <f>IF(A2349="","",MONTH(A2349))</f>
        <v/>
      </c>
      <c r="W2349">
        <f>N(W2348)+IF(AND(C2349&lt;&gt;"",T2349&lt;&gt;""),IF(C2349=WOCHE!$B$3,1,0),0)</f>
        <v/>
      </c>
      <c r="X2349">
        <f>N(X2348)+IF(AND(V2349&lt;&gt;"",T2349&lt;&gt;""),IF(V2349=MONAT!$AZ$3,1,0),0)</f>
        <v/>
      </c>
    </row>
    <row r="2350">
      <c r="A2350" s="19" t="n"/>
      <c r="B2350" s="20">
        <f>IF(A2350="","",CHOOSE(WEEKDAY(A2350,2),"Mo","Di","Mi","Do","Fr","Sa","So"))</f>
        <v/>
      </c>
      <c r="C2350" s="20">
        <f>IF(A2350="","",INT((A2350-DATE(YEAR(A2350-WEEKDAY(A2350-1)+4),1,3)+WEEKDAY(DATE(YEAR(A2350-WEEKDAY(A2350-1)+4),1,3))+5)/7))</f>
        <v/>
      </c>
      <c r="D2350" s="21" t="n"/>
      <c r="E2350" s="22" t="n"/>
      <c r="F2350" s="23" t="n"/>
      <c r="G2350" s="23" t="n"/>
      <c r="H2350" s="23" t="n"/>
      <c r="I2350" s="20">
        <f>IF(COUNT(F2350:H2350)=0,"",SUM(F2350:H2350))</f>
        <v/>
      </c>
      <c r="J2350" s="23" t="n"/>
      <c r="K2350" s="23" t="n"/>
      <c r="L2350" s="23" t="n"/>
      <c r="M2350" s="23" t="n"/>
      <c r="N2350" s="23" t="n"/>
      <c r="O2350" s="20">
        <f>IF(OR(I2350="",COUNT(J2350:N2350)=0),"",IF(SUM(J2350:N2350)=I2350,"✓","⚠ "&amp;SUM(J2350:N2350)&amp;" statt "&amp;I2350))</f>
        <v/>
      </c>
      <c r="P2350" s="21" t="n"/>
      <c r="Q2350" s="21" t="n"/>
      <c r="R2350" s="21" t="n"/>
      <c r="S2350" s="24" t="n"/>
      <c r="T2350" s="24" t="n"/>
      <c r="V2350">
        <f>IF(A2350="","",MONTH(A2350))</f>
        <v/>
      </c>
      <c r="W2350">
        <f>N(W2349)+IF(AND(C2350&lt;&gt;"",T2350&lt;&gt;""),IF(C2350=WOCHE!$B$3,1,0),0)</f>
        <v/>
      </c>
      <c r="X2350">
        <f>N(X2349)+IF(AND(V2350&lt;&gt;"",T2350&lt;&gt;""),IF(V2350=MONAT!$AZ$3,1,0),0)</f>
        <v/>
      </c>
    </row>
    <row r="2351">
      <c r="A2351" s="19" t="n"/>
      <c r="B2351" s="20">
        <f>IF(A2351="","",CHOOSE(WEEKDAY(A2351,2),"Mo","Di","Mi","Do","Fr","Sa","So"))</f>
        <v/>
      </c>
      <c r="C2351" s="20">
        <f>IF(A2351="","",INT((A2351-DATE(YEAR(A2351-WEEKDAY(A2351-1)+4),1,3)+WEEKDAY(DATE(YEAR(A2351-WEEKDAY(A2351-1)+4),1,3))+5)/7))</f>
        <v/>
      </c>
      <c r="D2351" s="21" t="n"/>
      <c r="E2351" s="22" t="n"/>
      <c r="F2351" s="23" t="n"/>
      <c r="G2351" s="23" t="n"/>
      <c r="H2351" s="23" t="n"/>
      <c r="I2351" s="20">
        <f>IF(COUNT(F2351:H2351)=0,"",SUM(F2351:H2351))</f>
        <v/>
      </c>
      <c r="J2351" s="23" t="n"/>
      <c r="K2351" s="23" t="n"/>
      <c r="L2351" s="23" t="n"/>
      <c r="M2351" s="23" t="n"/>
      <c r="N2351" s="23" t="n"/>
      <c r="O2351" s="20">
        <f>IF(OR(I2351="",COUNT(J2351:N2351)=0),"",IF(SUM(J2351:N2351)=I2351,"✓","⚠ "&amp;SUM(J2351:N2351)&amp;" statt "&amp;I2351))</f>
        <v/>
      </c>
      <c r="P2351" s="21" t="n"/>
      <c r="Q2351" s="21" t="n"/>
      <c r="R2351" s="21" t="n"/>
      <c r="S2351" s="24" t="n"/>
      <c r="T2351" s="24" t="n"/>
      <c r="V2351">
        <f>IF(A2351="","",MONTH(A2351))</f>
        <v/>
      </c>
      <c r="W2351">
        <f>N(W2350)+IF(AND(C2351&lt;&gt;"",T2351&lt;&gt;""),IF(C2351=WOCHE!$B$3,1,0),0)</f>
        <v/>
      </c>
      <c r="X2351">
        <f>N(X2350)+IF(AND(V2351&lt;&gt;"",T2351&lt;&gt;""),IF(V2351=MONAT!$AZ$3,1,0),0)</f>
        <v/>
      </c>
    </row>
    <row r="2352">
      <c r="A2352" s="19" t="n"/>
      <c r="B2352" s="20">
        <f>IF(A2352="","",CHOOSE(WEEKDAY(A2352,2),"Mo","Di","Mi","Do","Fr","Sa","So"))</f>
        <v/>
      </c>
      <c r="C2352" s="20">
        <f>IF(A2352="","",INT((A2352-DATE(YEAR(A2352-WEEKDAY(A2352-1)+4),1,3)+WEEKDAY(DATE(YEAR(A2352-WEEKDAY(A2352-1)+4),1,3))+5)/7))</f>
        <v/>
      </c>
      <c r="D2352" s="21" t="n"/>
      <c r="E2352" s="22" t="n"/>
      <c r="F2352" s="23" t="n"/>
      <c r="G2352" s="23" t="n"/>
      <c r="H2352" s="23" t="n"/>
      <c r="I2352" s="20">
        <f>IF(COUNT(F2352:H2352)=0,"",SUM(F2352:H2352))</f>
        <v/>
      </c>
      <c r="J2352" s="23" t="n"/>
      <c r="K2352" s="23" t="n"/>
      <c r="L2352" s="23" t="n"/>
      <c r="M2352" s="23" t="n"/>
      <c r="N2352" s="23" t="n"/>
      <c r="O2352" s="20">
        <f>IF(OR(I2352="",COUNT(J2352:N2352)=0),"",IF(SUM(J2352:N2352)=I2352,"✓","⚠ "&amp;SUM(J2352:N2352)&amp;" statt "&amp;I2352))</f>
        <v/>
      </c>
      <c r="P2352" s="21" t="n"/>
      <c r="Q2352" s="21" t="n"/>
      <c r="R2352" s="21" t="n"/>
      <c r="S2352" s="24" t="n"/>
      <c r="T2352" s="24" t="n"/>
      <c r="V2352">
        <f>IF(A2352="","",MONTH(A2352))</f>
        <v/>
      </c>
      <c r="W2352">
        <f>N(W2351)+IF(AND(C2352&lt;&gt;"",T2352&lt;&gt;""),IF(C2352=WOCHE!$B$3,1,0),0)</f>
        <v/>
      </c>
      <c r="X2352">
        <f>N(X2351)+IF(AND(V2352&lt;&gt;"",T2352&lt;&gt;""),IF(V2352=MONAT!$AZ$3,1,0),0)</f>
        <v/>
      </c>
    </row>
    <row r="2353">
      <c r="A2353" s="19" t="n"/>
      <c r="B2353" s="20">
        <f>IF(A2353="","",CHOOSE(WEEKDAY(A2353,2),"Mo","Di","Mi","Do","Fr","Sa","So"))</f>
        <v/>
      </c>
      <c r="C2353" s="20">
        <f>IF(A2353="","",INT((A2353-DATE(YEAR(A2353-WEEKDAY(A2353-1)+4),1,3)+WEEKDAY(DATE(YEAR(A2353-WEEKDAY(A2353-1)+4),1,3))+5)/7))</f>
        <v/>
      </c>
      <c r="D2353" s="21" t="n"/>
      <c r="E2353" s="22" t="n"/>
      <c r="F2353" s="23" t="n"/>
      <c r="G2353" s="23" t="n"/>
      <c r="H2353" s="23" t="n"/>
      <c r="I2353" s="20">
        <f>IF(COUNT(F2353:H2353)=0,"",SUM(F2353:H2353))</f>
        <v/>
      </c>
      <c r="J2353" s="23" t="n"/>
      <c r="K2353" s="23" t="n"/>
      <c r="L2353" s="23" t="n"/>
      <c r="M2353" s="23" t="n"/>
      <c r="N2353" s="23" t="n"/>
      <c r="O2353" s="20">
        <f>IF(OR(I2353="",COUNT(J2353:N2353)=0),"",IF(SUM(J2353:N2353)=I2353,"✓","⚠ "&amp;SUM(J2353:N2353)&amp;" statt "&amp;I2353))</f>
        <v/>
      </c>
      <c r="P2353" s="21" t="n"/>
      <c r="Q2353" s="21" t="n"/>
      <c r="R2353" s="21" t="n"/>
      <c r="S2353" s="24" t="n"/>
      <c r="T2353" s="24" t="n"/>
      <c r="V2353">
        <f>IF(A2353="","",MONTH(A2353))</f>
        <v/>
      </c>
      <c r="W2353">
        <f>N(W2352)+IF(AND(C2353&lt;&gt;"",T2353&lt;&gt;""),IF(C2353=WOCHE!$B$3,1,0),0)</f>
        <v/>
      </c>
      <c r="X2353">
        <f>N(X2352)+IF(AND(V2353&lt;&gt;"",T2353&lt;&gt;""),IF(V2353=MONAT!$AZ$3,1,0),0)</f>
        <v/>
      </c>
    </row>
    <row r="2354">
      <c r="A2354" s="19" t="n"/>
      <c r="B2354" s="20">
        <f>IF(A2354="","",CHOOSE(WEEKDAY(A2354,2),"Mo","Di","Mi","Do","Fr","Sa","So"))</f>
        <v/>
      </c>
      <c r="C2354" s="20">
        <f>IF(A2354="","",INT((A2354-DATE(YEAR(A2354-WEEKDAY(A2354-1)+4),1,3)+WEEKDAY(DATE(YEAR(A2354-WEEKDAY(A2354-1)+4),1,3))+5)/7))</f>
        <v/>
      </c>
      <c r="D2354" s="21" t="n"/>
      <c r="E2354" s="22" t="n"/>
      <c r="F2354" s="23" t="n"/>
      <c r="G2354" s="23" t="n"/>
      <c r="H2354" s="23" t="n"/>
      <c r="I2354" s="20">
        <f>IF(COUNT(F2354:H2354)=0,"",SUM(F2354:H2354))</f>
        <v/>
      </c>
      <c r="J2354" s="23" t="n"/>
      <c r="K2354" s="23" t="n"/>
      <c r="L2354" s="23" t="n"/>
      <c r="M2354" s="23" t="n"/>
      <c r="N2354" s="23" t="n"/>
      <c r="O2354" s="20">
        <f>IF(OR(I2354="",COUNT(J2354:N2354)=0),"",IF(SUM(J2354:N2354)=I2354,"✓","⚠ "&amp;SUM(J2354:N2354)&amp;" statt "&amp;I2354))</f>
        <v/>
      </c>
      <c r="P2354" s="21" t="n"/>
      <c r="Q2354" s="21" t="n"/>
      <c r="R2354" s="21" t="n"/>
      <c r="S2354" s="24" t="n"/>
      <c r="T2354" s="24" t="n"/>
      <c r="V2354">
        <f>IF(A2354="","",MONTH(A2354))</f>
        <v/>
      </c>
      <c r="W2354">
        <f>N(W2353)+IF(AND(C2354&lt;&gt;"",T2354&lt;&gt;""),IF(C2354=WOCHE!$B$3,1,0),0)</f>
        <v/>
      </c>
      <c r="X2354">
        <f>N(X2353)+IF(AND(V2354&lt;&gt;"",T2354&lt;&gt;""),IF(V2354=MONAT!$AZ$3,1,0),0)</f>
        <v/>
      </c>
    </row>
    <row r="2355">
      <c r="A2355" s="19" t="n"/>
      <c r="B2355" s="20">
        <f>IF(A2355="","",CHOOSE(WEEKDAY(A2355,2),"Mo","Di","Mi","Do","Fr","Sa","So"))</f>
        <v/>
      </c>
      <c r="C2355" s="20">
        <f>IF(A2355="","",INT((A2355-DATE(YEAR(A2355-WEEKDAY(A2355-1)+4),1,3)+WEEKDAY(DATE(YEAR(A2355-WEEKDAY(A2355-1)+4),1,3))+5)/7))</f>
        <v/>
      </c>
      <c r="D2355" s="21" t="n"/>
      <c r="E2355" s="22" t="n"/>
      <c r="F2355" s="23" t="n"/>
      <c r="G2355" s="23" t="n"/>
      <c r="H2355" s="23" t="n"/>
      <c r="I2355" s="20">
        <f>IF(COUNT(F2355:H2355)=0,"",SUM(F2355:H2355))</f>
        <v/>
      </c>
      <c r="J2355" s="23" t="n"/>
      <c r="K2355" s="23" t="n"/>
      <c r="L2355" s="23" t="n"/>
      <c r="M2355" s="23" t="n"/>
      <c r="N2355" s="23" t="n"/>
      <c r="O2355" s="20">
        <f>IF(OR(I2355="",COUNT(J2355:N2355)=0),"",IF(SUM(J2355:N2355)=I2355,"✓","⚠ "&amp;SUM(J2355:N2355)&amp;" statt "&amp;I2355))</f>
        <v/>
      </c>
      <c r="P2355" s="21" t="n"/>
      <c r="Q2355" s="21" t="n"/>
      <c r="R2355" s="21" t="n"/>
      <c r="S2355" s="24" t="n"/>
      <c r="T2355" s="24" t="n"/>
      <c r="V2355">
        <f>IF(A2355="","",MONTH(A2355))</f>
        <v/>
      </c>
      <c r="W2355">
        <f>N(W2354)+IF(AND(C2355&lt;&gt;"",T2355&lt;&gt;""),IF(C2355=WOCHE!$B$3,1,0),0)</f>
        <v/>
      </c>
      <c r="X2355">
        <f>N(X2354)+IF(AND(V2355&lt;&gt;"",T2355&lt;&gt;""),IF(V2355=MONAT!$AZ$3,1,0),0)</f>
        <v/>
      </c>
    </row>
    <row r="2356">
      <c r="A2356" s="19" t="n"/>
      <c r="B2356" s="20">
        <f>IF(A2356="","",CHOOSE(WEEKDAY(A2356,2),"Mo","Di","Mi","Do","Fr","Sa","So"))</f>
        <v/>
      </c>
      <c r="C2356" s="20">
        <f>IF(A2356="","",INT((A2356-DATE(YEAR(A2356-WEEKDAY(A2356-1)+4),1,3)+WEEKDAY(DATE(YEAR(A2356-WEEKDAY(A2356-1)+4),1,3))+5)/7))</f>
        <v/>
      </c>
      <c r="D2356" s="21" t="n"/>
      <c r="E2356" s="22" t="n"/>
      <c r="F2356" s="23" t="n"/>
      <c r="G2356" s="23" t="n"/>
      <c r="H2356" s="23" t="n"/>
      <c r="I2356" s="20">
        <f>IF(COUNT(F2356:H2356)=0,"",SUM(F2356:H2356))</f>
        <v/>
      </c>
      <c r="J2356" s="23" t="n"/>
      <c r="K2356" s="23" t="n"/>
      <c r="L2356" s="23" t="n"/>
      <c r="M2356" s="23" t="n"/>
      <c r="N2356" s="23" t="n"/>
      <c r="O2356" s="20">
        <f>IF(OR(I2356="",COUNT(J2356:N2356)=0),"",IF(SUM(J2356:N2356)=I2356,"✓","⚠ "&amp;SUM(J2356:N2356)&amp;" statt "&amp;I2356))</f>
        <v/>
      </c>
      <c r="P2356" s="21" t="n"/>
      <c r="Q2356" s="21" t="n"/>
      <c r="R2356" s="21" t="n"/>
      <c r="S2356" s="24" t="n"/>
      <c r="T2356" s="24" t="n"/>
      <c r="V2356">
        <f>IF(A2356="","",MONTH(A2356))</f>
        <v/>
      </c>
      <c r="W2356">
        <f>N(W2355)+IF(AND(C2356&lt;&gt;"",T2356&lt;&gt;""),IF(C2356=WOCHE!$B$3,1,0),0)</f>
        <v/>
      </c>
      <c r="X2356">
        <f>N(X2355)+IF(AND(V2356&lt;&gt;"",T2356&lt;&gt;""),IF(V2356=MONAT!$AZ$3,1,0),0)</f>
        <v/>
      </c>
    </row>
    <row r="2357">
      <c r="A2357" s="19" t="n"/>
      <c r="B2357" s="20">
        <f>IF(A2357="","",CHOOSE(WEEKDAY(A2357,2),"Mo","Di","Mi","Do","Fr","Sa","So"))</f>
        <v/>
      </c>
      <c r="C2357" s="20">
        <f>IF(A2357="","",INT((A2357-DATE(YEAR(A2357-WEEKDAY(A2357-1)+4),1,3)+WEEKDAY(DATE(YEAR(A2357-WEEKDAY(A2357-1)+4),1,3))+5)/7))</f>
        <v/>
      </c>
      <c r="D2357" s="21" t="n"/>
      <c r="E2357" s="22" t="n"/>
      <c r="F2357" s="23" t="n"/>
      <c r="G2357" s="23" t="n"/>
      <c r="H2357" s="23" t="n"/>
      <c r="I2357" s="20">
        <f>IF(COUNT(F2357:H2357)=0,"",SUM(F2357:H2357))</f>
        <v/>
      </c>
      <c r="J2357" s="23" t="n"/>
      <c r="K2357" s="23" t="n"/>
      <c r="L2357" s="23" t="n"/>
      <c r="M2357" s="23" t="n"/>
      <c r="N2357" s="23" t="n"/>
      <c r="O2357" s="20">
        <f>IF(OR(I2357="",COUNT(J2357:N2357)=0),"",IF(SUM(J2357:N2357)=I2357,"✓","⚠ "&amp;SUM(J2357:N2357)&amp;" statt "&amp;I2357))</f>
        <v/>
      </c>
      <c r="P2357" s="21" t="n"/>
      <c r="Q2357" s="21" t="n"/>
      <c r="R2357" s="21" t="n"/>
      <c r="S2357" s="24" t="n"/>
      <c r="T2357" s="24" t="n"/>
      <c r="V2357">
        <f>IF(A2357="","",MONTH(A2357))</f>
        <v/>
      </c>
      <c r="W2357">
        <f>N(W2356)+IF(AND(C2357&lt;&gt;"",T2357&lt;&gt;""),IF(C2357=WOCHE!$B$3,1,0),0)</f>
        <v/>
      </c>
      <c r="X2357">
        <f>N(X2356)+IF(AND(V2357&lt;&gt;"",T2357&lt;&gt;""),IF(V2357=MONAT!$AZ$3,1,0),0)</f>
        <v/>
      </c>
    </row>
    <row r="2358">
      <c r="A2358" s="19" t="n"/>
      <c r="B2358" s="20">
        <f>IF(A2358="","",CHOOSE(WEEKDAY(A2358,2),"Mo","Di","Mi","Do","Fr","Sa","So"))</f>
        <v/>
      </c>
      <c r="C2358" s="20">
        <f>IF(A2358="","",INT((A2358-DATE(YEAR(A2358-WEEKDAY(A2358-1)+4),1,3)+WEEKDAY(DATE(YEAR(A2358-WEEKDAY(A2358-1)+4),1,3))+5)/7))</f>
        <v/>
      </c>
      <c r="D2358" s="21" t="n"/>
      <c r="E2358" s="22" t="n"/>
      <c r="F2358" s="23" t="n"/>
      <c r="G2358" s="23" t="n"/>
      <c r="H2358" s="23" t="n"/>
      <c r="I2358" s="20">
        <f>IF(COUNT(F2358:H2358)=0,"",SUM(F2358:H2358))</f>
        <v/>
      </c>
      <c r="J2358" s="23" t="n"/>
      <c r="K2358" s="23" t="n"/>
      <c r="L2358" s="23" t="n"/>
      <c r="M2358" s="23" t="n"/>
      <c r="N2358" s="23" t="n"/>
      <c r="O2358" s="20">
        <f>IF(OR(I2358="",COUNT(J2358:N2358)=0),"",IF(SUM(J2358:N2358)=I2358,"✓","⚠ "&amp;SUM(J2358:N2358)&amp;" statt "&amp;I2358))</f>
        <v/>
      </c>
      <c r="P2358" s="21" t="n"/>
      <c r="Q2358" s="21" t="n"/>
      <c r="R2358" s="21" t="n"/>
      <c r="S2358" s="24" t="n"/>
      <c r="T2358" s="24" t="n"/>
      <c r="V2358">
        <f>IF(A2358="","",MONTH(A2358))</f>
        <v/>
      </c>
      <c r="W2358">
        <f>N(W2357)+IF(AND(C2358&lt;&gt;"",T2358&lt;&gt;""),IF(C2358=WOCHE!$B$3,1,0),0)</f>
        <v/>
      </c>
      <c r="X2358">
        <f>N(X2357)+IF(AND(V2358&lt;&gt;"",T2358&lt;&gt;""),IF(V2358=MONAT!$AZ$3,1,0),0)</f>
        <v/>
      </c>
    </row>
    <row r="2359">
      <c r="A2359" s="19" t="n"/>
      <c r="B2359" s="20">
        <f>IF(A2359="","",CHOOSE(WEEKDAY(A2359,2),"Mo","Di","Mi","Do","Fr","Sa","So"))</f>
        <v/>
      </c>
      <c r="C2359" s="20">
        <f>IF(A2359="","",INT((A2359-DATE(YEAR(A2359-WEEKDAY(A2359-1)+4),1,3)+WEEKDAY(DATE(YEAR(A2359-WEEKDAY(A2359-1)+4),1,3))+5)/7))</f>
        <v/>
      </c>
      <c r="D2359" s="21" t="n"/>
      <c r="E2359" s="22" t="n"/>
      <c r="F2359" s="23" t="n"/>
      <c r="G2359" s="23" t="n"/>
      <c r="H2359" s="23" t="n"/>
      <c r="I2359" s="20">
        <f>IF(COUNT(F2359:H2359)=0,"",SUM(F2359:H2359))</f>
        <v/>
      </c>
      <c r="J2359" s="23" t="n"/>
      <c r="K2359" s="23" t="n"/>
      <c r="L2359" s="23" t="n"/>
      <c r="M2359" s="23" t="n"/>
      <c r="N2359" s="23" t="n"/>
      <c r="O2359" s="20">
        <f>IF(OR(I2359="",COUNT(J2359:N2359)=0),"",IF(SUM(J2359:N2359)=I2359,"✓","⚠ "&amp;SUM(J2359:N2359)&amp;" statt "&amp;I2359))</f>
        <v/>
      </c>
      <c r="P2359" s="21" t="n"/>
      <c r="Q2359" s="21" t="n"/>
      <c r="R2359" s="21" t="n"/>
      <c r="S2359" s="24" t="n"/>
      <c r="T2359" s="24" t="n"/>
      <c r="V2359">
        <f>IF(A2359="","",MONTH(A2359))</f>
        <v/>
      </c>
      <c r="W2359">
        <f>N(W2358)+IF(AND(C2359&lt;&gt;"",T2359&lt;&gt;""),IF(C2359=WOCHE!$B$3,1,0),0)</f>
        <v/>
      </c>
      <c r="X2359">
        <f>N(X2358)+IF(AND(V2359&lt;&gt;"",T2359&lt;&gt;""),IF(V2359=MONAT!$AZ$3,1,0),0)</f>
        <v/>
      </c>
    </row>
    <row r="2360">
      <c r="A2360" s="19" t="n"/>
      <c r="B2360" s="20">
        <f>IF(A2360="","",CHOOSE(WEEKDAY(A2360,2),"Mo","Di","Mi","Do","Fr","Sa","So"))</f>
        <v/>
      </c>
      <c r="C2360" s="20">
        <f>IF(A2360="","",INT((A2360-DATE(YEAR(A2360-WEEKDAY(A2360-1)+4),1,3)+WEEKDAY(DATE(YEAR(A2360-WEEKDAY(A2360-1)+4),1,3))+5)/7))</f>
        <v/>
      </c>
      <c r="D2360" s="21" t="n"/>
      <c r="E2360" s="22" t="n"/>
      <c r="F2360" s="23" t="n"/>
      <c r="G2360" s="23" t="n"/>
      <c r="H2360" s="23" t="n"/>
      <c r="I2360" s="20">
        <f>IF(COUNT(F2360:H2360)=0,"",SUM(F2360:H2360))</f>
        <v/>
      </c>
      <c r="J2360" s="23" t="n"/>
      <c r="K2360" s="23" t="n"/>
      <c r="L2360" s="23" t="n"/>
      <c r="M2360" s="23" t="n"/>
      <c r="N2360" s="23" t="n"/>
      <c r="O2360" s="20">
        <f>IF(OR(I2360="",COUNT(J2360:N2360)=0),"",IF(SUM(J2360:N2360)=I2360,"✓","⚠ "&amp;SUM(J2360:N2360)&amp;" statt "&amp;I2360))</f>
        <v/>
      </c>
      <c r="P2360" s="21" t="n"/>
      <c r="Q2360" s="21" t="n"/>
      <c r="R2360" s="21" t="n"/>
      <c r="S2360" s="24" t="n"/>
      <c r="T2360" s="24" t="n"/>
      <c r="V2360">
        <f>IF(A2360="","",MONTH(A2360))</f>
        <v/>
      </c>
      <c r="W2360">
        <f>N(W2359)+IF(AND(C2360&lt;&gt;"",T2360&lt;&gt;""),IF(C2360=WOCHE!$B$3,1,0),0)</f>
        <v/>
      </c>
      <c r="X2360">
        <f>N(X2359)+IF(AND(V2360&lt;&gt;"",T2360&lt;&gt;""),IF(V2360=MONAT!$AZ$3,1,0),0)</f>
        <v/>
      </c>
    </row>
    <row r="2361">
      <c r="A2361" s="19" t="n"/>
      <c r="B2361" s="20">
        <f>IF(A2361="","",CHOOSE(WEEKDAY(A2361,2),"Mo","Di","Mi","Do","Fr","Sa","So"))</f>
        <v/>
      </c>
      <c r="C2361" s="20">
        <f>IF(A2361="","",INT((A2361-DATE(YEAR(A2361-WEEKDAY(A2361-1)+4),1,3)+WEEKDAY(DATE(YEAR(A2361-WEEKDAY(A2361-1)+4),1,3))+5)/7))</f>
        <v/>
      </c>
      <c r="D2361" s="21" t="n"/>
      <c r="E2361" s="22" t="n"/>
      <c r="F2361" s="23" t="n"/>
      <c r="G2361" s="23" t="n"/>
      <c r="H2361" s="23" t="n"/>
      <c r="I2361" s="20">
        <f>IF(COUNT(F2361:H2361)=0,"",SUM(F2361:H2361))</f>
        <v/>
      </c>
      <c r="J2361" s="23" t="n"/>
      <c r="K2361" s="23" t="n"/>
      <c r="L2361" s="23" t="n"/>
      <c r="M2361" s="23" t="n"/>
      <c r="N2361" s="23" t="n"/>
      <c r="O2361" s="20">
        <f>IF(OR(I2361="",COUNT(J2361:N2361)=0),"",IF(SUM(J2361:N2361)=I2361,"✓","⚠ "&amp;SUM(J2361:N2361)&amp;" statt "&amp;I2361))</f>
        <v/>
      </c>
      <c r="P2361" s="21" t="n"/>
      <c r="Q2361" s="21" t="n"/>
      <c r="R2361" s="21" t="n"/>
      <c r="S2361" s="24" t="n"/>
      <c r="T2361" s="24" t="n"/>
      <c r="V2361">
        <f>IF(A2361="","",MONTH(A2361))</f>
        <v/>
      </c>
      <c r="W2361">
        <f>N(W2360)+IF(AND(C2361&lt;&gt;"",T2361&lt;&gt;""),IF(C2361=WOCHE!$B$3,1,0),0)</f>
        <v/>
      </c>
      <c r="X2361">
        <f>N(X2360)+IF(AND(V2361&lt;&gt;"",T2361&lt;&gt;""),IF(V2361=MONAT!$AZ$3,1,0),0)</f>
        <v/>
      </c>
    </row>
    <row r="2362">
      <c r="A2362" s="19" t="n"/>
      <c r="B2362" s="20">
        <f>IF(A2362="","",CHOOSE(WEEKDAY(A2362,2),"Mo","Di","Mi","Do","Fr","Sa","So"))</f>
        <v/>
      </c>
      <c r="C2362" s="20">
        <f>IF(A2362="","",INT((A2362-DATE(YEAR(A2362-WEEKDAY(A2362-1)+4),1,3)+WEEKDAY(DATE(YEAR(A2362-WEEKDAY(A2362-1)+4),1,3))+5)/7))</f>
        <v/>
      </c>
      <c r="D2362" s="21" t="n"/>
      <c r="E2362" s="22" t="n"/>
      <c r="F2362" s="23" t="n"/>
      <c r="G2362" s="23" t="n"/>
      <c r="H2362" s="23" t="n"/>
      <c r="I2362" s="20">
        <f>IF(COUNT(F2362:H2362)=0,"",SUM(F2362:H2362))</f>
        <v/>
      </c>
      <c r="J2362" s="23" t="n"/>
      <c r="K2362" s="23" t="n"/>
      <c r="L2362" s="23" t="n"/>
      <c r="M2362" s="23" t="n"/>
      <c r="N2362" s="23" t="n"/>
      <c r="O2362" s="20">
        <f>IF(OR(I2362="",COUNT(J2362:N2362)=0),"",IF(SUM(J2362:N2362)=I2362,"✓","⚠ "&amp;SUM(J2362:N2362)&amp;" statt "&amp;I2362))</f>
        <v/>
      </c>
      <c r="P2362" s="21" t="n"/>
      <c r="Q2362" s="21" t="n"/>
      <c r="R2362" s="21" t="n"/>
      <c r="S2362" s="24" t="n"/>
      <c r="T2362" s="24" t="n"/>
      <c r="V2362">
        <f>IF(A2362="","",MONTH(A2362))</f>
        <v/>
      </c>
      <c r="W2362">
        <f>N(W2361)+IF(AND(C2362&lt;&gt;"",T2362&lt;&gt;""),IF(C2362=WOCHE!$B$3,1,0),0)</f>
        <v/>
      </c>
      <c r="X2362">
        <f>N(X2361)+IF(AND(V2362&lt;&gt;"",T2362&lt;&gt;""),IF(V2362=MONAT!$AZ$3,1,0),0)</f>
        <v/>
      </c>
    </row>
    <row r="2363">
      <c r="A2363" s="19" t="n"/>
      <c r="B2363" s="20">
        <f>IF(A2363="","",CHOOSE(WEEKDAY(A2363,2),"Mo","Di","Mi","Do","Fr","Sa","So"))</f>
        <v/>
      </c>
      <c r="C2363" s="20">
        <f>IF(A2363="","",INT((A2363-DATE(YEAR(A2363-WEEKDAY(A2363-1)+4),1,3)+WEEKDAY(DATE(YEAR(A2363-WEEKDAY(A2363-1)+4),1,3))+5)/7))</f>
        <v/>
      </c>
      <c r="D2363" s="21" t="n"/>
      <c r="E2363" s="22" t="n"/>
      <c r="F2363" s="23" t="n"/>
      <c r="G2363" s="23" t="n"/>
      <c r="H2363" s="23" t="n"/>
      <c r="I2363" s="20">
        <f>IF(COUNT(F2363:H2363)=0,"",SUM(F2363:H2363))</f>
        <v/>
      </c>
      <c r="J2363" s="23" t="n"/>
      <c r="K2363" s="23" t="n"/>
      <c r="L2363" s="23" t="n"/>
      <c r="M2363" s="23" t="n"/>
      <c r="N2363" s="23" t="n"/>
      <c r="O2363" s="20">
        <f>IF(OR(I2363="",COUNT(J2363:N2363)=0),"",IF(SUM(J2363:N2363)=I2363,"✓","⚠ "&amp;SUM(J2363:N2363)&amp;" statt "&amp;I2363))</f>
        <v/>
      </c>
      <c r="P2363" s="21" t="n"/>
      <c r="Q2363" s="21" t="n"/>
      <c r="R2363" s="21" t="n"/>
      <c r="S2363" s="24" t="n"/>
      <c r="T2363" s="24" t="n"/>
      <c r="V2363">
        <f>IF(A2363="","",MONTH(A2363))</f>
        <v/>
      </c>
      <c r="W2363">
        <f>N(W2362)+IF(AND(C2363&lt;&gt;"",T2363&lt;&gt;""),IF(C2363=WOCHE!$B$3,1,0),0)</f>
        <v/>
      </c>
      <c r="X2363">
        <f>N(X2362)+IF(AND(V2363&lt;&gt;"",T2363&lt;&gt;""),IF(V2363=MONAT!$AZ$3,1,0),0)</f>
        <v/>
      </c>
    </row>
    <row r="2364">
      <c r="A2364" s="19" t="n"/>
      <c r="B2364" s="20">
        <f>IF(A2364="","",CHOOSE(WEEKDAY(A2364,2),"Mo","Di","Mi","Do","Fr","Sa","So"))</f>
        <v/>
      </c>
      <c r="C2364" s="20">
        <f>IF(A2364="","",INT((A2364-DATE(YEAR(A2364-WEEKDAY(A2364-1)+4),1,3)+WEEKDAY(DATE(YEAR(A2364-WEEKDAY(A2364-1)+4),1,3))+5)/7))</f>
        <v/>
      </c>
      <c r="D2364" s="21" t="n"/>
      <c r="E2364" s="22" t="n"/>
      <c r="F2364" s="23" t="n"/>
      <c r="G2364" s="23" t="n"/>
      <c r="H2364" s="23" t="n"/>
      <c r="I2364" s="20">
        <f>IF(COUNT(F2364:H2364)=0,"",SUM(F2364:H2364))</f>
        <v/>
      </c>
      <c r="J2364" s="23" t="n"/>
      <c r="K2364" s="23" t="n"/>
      <c r="L2364" s="23" t="n"/>
      <c r="M2364" s="23" t="n"/>
      <c r="N2364" s="23" t="n"/>
      <c r="O2364" s="20">
        <f>IF(OR(I2364="",COUNT(J2364:N2364)=0),"",IF(SUM(J2364:N2364)=I2364,"✓","⚠ "&amp;SUM(J2364:N2364)&amp;" statt "&amp;I2364))</f>
        <v/>
      </c>
      <c r="P2364" s="21" t="n"/>
      <c r="Q2364" s="21" t="n"/>
      <c r="R2364" s="21" t="n"/>
      <c r="S2364" s="24" t="n"/>
      <c r="T2364" s="24" t="n"/>
      <c r="V2364">
        <f>IF(A2364="","",MONTH(A2364))</f>
        <v/>
      </c>
      <c r="W2364">
        <f>N(W2363)+IF(AND(C2364&lt;&gt;"",T2364&lt;&gt;""),IF(C2364=WOCHE!$B$3,1,0),0)</f>
        <v/>
      </c>
      <c r="X2364">
        <f>N(X2363)+IF(AND(V2364&lt;&gt;"",T2364&lt;&gt;""),IF(V2364=MONAT!$AZ$3,1,0),0)</f>
        <v/>
      </c>
    </row>
    <row r="2365">
      <c r="A2365" s="19" t="n"/>
      <c r="B2365" s="20">
        <f>IF(A2365="","",CHOOSE(WEEKDAY(A2365,2),"Mo","Di","Mi","Do","Fr","Sa","So"))</f>
        <v/>
      </c>
      <c r="C2365" s="20">
        <f>IF(A2365="","",INT((A2365-DATE(YEAR(A2365-WEEKDAY(A2365-1)+4),1,3)+WEEKDAY(DATE(YEAR(A2365-WEEKDAY(A2365-1)+4),1,3))+5)/7))</f>
        <v/>
      </c>
      <c r="D2365" s="21" t="n"/>
      <c r="E2365" s="22" t="n"/>
      <c r="F2365" s="23" t="n"/>
      <c r="G2365" s="23" t="n"/>
      <c r="H2365" s="23" t="n"/>
      <c r="I2365" s="20">
        <f>IF(COUNT(F2365:H2365)=0,"",SUM(F2365:H2365))</f>
        <v/>
      </c>
      <c r="J2365" s="23" t="n"/>
      <c r="K2365" s="23" t="n"/>
      <c r="L2365" s="23" t="n"/>
      <c r="M2365" s="23" t="n"/>
      <c r="N2365" s="23" t="n"/>
      <c r="O2365" s="20">
        <f>IF(OR(I2365="",COUNT(J2365:N2365)=0),"",IF(SUM(J2365:N2365)=I2365,"✓","⚠ "&amp;SUM(J2365:N2365)&amp;" statt "&amp;I2365))</f>
        <v/>
      </c>
      <c r="P2365" s="21" t="n"/>
      <c r="Q2365" s="21" t="n"/>
      <c r="R2365" s="21" t="n"/>
      <c r="S2365" s="24" t="n"/>
      <c r="T2365" s="24" t="n"/>
      <c r="V2365">
        <f>IF(A2365="","",MONTH(A2365))</f>
        <v/>
      </c>
      <c r="W2365">
        <f>N(W2364)+IF(AND(C2365&lt;&gt;"",T2365&lt;&gt;""),IF(C2365=WOCHE!$B$3,1,0),0)</f>
        <v/>
      </c>
      <c r="X2365">
        <f>N(X2364)+IF(AND(V2365&lt;&gt;"",T2365&lt;&gt;""),IF(V2365=MONAT!$AZ$3,1,0),0)</f>
        <v/>
      </c>
    </row>
    <row r="2366">
      <c r="A2366" s="19" t="n"/>
      <c r="B2366" s="20">
        <f>IF(A2366="","",CHOOSE(WEEKDAY(A2366,2),"Mo","Di","Mi","Do","Fr","Sa","So"))</f>
        <v/>
      </c>
      <c r="C2366" s="20">
        <f>IF(A2366="","",INT((A2366-DATE(YEAR(A2366-WEEKDAY(A2366-1)+4),1,3)+WEEKDAY(DATE(YEAR(A2366-WEEKDAY(A2366-1)+4),1,3))+5)/7))</f>
        <v/>
      </c>
      <c r="D2366" s="21" t="n"/>
      <c r="E2366" s="22" t="n"/>
      <c r="F2366" s="23" t="n"/>
      <c r="G2366" s="23" t="n"/>
      <c r="H2366" s="23" t="n"/>
      <c r="I2366" s="20">
        <f>IF(COUNT(F2366:H2366)=0,"",SUM(F2366:H2366))</f>
        <v/>
      </c>
      <c r="J2366" s="23" t="n"/>
      <c r="K2366" s="23" t="n"/>
      <c r="L2366" s="23" t="n"/>
      <c r="M2366" s="23" t="n"/>
      <c r="N2366" s="23" t="n"/>
      <c r="O2366" s="20">
        <f>IF(OR(I2366="",COUNT(J2366:N2366)=0),"",IF(SUM(J2366:N2366)=I2366,"✓","⚠ "&amp;SUM(J2366:N2366)&amp;" statt "&amp;I2366))</f>
        <v/>
      </c>
      <c r="P2366" s="21" t="n"/>
      <c r="Q2366" s="21" t="n"/>
      <c r="R2366" s="21" t="n"/>
      <c r="S2366" s="24" t="n"/>
      <c r="T2366" s="24" t="n"/>
      <c r="V2366">
        <f>IF(A2366="","",MONTH(A2366))</f>
        <v/>
      </c>
      <c r="W2366">
        <f>N(W2365)+IF(AND(C2366&lt;&gt;"",T2366&lt;&gt;""),IF(C2366=WOCHE!$B$3,1,0),0)</f>
        <v/>
      </c>
      <c r="X2366">
        <f>N(X2365)+IF(AND(V2366&lt;&gt;"",T2366&lt;&gt;""),IF(V2366=MONAT!$AZ$3,1,0),0)</f>
        <v/>
      </c>
    </row>
    <row r="2367">
      <c r="A2367" s="19" t="n"/>
      <c r="B2367" s="20">
        <f>IF(A2367="","",CHOOSE(WEEKDAY(A2367,2),"Mo","Di","Mi","Do","Fr","Sa","So"))</f>
        <v/>
      </c>
      <c r="C2367" s="20">
        <f>IF(A2367="","",INT((A2367-DATE(YEAR(A2367-WEEKDAY(A2367-1)+4),1,3)+WEEKDAY(DATE(YEAR(A2367-WEEKDAY(A2367-1)+4),1,3))+5)/7))</f>
        <v/>
      </c>
      <c r="D2367" s="21" t="n"/>
      <c r="E2367" s="22" t="n"/>
      <c r="F2367" s="23" t="n"/>
      <c r="G2367" s="23" t="n"/>
      <c r="H2367" s="23" t="n"/>
      <c r="I2367" s="20">
        <f>IF(COUNT(F2367:H2367)=0,"",SUM(F2367:H2367))</f>
        <v/>
      </c>
      <c r="J2367" s="23" t="n"/>
      <c r="K2367" s="23" t="n"/>
      <c r="L2367" s="23" t="n"/>
      <c r="M2367" s="23" t="n"/>
      <c r="N2367" s="23" t="n"/>
      <c r="O2367" s="20">
        <f>IF(OR(I2367="",COUNT(J2367:N2367)=0),"",IF(SUM(J2367:N2367)=I2367,"✓","⚠ "&amp;SUM(J2367:N2367)&amp;" statt "&amp;I2367))</f>
        <v/>
      </c>
      <c r="P2367" s="21" t="n"/>
      <c r="Q2367" s="21" t="n"/>
      <c r="R2367" s="21" t="n"/>
      <c r="S2367" s="24" t="n"/>
      <c r="T2367" s="24" t="n"/>
      <c r="V2367">
        <f>IF(A2367="","",MONTH(A2367))</f>
        <v/>
      </c>
      <c r="W2367">
        <f>N(W2366)+IF(AND(C2367&lt;&gt;"",T2367&lt;&gt;""),IF(C2367=WOCHE!$B$3,1,0),0)</f>
        <v/>
      </c>
      <c r="X2367">
        <f>N(X2366)+IF(AND(V2367&lt;&gt;"",T2367&lt;&gt;""),IF(V2367=MONAT!$AZ$3,1,0),0)</f>
        <v/>
      </c>
    </row>
    <row r="2368">
      <c r="A2368" s="19" t="n"/>
      <c r="B2368" s="20">
        <f>IF(A2368="","",CHOOSE(WEEKDAY(A2368,2),"Mo","Di","Mi","Do","Fr","Sa","So"))</f>
        <v/>
      </c>
      <c r="C2368" s="20">
        <f>IF(A2368="","",INT((A2368-DATE(YEAR(A2368-WEEKDAY(A2368-1)+4),1,3)+WEEKDAY(DATE(YEAR(A2368-WEEKDAY(A2368-1)+4),1,3))+5)/7))</f>
        <v/>
      </c>
      <c r="D2368" s="21" t="n"/>
      <c r="E2368" s="22" t="n"/>
      <c r="F2368" s="23" t="n"/>
      <c r="G2368" s="23" t="n"/>
      <c r="H2368" s="23" t="n"/>
      <c r="I2368" s="20">
        <f>IF(COUNT(F2368:H2368)=0,"",SUM(F2368:H2368))</f>
        <v/>
      </c>
      <c r="J2368" s="23" t="n"/>
      <c r="K2368" s="23" t="n"/>
      <c r="L2368" s="23" t="n"/>
      <c r="M2368" s="23" t="n"/>
      <c r="N2368" s="23" t="n"/>
      <c r="O2368" s="20">
        <f>IF(OR(I2368="",COUNT(J2368:N2368)=0),"",IF(SUM(J2368:N2368)=I2368,"✓","⚠ "&amp;SUM(J2368:N2368)&amp;" statt "&amp;I2368))</f>
        <v/>
      </c>
      <c r="P2368" s="21" t="n"/>
      <c r="Q2368" s="21" t="n"/>
      <c r="R2368" s="21" t="n"/>
      <c r="S2368" s="24" t="n"/>
      <c r="T2368" s="24" t="n"/>
      <c r="V2368">
        <f>IF(A2368="","",MONTH(A2368))</f>
        <v/>
      </c>
      <c r="W2368">
        <f>N(W2367)+IF(AND(C2368&lt;&gt;"",T2368&lt;&gt;""),IF(C2368=WOCHE!$B$3,1,0),0)</f>
        <v/>
      </c>
      <c r="X2368">
        <f>N(X2367)+IF(AND(V2368&lt;&gt;"",T2368&lt;&gt;""),IF(V2368=MONAT!$AZ$3,1,0),0)</f>
        <v/>
      </c>
    </row>
    <row r="2369">
      <c r="A2369" s="19" t="n"/>
      <c r="B2369" s="20">
        <f>IF(A2369="","",CHOOSE(WEEKDAY(A2369,2),"Mo","Di","Mi","Do","Fr","Sa","So"))</f>
        <v/>
      </c>
      <c r="C2369" s="20">
        <f>IF(A2369="","",INT((A2369-DATE(YEAR(A2369-WEEKDAY(A2369-1)+4),1,3)+WEEKDAY(DATE(YEAR(A2369-WEEKDAY(A2369-1)+4),1,3))+5)/7))</f>
        <v/>
      </c>
      <c r="D2369" s="21" t="n"/>
      <c r="E2369" s="22" t="n"/>
      <c r="F2369" s="23" t="n"/>
      <c r="G2369" s="23" t="n"/>
      <c r="H2369" s="23" t="n"/>
      <c r="I2369" s="20">
        <f>IF(COUNT(F2369:H2369)=0,"",SUM(F2369:H2369))</f>
        <v/>
      </c>
      <c r="J2369" s="23" t="n"/>
      <c r="K2369" s="23" t="n"/>
      <c r="L2369" s="23" t="n"/>
      <c r="M2369" s="23" t="n"/>
      <c r="N2369" s="23" t="n"/>
      <c r="O2369" s="20">
        <f>IF(OR(I2369="",COUNT(J2369:N2369)=0),"",IF(SUM(J2369:N2369)=I2369,"✓","⚠ "&amp;SUM(J2369:N2369)&amp;" statt "&amp;I2369))</f>
        <v/>
      </c>
      <c r="P2369" s="21" t="n"/>
      <c r="Q2369" s="21" t="n"/>
      <c r="R2369" s="21" t="n"/>
      <c r="S2369" s="24" t="n"/>
      <c r="T2369" s="24" t="n"/>
      <c r="V2369">
        <f>IF(A2369="","",MONTH(A2369))</f>
        <v/>
      </c>
      <c r="W2369">
        <f>N(W2368)+IF(AND(C2369&lt;&gt;"",T2369&lt;&gt;""),IF(C2369=WOCHE!$B$3,1,0),0)</f>
        <v/>
      </c>
      <c r="X2369">
        <f>N(X2368)+IF(AND(V2369&lt;&gt;"",T2369&lt;&gt;""),IF(V2369=MONAT!$AZ$3,1,0),0)</f>
        <v/>
      </c>
    </row>
    <row r="2370">
      <c r="A2370" s="19" t="n"/>
      <c r="B2370" s="20">
        <f>IF(A2370="","",CHOOSE(WEEKDAY(A2370,2),"Mo","Di","Mi","Do","Fr","Sa","So"))</f>
        <v/>
      </c>
      <c r="C2370" s="20">
        <f>IF(A2370="","",INT((A2370-DATE(YEAR(A2370-WEEKDAY(A2370-1)+4),1,3)+WEEKDAY(DATE(YEAR(A2370-WEEKDAY(A2370-1)+4),1,3))+5)/7))</f>
        <v/>
      </c>
      <c r="D2370" s="21" t="n"/>
      <c r="E2370" s="22" t="n"/>
      <c r="F2370" s="23" t="n"/>
      <c r="G2370" s="23" t="n"/>
      <c r="H2370" s="23" t="n"/>
      <c r="I2370" s="20">
        <f>IF(COUNT(F2370:H2370)=0,"",SUM(F2370:H2370))</f>
        <v/>
      </c>
      <c r="J2370" s="23" t="n"/>
      <c r="K2370" s="23" t="n"/>
      <c r="L2370" s="23" t="n"/>
      <c r="M2370" s="23" t="n"/>
      <c r="N2370" s="23" t="n"/>
      <c r="O2370" s="20">
        <f>IF(OR(I2370="",COUNT(J2370:N2370)=0),"",IF(SUM(J2370:N2370)=I2370,"✓","⚠ "&amp;SUM(J2370:N2370)&amp;" statt "&amp;I2370))</f>
        <v/>
      </c>
      <c r="P2370" s="21" t="n"/>
      <c r="Q2370" s="21" t="n"/>
      <c r="R2370" s="21" t="n"/>
      <c r="S2370" s="24" t="n"/>
      <c r="T2370" s="24" t="n"/>
      <c r="V2370">
        <f>IF(A2370="","",MONTH(A2370))</f>
        <v/>
      </c>
      <c r="W2370">
        <f>N(W2369)+IF(AND(C2370&lt;&gt;"",T2370&lt;&gt;""),IF(C2370=WOCHE!$B$3,1,0),0)</f>
        <v/>
      </c>
      <c r="X2370">
        <f>N(X2369)+IF(AND(V2370&lt;&gt;"",T2370&lt;&gt;""),IF(V2370=MONAT!$AZ$3,1,0),0)</f>
        <v/>
      </c>
    </row>
    <row r="2371">
      <c r="A2371" s="19" t="n"/>
      <c r="B2371" s="20">
        <f>IF(A2371="","",CHOOSE(WEEKDAY(A2371,2),"Mo","Di","Mi","Do","Fr","Sa","So"))</f>
        <v/>
      </c>
      <c r="C2371" s="20">
        <f>IF(A2371="","",INT((A2371-DATE(YEAR(A2371-WEEKDAY(A2371-1)+4),1,3)+WEEKDAY(DATE(YEAR(A2371-WEEKDAY(A2371-1)+4),1,3))+5)/7))</f>
        <v/>
      </c>
      <c r="D2371" s="21" t="n"/>
      <c r="E2371" s="22" t="n"/>
      <c r="F2371" s="23" t="n"/>
      <c r="G2371" s="23" t="n"/>
      <c r="H2371" s="23" t="n"/>
      <c r="I2371" s="20">
        <f>IF(COUNT(F2371:H2371)=0,"",SUM(F2371:H2371))</f>
        <v/>
      </c>
      <c r="J2371" s="23" t="n"/>
      <c r="K2371" s="23" t="n"/>
      <c r="L2371" s="23" t="n"/>
      <c r="M2371" s="23" t="n"/>
      <c r="N2371" s="23" t="n"/>
      <c r="O2371" s="20">
        <f>IF(OR(I2371="",COUNT(J2371:N2371)=0),"",IF(SUM(J2371:N2371)=I2371,"✓","⚠ "&amp;SUM(J2371:N2371)&amp;" statt "&amp;I2371))</f>
        <v/>
      </c>
      <c r="P2371" s="21" t="n"/>
      <c r="Q2371" s="21" t="n"/>
      <c r="R2371" s="21" t="n"/>
      <c r="S2371" s="24" t="n"/>
      <c r="T2371" s="24" t="n"/>
      <c r="V2371">
        <f>IF(A2371="","",MONTH(A2371))</f>
        <v/>
      </c>
      <c r="W2371">
        <f>N(W2370)+IF(AND(C2371&lt;&gt;"",T2371&lt;&gt;""),IF(C2371=WOCHE!$B$3,1,0),0)</f>
        <v/>
      </c>
      <c r="X2371">
        <f>N(X2370)+IF(AND(V2371&lt;&gt;"",T2371&lt;&gt;""),IF(V2371=MONAT!$AZ$3,1,0),0)</f>
        <v/>
      </c>
    </row>
    <row r="2372">
      <c r="A2372" s="19" t="n"/>
      <c r="B2372" s="20">
        <f>IF(A2372="","",CHOOSE(WEEKDAY(A2372,2),"Mo","Di","Mi","Do","Fr","Sa","So"))</f>
        <v/>
      </c>
      <c r="C2372" s="20">
        <f>IF(A2372="","",INT((A2372-DATE(YEAR(A2372-WEEKDAY(A2372-1)+4),1,3)+WEEKDAY(DATE(YEAR(A2372-WEEKDAY(A2372-1)+4),1,3))+5)/7))</f>
        <v/>
      </c>
      <c r="D2372" s="21" t="n"/>
      <c r="E2372" s="22" t="n"/>
      <c r="F2372" s="23" t="n"/>
      <c r="G2372" s="23" t="n"/>
      <c r="H2372" s="23" t="n"/>
      <c r="I2372" s="20">
        <f>IF(COUNT(F2372:H2372)=0,"",SUM(F2372:H2372))</f>
        <v/>
      </c>
      <c r="J2372" s="23" t="n"/>
      <c r="K2372" s="23" t="n"/>
      <c r="L2372" s="23" t="n"/>
      <c r="M2372" s="23" t="n"/>
      <c r="N2372" s="23" t="n"/>
      <c r="O2372" s="20">
        <f>IF(OR(I2372="",COUNT(J2372:N2372)=0),"",IF(SUM(J2372:N2372)=I2372,"✓","⚠ "&amp;SUM(J2372:N2372)&amp;" statt "&amp;I2372))</f>
        <v/>
      </c>
      <c r="P2372" s="21" t="n"/>
      <c r="Q2372" s="21" t="n"/>
      <c r="R2372" s="21" t="n"/>
      <c r="S2372" s="24" t="n"/>
      <c r="T2372" s="24" t="n"/>
      <c r="V2372">
        <f>IF(A2372="","",MONTH(A2372))</f>
        <v/>
      </c>
      <c r="W2372">
        <f>N(W2371)+IF(AND(C2372&lt;&gt;"",T2372&lt;&gt;""),IF(C2372=WOCHE!$B$3,1,0),0)</f>
        <v/>
      </c>
      <c r="X2372">
        <f>N(X2371)+IF(AND(V2372&lt;&gt;"",T2372&lt;&gt;""),IF(V2372=MONAT!$AZ$3,1,0),0)</f>
        <v/>
      </c>
    </row>
    <row r="2373">
      <c r="A2373" s="19" t="n"/>
      <c r="B2373" s="20">
        <f>IF(A2373="","",CHOOSE(WEEKDAY(A2373,2),"Mo","Di","Mi","Do","Fr","Sa","So"))</f>
        <v/>
      </c>
      <c r="C2373" s="20">
        <f>IF(A2373="","",INT((A2373-DATE(YEAR(A2373-WEEKDAY(A2373-1)+4),1,3)+WEEKDAY(DATE(YEAR(A2373-WEEKDAY(A2373-1)+4),1,3))+5)/7))</f>
        <v/>
      </c>
      <c r="D2373" s="21" t="n"/>
      <c r="E2373" s="22" t="n"/>
      <c r="F2373" s="23" t="n"/>
      <c r="G2373" s="23" t="n"/>
      <c r="H2373" s="23" t="n"/>
      <c r="I2373" s="20">
        <f>IF(COUNT(F2373:H2373)=0,"",SUM(F2373:H2373))</f>
        <v/>
      </c>
      <c r="J2373" s="23" t="n"/>
      <c r="K2373" s="23" t="n"/>
      <c r="L2373" s="23" t="n"/>
      <c r="M2373" s="23" t="n"/>
      <c r="N2373" s="23" t="n"/>
      <c r="O2373" s="20">
        <f>IF(OR(I2373="",COUNT(J2373:N2373)=0),"",IF(SUM(J2373:N2373)=I2373,"✓","⚠ "&amp;SUM(J2373:N2373)&amp;" statt "&amp;I2373))</f>
        <v/>
      </c>
      <c r="P2373" s="21" t="n"/>
      <c r="Q2373" s="21" t="n"/>
      <c r="R2373" s="21" t="n"/>
      <c r="S2373" s="24" t="n"/>
      <c r="T2373" s="24" t="n"/>
      <c r="V2373">
        <f>IF(A2373="","",MONTH(A2373))</f>
        <v/>
      </c>
      <c r="W2373">
        <f>N(W2372)+IF(AND(C2373&lt;&gt;"",T2373&lt;&gt;""),IF(C2373=WOCHE!$B$3,1,0),0)</f>
        <v/>
      </c>
      <c r="X2373">
        <f>N(X2372)+IF(AND(V2373&lt;&gt;"",T2373&lt;&gt;""),IF(V2373=MONAT!$AZ$3,1,0),0)</f>
        <v/>
      </c>
    </row>
    <row r="2374">
      <c r="A2374" s="19" t="n"/>
      <c r="B2374" s="20">
        <f>IF(A2374="","",CHOOSE(WEEKDAY(A2374,2),"Mo","Di","Mi","Do","Fr","Sa","So"))</f>
        <v/>
      </c>
      <c r="C2374" s="20">
        <f>IF(A2374="","",INT((A2374-DATE(YEAR(A2374-WEEKDAY(A2374-1)+4),1,3)+WEEKDAY(DATE(YEAR(A2374-WEEKDAY(A2374-1)+4),1,3))+5)/7))</f>
        <v/>
      </c>
      <c r="D2374" s="21" t="n"/>
      <c r="E2374" s="22" t="n"/>
      <c r="F2374" s="23" t="n"/>
      <c r="G2374" s="23" t="n"/>
      <c r="H2374" s="23" t="n"/>
      <c r="I2374" s="20">
        <f>IF(COUNT(F2374:H2374)=0,"",SUM(F2374:H2374))</f>
        <v/>
      </c>
      <c r="J2374" s="23" t="n"/>
      <c r="K2374" s="23" t="n"/>
      <c r="L2374" s="23" t="n"/>
      <c r="M2374" s="23" t="n"/>
      <c r="N2374" s="23" t="n"/>
      <c r="O2374" s="20">
        <f>IF(OR(I2374="",COUNT(J2374:N2374)=0),"",IF(SUM(J2374:N2374)=I2374,"✓","⚠ "&amp;SUM(J2374:N2374)&amp;" statt "&amp;I2374))</f>
        <v/>
      </c>
      <c r="P2374" s="21" t="n"/>
      <c r="Q2374" s="21" t="n"/>
      <c r="R2374" s="21" t="n"/>
      <c r="S2374" s="24" t="n"/>
      <c r="T2374" s="24" t="n"/>
      <c r="V2374">
        <f>IF(A2374="","",MONTH(A2374))</f>
        <v/>
      </c>
      <c r="W2374">
        <f>N(W2373)+IF(AND(C2374&lt;&gt;"",T2374&lt;&gt;""),IF(C2374=WOCHE!$B$3,1,0),0)</f>
        <v/>
      </c>
      <c r="X2374">
        <f>N(X2373)+IF(AND(V2374&lt;&gt;"",T2374&lt;&gt;""),IF(V2374=MONAT!$AZ$3,1,0),0)</f>
        <v/>
      </c>
    </row>
    <row r="2375">
      <c r="A2375" s="19" t="n"/>
      <c r="B2375" s="20">
        <f>IF(A2375="","",CHOOSE(WEEKDAY(A2375,2),"Mo","Di","Mi","Do","Fr","Sa","So"))</f>
        <v/>
      </c>
      <c r="C2375" s="20">
        <f>IF(A2375="","",INT((A2375-DATE(YEAR(A2375-WEEKDAY(A2375-1)+4),1,3)+WEEKDAY(DATE(YEAR(A2375-WEEKDAY(A2375-1)+4),1,3))+5)/7))</f>
        <v/>
      </c>
      <c r="D2375" s="21" t="n"/>
      <c r="E2375" s="22" t="n"/>
      <c r="F2375" s="23" t="n"/>
      <c r="G2375" s="23" t="n"/>
      <c r="H2375" s="23" t="n"/>
      <c r="I2375" s="20">
        <f>IF(COUNT(F2375:H2375)=0,"",SUM(F2375:H2375))</f>
        <v/>
      </c>
      <c r="J2375" s="23" t="n"/>
      <c r="K2375" s="23" t="n"/>
      <c r="L2375" s="23" t="n"/>
      <c r="M2375" s="23" t="n"/>
      <c r="N2375" s="23" t="n"/>
      <c r="O2375" s="20">
        <f>IF(OR(I2375="",COUNT(J2375:N2375)=0),"",IF(SUM(J2375:N2375)=I2375,"✓","⚠ "&amp;SUM(J2375:N2375)&amp;" statt "&amp;I2375))</f>
        <v/>
      </c>
      <c r="P2375" s="21" t="n"/>
      <c r="Q2375" s="21" t="n"/>
      <c r="R2375" s="21" t="n"/>
      <c r="S2375" s="24" t="n"/>
      <c r="T2375" s="24" t="n"/>
      <c r="V2375">
        <f>IF(A2375="","",MONTH(A2375))</f>
        <v/>
      </c>
      <c r="W2375">
        <f>N(W2374)+IF(AND(C2375&lt;&gt;"",T2375&lt;&gt;""),IF(C2375=WOCHE!$B$3,1,0),0)</f>
        <v/>
      </c>
      <c r="X2375">
        <f>N(X2374)+IF(AND(V2375&lt;&gt;"",T2375&lt;&gt;""),IF(V2375=MONAT!$AZ$3,1,0),0)</f>
        <v/>
      </c>
    </row>
    <row r="2376">
      <c r="A2376" s="19" t="n"/>
      <c r="B2376" s="20">
        <f>IF(A2376="","",CHOOSE(WEEKDAY(A2376,2),"Mo","Di","Mi","Do","Fr","Sa","So"))</f>
        <v/>
      </c>
      <c r="C2376" s="20">
        <f>IF(A2376="","",INT((A2376-DATE(YEAR(A2376-WEEKDAY(A2376-1)+4),1,3)+WEEKDAY(DATE(YEAR(A2376-WEEKDAY(A2376-1)+4),1,3))+5)/7))</f>
        <v/>
      </c>
      <c r="D2376" s="21" t="n"/>
      <c r="E2376" s="22" t="n"/>
      <c r="F2376" s="23" t="n"/>
      <c r="G2376" s="23" t="n"/>
      <c r="H2376" s="23" t="n"/>
      <c r="I2376" s="20">
        <f>IF(COUNT(F2376:H2376)=0,"",SUM(F2376:H2376))</f>
        <v/>
      </c>
      <c r="J2376" s="23" t="n"/>
      <c r="K2376" s="23" t="n"/>
      <c r="L2376" s="23" t="n"/>
      <c r="M2376" s="23" t="n"/>
      <c r="N2376" s="23" t="n"/>
      <c r="O2376" s="20">
        <f>IF(OR(I2376="",COUNT(J2376:N2376)=0),"",IF(SUM(J2376:N2376)=I2376,"✓","⚠ "&amp;SUM(J2376:N2376)&amp;" statt "&amp;I2376))</f>
        <v/>
      </c>
      <c r="P2376" s="21" t="n"/>
      <c r="Q2376" s="21" t="n"/>
      <c r="R2376" s="21" t="n"/>
      <c r="S2376" s="24" t="n"/>
      <c r="T2376" s="24" t="n"/>
      <c r="V2376">
        <f>IF(A2376="","",MONTH(A2376))</f>
        <v/>
      </c>
      <c r="W2376">
        <f>N(W2375)+IF(AND(C2376&lt;&gt;"",T2376&lt;&gt;""),IF(C2376=WOCHE!$B$3,1,0),0)</f>
        <v/>
      </c>
      <c r="X2376">
        <f>N(X2375)+IF(AND(V2376&lt;&gt;"",T2376&lt;&gt;""),IF(V2376=MONAT!$AZ$3,1,0),0)</f>
        <v/>
      </c>
    </row>
    <row r="2377">
      <c r="A2377" s="19" t="n"/>
      <c r="B2377" s="20">
        <f>IF(A2377="","",CHOOSE(WEEKDAY(A2377,2),"Mo","Di","Mi","Do","Fr","Sa","So"))</f>
        <v/>
      </c>
      <c r="C2377" s="20">
        <f>IF(A2377="","",INT((A2377-DATE(YEAR(A2377-WEEKDAY(A2377-1)+4),1,3)+WEEKDAY(DATE(YEAR(A2377-WEEKDAY(A2377-1)+4),1,3))+5)/7))</f>
        <v/>
      </c>
      <c r="D2377" s="21" t="n"/>
      <c r="E2377" s="22" t="n"/>
      <c r="F2377" s="23" t="n"/>
      <c r="G2377" s="23" t="n"/>
      <c r="H2377" s="23" t="n"/>
      <c r="I2377" s="20">
        <f>IF(COUNT(F2377:H2377)=0,"",SUM(F2377:H2377))</f>
        <v/>
      </c>
      <c r="J2377" s="23" t="n"/>
      <c r="K2377" s="23" t="n"/>
      <c r="L2377" s="23" t="n"/>
      <c r="M2377" s="23" t="n"/>
      <c r="N2377" s="23" t="n"/>
      <c r="O2377" s="20">
        <f>IF(OR(I2377="",COUNT(J2377:N2377)=0),"",IF(SUM(J2377:N2377)=I2377,"✓","⚠ "&amp;SUM(J2377:N2377)&amp;" statt "&amp;I2377))</f>
        <v/>
      </c>
      <c r="P2377" s="21" t="n"/>
      <c r="Q2377" s="21" t="n"/>
      <c r="R2377" s="21" t="n"/>
      <c r="S2377" s="24" t="n"/>
      <c r="T2377" s="24" t="n"/>
      <c r="V2377">
        <f>IF(A2377="","",MONTH(A2377))</f>
        <v/>
      </c>
      <c r="W2377">
        <f>N(W2376)+IF(AND(C2377&lt;&gt;"",T2377&lt;&gt;""),IF(C2377=WOCHE!$B$3,1,0),0)</f>
        <v/>
      </c>
      <c r="X2377">
        <f>N(X2376)+IF(AND(V2377&lt;&gt;"",T2377&lt;&gt;""),IF(V2377=MONAT!$AZ$3,1,0),0)</f>
        <v/>
      </c>
    </row>
    <row r="2378">
      <c r="A2378" s="19" t="n"/>
      <c r="B2378" s="20">
        <f>IF(A2378="","",CHOOSE(WEEKDAY(A2378,2),"Mo","Di","Mi","Do","Fr","Sa","So"))</f>
        <v/>
      </c>
      <c r="C2378" s="20">
        <f>IF(A2378="","",INT((A2378-DATE(YEAR(A2378-WEEKDAY(A2378-1)+4),1,3)+WEEKDAY(DATE(YEAR(A2378-WEEKDAY(A2378-1)+4),1,3))+5)/7))</f>
        <v/>
      </c>
      <c r="D2378" s="21" t="n"/>
      <c r="E2378" s="22" t="n"/>
      <c r="F2378" s="23" t="n"/>
      <c r="G2378" s="23" t="n"/>
      <c r="H2378" s="23" t="n"/>
      <c r="I2378" s="20">
        <f>IF(COUNT(F2378:H2378)=0,"",SUM(F2378:H2378))</f>
        <v/>
      </c>
      <c r="J2378" s="23" t="n"/>
      <c r="K2378" s="23" t="n"/>
      <c r="L2378" s="23" t="n"/>
      <c r="M2378" s="23" t="n"/>
      <c r="N2378" s="23" t="n"/>
      <c r="O2378" s="20">
        <f>IF(OR(I2378="",COUNT(J2378:N2378)=0),"",IF(SUM(J2378:N2378)=I2378,"✓","⚠ "&amp;SUM(J2378:N2378)&amp;" statt "&amp;I2378))</f>
        <v/>
      </c>
      <c r="P2378" s="21" t="n"/>
      <c r="Q2378" s="21" t="n"/>
      <c r="R2378" s="21" t="n"/>
      <c r="S2378" s="24" t="n"/>
      <c r="T2378" s="24" t="n"/>
      <c r="V2378">
        <f>IF(A2378="","",MONTH(A2378))</f>
        <v/>
      </c>
      <c r="W2378">
        <f>N(W2377)+IF(AND(C2378&lt;&gt;"",T2378&lt;&gt;""),IF(C2378=WOCHE!$B$3,1,0),0)</f>
        <v/>
      </c>
      <c r="X2378">
        <f>N(X2377)+IF(AND(V2378&lt;&gt;"",T2378&lt;&gt;""),IF(V2378=MONAT!$AZ$3,1,0),0)</f>
        <v/>
      </c>
    </row>
    <row r="2379">
      <c r="A2379" s="19" t="n"/>
      <c r="B2379" s="20">
        <f>IF(A2379="","",CHOOSE(WEEKDAY(A2379,2),"Mo","Di","Mi","Do","Fr","Sa","So"))</f>
        <v/>
      </c>
      <c r="C2379" s="20">
        <f>IF(A2379="","",INT((A2379-DATE(YEAR(A2379-WEEKDAY(A2379-1)+4),1,3)+WEEKDAY(DATE(YEAR(A2379-WEEKDAY(A2379-1)+4),1,3))+5)/7))</f>
        <v/>
      </c>
      <c r="D2379" s="21" t="n"/>
      <c r="E2379" s="22" t="n"/>
      <c r="F2379" s="23" t="n"/>
      <c r="G2379" s="23" t="n"/>
      <c r="H2379" s="23" t="n"/>
      <c r="I2379" s="20">
        <f>IF(COUNT(F2379:H2379)=0,"",SUM(F2379:H2379))</f>
        <v/>
      </c>
      <c r="J2379" s="23" t="n"/>
      <c r="K2379" s="23" t="n"/>
      <c r="L2379" s="23" t="n"/>
      <c r="M2379" s="23" t="n"/>
      <c r="N2379" s="23" t="n"/>
      <c r="O2379" s="20">
        <f>IF(OR(I2379="",COUNT(J2379:N2379)=0),"",IF(SUM(J2379:N2379)=I2379,"✓","⚠ "&amp;SUM(J2379:N2379)&amp;" statt "&amp;I2379))</f>
        <v/>
      </c>
      <c r="P2379" s="21" t="n"/>
      <c r="Q2379" s="21" t="n"/>
      <c r="R2379" s="21" t="n"/>
      <c r="S2379" s="24" t="n"/>
      <c r="T2379" s="24" t="n"/>
      <c r="V2379">
        <f>IF(A2379="","",MONTH(A2379))</f>
        <v/>
      </c>
      <c r="W2379">
        <f>N(W2378)+IF(AND(C2379&lt;&gt;"",T2379&lt;&gt;""),IF(C2379=WOCHE!$B$3,1,0),0)</f>
        <v/>
      </c>
      <c r="X2379">
        <f>N(X2378)+IF(AND(V2379&lt;&gt;"",T2379&lt;&gt;""),IF(V2379=MONAT!$AZ$3,1,0),0)</f>
        <v/>
      </c>
    </row>
    <row r="2380">
      <c r="A2380" s="19" t="n"/>
      <c r="B2380" s="20">
        <f>IF(A2380="","",CHOOSE(WEEKDAY(A2380,2),"Mo","Di","Mi","Do","Fr","Sa","So"))</f>
        <v/>
      </c>
      <c r="C2380" s="20">
        <f>IF(A2380="","",INT((A2380-DATE(YEAR(A2380-WEEKDAY(A2380-1)+4),1,3)+WEEKDAY(DATE(YEAR(A2380-WEEKDAY(A2380-1)+4),1,3))+5)/7))</f>
        <v/>
      </c>
      <c r="D2380" s="21" t="n"/>
      <c r="E2380" s="22" t="n"/>
      <c r="F2380" s="23" t="n"/>
      <c r="G2380" s="23" t="n"/>
      <c r="H2380" s="23" t="n"/>
      <c r="I2380" s="20">
        <f>IF(COUNT(F2380:H2380)=0,"",SUM(F2380:H2380))</f>
        <v/>
      </c>
      <c r="J2380" s="23" t="n"/>
      <c r="K2380" s="23" t="n"/>
      <c r="L2380" s="23" t="n"/>
      <c r="M2380" s="23" t="n"/>
      <c r="N2380" s="23" t="n"/>
      <c r="O2380" s="20">
        <f>IF(OR(I2380="",COUNT(J2380:N2380)=0),"",IF(SUM(J2380:N2380)=I2380,"✓","⚠ "&amp;SUM(J2380:N2380)&amp;" statt "&amp;I2380))</f>
        <v/>
      </c>
      <c r="P2380" s="21" t="n"/>
      <c r="Q2380" s="21" t="n"/>
      <c r="R2380" s="21" t="n"/>
      <c r="S2380" s="24" t="n"/>
      <c r="T2380" s="24" t="n"/>
      <c r="V2380">
        <f>IF(A2380="","",MONTH(A2380))</f>
        <v/>
      </c>
      <c r="W2380">
        <f>N(W2379)+IF(AND(C2380&lt;&gt;"",T2380&lt;&gt;""),IF(C2380=WOCHE!$B$3,1,0),0)</f>
        <v/>
      </c>
      <c r="X2380">
        <f>N(X2379)+IF(AND(V2380&lt;&gt;"",T2380&lt;&gt;""),IF(V2380=MONAT!$AZ$3,1,0),0)</f>
        <v/>
      </c>
    </row>
    <row r="2381">
      <c r="A2381" s="19" t="n"/>
      <c r="B2381" s="20">
        <f>IF(A2381="","",CHOOSE(WEEKDAY(A2381,2),"Mo","Di","Mi","Do","Fr","Sa","So"))</f>
        <v/>
      </c>
      <c r="C2381" s="20">
        <f>IF(A2381="","",INT((A2381-DATE(YEAR(A2381-WEEKDAY(A2381-1)+4),1,3)+WEEKDAY(DATE(YEAR(A2381-WEEKDAY(A2381-1)+4),1,3))+5)/7))</f>
        <v/>
      </c>
      <c r="D2381" s="21" t="n"/>
      <c r="E2381" s="22" t="n"/>
      <c r="F2381" s="23" t="n"/>
      <c r="G2381" s="23" t="n"/>
      <c r="H2381" s="23" t="n"/>
      <c r="I2381" s="20">
        <f>IF(COUNT(F2381:H2381)=0,"",SUM(F2381:H2381))</f>
        <v/>
      </c>
      <c r="J2381" s="23" t="n"/>
      <c r="K2381" s="23" t="n"/>
      <c r="L2381" s="23" t="n"/>
      <c r="M2381" s="23" t="n"/>
      <c r="N2381" s="23" t="n"/>
      <c r="O2381" s="20">
        <f>IF(OR(I2381="",COUNT(J2381:N2381)=0),"",IF(SUM(J2381:N2381)=I2381,"✓","⚠ "&amp;SUM(J2381:N2381)&amp;" statt "&amp;I2381))</f>
        <v/>
      </c>
      <c r="P2381" s="21" t="n"/>
      <c r="Q2381" s="21" t="n"/>
      <c r="R2381" s="21" t="n"/>
      <c r="S2381" s="24" t="n"/>
      <c r="T2381" s="24" t="n"/>
      <c r="V2381">
        <f>IF(A2381="","",MONTH(A2381))</f>
        <v/>
      </c>
      <c r="W2381">
        <f>N(W2380)+IF(AND(C2381&lt;&gt;"",T2381&lt;&gt;""),IF(C2381=WOCHE!$B$3,1,0),0)</f>
        <v/>
      </c>
      <c r="X2381">
        <f>N(X2380)+IF(AND(V2381&lt;&gt;"",T2381&lt;&gt;""),IF(V2381=MONAT!$AZ$3,1,0),0)</f>
        <v/>
      </c>
    </row>
    <row r="2382">
      <c r="A2382" s="19" t="n"/>
      <c r="B2382" s="20">
        <f>IF(A2382="","",CHOOSE(WEEKDAY(A2382,2),"Mo","Di","Mi","Do","Fr","Sa","So"))</f>
        <v/>
      </c>
      <c r="C2382" s="20">
        <f>IF(A2382="","",INT((A2382-DATE(YEAR(A2382-WEEKDAY(A2382-1)+4),1,3)+WEEKDAY(DATE(YEAR(A2382-WEEKDAY(A2382-1)+4),1,3))+5)/7))</f>
        <v/>
      </c>
      <c r="D2382" s="21" t="n"/>
      <c r="E2382" s="22" t="n"/>
      <c r="F2382" s="23" t="n"/>
      <c r="G2382" s="23" t="n"/>
      <c r="H2382" s="23" t="n"/>
      <c r="I2382" s="20">
        <f>IF(COUNT(F2382:H2382)=0,"",SUM(F2382:H2382))</f>
        <v/>
      </c>
      <c r="J2382" s="23" t="n"/>
      <c r="K2382" s="23" t="n"/>
      <c r="L2382" s="23" t="n"/>
      <c r="M2382" s="23" t="n"/>
      <c r="N2382" s="23" t="n"/>
      <c r="O2382" s="20">
        <f>IF(OR(I2382="",COUNT(J2382:N2382)=0),"",IF(SUM(J2382:N2382)=I2382,"✓","⚠ "&amp;SUM(J2382:N2382)&amp;" statt "&amp;I2382))</f>
        <v/>
      </c>
      <c r="P2382" s="21" t="n"/>
      <c r="Q2382" s="21" t="n"/>
      <c r="R2382" s="21" t="n"/>
      <c r="S2382" s="24" t="n"/>
      <c r="T2382" s="24" t="n"/>
      <c r="V2382">
        <f>IF(A2382="","",MONTH(A2382))</f>
        <v/>
      </c>
      <c r="W2382">
        <f>N(W2381)+IF(AND(C2382&lt;&gt;"",T2382&lt;&gt;""),IF(C2382=WOCHE!$B$3,1,0),0)</f>
        <v/>
      </c>
      <c r="X2382">
        <f>N(X2381)+IF(AND(V2382&lt;&gt;"",T2382&lt;&gt;""),IF(V2382=MONAT!$AZ$3,1,0),0)</f>
        <v/>
      </c>
    </row>
    <row r="2383">
      <c r="A2383" s="19" t="n"/>
      <c r="B2383" s="20">
        <f>IF(A2383="","",CHOOSE(WEEKDAY(A2383,2),"Mo","Di","Mi","Do","Fr","Sa","So"))</f>
        <v/>
      </c>
      <c r="C2383" s="20">
        <f>IF(A2383="","",INT((A2383-DATE(YEAR(A2383-WEEKDAY(A2383-1)+4),1,3)+WEEKDAY(DATE(YEAR(A2383-WEEKDAY(A2383-1)+4),1,3))+5)/7))</f>
        <v/>
      </c>
      <c r="D2383" s="21" t="n"/>
      <c r="E2383" s="22" t="n"/>
      <c r="F2383" s="23" t="n"/>
      <c r="G2383" s="23" t="n"/>
      <c r="H2383" s="23" t="n"/>
      <c r="I2383" s="20">
        <f>IF(COUNT(F2383:H2383)=0,"",SUM(F2383:H2383))</f>
        <v/>
      </c>
      <c r="J2383" s="23" t="n"/>
      <c r="K2383" s="23" t="n"/>
      <c r="L2383" s="23" t="n"/>
      <c r="M2383" s="23" t="n"/>
      <c r="N2383" s="23" t="n"/>
      <c r="O2383" s="20">
        <f>IF(OR(I2383="",COUNT(J2383:N2383)=0),"",IF(SUM(J2383:N2383)=I2383,"✓","⚠ "&amp;SUM(J2383:N2383)&amp;" statt "&amp;I2383))</f>
        <v/>
      </c>
      <c r="P2383" s="21" t="n"/>
      <c r="Q2383" s="21" t="n"/>
      <c r="R2383" s="21" t="n"/>
      <c r="S2383" s="24" t="n"/>
      <c r="T2383" s="24" t="n"/>
      <c r="V2383">
        <f>IF(A2383="","",MONTH(A2383))</f>
        <v/>
      </c>
      <c r="W2383">
        <f>N(W2382)+IF(AND(C2383&lt;&gt;"",T2383&lt;&gt;""),IF(C2383=WOCHE!$B$3,1,0),0)</f>
        <v/>
      </c>
      <c r="X2383">
        <f>N(X2382)+IF(AND(V2383&lt;&gt;"",T2383&lt;&gt;""),IF(V2383=MONAT!$AZ$3,1,0),0)</f>
        <v/>
      </c>
    </row>
    <row r="2384">
      <c r="A2384" s="19" t="n"/>
      <c r="B2384" s="20">
        <f>IF(A2384="","",CHOOSE(WEEKDAY(A2384,2),"Mo","Di","Mi","Do","Fr","Sa","So"))</f>
        <v/>
      </c>
      <c r="C2384" s="20">
        <f>IF(A2384="","",INT((A2384-DATE(YEAR(A2384-WEEKDAY(A2384-1)+4),1,3)+WEEKDAY(DATE(YEAR(A2384-WEEKDAY(A2384-1)+4),1,3))+5)/7))</f>
        <v/>
      </c>
      <c r="D2384" s="21" t="n"/>
      <c r="E2384" s="22" t="n"/>
      <c r="F2384" s="23" t="n"/>
      <c r="G2384" s="23" t="n"/>
      <c r="H2384" s="23" t="n"/>
      <c r="I2384" s="20">
        <f>IF(COUNT(F2384:H2384)=0,"",SUM(F2384:H2384))</f>
        <v/>
      </c>
      <c r="J2384" s="23" t="n"/>
      <c r="K2384" s="23" t="n"/>
      <c r="L2384" s="23" t="n"/>
      <c r="M2384" s="23" t="n"/>
      <c r="N2384" s="23" t="n"/>
      <c r="O2384" s="20">
        <f>IF(OR(I2384="",COUNT(J2384:N2384)=0),"",IF(SUM(J2384:N2384)=I2384,"✓","⚠ "&amp;SUM(J2384:N2384)&amp;" statt "&amp;I2384))</f>
        <v/>
      </c>
      <c r="P2384" s="21" t="n"/>
      <c r="Q2384" s="21" t="n"/>
      <c r="R2384" s="21" t="n"/>
      <c r="S2384" s="24" t="n"/>
      <c r="T2384" s="24" t="n"/>
      <c r="V2384">
        <f>IF(A2384="","",MONTH(A2384))</f>
        <v/>
      </c>
      <c r="W2384">
        <f>N(W2383)+IF(AND(C2384&lt;&gt;"",T2384&lt;&gt;""),IF(C2384=WOCHE!$B$3,1,0),0)</f>
        <v/>
      </c>
      <c r="X2384">
        <f>N(X2383)+IF(AND(V2384&lt;&gt;"",T2384&lt;&gt;""),IF(V2384=MONAT!$AZ$3,1,0),0)</f>
        <v/>
      </c>
    </row>
    <row r="2385">
      <c r="A2385" s="19" t="n"/>
      <c r="B2385" s="20">
        <f>IF(A2385="","",CHOOSE(WEEKDAY(A2385,2),"Mo","Di","Mi","Do","Fr","Sa","So"))</f>
        <v/>
      </c>
      <c r="C2385" s="20">
        <f>IF(A2385="","",INT((A2385-DATE(YEAR(A2385-WEEKDAY(A2385-1)+4),1,3)+WEEKDAY(DATE(YEAR(A2385-WEEKDAY(A2385-1)+4),1,3))+5)/7))</f>
        <v/>
      </c>
      <c r="D2385" s="21" t="n"/>
      <c r="E2385" s="22" t="n"/>
      <c r="F2385" s="23" t="n"/>
      <c r="G2385" s="23" t="n"/>
      <c r="H2385" s="23" t="n"/>
      <c r="I2385" s="20">
        <f>IF(COUNT(F2385:H2385)=0,"",SUM(F2385:H2385))</f>
        <v/>
      </c>
      <c r="J2385" s="23" t="n"/>
      <c r="K2385" s="23" t="n"/>
      <c r="L2385" s="23" t="n"/>
      <c r="M2385" s="23" t="n"/>
      <c r="N2385" s="23" t="n"/>
      <c r="O2385" s="20">
        <f>IF(OR(I2385="",COUNT(J2385:N2385)=0),"",IF(SUM(J2385:N2385)=I2385,"✓","⚠ "&amp;SUM(J2385:N2385)&amp;" statt "&amp;I2385))</f>
        <v/>
      </c>
      <c r="P2385" s="21" t="n"/>
      <c r="Q2385" s="21" t="n"/>
      <c r="R2385" s="21" t="n"/>
      <c r="S2385" s="24" t="n"/>
      <c r="T2385" s="24" t="n"/>
      <c r="V2385">
        <f>IF(A2385="","",MONTH(A2385))</f>
        <v/>
      </c>
      <c r="W2385">
        <f>N(W2384)+IF(AND(C2385&lt;&gt;"",T2385&lt;&gt;""),IF(C2385=WOCHE!$B$3,1,0),0)</f>
        <v/>
      </c>
      <c r="X2385">
        <f>N(X2384)+IF(AND(V2385&lt;&gt;"",T2385&lt;&gt;""),IF(V2385=MONAT!$AZ$3,1,0),0)</f>
        <v/>
      </c>
    </row>
    <row r="2386">
      <c r="A2386" s="19" t="n"/>
      <c r="B2386" s="20">
        <f>IF(A2386="","",CHOOSE(WEEKDAY(A2386,2),"Mo","Di","Mi","Do","Fr","Sa","So"))</f>
        <v/>
      </c>
      <c r="C2386" s="20">
        <f>IF(A2386="","",INT((A2386-DATE(YEAR(A2386-WEEKDAY(A2386-1)+4),1,3)+WEEKDAY(DATE(YEAR(A2386-WEEKDAY(A2386-1)+4),1,3))+5)/7))</f>
        <v/>
      </c>
      <c r="D2386" s="21" t="n"/>
      <c r="E2386" s="22" t="n"/>
      <c r="F2386" s="23" t="n"/>
      <c r="G2386" s="23" t="n"/>
      <c r="H2386" s="23" t="n"/>
      <c r="I2386" s="20">
        <f>IF(COUNT(F2386:H2386)=0,"",SUM(F2386:H2386))</f>
        <v/>
      </c>
      <c r="J2386" s="23" t="n"/>
      <c r="K2386" s="23" t="n"/>
      <c r="L2386" s="23" t="n"/>
      <c r="M2386" s="23" t="n"/>
      <c r="N2386" s="23" t="n"/>
      <c r="O2386" s="20">
        <f>IF(OR(I2386="",COUNT(J2386:N2386)=0),"",IF(SUM(J2386:N2386)=I2386,"✓","⚠ "&amp;SUM(J2386:N2386)&amp;" statt "&amp;I2386))</f>
        <v/>
      </c>
      <c r="P2386" s="21" t="n"/>
      <c r="Q2386" s="21" t="n"/>
      <c r="R2386" s="21" t="n"/>
      <c r="S2386" s="24" t="n"/>
      <c r="T2386" s="24" t="n"/>
      <c r="V2386">
        <f>IF(A2386="","",MONTH(A2386))</f>
        <v/>
      </c>
      <c r="W2386">
        <f>N(W2385)+IF(AND(C2386&lt;&gt;"",T2386&lt;&gt;""),IF(C2386=WOCHE!$B$3,1,0),0)</f>
        <v/>
      </c>
      <c r="X2386">
        <f>N(X2385)+IF(AND(V2386&lt;&gt;"",T2386&lt;&gt;""),IF(V2386=MONAT!$AZ$3,1,0),0)</f>
        <v/>
      </c>
    </row>
    <row r="2387">
      <c r="A2387" s="19" t="n"/>
      <c r="B2387" s="20">
        <f>IF(A2387="","",CHOOSE(WEEKDAY(A2387,2),"Mo","Di","Mi","Do","Fr","Sa","So"))</f>
        <v/>
      </c>
      <c r="C2387" s="20">
        <f>IF(A2387="","",INT((A2387-DATE(YEAR(A2387-WEEKDAY(A2387-1)+4),1,3)+WEEKDAY(DATE(YEAR(A2387-WEEKDAY(A2387-1)+4),1,3))+5)/7))</f>
        <v/>
      </c>
      <c r="D2387" s="21" t="n"/>
      <c r="E2387" s="22" t="n"/>
      <c r="F2387" s="23" t="n"/>
      <c r="G2387" s="23" t="n"/>
      <c r="H2387" s="23" t="n"/>
      <c r="I2387" s="20">
        <f>IF(COUNT(F2387:H2387)=0,"",SUM(F2387:H2387))</f>
        <v/>
      </c>
      <c r="J2387" s="23" t="n"/>
      <c r="K2387" s="23" t="n"/>
      <c r="L2387" s="23" t="n"/>
      <c r="M2387" s="23" t="n"/>
      <c r="N2387" s="23" t="n"/>
      <c r="O2387" s="20">
        <f>IF(OR(I2387="",COUNT(J2387:N2387)=0),"",IF(SUM(J2387:N2387)=I2387,"✓","⚠ "&amp;SUM(J2387:N2387)&amp;" statt "&amp;I2387))</f>
        <v/>
      </c>
      <c r="P2387" s="21" t="n"/>
      <c r="Q2387" s="21" t="n"/>
      <c r="R2387" s="21" t="n"/>
      <c r="S2387" s="24" t="n"/>
      <c r="T2387" s="24" t="n"/>
      <c r="V2387">
        <f>IF(A2387="","",MONTH(A2387))</f>
        <v/>
      </c>
      <c r="W2387">
        <f>N(W2386)+IF(AND(C2387&lt;&gt;"",T2387&lt;&gt;""),IF(C2387=WOCHE!$B$3,1,0),0)</f>
        <v/>
      </c>
      <c r="X2387">
        <f>N(X2386)+IF(AND(V2387&lt;&gt;"",T2387&lt;&gt;""),IF(V2387=MONAT!$AZ$3,1,0),0)</f>
        <v/>
      </c>
    </row>
    <row r="2388">
      <c r="A2388" s="19" t="n"/>
      <c r="B2388" s="20">
        <f>IF(A2388="","",CHOOSE(WEEKDAY(A2388,2),"Mo","Di","Mi","Do","Fr","Sa","So"))</f>
        <v/>
      </c>
      <c r="C2388" s="20">
        <f>IF(A2388="","",INT((A2388-DATE(YEAR(A2388-WEEKDAY(A2388-1)+4),1,3)+WEEKDAY(DATE(YEAR(A2388-WEEKDAY(A2388-1)+4),1,3))+5)/7))</f>
        <v/>
      </c>
      <c r="D2388" s="21" t="n"/>
      <c r="E2388" s="22" t="n"/>
      <c r="F2388" s="23" t="n"/>
      <c r="G2388" s="23" t="n"/>
      <c r="H2388" s="23" t="n"/>
      <c r="I2388" s="20">
        <f>IF(COUNT(F2388:H2388)=0,"",SUM(F2388:H2388))</f>
        <v/>
      </c>
      <c r="J2388" s="23" t="n"/>
      <c r="K2388" s="23" t="n"/>
      <c r="L2388" s="23" t="n"/>
      <c r="M2388" s="23" t="n"/>
      <c r="N2388" s="23" t="n"/>
      <c r="O2388" s="20">
        <f>IF(OR(I2388="",COUNT(J2388:N2388)=0),"",IF(SUM(J2388:N2388)=I2388,"✓","⚠ "&amp;SUM(J2388:N2388)&amp;" statt "&amp;I2388))</f>
        <v/>
      </c>
      <c r="P2388" s="21" t="n"/>
      <c r="Q2388" s="21" t="n"/>
      <c r="R2388" s="21" t="n"/>
      <c r="S2388" s="24" t="n"/>
      <c r="T2388" s="24" t="n"/>
      <c r="V2388">
        <f>IF(A2388="","",MONTH(A2388))</f>
        <v/>
      </c>
      <c r="W2388">
        <f>N(W2387)+IF(AND(C2388&lt;&gt;"",T2388&lt;&gt;""),IF(C2388=WOCHE!$B$3,1,0),0)</f>
        <v/>
      </c>
      <c r="X2388">
        <f>N(X2387)+IF(AND(V2388&lt;&gt;"",T2388&lt;&gt;""),IF(V2388=MONAT!$AZ$3,1,0),0)</f>
        <v/>
      </c>
    </row>
    <row r="2389">
      <c r="A2389" s="19" t="n"/>
      <c r="B2389" s="20">
        <f>IF(A2389="","",CHOOSE(WEEKDAY(A2389,2),"Mo","Di","Mi","Do","Fr","Sa","So"))</f>
        <v/>
      </c>
      <c r="C2389" s="20">
        <f>IF(A2389="","",INT((A2389-DATE(YEAR(A2389-WEEKDAY(A2389-1)+4),1,3)+WEEKDAY(DATE(YEAR(A2389-WEEKDAY(A2389-1)+4),1,3))+5)/7))</f>
        <v/>
      </c>
      <c r="D2389" s="21" t="n"/>
      <c r="E2389" s="22" t="n"/>
      <c r="F2389" s="23" t="n"/>
      <c r="G2389" s="23" t="n"/>
      <c r="H2389" s="23" t="n"/>
      <c r="I2389" s="20">
        <f>IF(COUNT(F2389:H2389)=0,"",SUM(F2389:H2389))</f>
        <v/>
      </c>
      <c r="J2389" s="23" t="n"/>
      <c r="K2389" s="23" t="n"/>
      <c r="L2389" s="23" t="n"/>
      <c r="M2389" s="23" t="n"/>
      <c r="N2389" s="23" t="n"/>
      <c r="O2389" s="20">
        <f>IF(OR(I2389="",COUNT(J2389:N2389)=0),"",IF(SUM(J2389:N2389)=I2389,"✓","⚠ "&amp;SUM(J2389:N2389)&amp;" statt "&amp;I2389))</f>
        <v/>
      </c>
      <c r="P2389" s="21" t="n"/>
      <c r="Q2389" s="21" t="n"/>
      <c r="R2389" s="21" t="n"/>
      <c r="S2389" s="24" t="n"/>
      <c r="T2389" s="24" t="n"/>
      <c r="V2389">
        <f>IF(A2389="","",MONTH(A2389))</f>
        <v/>
      </c>
      <c r="W2389">
        <f>N(W2388)+IF(AND(C2389&lt;&gt;"",T2389&lt;&gt;""),IF(C2389=WOCHE!$B$3,1,0),0)</f>
        <v/>
      </c>
      <c r="X2389">
        <f>N(X2388)+IF(AND(V2389&lt;&gt;"",T2389&lt;&gt;""),IF(V2389=MONAT!$AZ$3,1,0),0)</f>
        <v/>
      </c>
    </row>
    <row r="2390">
      <c r="A2390" s="19" t="n"/>
      <c r="B2390" s="20">
        <f>IF(A2390="","",CHOOSE(WEEKDAY(A2390,2),"Mo","Di","Mi","Do","Fr","Sa","So"))</f>
        <v/>
      </c>
      <c r="C2390" s="20">
        <f>IF(A2390="","",INT((A2390-DATE(YEAR(A2390-WEEKDAY(A2390-1)+4),1,3)+WEEKDAY(DATE(YEAR(A2390-WEEKDAY(A2390-1)+4),1,3))+5)/7))</f>
        <v/>
      </c>
      <c r="D2390" s="21" t="n"/>
      <c r="E2390" s="22" t="n"/>
      <c r="F2390" s="23" t="n"/>
      <c r="G2390" s="23" t="n"/>
      <c r="H2390" s="23" t="n"/>
      <c r="I2390" s="20">
        <f>IF(COUNT(F2390:H2390)=0,"",SUM(F2390:H2390))</f>
        <v/>
      </c>
      <c r="J2390" s="23" t="n"/>
      <c r="K2390" s="23" t="n"/>
      <c r="L2390" s="23" t="n"/>
      <c r="M2390" s="23" t="n"/>
      <c r="N2390" s="23" t="n"/>
      <c r="O2390" s="20">
        <f>IF(OR(I2390="",COUNT(J2390:N2390)=0),"",IF(SUM(J2390:N2390)=I2390,"✓","⚠ "&amp;SUM(J2390:N2390)&amp;" statt "&amp;I2390))</f>
        <v/>
      </c>
      <c r="P2390" s="21" t="n"/>
      <c r="Q2390" s="21" t="n"/>
      <c r="R2390" s="21" t="n"/>
      <c r="S2390" s="24" t="n"/>
      <c r="T2390" s="24" t="n"/>
      <c r="V2390">
        <f>IF(A2390="","",MONTH(A2390))</f>
        <v/>
      </c>
      <c r="W2390">
        <f>N(W2389)+IF(AND(C2390&lt;&gt;"",T2390&lt;&gt;""),IF(C2390=WOCHE!$B$3,1,0),0)</f>
        <v/>
      </c>
      <c r="X2390">
        <f>N(X2389)+IF(AND(V2390&lt;&gt;"",T2390&lt;&gt;""),IF(V2390=MONAT!$AZ$3,1,0),0)</f>
        <v/>
      </c>
    </row>
    <row r="2391">
      <c r="A2391" s="19" t="n"/>
      <c r="B2391" s="20">
        <f>IF(A2391="","",CHOOSE(WEEKDAY(A2391,2),"Mo","Di","Mi","Do","Fr","Sa","So"))</f>
        <v/>
      </c>
      <c r="C2391" s="20">
        <f>IF(A2391="","",INT((A2391-DATE(YEAR(A2391-WEEKDAY(A2391-1)+4),1,3)+WEEKDAY(DATE(YEAR(A2391-WEEKDAY(A2391-1)+4),1,3))+5)/7))</f>
        <v/>
      </c>
      <c r="D2391" s="21" t="n"/>
      <c r="E2391" s="22" t="n"/>
      <c r="F2391" s="23" t="n"/>
      <c r="G2391" s="23" t="n"/>
      <c r="H2391" s="23" t="n"/>
      <c r="I2391" s="20">
        <f>IF(COUNT(F2391:H2391)=0,"",SUM(F2391:H2391))</f>
        <v/>
      </c>
      <c r="J2391" s="23" t="n"/>
      <c r="K2391" s="23" t="n"/>
      <c r="L2391" s="23" t="n"/>
      <c r="M2391" s="23" t="n"/>
      <c r="N2391" s="23" t="n"/>
      <c r="O2391" s="20">
        <f>IF(OR(I2391="",COUNT(J2391:N2391)=0),"",IF(SUM(J2391:N2391)=I2391,"✓","⚠ "&amp;SUM(J2391:N2391)&amp;" statt "&amp;I2391))</f>
        <v/>
      </c>
      <c r="P2391" s="21" t="n"/>
      <c r="Q2391" s="21" t="n"/>
      <c r="R2391" s="21" t="n"/>
      <c r="S2391" s="24" t="n"/>
      <c r="T2391" s="24" t="n"/>
      <c r="V2391">
        <f>IF(A2391="","",MONTH(A2391))</f>
        <v/>
      </c>
      <c r="W2391">
        <f>N(W2390)+IF(AND(C2391&lt;&gt;"",T2391&lt;&gt;""),IF(C2391=WOCHE!$B$3,1,0),0)</f>
        <v/>
      </c>
      <c r="X2391">
        <f>N(X2390)+IF(AND(V2391&lt;&gt;"",T2391&lt;&gt;""),IF(V2391=MONAT!$AZ$3,1,0),0)</f>
        <v/>
      </c>
    </row>
    <row r="2392">
      <c r="A2392" s="19" t="n"/>
      <c r="B2392" s="20">
        <f>IF(A2392="","",CHOOSE(WEEKDAY(A2392,2),"Mo","Di","Mi","Do","Fr","Sa","So"))</f>
        <v/>
      </c>
      <c r="C2392" s="20">
        <f>IF(A2392="","",INT((A2392-DATE(YEAR(A2392-WEEKDAY(A2392-1)+4),1,3)+WEEKDAY(DATE(YEAR(A2392-WEEKDAY(A2392-1)+4),1,3))+5)/7))</f>
        <v/>
      </c>
      <c r="D2392" s="21" t="n"/>
      <c r="E2392" s="22" t="n"/>
      <c r="F2392" s="23" t="n"/>
      <c r="G2392" s="23" t="n"/>
      <c r="H2392" s="23" t="n"/>
      <c r="I2392" s="20">
        <f>IF(COUNT(F2392:H2392)=0,"",SUM(F2392:H2392))</f>
        <v/>
      </c>
      <c r="J2392" s="23" t="n"/>
      <c r="K2392" s="23" t="n"/>
      <c r="L2392" s="23" t="n"/>
      <c r="M2392" s="23" t="n"/>
      <c r="N2392" s="23" t="n"/>
      <c r="O2392" s="20">
        <f>IF(OR(I2392="",COUNT(J2392:N2392)=0),"",IF(SUM(J2392:N2392)=I2392,"✓","⚠ "&amp;SUM(J2392:N2392)&amp;" statt "&amp;I2392))</f>
        <v/>
      </c>
      <c r="P2392" s="21" t="n"/>
      <c r="Q2392" s="21" t="n"/>
      <c r="R2392" s="21" t="n"/>
      <c r="S2392" s="24" t="n"/>
      <c r="T2392" s="24" t="n"/>
      <c r="V2392">
        <f>IF(A2392="","",MONTH(A2392))</f>
        <v/>
      </c>
      <c r="W2392">
        <f>N(W2391)+IF(AND(C2392&lt;&gt;"",T2392&lt;&gt;""),IF(C2392=WOCHE!$B$3,1,0),0)</f>
        <v/>
      </c>
      <c r="X2392">
        <f>N(X2391)+IF(AND(V2392&lt;&gt;"",T2392&lt;&gt;""),IF(V2392=MONAT!$AZ$3,1,0),0)</f>
        <v/>
      </c>
    </row>
    <row r="2393">
      <c r="A2393" s="19" t="n"/>
      <c r="B2393" s="20">
        <f>IF(A2393="","",CHOOSE(WEEKDAY(A2393,2),"Mo","Di","Mi","Do","Fr","Sa","So"))</f>
        <v/>
      </c>
      <c r="C2393" s="20">
        <f>IF(A2393="","",INT((A2393-DATE(YEAR(A2393-WEEKDAY(A2393-1)+4),1,3)+WEEKDAY(DATE(YEAR(A2393-WEEKDAY(A2393-1)+4),1,3))+5)/7))</f>
        <v/>
      </c>
      <c r="D2393" s="21" t="n"/>
      <c r="E2393" s="22" t="n"/>
      <c r="F2393" s="23" t="n"/>
      <c r="G2393" s="23" t="n"/>
      <c r="H2393" s="23" t="n"/>
      <c r="I2393" s="20">
        <f>IF(COUNT(F2393:H2393)=0,"",SUM(F2393:H2393))</f>
        <v/>
      </c>
      <c r="J2393" s="23" t="n"/>
      <c r="K2393" s="23" t="n"/>
      <c r="L2393" s="23" t="n"/>
      <c r="M2393" s="23" t="n"/>
      <c r="N2393" s="23" t="n"/>
      <c r="O2393" s="20">
        <f>IF(OR(I2393="",COUNT(J2393:N2393)=0),"",IF(SUM(J2393:N2393)=I2393,"✓","⚠ "&amp;SUM(J2393:N2393)&amp;" statt "&amp;I2393))</f>
        <v/>
      </c>
      <c r="P2393" s="21" t="n"/>
      <c r="Q2393" s="21" t="n"/>
      <c r="R2393" s="21" t="n"/>
      <c r="S2393" s="24" t="n"/>
      <c r="T2393" s="24" t="n"/>
      <c r="V2393">
        <f>IF(A2393="","",MONTH(A2393))</f>
        <v/>
      </c>
      <c r="W2393">
        <f>N(W2392)+IF(AND(C2393&lt;&gt;"",T2393&lt;&gt;""),IF(C2393=WOCHE!$B$3,1,0),0)</f>
        <v/>
      </c>
      <c r="X2393">
        <f>N(X2392)+IF(AND(V2393&lt;&gt;"",T2393&lt;&gt;""),IF(V2393=MONAT!$AZ$3,1,0),0)</f>
        <v/>
      </c>
    </row>
    <row r="2394">
      <c r="A2394" s="19" t="n"/>
      <c r="B2394" s="20">
        <f>IF(A2394="","",CHOOSE(WEEKDAY(A2394,2),"Mo","Di","Mi","Do","Fr","Sa","So"))</f>
        <v/>
      </c>
      <c r="C2394" s="20">
        <f>IF(A2394="","",INT((A2394-DATE(YEAR(A2394-WEEKDAY(A2394-1)+4),1,3)+WEEKDAY(DATE(YEAR(A2394-WEEKDAY(A2394-1)+4),1,3))+5)/7))</f>
        <v/>
      </c>
      <c r="D2394" s="21" t="n"/>
      <c r="E2394" s="22" t="n"/>
      <c r="F2394" s="23" t="n"/>
      <c r="G2394" s="23" t="n"/>
      <c r="H2394" s="23" t="n"/>
      <c r="I2394" s="20">
        <f>IF(COUNT(F2394:H2394)=0,"",SUM(F2394:H2394))</f>
        <v/>
      </c>
      <c r="J2394" s="23" t="n"/>
      <c r="K2394" s="23" t="n"/>
      <c r="L2394" s="23" t="n"/>
      <c r="M2394" s="23" t="n"/>
      <c r="N2394" s="23" t="n"/>
      <c r="O2394" s="20">
        <f>IF(OR(I2394="",COUNT(J2394:N2394)=0),"",IF(SUM(J2394:N2394)=I2394,"✓","⚠ "&amp;SUM(J2394:N2394)&amp;" statt "&amp;I2394))</f>
        <v/>
      </c>
      <c r="P2394" s="21" t="n"/>
      <c r="Q2394" s="21" t="n"/>
      <c r="R2394" s="21" t="n"/>
      <c r="S2394" s="24" t="n"/>
      <c r="T2394" s="24" t="n"/>
      <c r="V2394">
        <f>IF(A2394="","",MONTH(A2394))</f>
        <v/>
      </c>
      <c r="W2394">
        <f>N(W2393)+IF(AND(C2394&lt;&gt;"",T2394&lt;&gt;""),IF(C2394=WOCHE!$B$3,1,0),0)</f>
        <v/>
      </c>
      <c r="X2394">
        <f>N(X2393)+IF(AND(V2394&lt;&gt;"",T2394&lt;&gt;""),IF(V2394=MONAT!$AZ$3,1,0),0)</f>
        <v/>
      </c>
    </row>
    <row r="2395">
      <c r="A2395" s="19" t="n"/>
      <c r="B2395" s="20">
        <f>IF(A2395="","",CHOOSE(WEEKDAY(A2395,2),"Mo","Di","Mi","Do","Fr","Sa","So"))</f>
        <v/>
      </c>
      <c r="C2395" s="20">
        <f>IF(A2395="","",INT((A2395-DATE(YEAR(A2395-WEEKDAY(A2395-1)+4),1,3)+WEEKDAY(DATE(YEAR(A2395-WEEKDAY(A2395-1)+4),1,3))+5)/7))</f>
        <v/>
      </c>
      <c r="D2395" s="21" t="n"/>
      <c r="E2395" s="22" t="n"/>
      <c r="F2395" s="23" t="n"/>
      <c r="G2395" s="23" t="n"/>
      <c r="H2395" s="23" t="n"/>
      <c r="I2395" s="20">
        <f>IF(COUNT(F2395:H2395)=0,"",SUM(F2395:H2395))</f>
        <v/>
      </c>
      <c r="J2395" s="23" t="n"/>
      <c r="K2395" s="23" t="n"/>
      <c r="L2395" s="23" t="n"/>
      <c r="M2395" s="23" t="n"/>
      <c r="N2395" s="23" t="n"/>
      <c r="O2395" s="20">
        <f>IF(OR(I2395="",COUNT(J2395:N2395)=0),"",IF(SUM(J2395:N2395)=I2395,"✓","⚠ "&amp;SUM(J2395:N2395)&amp;" statt "&amp;I2395))</f>
        <v/>
      </c>
      <c r="P2395" s="21" t="n"/>
      <c r="Q2395" s="21" t="n"/>
      <c r="R2395" s="21" t="n"/>
      <c r="S2395" s="24" t="n"/>
      <c r="T2395" s="24" t="n"/>
      <c r="V2395">
        <f>IF(A2395="","",MONTH(A2395))</f>
        <v/>
      </c>
      <c r="W2395">
        <f>N(W2394)+IF(AND(C2395&lt;&gt;"",T2395&lt;&gt;""),IF(C2395=WOCHE!$B$3,1,0),0)</f>
        <v/>
      </c>
      <c r="X2395">
        <f>N(X2394)+IF(AND(V2395&lt;&gt;"",T2395&lt;&gt;""),IF(V2395=MONAT!$AZ$3,1,0),0)</f>
        <v/>
      </c>
    </row>
    <row r="2396">
      <c r="A2396" s="19" t="n"/>
      <c r="B2396" s="20">
        <f>IF(A2396="","",CHOOSE(WEEKDAY(A2396,2),"Mo","Di","Mi","Do","Fr","Sa","So"))</f>
        <v/>
      </c>
      <c r="C2396" s="20">
        <f>IF(A2396="","",INT((A2396-DATE(YEAR(A2396-WEEKDAY(A2396-1)+4),1,3)+WEEKDAY(DATE(YEAR(A2396-WEEKDAY(A2396-1)+4),1,3))+5)/7))</f>
        <v/>
      </c>
      <c r="D2396" s="21" t="n"/>
      <c r="E2396" s="22" t="n"/>
      <c r="F2396" s="23" t="n"/>
      <c r="G2396" s="23" t="n"/>
      <c r="H2396" s="23" t="n"/>
      <c r="I2396" s="20">
        <f>IF(COUNT(F2396:H2396)=0,"",SUM(F2396:H2396))</f>
        <v/>
      </c>
      <c r="J2396" s="23" t="n"/>
      <c r="K2396" s="23" t="n"/>
      <c r="L2396" s="23" t="n"/>
      <c r="M2396" s="23" t="n"/>
      <c r="N2396" s="23" t="n"/>
      <c r="O2396" s="20">
        <f>IF(OR(I2396="",COUNT(J2396:N2396)=0),"",IF(SUM(J2396:N2396)=I2396,"✓","⚠ "&amp;SUM(J2396:N2396)&amp;" statt "&amp;I2396))</f>
        <v/>
      </c>
      <c r="P2396" s="21" t="n"/>
      <c r="Q2396" s="21" t="n"/>
      <c r="R2396" s="21" t="n"/>
      <c r="S2396" s="24" t="n"/>
      <c r="T2396" s="24" t="n"/>
      <c r="V2396">
        <f>IF(A2396="","",MONTH(A2396))</f>
        <v/>
      </c>
      <c r="W2396">
        <f>N(W2395)+IF(AND(C2396&lt;&gt;"",T2396&lt;&gt;""),IF(C2396=WOCHE!$B$3,1,0),0)</f>
        <v/>
      </c>
      <c r="X2396">
        <f>N(X2395)+IF(AND(V2396&lt;&gt;"",T2396&lt;&gt;""),IF(V2396=MONAT!$AZ$3,1,0),0)</f>
        <v/>
      </c>
    </row>
    <row r="2397">
      <c r="A2397" s="19" t="n"/>
      <c r="B2397" s="20">
        <f>IF(A2397="","",CHOOSE(WEEKDAY(A2397,2),"Mo","Di","Mi","Do","Fr","Sa","So"))</f>
        <v/>
      </c>
      <c r="C2397" s="20">
        <f>IF(A2397="","",INT((A2397-DATE(YEAR(A2397-WEEKDAY(A2397-1)+4),1,3)+WEEKDAY(DATE(YEAR(A2397-WEEKDAY(A2397-1)+4),1,3))+5)/7))</f>
        <v/>
      </c>
      <c r="D2397" s="21" t="n"/>
      <c r="E2397" s="22" t="n"/>
      <c r="F2397" s="23" t="n"/>
      <c r="G2397" s="23" t="n"/>
      <c r="H2397" s="23" t="n"/>
      <c r="I2397" s="20">
        <f>IF(COUNT(F2397:H2397)=0,"",SUM(F2397:H2397))</f>
        <v/>
      </c>
      <c r="J2397" s="23" t="n"/>
      <c r="K2397" s="23" t="n"/>
      <c r="L2397" s="23" t="n"/>
      <c r="M2397" s="23" t="n"/>
      <c r="N2397" s="23" t="n"/>
      <c r="O2397" s="20">
        <f>IF(OR(I2397="",COUNT(J2397:N2397)=0),"",IF(SUM(J2397:N2397)=I2397,"✓","⚠ "&amp;SUM(J2397:N2397)&amp;" statt "&amp;I2397))</f>
        <v/>
      </c>
      <c r="P2397" s="21" t="n"/>
      <c r="Q2397" s="21" t="n"/>
      <c r="R2397" s="21" t="n"/>
      <c r="S2397" s="24" t="n"/>
      <c r="T2397" s="24" t="n"/>
      <c r="V2397">
        <f>IF(A2397="","",MONTH(A2397))</f>
        <v/>
      </c>
      <c r="W2397">
        <f>N(W2396)+IF(AND(C2397&lt;&gt;"",T2397&lt;&gt;""),IF(C2397=WOCHE!$B$3,1,0),0)</f>
        <v/>
      </c>
      <c r="X2397">
        <f>N(X2396)+IF(AND(V2397&lt;&gt;"",T2397&lt;&gt;""),IF(V2397=MONAT!$AZ$3,1,0),0)</f>
        <v/>
      </c>
    </row>
    <row r="2398">
      <c r="A2398" s="19" t="n"/>
      <c r="B2398" s="20">
        <f>IF(A2398="","",CHOOSE(WEEKDAY(A2398,2),"Mo","Di","Mi","Do","Fr","Sa","So"))</f>
        <v/>
      </c>
      <c r="C2398" s="20">
        <f>IF(A2398="","",INT((A2398-DATE(YEAR(A2398-WEEKDAY(A2398-1)+4),1,3)+WEEKDAY(DATE(YEAR(A2398-WEEKDAY(A2398-1)+4),1,3))+5)/7))</f>
        <v/>
      </c>
      <c r="D2398" s="21" t="n"/>
      <c r="E2398" s="22" t="n"/>
      <c r="F2398" s="23" t="n"/>
      <c r="G2398" s="23" t="n"/>
      <c r="H2398" s="23" t="n"/>
      <c r="I2398" s="20">
        <f>IF(COUNT(F2398:H2398)=0,"",SUM(F2398:H2398))</f>
        <v/>
      </c>
      <c r="J2398" s="23" t="n"/>
      <c r="K2398" s="23" t="n"/>
      <c r="L2398" s="23" t="n"/>
      <c r="M2398" s="23" t="n"/>
      <c r="N2398" s="23" t="n"/>
      <c r="O2398" s="20">
        <f>IF(OR(I2398="",COUNT(J2398:N2398)=0),"",IF(SUM(J2398:N2398)=I2398,"✓","⚠ "&amp;SUM(J2398:N2398)&amp;" statt "&amp;I2398))</f>
        <v/>
      </c>
      <c r="P2398" s="21" t="n"/>
      <c r="Q2398" s="21" t="n"/>
      <c r="R2398" s="21" t="n"/>
      <c r="S2398" s="24" t="n"/>
      <c r="T2398" s="24" t="n"/>
      <c r="V2398">
        <f>IF(A2398="","",MONTH(A2398))</f>
        <v/>
      </c>
      <c r="W2398">
        <f>N(W2397)+IF(AND(C2398&lt;&gt;"",T2398&lt;&gt;""),IF(C2398=WOCHE!$B$3,1,0),0)</f>
        <v/>
      </c>
      <c r="X2398">
        <f>N(X2397)+IF(AND(V2398&lt;&gt;"",T2398&lt;&gt;""),IF(V2398=MONAT!$AZ$3,1,0),0)</f>
        <v/>
      </c>
    </row>
    <row r="2399">
      <c r="A2399" s="19" t="n"/>
      <c r="B2399" s="20">
        <f>IF(A2399="","",CHOOSE(WEEKDAY(A2399,2),"Mo","Di","Mi","Do","Fr","Sa","So"))</f>
        <v/>
      </c>
      <c r="C2399" s="20">
        <f>IF(A2399="","",INT((A2399-DATE(YEAR(A2399-WEEKDAY(A2399-1)+4),1,3)+WEEKDAY(DATE(YEAR(A2399-WEEKDAY(A2399-1)+4),1,3))+5)/7))</f>
        <v/>
      </c>
      <c r="D2399" s="21" t="n"/>
      <c r="E2399" s="22" t="n"/>
      <c r="F2399" s="23" t="n"/>
      <c r="G2399" s="23" t="n"/>
      <c r="H2399" s="23" t="n"/>
      <c r="I2399" s="20">
        <f>IF(COUNT(F2399:H2399)=0,"",SUM(F2399:H2399))</f>
        <v/>
      </c>
      <c r="J2399" s="23" t="n"/>
      <c r="K2399" s="23" t="n"/>
      <c r="L2399" s="23" t="n"/>
      <c r="M2399" s="23" t="n"/>
      <c r="N2399" s="23" t="n"/>
      <c r="O2399" s="20">
        <f>IF(OR(I2399="",COUNT(J2399:N2399)=0),"",IF(SUM(J2399:N2399)=I2399,"✓","⚠ "&amp;SUM(J2399:N2399)&amp;" statt "&amp;I2399))</f>
        <v/>
      </c>
      <c r="P2399" s="21" t="n"/>
      <c r="Q2399" s="21" t="n"/>
      <c r="R2399" s="21" t="n"/>
      <c r="S2399" s="24" t="n"/>
      <c r="T2399" s="24" t="n"/>
      <c r="V2399">
        <f>IF(A2399="","",MONTH(A2399))</f>
        <v/>
      </c>
      <c r="W2399">
        <f>N(W2398)+IF(AND(C2399&lt;&gt;"",T2399&lt;&gt;""),IF(C2399=WOCHE!$B$3,1,0),0)</f>
        <v/>
      </c>
      <c r="X2399">
        <f>N(X2398)+IF(AND(V2399&lt;&gt;"",T2399&lt;&gt;""),IF(V2399=MONAT!$AZ$3,1,0),0)</f>
        <v/>
      </c>
    </row>
    <row r="2400">
      <c r="A2400" s="19" t="n"/>
      <c r="B2400" s="20">
        <f>IF(A2400="","",CHOOSE(WEEKDAY(A2400,2),"Mo","Di","Mi","Do","Fr","Sa","So"))</f>
        <v/>
      </c>
      <c r="C2400" s="20">
        <f>IF(A2400="","",INT((A2400-DATE(YEAR(A2400-WEEKDAY(A2400-1)+4),1,3)+WEEKDAY(DATE(YEAR(A2400-WEEKDAY(A2400-1)+4),1,3))+5)/7))</f>
        <v/>
      </c>
      <c r="D2400" s="21" t="n"/>
      <c r="E2400" s="22" t="n"/>
      <c r="F2400" s="23" t="n"/>
      <c r="G2400" s="23" t="n"/>
      <c r="H2400" s="23" t="n"/>
      <c r="I2400" s="20">
        <f>IF(COUNT(F2400:H2400)=0,"",SUM(F2400:H2400))</f>
        <v/>
      </c>
      <c r="J2400" s="23" t="n"/>
      <c r="K2400" s="23" t="n"/>
      <c r="L2400" s="23" t="n"/>
      <c r="M2400" s="23" t="n"/>
      <c r="N2400" s="23" t="n"/>
      <c r="O2400" s="20">
        <f>IF(OR(I2400="",COUNT(J2400:N2400)=0),"",IF(SUM(J2400:N2400)=I2400,"✓","⚠ "&amp;SUM(J2400:N2400)&amp;" statt "&amp;I2400))</f>
        <v/>
      </c>
      <c r="P2400" s="21" t="n"/>
      <c r="Q2400" s="21" t="n"/>
      <c r="R2400" s="21" t="n"/>
      <c r="S2400" s="24" t="n"/>
      <c r="T2400" s="24" t="n"/>
      <c r="V2400">
        <f>IF(A2400="","",MONTH(A2400))</f>
        <v/>
      </c>
      <c r="W2400">
        <f>N(W2399)+IF(AND(C2400&lt;&gt;"",T2400&lt;&gt;""),IF(C2400=WOCHE!$B$3,1,0),0)</f>
        <v/>
      </c>
      <c r="X2400">
        <f>N(X2399)+IF(AND(V2400&lt;&gt;"",T2400&lt;&gt;""),IF(V2400=MONAT!$AZ$3,1,0),0)</f>
        <v/>
      </c>
    </row>
    <row r="2401">
      <c r="A2401" s="19" t="n"/>
      <c r="B2401" s="20">
        <f>IF(A2401="","",CHOOSE(WEEKDAY(A2401,2),"Mo","Di","Mi","Do","Fr","Sa","So"))</f>
        <v/>
      </c>
      <c r="C2401" s="20">
        <f>IF(A2401="","",INT((A2401-DATE(YEAR(A2401-WEEKDAY(A2401-1)+4),1,3)+WEEKDAY(DATE(YEAR(A2401-WEEKDAY(A2401-1)+4),1,3))+5)/7))</f>
        <v/>
      </c>
      <c r="D2401" s="21" t="n"/>
      <c r="E2401" s="22" t="n"/>
      <c r="F2401" s="23" t="n"/>
      <c r="G2401" s="23" t="n"/>
      <c r="H2401" s="23" t="n"/>
      <c r="I2401" s="20">
        <f>IF(COUNT(F2401:H2401)=0,"",SUM(F2401:H2401))</f>
        <v/>
      </c>
      <c r="J2401" s="23" t="n"/>
      <c r="K2401" s="23" t="n"/>
      <c r="L2401" s="23" t="n"/>
      <c r="M2401" s="23" t="n"/>
      <c r="N2401" s="23" t="n"/>
      <c r="O2401" s="20">
        <f>IF(OR(I2401="",COUNT(J2401:N2401)=0),"",IF(SUM(J2401:N2401)=I2401,"✓","⚠ "&amp;SUM(J2401:N2401)&amp;" statt "&amp;I2401))</f>
        <v/>
      </c>
      <c r="P2401" s="21" t="n"/>
      <c r="Q2401" s="21" t="n"/>
      <c r="R2401" s="21" t="n"/>
      <c r="S2401" s="24" t="n"/>
      <c r="T2401" s="24" t="n"/>
      <c r="V2401">
        <f>IF(A2401="","",MONTH(A2401))</f>
        <v/>
      </c>
      <c r="W2401">
        <f>N(W2400)+IF(AND(C2401&lt;&gt;"",T2401&lt;&gt;""),IF(C2401=WOCHE!$B$3,1,0),0)</f>
        <v/>
      </c>
      <c r="X2401">
        <f>N(X2400)+IF(AND(V2401&lt;&gt;"",T2401&lt;&gt;""),IF(V2401=MONAT!$AZ$3,1,0),0)</f>
        <v/>
      </c>
    </row>
    <row r="2402">
      <c r="A2402" s="19" t="n"/>
      <c r="B2402" s="20">
        <f>IF(A2402="","",CHOOSE(WEEKDAY(A2402,2),"Mo","Di","Mi","Do","Fr","Sa","So"))</f>
        <v/>
      </c>
      <c r="C2402" s="20">
        <f>IF(A2402="","",INT((A2402-DATE(YEAR(A2402-WEEKDAY(A2402-1)+4),1,3)+WEEKDAY(DATE(YEAR(A2402-WEEKDAY(A2402-1)+4),1,3))+5)/7))</f>
        <v/>
      </c>
      <c r="D2402" s="21" t="n"/>
      <c r="E2402" s="22" t="n"/>
      <c r="F2402" s="23" t="n"/>
      <c r="G2402" s="23" t="n"/>
      <c r="H2402" s="23" t="n"/>
      <c r="I2402" s="20">
        <f>IF(COUNT(F2402:H2402)=0,"",SUM(F2402:H2402))</f>
        <v/>
      </c>
      <c r="J2402" s="23" t="n"/>
      <c r="K2402" s="23" t="n"/>
      <c r="L2402" s="23" t="n"/>
      <c r="M2402" s="23" t="n"/>
      <c r="N2402" s="23" t="n"/>
      <c r="O2402" s="20">
        <f>IF(OR(I2402="",COUNT(J2402:N2402)=0),"",IF(SUM(J2402:N2402)=I2402,"✓","⚠ "&amp;SUM(J2402:N2402)&amp;" statt "&amp;I2402))</f>
        <v/>
      </c>
      <c r="P2402" s="21" t="n"/>
      <c r="Q2402" s="21" t="n"/>
      <c r="R2402" s="21" t="n"/>
      <c r="S2402" s="24" t="n"/>
      <c r="T2402" s="24" t="n"/>
      <c r="V2402">
        <f>IF(A2402="","",MONTH(A2402))</f>
        <v/>
      </c>
      <c r="W2402">
        <f>N(W2401)+IF(AND(C2402&lt;&gt;"",T2402&lt;&gt;""),IF(C2402=WOCHE!$B$3,1,0),0)</f>
        <v/>
      </c>
      <c r="X2402">
        <f>N(X2401)+IF(AND(V2402&lt;&gt;"",T2402&lt;&gt;""),IF(V2402=MONAT!$AZ$3,1,0),0)</f>
        <v/>
      </c>
    </row>
    <row r="2403">
      <c r="A2403" s="19" t="n"/>
      <c r="B2403" s="20">
        <f>IF(A2403="","",CHOOSE(WEEKDAY(A2403,2),"Mo","Di","Mi","Do","Fr","Sa","So"))</f>
        <v/>
      </c>
      <c r="C2403" s="20">
        <f>IF(A2403="","",INT((A2403-DATE(YEAR(A2403-WEEKDAY(A2403-1)+4),1,3)+WEEKDAY(DATE(YEAR(A2403-WEEKDAY(A2403-1)+4),1,3))+5)/7))</f>
        <v/>
      </c>
      <c r="D2403" s="21" t="n"/>
      <c r="E2403" s="22" t="n"/>
      <c r="F2403" s="23" t="n"/>
      <c r="G2403" s="23" t="n"/>
      <c r="H2403" s="23" t="n"/>
      <c r="I2403" s="20">
        <f>IF(COUNT(F2403:H2403)=0,"",SUM(F2403:H2403))</f>
        <v/>
      </c>
      <c r="J2403" s="23" t="n"/>
      <c r="K2403" s="23" t="n"/>
      <c r="L2403" s="23" t="n"/>
      <c r="M2403" s="23" t="n"/>
      <c r="N2403" s="23" t="n"/>
      <c r="O2403" s="20">
        <f>IF(OR(I2403="",COUNT(J2403:N2403)=0),"",IF(SUM(J2403:N2403)=I2403,"✓","⚠ "&amp;SUM(J2403:N2403)&amp;" statt "&amp;I2403))</f>
        <v/>
      </c>
      <c r="P2403" s="21" t="n"/>
      <c r="Q2403" s="21" t="n"/>
      <c r="R2403" s="21" t="n"/>
      <c r="S2403" s="24" t="n"/>
      <c r="T2403" s="24" t="n"/>
      <c r="V2403">
        <f>IF(A2403="","",MONTH(A2403))</f>
        <v/>
      </c>
      <c r="W2403">
        <f>N(W2402)+IF(AND(C2403&lt;&gt;"",T2403&lt;&gt;""),IF(C2403=WOCHE!$B$3,1,0),0)</f>
        <v/>
      </c>
      <c r="X2403">
        <f>N(X2402)+IF(AND(V2403&lt;&gt;"",T2403&lt;&gt;""),IF(V2403=MONAT!$AZ$3,1,0),0)</f>
        <v/>
      </c>
    </row>
    <row r="2404">
      <c r="A2404" s="19" t="n"/>
      <c r="B2404" s="20">
        <f>IF(A2404="","",CHOOSE(WEEKDAY(A2404,2),"Mo","Di","Mi","Do","Fr","Sa","So"))</f>
        <v/>
      </c>
      <c r="C2404" s="20">
        <f>IF(A2404="","",INT((A2404-DATE(YEAR(A2404-WEEKDAY(A2404-1)+4),1,3)+WEEKDAY(DATE(YEAR(A2404-WEEKDAY(A2404-1)+4),1,3))+5)/7))</f>
        <v/>
      </c>
      <c r="D2404" s="21" t="n"/>
      <c r="E2404" s="22" t="n"/>
      <c r="F2404" s="23" t="n"/>
      <c r="G2404" s="23" t="n"/>
      <c r="H2404" s="23" t="n"/>
      <c r="I2404" s="20">
        <f>IF(COUNT(F2404:H2404)=0,"",SUM(F2404:H2404))</f>
        <v/>
      </c>
      <c r="J2404" s="23" t="n"/>
      <c r="K2404" s="23" t="n"/>
      <c r="L2404" s="23" t="n"/>
      <c r="M2404" s="23" t="n"/>
      <c r="N2404" s="23" t="n"/>
      <c r="O2404" s="20">
        <f>IF(OR(I2404="",COUNT(J2404:N2404)=0),"",IF(SUM(J2404:N2404)=I2404,"✓","⚠ "&amp;SUM(J2404:N2404)&amp;" statt "&amp;I2404))</f>
        <v/>
      </c>
      <c r="P2404" s="21" t="n"/>
      <c r="Q2404" s="21" t="n"/>
      <c r="R2404" s="21" t="n"/>
      <c r="S2404" s="24" t="n"/>
      <c r="T2404" s="24" t="n"/>
      <c r="V2404">
        <f>IF(A2404="","",MONTH(A2404))</f>
        <v/>
      </c>
      <c r="W2404">
        <f>N(W2403)+IF(AND(C2404&lt;&gt;"",T2404&lt;&gt;""),IF(C2404=WOCHE!$B$3,1,0),0)</f>
        <v/>
      </c>
      <c r="X2404">
        <f>N(X2403)+IF(AND(V2404&lt;&gt;"",T2404&lt;&gt;""),IF(V2404=MONAT!$AZ$3,1,0),0)</f>
        <v/>
      </c>
    </row>
    <row r="2405">
      <c r="A2405" s="19" t="n"/>
      <c r="B2405" s="20">
        <f>IF(A2405="","",CHOOSE(WEEKDAY(A2405,2),"Mo","Di","Mi","Do","Fr","Sa","So"))</f>
        <v/>
      </c>
      <c r="C2405" s="20">
        <f>IF(A2405="","",INT((A2405-DATE(YEAR(A2405-WEEKDAY(A2405-1)+4),1,3)+WEEKDAY(DATE(YEAR(A2405-WEEKDAY(A2405-1)+4),1,3))+5)/7))</f>
        <v/>
      </c>
      <c r="D2405" s="21" t="n"/>
      <c r="E2405" s="22" t="n"/>
      <c r="F2405" s="23" t="n"/>
      <c r="G2405" s="23" t="n"/>
      <c r="H2405" s="23" t="n"/>
      <c r="I2405" s="20">
        <f>IF(COUNT(F2405:H2405)=0,"",SUM(F2405:H2405))</f>
        <v/>
      </c>
      <c r="J2405" s="23" t="n"/>
      <c r="K2405" s="23" t="n"/>
      <c r="L2405" s="23" t="n"/>
      <c r="M2405" s="23" t="n"/>
      <c r="N2405" s="23" t="n"/>
      <c r="O2405" s="20">
        <f>IF(OR(I2405="",COUNT(J2405:N2405)=0),"",IF(SUM(J2405:N2405)=I2405,"✓","⚠ "&amp;SUM(J2405:N2405)&amp;" statt "&amp;I2405))</f>
        <v/>
      </c>
      <c r="P2405" s="21" t="n"/>
      <c r="Q2405" s="21" t="n"/>
      <c r="R2405" s="21" t="n"/>
      <c r="S2405" s="24" t="n"/>
      <c r="T2405" s="24" t="n"/>
      <c r="V2405">
        <f>IF(A2405="","",MONTH(A2405))</f>
        <v/>
      </c>
      <c r="W2405">
        <f>N(W2404)+IF(AND(C2405&lt;&gt;"",T2405&lt;&gt;""),IF(C2405=WOCHE!$B$3,1,0),0)</f>
        <v/>
      </c>
      <c r="X2405">
        <f>N(X2404)+IF(AND(V2405&lt;&gt;"",T2405&lt;&gt;""),IF(V2405=MONAT!$AZ$3,1,0),0)</f>
        <v/>
      </c>
    </row>
    <row r="2406">
      <c r="A2406" s="19" t="n"/>
      <c r="B2406" s="20">
        <f>IF(A2406="","",CHOOSE(WEEKDAY(A2406,2),"Mo","Di","Mi","Do","Fr","Sa","So"))</f>
        <v/>
      </c>
      <c r="C2406" s="20">
        <f>IF(A2406="","",INT((A2406-DATE(YEAR(A2406-WEEKDAY(A2406-1)+4),1,3)+WEEKDAY(DATE(YEAR(A2406-WEEKDAY(A2406-1)+4),1,3))+5)/7))</f>
        <v/>
      </c>
      <c r="D2406" s="21" t="n"/>
      <c r="E2406" s="22" t="n"/>
      <c r="F2406" s="23" t="n"/>
      <c r="G2406" s="23" t="n"/>
      <c r="H2406" s="23" t="n"/>
      <c r="I2406" s="20">
        <f>IF(COUNT(F2406:H2406)=0,"",SUM(F2406:H2406))</f>
        <v/>
      </c>
      <c r="J2406" s="23" t="n"/>
      <c r="K2406" s="23" t="n"/>
      <c r="L2406" s="23" t="n"/>
      <c r="M2406" s="23" t="n"/>
      <c r="N2406" s="23" t="n"/>
      <c r="O2406" s="20">
        <f>IF(OR(I2406="",COUNT(J2406:N2406)=0),"",IF(SUM(J2406:N2406)=I2406,"✓","⚠ "&amp;SUM(J2406:N2406)&amp;" statt "&amp;I2406))</f>
        <v/>
      </c>
      <c r="P2406" s="21" t="n"/>
      <c r="Q2406" s="21" t="n"/>
      <c r="R2406" s="21" t="n"/>
      <c r="S2406" s="24" t="n"/>
      <c r="T2406" s="24" t="n"/>
      <c r="V2406">
        <f>IF(A2406="","",MONTH(A2406))</f>
        <v/>
      </c>
      <c r="W2406">
        <f>N(W2405)+IF(AND(C2406&lt;&gt;"",T2406&lt;&gt;""),IF(C2406=WOCHE!$B$3,1,0),0)</f>
        <v/>
      </c>
      <c r="X2406">
        <f>N(X2405)+IF(AND(V2406&lt;&gt;"",T2406&lt;&gt;""),IF(V2406=MONAT!$AZ$3,1,0),0)</f>
        <v/>
      </c>
    </row>
    <row r="2407">
      <c r="A2407" s="19" t="n"/>
      <c r="B2407" s="20">
        <f>IF(A2407="","",CHOOSE(WEEKDAY(A2407,2),"Mo","Di","Mi","Do","Fr","Sa","So"))</f>
        <v/>
      </c>
      <c r="C2407" s="20">
        <f>IF(A2407="","",INT((A2407-DATE(YEAR(A2407-WEEKDAY(A2407-1)+4),1,3)+WEEKDAY(DATE(YEAR(A2407-WEEKDAY(A2407-1)+4),1,3))+5)/7))</f>
        <v/>
      </c>
      <c r="D2407" s="21" t="n"/>
      <c r="E2407" s="22" t="n"/>
      <c r="F2407" s="23" t="n"/>
      <c r="G2407" s="23" t="n"/>
      <c r="H2407" s="23" t="n"/>
      <c r="I2407" s="20">
        <f>IF(COUNT(F2407:H2407)=0,"",SUM(F2407:H2407))</f>
        <v/>
      </c>
      <c r="J2407" s="23" t="n"/>
      <c r="K2407" s="23" t="n"/>
      <c r="L2407" s="23" t="n"/>
      <c r="M2407" s="23" t="n"/>
      <c r="N2407" s="23" t="n"/>
      <c r="O2407" s="20">
        <f>IF(OR(I2407="",COUNT(J2407:N2407)=0),"",IF(SUM(J2407:N2407)=I2407,"✓","⚠ "&amp;SUM(J2407:N2407)&amp;" statt "&amp;I2407))</f>
        <v/>
      </c>
      <c r="P2407" s="21" t="n"/>
      <c r="Q2407" s="21" t="n"/>
      <c r="R2407" s="21" t="n"/>
      <c r="S2407" s="24" t="n"/>
      <c r="T2407" s="24" t="n"/>
      <c r="V2407">
        <f>IF(A2407="","",MONTH(A2407))</f>
        <v/>
      </c>
      <c r="W2407">
        <f>N(W2406)+IF(AND(C2407&lt;&gt;"",T2407&lt;&gt;""),IF(C2407=WOCHE!$B$3,1,0),0)</f>
        <v/>
      </c>
      <c r="X2407">
        <f>N(X2406)+IF(AND(V2407&lt;&gt;"",T2407&lt;&gt;""),IF(V2407=MONAT!$AZ$3,1,0),0)</f>
        <v/>
      </c>
    </row>
    <row r="2408">
      <c r="A2408" s="19" t="n"/>
      <c r="B2408" s="20">
        <f>IF(A2408="","",CHOOSE(WEEKDAY(A2408,2),"Mo","Di","Mi","Do","Fr","Sa","So"))</f>
        <v/>
      </c>
      <c r="C2408" s="20">
        <f>IF(A2408="","",INT((A2408-DATE(YEAR(A2408-WEEKDAY(A2408-1)+4),1,3)+WEEKDAY(DATE(YEAR(A2408-WEEKDAY(A2408-1)+4),1,3))+5)/7))</f>
        <v/>
      </c>
      <c r="D2408" s="21" t="n"/>
      <c r="E2408" s="22" t="n"/>
      <c r="F2408" s="23" t="n"/>
      <c r="G2408" s="23" t="n"/>
      <c r="H2408" s="23" t="n"/>
      <c r="I2408" s="20">
        <f>IF(COUNT(F2408:H2408)=0,"",SUM(F2408:H2408))</f>
        <v/>
      </c>
      <c r="J2408" s="23" t="n"/>
      <c r="K2408" s="23" t="n"/>
      <c r="L2408" s="23" t="n"/>
      <c r="M2408" s="23" t="n"/>
      <c r="N2408" s="23" t="n"/>
      <c r="O2408" s="20">
        <f>IF(OR(I2408="",COUNT(J2408:N2408)=0),"",IF(SUM(J2408:N2408)=I2408,"✓","⚠ "&amp;SUM(J2408:N2408)&amp;" statt "&amp;I2408))</f>
        <v/>
      </c>
      <c r="P2408" s="21" t="n"/>
      <c r="Q2408" s="21" t="n"/>
      <c r="R2408" s="21" t="n"/>
      <c r="S2408" s="24" t="n"/>
      <c r="T2408" s="24" t="n"/>
      <c r="V2408">
        <f>IF(A2408="","",MONTH(A2408))</f>
        <v/>
      </c>
      <c r="W2408">
        <f>N(W2407)+IF(AND(C2408&lt;&gt;"",T2408&lt;&gt;""),IF(C2408=WOCHE!$B$3,1,0),0)</f>
        <v/>
      </c>
      <c r="X2408">
        <f>N(X2407)+IF(AND(V2408&lt;&gt;"",T2408&lt;&gt;""),IF(V2408=MONAT!$AZ$3,1,0),0)</f>
        <v/>
      </c>
    </row>
    <row r="2409">
      <c r="A2409" s="19" t="n"/>
      <c r="B2409" s="20">
        <f>IF(A2409="","",CHOOSE(WEEKDAY(A2409,2),"Mo","Di","Mi","Do","Fr","Sa","So"))</f>
        <v/>
      </c>
      <c r="C2409" s="20">
        <f>IF(A2409="","",INT((A2409-DATE(YEAR(A2409-WEEKDAY(A2409-1)+4),1,3)+WEEKDAY(DATE(YEAR(A2409-WEEKDAY(A2409-1)+4),1,3))+5)/7))</f>
        <v/>
      </c>
      <c r="D2409" s="21" t="n"/>
      <c r="E2409" s="22" t="n"/>
      <c r="F2409" s="23" t="n"/>
      <c r="G2409" s="23" t="n"/>
      <c r="H2409" s="23" t="n"/>
      <c r="I2409" s="20">
        <f>IF(COUNT(F2409:H2409)=0,"",SUM(F2409:H2409))</f>
        <v/>
      </c>
      <c r="J2409" s="23" t="n"/>
      <c r="K2409" s="23" t="n"/>
      <c r="L2409" s="23" t="n"/>
      <c r="M2409" s="23" t="n"/>
      <c r="N2409" s="23" t="n"/>
      <c r="O2409" s="20">
        <f>IF(OR(I2409="",COUNT(J2409:N2409)=0),"",IF(SUM(J2409:N2409)=I2409,"✓","⚠ "&amp;SUM(J2409:N2409)&amp;" statt "&amp;I2409))</f>
        <v/>
      </c>
      <c r="P2409" s="21" t="n"/>
      <c r="Q2409" s="21" t="n"/>
      <c r="R2409" s="21" t="n"/>
      <c r="S2409" s="24" t="n"/>
      <c r="T2409" s="24" t="n"/>
      <c r="V2409">
        <f>IF(A2409="","",MONTH(A2409))</f>
        <v/>
      </c>
      <c r="W2409">
        <f>N(W2408)+IF(AND(C2409&lt;&gt;"",T2409&lt;&gt;""),IF(C2409=WOCHE!$B$3,1,0),0)</f>
        <v/>
      </c>
      <c r="X2409">
        <f>N(X2408)+IF(AND(V2409&lt;&gt;"",T2409&lt;&gt;""),IF(V2409=MONAT!$AZ$3,1,0),0)</f>
        <v/>
      </c>
    </row>
    <row r="2410">
      <c r="A2410" s="19" t="n"/>
      <c r="B2410" s="20">
        <f>IF(A2410="","",CHOOSE(WEEKDAY(A2410,2),"Mo","Di","Mi","Do","Fr","Sa","So"))</f>
        <v/>
      </c>
      <c r="C2410" s="20">
        <f>IF(A2410="","",INT((A2410-DATE(YEAR(A2410-WEEKDAY(A2410-1)+4),1,3)+WEEKDAY(DATE(YEAR(A2410-WEEKDAY(A2410-1)+4),1,3))+5)/7))</f>
        <v/>
      </c>
      <c r="D2410" s="21" t="n"/>
      <c r="E2410" s="22" t="n"/>
      <c r="F2410" s="23" t="n"/>
      <c r="G2410" s="23" t="n"/>
      <c r="H2410" s="23" t="n"/>
      <c r="I2410" s="20">
        <f>IF(COUNT(F2410:H2410)=0,"",SUM(F2410:H2410))</f>
        <v/>
      </c>
      <c r="J2410" s="23" t="n"/>
      <c r="K2410" s="23" t="n"/>
      <c r="L2410" s="23" t="n"/>
      <c r="M2410" s="23" t="n"/>
      <c r="N2410" s="23" t="n"/>
      <c r="O2410" s="20">
        <f>IF(OR(I2410="",COUNT(J2410:N2410)=0),"",IF(SUM(J2410:N2410)=I2410,"✓","⚠ "&amp;SUM(J2410:N2410)&amp;" statt "&amp;I2410))</f>
        <v/>
      </c>
      <c r="P2410" s="21" t="n"/>
      <c r="Q2410" s="21" t="n"/>
      <c r="R2410" s="21" t="n"/>
      <c r="S2410" s="24" t="n"/>
      <c r="T2410" s="24" t="n"/>
      <c r="V2410">
        <f>IF(A2410="","",MONTH(A2410))</f>
        <v/>
      </c>
      <c r="W2410">
        <f>N(W2409)+IF(AND(C2410&lt;&gt;"",T2410&lt;&gt;""),IF(C2410=WOCHE!$B$3,1,0),0)</f>
        <v/>
      </c>
      <c r="X2410">
        <f>N(X2409)+IF(AND(V2410&lt;&gt;"",T2410&lt;&gt;""),IF(V2410=MONAT!$AZ$3,1,0),0)</f>
        <v/>
      </c>
    </row>
    <row r="2411">
      <c r="A2411" s="19" t="n"/>
      <c r="B2411" s="20">
        <f>IF(A2411="","",CHOOSE(WEEKDAY(A2411,2),"Mo","Di","Mi","Do","Fr","Sa","So"))</f>
        <v/>
      </c>
      <c r="C2411" s="20">
        <f>IF(A2411="","",INT((A2411-DATE(YEAR(A2411-WEEKDAY(A2411-1)+4),1,3)+WEEKDAY(DATE(YEAR(A2411-WEEKDAY(A2411-1)+4),1,3))+5)/7))</f>
        <v/>
      </c>
      <c r="D2411" s="21" t="n"/>
      <c r="E2411" s="22" t="n"/>
      <c r="F2411" s="23" t="n"/>
      <c r="G2411" s="23" t="n"/>
      <c r="H2411" s="23" t="n"/>
      <c r="I2411" s="20">
        <f>IF(COUNT(F2411:H2411)=0,"",SUM(F2411:H2411))</f>
        <v/>
      </c>
      <c r="J2411" s="23" t="n"/>
      <c r="K2411" s="23" t="n"/>
      <c r="L2411" s="23" t="n"/>
      <c r="M2411" s="23" t="n"/>
      <c r="N2411" s="23" t="n"/>
      <c r="O2411" s="20">
        <f>IF(OR(I2411="",COUNT(J2411:N2411)=0),"",IF(SUM(J2411:N2411)=I2411,"✓","⚠ "&amp;SUM(J2411:N2411)&amp;" statt "&amp;I2411))</f>
        <v/>
      </c>
      <c r="P2411" s="21" t="n"/>
      <c r="Q2411" s="21" t="n"/>
      <c r="R2411" s="21" t="n"/>
      <c r="S2411" s="24" t="n"/>
      <c r="T2411" s="24" t="n"/>
      <c r="V2411">
        <f>IF(A2411="","",MONTH(A2411))</f>
        <v/>
      </c>
      <c r="W2411">
        <f>N(W2410)+IF(AND(C2411&lt;&gt;"",T2411&lt;&gt;""),IF(C2411=WOCHE!$B$3,1,0),0)</f>
        <v/>
      </c>
      <c r="X2411">
        <f>N(X2410)+IF(AND(V2411&lt;&gt;"",T2411&lt;&gt;""),IF(V2411=MONAT!$AZ$3,1,0),0)</f>
        <v/>
      </c>
    </row>
    <row r="2412">
      <c r="A2412" s="19" t="n"/>
      <c r="B2412" s="20">
        <f>IF(A2412="","",CHOOSE(WEEKDAY(A2412,2),"Mo","Di","Mi","Do","Fr","Sa","So"))</f>
        <v/>
      </c>
      <c r="C2412" s="20">
        <f>IF(A2412="","",INT((A2412-DATE(YEAR(A2412-WEEKDAY(A2412-1)+4),1,3)+WEEKDAY(DATE(YEAR(A2412-WEEKDAY(A2412-1)+4),1,3))+5)/7))</f>
        <v/>
      </c>
      <c r="D2412" s="21" t="n"/>
      <c r="E2412" s="22" t="n"/>
      <c r="F2412" s="23" t="n"/>
      <c r="G2412" s="23" t="n"/>
      <c r="H2412" s="23" t="n"/>
      <c r="I2412" s="20">
        <f>IF(COUNT(F2412:H2412)=0,"",SUM(F2412:H2412))</f>
        <v/>
      </c>
      <c r="J2412" s="23" t="n"/>
      <c r="K2412" s="23" t="n"/>
      <c r="L2412" s="23" t="n"/>
      <c r="M2412" s="23" t="n"/>
      <c r="N2412" s="23" t="n"/>
      <c r="O2412" s="20">
        <f>IF(OR(I2412="",COUNT(J2412:N2412)=0),"",IF(SUM(J2412:N2412)=I2412,"✓","⚠ "&amp;SUM(J2412:N2412)&amp;" statt "&amp;I2412))</f>
        <v/>
      </c>
      <c r="P2412" s="21" t="n"/>
      <c r="Q2412" s="21" t="n"/>
      <c r="R2412" s="21" t="n"/>
      <c r="S2412" s="24" t="n"/>
      <c r="T2412" s="24" t="n"/>
      <c r="V2412">
        <f>IF(A2412="","",MONTH(A2412))</f>
        <v/>
      </c>
      <c r="W2412">
        <f>N(W2411)+IF(AND(C2412&lt;&gt;"",T2412&lt;&gt;""),IF(C2412=WOCHE!$B$3,1,0),0)</f>
        <v/>
      </c>
      <c r="X2412">
        <f>N(X2411)+IF(AND(V2412&lt;&gt;"",T2412&lt;&gt;""),IF(V2412=MONAT!$AZ$3,1,0),0)</f>
        <v/>
      </c>
    </row>
    <row r="2413">
      <c r="A2413" s="19" t="n"/>
      <c r="B2413" s="20">
        <f>IF(A2413="","",CHOOSE(WEEKDAY(A2413,2),"Mo","Di","Mi","Do","Fr","Sa","So"))</f>
        <v/>
      </c>
      <c r="C2413" s="20">
        <f>IF(A2413="","",INT((A2413-DATE(YEAR(A2413-WEEKDAY(A2413-1)+4),1,3)+WEEKDAY(DATE(YEAR(A2413-WEEKDAY(A2413-1)+4),1,3))+5)/7))</f>
        <v/>
      </c>
      <c r="D2413" s="21" t="n"/>
      <c r="E2413" s="22" t="n"/>
      <c r="F2413" s="23" t="n"/>
      <c r="G2413" s="23" t="n"/>
      <c r="H2413" s="23" t="n"/>
      <c r="I2413" s="20">
        <f>IF(COUNT(F2413:H2413)=0,"",SUM(F2413:H2413))</f>
        <v/>
      </c>
      <c r="J2413" s="23" t="n"/>
      <c r="K2413" s="23" t="n"/>
      <c r="L2413" s="23" t="n"/>
      <c r="M2413" s="23" t="n"/>
      <c r="N2413" s="23" t="n"/>
      <c r="O2413" s="20">
        <f>IF(OR(I2413="",COUNT(J2413:N2413)=0),"",IF(SUM(J2413:N2413)=I2413,"✓","⚠ "&amp;SUM(J2413:N2413)&amp;" statt "&amp;I2413))</f>
        <v/>
      </c>
      <c r="P2413" s="21" t="n"/>
      <c r="Q2413" s="21" t="n"/>
      <c r="R2413" s="21" t="n"/>
      <c r="S2413" s="24" t="n"/>
      <c r="T2413" s="24" t="n"/>
      <c r="V2413">
        <f>IF(A2413="","",MONTH(A2413))</f>
        <v/>
      </c>
      <c r="W2413">
        <f>N(W2412)+IF(AND(C2413&lt;&gt;"",T2413&lt;&gt;""),IF(C2413=WOCHE!$B$3,1,0),0)</f>
        <v/>
      </c>
      <c r="X2413">
        <f>N(X2412)+IF(AND(V2413&lt;&gt;"",T2413&lt;&gt;""),IF(V2413=MONAT!$AZ$3,1,0),0)</f>
        <v/>
      </c>
    </row>
    <row r="2414">
      <c r="A2414" s="19" t="n"/>
      <c r="B2414" s="20">
        <f>IF(A2414="","",CHOOSE(WEEKDAY(A2414,2),"Mo","Di","Mi","Do","Fr","Sa","So"))</f>
        <v/>
      </c>
      <c r="C2414" s="20">
        <f>IF(A2414="","",INT((A2414-DATE(YEAR(A2414-WEEKDAY(A2414-1)+4),1,3)+WEEKDAY(DATE(YEAR(A2414-WEEKDAY(A2414-1)+4),1,3))+5)/7))</f>
        <v/>
      </c>
      <c r="D2414" s="21" t="n"/>
      <c r="E2414" s="22" t="n"/>
      <c r="F2414" s="23" t="n"/>
      <c r="G2414" s="23" t="n"/>
      <c r="H2414" s="23" t="n"/>
      <c r="I2414" s="20">
        <f>IF(COUNT(F2414:H2414)=0,"",SUM(F2414:H2414))</f>
        <v/>
      </c>
      <c r="J2414" s="23" t="n"/>
      <c r="K2414" s="23" t="n"/>
      <c r="L2414" s="23" t="n"/>
      <c r="M2414" s="23" t="n"/>
      <c r="N2414" s="23" t="n"/>
      <c r="O2414" s="20">
        <f>IF(OR(I2414="",COUNT(J2414:N2414)=0),"",IF(SUM(J2414:N2414)=I2414,"✓","⚠ "&amp;SUM(J2414:N2414)&amp;" statt "&amp;I2414))</f>
        <v/>
      </c>
      <c r="P2414" s="21" t="n"/>
      <c r="Q2414" s="21" t="n"/>
      <c r="R2414" s="21" t="n"/>
      <c r="S2414" s="24" t="n"/>
      <c r="T2414" s="24" t="n"/>
      <c r="V2414">
        <f>IF(A2414="","",MONTH(A2414))</f>
        <v/>
      </c>
      <c r="W2414">
        <f>N(W2413)+IF(AND(C2414&lt;&gt;"",T2414&lt;&gt;""),IF(C2414=WOCHE!$B$3,1,0),0)</f>
        <v/>
      </c>
      <c r="X2414">
        <f>N(X2413)+IF(AND(V2414&lt;&gt;"",T2414&lt;&gt;""),IF(V2414=MONAT!$AZ$3,1,0),0)</f>
        <v/>
      </c>
    </row>
    <row r="2415">
      <c r="A2415" s="19" t="n"/>
      <c r="B2415" s="20">
        <f>IF(A2415="","",CHOOSE(WEEKDAY(A2415,2),"Mo","Di","Mi","Do","Fr","Sa","So"))</f>
        <v/>
      </c>
      <c r="C2415" s="20">
        <f>IF(A2415="","",INT((A2415-DATE(YEAR(A2415-WEEKDAY(A2415-1)+4),1,3)+WEEKDAY(DATE(YEAR(A2415-WEEKDAY(A2415-1)+4),1,3))+5)/7))</f>
        <v/>
      </c>
      <c r="D2415" s="21" t="n"/>
      <c r="E2415" s="22" t="n"/>
      <c r="F2415" s="23" t="n"/>
      <c r="G2415" s="23" t="n"/>
      <c r="H2415" s="23" t="n"/>
      <c r="I2415" s="20">
        <f>IF(COUNT(F2415:H2415)=0,"",SUM(F2415:H2415))</f>
        <v/>
      </c>
      <c r="J2415" s="23" t="n"/>
      <c r="K2415" s="23" t="n"/>
      <c r="L2415" s="23" t="n"/>
      <c r="M2415" s="23" t="n"/>
      <c r="N2415" s="23" t="n"/>
      <c r="O2415" s="20">
        <f>IF(OR(I2415="",COUNT(J2415:N2415)=0),"",IF(SUM(J2415:N2415)=I2415,"✓","⚠ "&amp;SUM(J2415:N2415)&amp;" statt "&amp;I2415))</f>
        <v/>
      </c>
      <c r="P2415" s="21" t="n"/>
      <c r="Q2415" s="21" t="n"/>
      <c r="R2415" s="21" t="n"/>
      <c r="S2415" s="24" t="n"/>
      <c r="T2415" s="24" t="n"/>
      <c r="V2415">
        <f>IF(A2415="","",MONTH(A2415))</f>
        <v/>
      </c>
      <c r="W2415">
        <f>N(W2414)+IF(AND(C2415&lt;&gt;"",T2415&lt;&gt;""),IF(C2415=WOCHE!$B$3,1,0),0)</f>
        <v/>
      </c>
      <c r="X2415">
        <f>N(X2414)+IF(AND(V2415&lt;&gt;"",T2415&lt;&gt;""),IF(V2415=MONAT!$AZ$3,1,0),0)</f>
        <v/>
      </c>
    </row>
    <row r="2416">
      <c r="A2416" s="19" t="n"/>
      <c r="B2416" s="20">
        <f>IF(A2416="","",CHOOSE(WEEKDAY(A2416,2),"Mo","Di","Mi","Do","Fr","Sa","So"))</f>
        <v/>
      </c>
      <c r="C2416" s="20">
        <f>IF(A2416="","",INT((A2416-DATE(YEAR(A2416-WEEKDAY(A2416-1)+4),1,3)+WEEKDAY(DATE(YEAR(A2416-WEEKDAY(A2416-1)+4),1,3))+5)/7))</f>
        <v/>
      </c>
      <c r="D2416" s="21" t="n"/>
      <c r="E2416" s="22" t="n"/>
      <c r="F2416" s="23" t="n"/>
      <c r="G2416" s="23" t="n"/>
      <c r="H2416" s="23" t="n"/>
      <c r="I2416" s="20">
        <f>IF(COUNT(F2416:H2416)=0,"",SUM(F2416:H2416))</f>
        <v/>
      </c>
      <c r="J2416" s="23" t="n"/>
      <c r="K2416" s="23" t="n"/>
      <c r="L2416" s="23" t="n"/>
      <c r="M2416" s="23" t="n"/>
      <c r="N2416" s="23" t="n"/>
      <c r="O2416" s="20">
        <f>IF(OR(I2416="",COUNT(J2416:N2416)=0),"",IF(SUM(J2416:N2416)=I2416,"✓","⚠ "&amp;SUM(J2416:N2416)&amp;" statt "&amp;I2416))</f>
        <v/>
      </c>
      <c r="P2416" s="21" t="n"/>
      <c r="Q2416" s="21" t="n"/>
      <c r="R2416" s="21" t="n"/>
      <c r="S2416" s="24" t="n"/>
      <c r="T2416" s="24" t="n"/>
      <c r="V2416">
        <f>IF(A2416="","",MONTH(A2416))</f>
        <v/>
      </c>
      <c r="W2416">
        <f>N(W2415)+IF(AND(C2416&lt;&gt;"",T2416&lt;&gt;""),IF(C2416=WOCHE!$B$3,1,0),0)</f>
        <v/>
      </c>
      <c r="X2416">
        <f>N(X2415)+IF(AND(V2416&lt;&gt;"",T2416&lt;&gt;""),IF(V2416=MONAT!$AZ$3,1,0),0)</f>
        <v/>
      </c>
    </row>
    <row r="2417">
      <c r="A2417" s="19" t="n"/>
      <c r="B2417" s="20">
        <f>IF(A2417="","",CHOOSE(WEEKDAY(A2417,2),"Mo","Di","Mi","Do","Fr","Sa","So"))</f>
        <v/>
      </c>
      <c r="C2417" s="20">
        <f>IF(A2417="","",INT((A2417-DATE(YEAR(A2417-WEEKDAY(A2417-1)+4),1,3)+WEEKDAY(DATE(YEAR(A2417-WEEKDAY(A2417-1)+4),1,3))+5)/7))</f>
        <v/>
      </c>
      <c r="D2417" s="21" t="n"/>
      <c r="E2417" s="22" t="n"/>
      <c r="F2417" s="23" t="n"/>
      <c r="G2417" s="23" t="n"/>
      <c r="H2417" s="23" t="n"/>
      <c r="I2417" s="20">
        <f>IF(COUNT(F2417:H2417)=0,"",SUM(F2417:H2417))</f>
        <v/>
      </c>
      <c r="J2417" s="23" t="n"/>
      <c r="K2417" s="23" t="n"/>
      <c r="L2417" s="23" t="n"/>
      <c r="M2417" s="23" t="n"/>
      <c r="N2417" s="23" t="n"/>
      <c r="O2417" s="20">
        <f>IF(OR(I2417="",COUNT(J2417:N2417)=0),"",IF(SUM(J2417:N2417)=I2417,"✓","⚠ "&amp;SUM(J2417:N2417)&amp;" statt "&amp;I2417))</f>
        <v/>
      </c>
      <c r="P2417" s="21" t="n"/>
      <c r="Q2417" s="21" t="n"/>
      <c r="R2417" s="21" t="n"/>
      <c r="S2417" s="24" t="n"/>
      <c r="T2417" s="24" t="n"/>
      <c r="V2417">
        <f>IF(A2417="","",MONTH(A2417))</f>
        <v/>
      </c>
      <c r="W2417">
        <f>N(W2416)+IF(AND(C2417&lt;&gt;"",T2417&lt;&gt;""),IF(C2417=WOCHE!$B$3,1,0),0)</f>
        <v/>
      </c>
      <c r="X2417">
        <f>N(X2416)+IF(AND(V2417&lt;&gt;"",T2417&lt;&gt;""),IF(V2417=MONAT!$AZ$3,1,0),0)</f>
        <v/>
      </c>
    </row>
    <row r="2418">
      <c r="A2418" s="19" t="n"/>
      <c r="B2418" s="20">
        <f>IF(A2418="","",CHOOSE(WEEKDAY(A2418,2),"Mo","Di","Mi","Do","Fr","Sa","So"))</f>
        <v/>
      </c>
      <c r="C2418" s="20">
        <f>IF(A2418="","",INT((A2418-DATE(YEAR(A2418-WEEKDAY(A2418-1)+4),1,3)+WEEKDAY(DATE(YEAR(A2418-WEEKDAY(A2418-1)+4),1,3))+5)/7))</f>
        <v/>
      </c>
      <c r="D2418" s="21" t="n"/>
      <c r="E2418" s="22" t="n"/>
      <c r="F2418" s="23" t="n"/>
      <c r="G2418" s="23" t="n"/>
      <c r="H2418" s="23" t="n"/>
      <c r="I2418" s="20">
        <f>IF(COUNT(F2418:H2418)=0,"",SUM(F2418:H2418))</f>
        <v/>
      </c>
      <c r="J2418" s="23" t="n"/>
      <c r="K2418" s="23" t="n"/>
      <c r="L2418" s="23" t="n"/>
      <c r="M2418" s="23" t="n"/>
      <c r="N2418" s="23" t="n"/>
      <c r="O2418" s="20">
        <f>IF(OR(I2418="",COUNT(J2418:N2418)=0),"",IF(SUM(J2418:N2418)=I2418,"✓","⚠ "&amp;SUM(J2418:N2418)&amp;" statt "&amp;I2418))</f>
        <v/>
      </c>
      <c r="P2418" s="21" t="n"/>
      <c r="Q2418" s="21" t="n"/>
      <c r="R2418" s="21" t="n"/>
      <c r="S2418" s="24" t="n"/>
      <c r="T2418" s="24" t="n"/>
      <c r="V2418">
        <f>IF(A2418="","",MONTH(A2418))</f>
        <v/>
      </c>
      <c r="W2418">
        <f>N(W2417)+IF(AND(C2418&lt;&gt;"",T2418&lt;&gt;""),IF(C2418=WOCHE!$B$3,1,0),0)</f>
        <v/>
      </c>
      <c r="X2418">
        <f>N(X2417)+IF(AND(V2418&lt;&gt;"",T2418&lt;&gt;""),IF(V2418=MONAT!$AZ$3,1,0),0)</f>
        <v/>
      </c>
    </row>
    <row r="2419">
      <c r="A2419" s="19" t="n"/>
      <c r="B2419" s="20">
        <f>IF(A2419="","",CHOOSE(WEEKDAY(A2419,2),"Mo","Di","Mi","Do","Fr","Sa","So"))</f>
        <v/>
      </c>
      <c r="C2419" s="20">
        <f>IF(A2419="","",INT((A2419-DATE(YEAR(A2419-WEEKDAY(A2419-1)+4),1,3)+WEEKDAY(DATE(YEAR(A2419-WEEKDAY(A2419-1)+4),1,3))+5)/7))</f>
        <v/>
      </c>
      <c r="D2419" s="21" t="n"/>
      <c r="E2419" s="22" t="n"/>
      <c r="F2419" s="23" t="n"/>
      <c r="G2419" s="23" t="n"/>
      <c r="H2419" s="23" t="n"/>
      <c r="I2419" s="20">
        <f>IF(COUNT(F2419:H2419)=0,"",SUM(F2419:H2419))</f>
        <v/>
      </c>
      <c r="J2419" s="23" t="n"/>
      <c r="K2419" s="23" t="n"/>
      <c r="L2419" s="23" t="n"/>
      <c r="M2419" s="23" t="n"/>
      <c r="N2419" s="23" t="n"/>
      <c r="O2419" s="20">
        <f>IF(OR(I2419="",COUNT(J2419:N2419)=0),"",IF(SUM(J2419:N2419)=I2419,"✓","⚠ "&amp;SUM(J2419:N2419)&amp;" statt "&amp;I2419))</f>
        <v/>
      </c>
      <c r="P2419" s="21" t="n"/>
      <c r="Q2419" s="21" t="n"/>
      <c r="R2419" s="21" t="n"/>
      <c r="S2419" s="24" t="n"/>
      <c r="T2419" s="24" t="n"/>
      <c r="V2419">
        <f>IF(A2419="","",MONTH(A2419))</f>
        <v/>
      </c>
      <c r="W2419">
        <f>N(W2418)+IF(AND(C2419&lt;&gt;"",T2419&lt;&gt;""),IF(C2419=WOCHE!$B$3,1,0),0)</f>
        <v/>
      </c>
      <c r="X2419">
        <f>N(X2418)+IF(AND(V2419&lt;&gt;"",T2419&lt;&gt;""),IF(V2419=MONAT!$AZ$3,1,0),0)</f>
        <v/>
      </c>
    </row>
    <row r="2420">
      <c r="A2420" s="19" t="n"/>
      <c r="B2420" s="20">
        <f>IF(A2420="","",CHOOSE(WEEKDAY(A2420,2),"Mo","Di","Mi","Do","Fr","Sa","So"))</f>
        <v/>
      </c>
      <c r="C2420" s="20">
        <f>IF(A2420="","",INT((A2420-DATE(YEAR(A2420-WEEKDAY(A2420-1)+4),1,3)+WEEKDAY(DATE(YEAR(A2420-WEEKDAY(A2420-1)+4),1,3))+5)/7))</f>
        <v/>
      </c>
      <c r="D2420" s="21" t="n"/>
      <c r="E2420" s="22" t="n"/>
      <c r="F2420" s="23" t="n"/>
      <c r="G2420" s="23" t="n"/>
      <c r="H2420" s="23" t="n"/>
      <c r="I2420" s="20">
        <f>IF(COUNT(F2420:H2420)=0,"",SUM(F2420:H2420))</f>
        <v/>
      </c>
      <c r="J2420" s="23" t="n"/>
      <c r="K2420" s="23" t="n"/>
      <c r="L2420" s="23" t="n"/>
      <c r="M2420" s="23" t="n"/>
      <c r="N2420" s="23" t="n"/>
      <c r="O2420" s="20">
        <f>IF(OR(I2420="",COUNT(J2420:N2420)=0),"",IF(SUM(J2420:N2420)=I2420,"✓","⚠ "&amp;SUM(J2420:N2420)&amp;" statt "&amp;I2420))</f>
        <v/>
      </c>
      <c r="P2420" s="21" t="n"/>
      <c r="Q2420" s="21" t="n"/>
      <c r="R2420" s="21" t="n"/>
      <c r="S2420" s="24" t="n"/>
      <c r="T2420" s="24" t="n"/>
      <c r="V2420">
        <f>IF(A2420="","",MONTH(A2420))</f>
        <v/>
      </c>
      <c r="W2420">
        <f>N(W2419)+IF(AND(C2420&lt;&gt;"",T2420&lt;&gt;""),IF(C2420=WOCHE!$B$3,1,0),0)</f>
        <v/>
      </c>
      <c r="X2420">
        <f>N(X2419)+IF(AND(V2420&lt;&gt;"",T2420&lt;&gt;""),IF(V2420=MONAT!$AZ$3,1,0),0)</f>
        <v/>
      </c>
    </row>
    <row r="2421">
      <c r="A2421" s="19" t="n"/>
      <c r="B2421" s="20">
        <f>IF(A2421="","",CHOOSE(WEEKDAY(A2421,2),"Mo","Di","Mi","Do","Fr","Sa","So"))</f>
        <v/>
      </c>
      <c r="C2421" s="20">
        <f>IF(A2421="","",INT((A2421-DATE(YEAR(A2421-WEEKDAY(A2421-1)+4),1,3)+WEEKDAY(DATE(YEAR(A2421-WEEKDAY(A2421-1)+4),1,3))+5)/7))</f>
        <v/>
      </c>
      <c r="D2421" s="21" t="n"/>
      <c r="E2421" s="22" t="n"/>
      <c r="F2421" s="23" t="n"/>
      <c r="G2421" s="23" t="n"/>
      <c r="H2421" s="23" t="n"/>
      <c r="I2421" s="20">
        <f>IF(COUNT(F2421:H2421)=0,"",SUM(F2421:H2421))</f>
        <v/>
      </c>
      <c r="J2421" s="23" t="n"/>
      <c r="K2421" s="23" t="n"/>
      <c r="L2421" s="23" t="n"/>
      <c r="M2421" s="23" t="n"/>
      <c r="N2421" s="23" t="n"/>
      <c r="O2421" s="20">
        <f>IF(OR(I2421="",COUNT(J2421:N2421)=0),"",IF(SUM(J2421:N2421)=I2421,"✓","⚠ "&amp;SUM(J2421:N2421)&amp;" statt "&amp;I2421))</f>
        <v/>
      </c>
      <c r="P2421" s="21" t="n"/>
      <c r="Q2421" s="21" t="n"/>
      <c r="R2421" s="21" t="n"/>
      <c r="S2421" s="24" t="n"/>
      <c r="T2421" s="24" t="n"/>
      <c r="V2421">
        <f>IF(A2421="","",MONTH(A2421))</f>
        <v/>
      </c>
      <c r="W2421">
        <f>N(W2420)+IF(AND(C2421&lt;&gt;"",T2421&lt;&gt;""),IF(C2421=WOCHE!$B$3,1,0),0)</f>
        <v/>
      </c>
      <c r="X2421">
        <f>N(X2420)+IF(AND(V2421&lt;&gt;"",T2421&lt;&gt;""),IF(V2421=MONAT!$AZ$3,1,0),0)</f>
        <v/>
      </c>
    </row>
    <row r="2422">
      <c r="A2422" s="19" t="n"/>
      <c r="B2422" s="20">
        <f>IF(A2422="","",CHOOSE(WEEKDAY(A2422,2),"Mo","Di","Mi","Do","Fr","Sa","So"))</f>
        <v/>
      </c>
      <c r="C2422" s="20">
        <f>IF(A2422="","",INT((A2422-DATE(YEAR(A2422-WEEKDAY(A2422-1)+4),1,3)+WEEKDAY(DATE(YEAR(A2422-WEEKDAY(A2422-1)+4),1,3))+5)/7))</f>
        <v/>
      </c>
      <c r="D2422" s="21" t="n"/>
      <c r="E2422" s="22" t="n"/>
      <c r="F2422" s="23" t="n"/>
      <c r="G2422" s="23" t="n"/>
      <c r="H2422" s="23" t="n"/>
      <c r="I2422" s="20">
        <f>IF(COUNT(F2422:H2422)=0,"",SUM(F2422:H2422))</f>
        <v/>
      </c>
      <c r="J2422" s="23" t="n"/>
      <c r="K2422" s="23" t="n"/>
      <c r="L2422" s="23" t="n"/>
      <c r="M2422" s="23" t="n"/>
      <c r="N2422" s="23" t="n"/>
      <c r="O2422" s="20">
        <f>IF(OR(I2422="",COUNT(J2422:N2422)=0),"",IF(SUM(J2422:N2422)=I2422,"✓","⚠ "&amp;SUM(J2422:N2422)&amp;" statt "&amp;I2422))</f>
        <v/>
      </c>
      <c r="P2422" s="21" t="n"/>
      <c r="Q2422" s="21" t="n"/>
      <c r="R2422" s="21" t="n"/>
      <c r="S2422" s="24" t="n"/>
      <c r="T2422" s="24" t="n"/>
      <c r="V2422">
        <f>IF(A2422="","",MONTH(A2422))</f>
        <v/>
      </c>
      <c r="W2422">
        <f>N(W2421)+IF(AND(C2422&lt;&gt;"",T2422&lt;&gt;""),IF(C2422=WOCHE!$B$3,1,0),0)</f>
        <v/>
      </c>
      <c r="X2422">
        <f>N(X2421)+IF(AND(V2422&lt;&gt;"",T2422&lt;&gt;""),IF(V2422=MONAT!$AZ$3,1,0),0)</f>
        <v/>
      </c>
    </row>
    <row r="2423">
      <c r="A2423" s="19" t="n"/>
      <c r="B2423" s="20">
        <f>IF(A2423="","",CHOOSE(WEEKDAY(A2423,2),"Mo","Di","Mi","Do","Fr","Sa","So"))</f>
        <v/>
      </c>
      <c r="C2423" s="20">
        <f>IF(A2423="","",INT((A2423-DATE(YEAR(A2423-WEEKDAY(A2423-1)+4),1,3)+WEEKDAY(DATE(YEAR(A2423-WEEKDAY(A2423-1)+4),1,3))+5)/7))</f>
        <v/>
      </c>
      <c r="D2423" s="21" t="n"/>
      <c r="E2423" s="22" t="n"/>
      <c r="F2423" s="23" t="n"/>
      <c r="G2423" s="23" t="n"/>
      <c r="H2423" s="23" t="n"/>
      <c r="I2423" s="20">
        <f>IF(COUNT(F2423:H2423)=0,"",SUM(F2423:H2423))</f>
        <v/>
      </c>
      <c r="J2423" s="23" t="n"/>
      <c r="K2423" s="23" t="n"/>
      <c r="L2423" s="23" t="n"/>
      <c r="M2423" s="23" t="n"/>
      <c r="N2423" s="23" t="n"/>
      <c r="O2423" s="20">
        <f>IF(OR(I2423="",COUNT(J2423:N2423)=0),"",IF(SUM(J2423:N2423)=I2423,"✓","⚠ "&amp;SUM(J2423:N2423)&amp;" statt "&amp;I2423))</f>
        <v/>
      </c>
      <c r="P2423" s="21" t="n"/>
      <c r="Q2423" s="21" t="n"/>
      <c r="R2423" s="21" t="n"/>
      <c r="S2423" s="24" t="n"/>
      <c r="T2423" s="24" t="n"/>
      <c r="V2423">
        <f>IF(A2423="","",MONTH(A2423))</f>
        <v/>
      </c>
      <c r="W2423">
        <f>N(W2422)+IF(AND(C2423&lt;&gt;"",T2423&lt;&gt;""),IF(C2423=WOCHE!$B$3,1,0),0)</f>
        <v/>
      </c>
      <c r="X2423">
        <f>N(X2422)+IF(AND(V2423&lt;&gt;"",T2423&lt;&gt;""),IF(V2423=MONAT!$AZ$3,1,0),0)</f>
        <v/>
      </c>
    </row>
    <row r="2424">
      <c r="A2424" s="19" t="n"/>
      <c r="B2424" s="20">
        <f>IF(A2424="","",CHOOSE(WEEKDAY(A2424,2),"Mo","Di","Mi","Do","Fr","Sa","So"))</f>
        <v/>
      </c>
      <c r="C2424" s="20">
        <f>IF(A2424="","",INT((A2424-DATE(YEAR(A2424-WEEKDAY(A2424-1)+4),1,3)+WEEKDAY(DATE(YEAR(A2424-WEEKDAY(A2424-1)+4),1,3))+5)/7))</f>
        <v/>
      </c>
      <c r="D2424" s="21" t="n"/>
      <c r="E2424" s="22" t="n"/>
      <c r="F2424" s="23" t="n"/>
      <c r="G2424" s="23" t="n"/>
      <c r="H2424" s="23" t="n"/>
      <c r="I2424" s="20">
        <f>IF(COUNT(F2424:H2424)=0,"",SUM(F2424:H2424))</f>
        <v/>
      </c>
      <c r="J2424" s="23" t="n"/>
      <c r="K2424" s="23" t="n"/>
      <c r="L2424" s="23" t="n"/>
      <c r="M2424" s="23" t="n"/>
      <c r="N2424" s="23" t="n"/>
      <c r="O2424" s="20">
        <f>IF(OR(I2424="",COUNT(J2424:N2424)=0),"",IF(SUM(J2424:N2424)=I2424,"✓","⚠ "&amp;SUM(J2424:N2424)&amp;" statt "&amp;I2424))</f>
        <v/>
      </c>
      <c r="P2424" s="21" t="n"/>
      <c r="Q2424" s="21" t="n"/>
      <c r="R2424" s="21" t="n"/>
      <c r="S2424" s="24" t="n"/>
      <c r="T2424" s="24" t="n"/>
      <c r="V2424">
        <f>IF(A2424="","",MONTH(A2424))</f>
        <v/>
      </c>
      <c r="W2424">
        <f>N(W2423)+IF(AND(C2424&lt;&gt;"",T2424&lt;&gt;""),IF(C2424=WOCHE!$B$3,1,0),0)</f>
        <v/>
      </c>
      <c r="X2424">
        <f>N(X2423)+IF(AND(V2424&lt;&gt;"",T2424&lt;&gt;""),IF(V2424=MONAT!$AZ$3,1,0),0)</f>
        <v/>
      </c>
    </row>
    <row r="2425">
      <c r="A2425" s="19" t="n"/>
      <c r="B2425" s="20">
        <f>IF(A2425="","",CHOOSE(WEEKDAY(A2425,2),"Mo","Di","Mi","Do","Fr","Sa","So"))</f>
        <v/>
      </c>
      <c r="C2425" s="20">
        <f>IF(A2425="","",INT((A2425-DATE(YEAR(A2425-WEEKDAY(A2425-1)+4),1,3)+WEEKDAY(DATE(YEAR(A2425-WEEKDAY(A2425-1)+4),1,3))+5)/7))</f>
        <v/>
      </c>
      <c r="D2425" s="21" t="n"/>
      <c r="E2425" s="22" t="n"/>
      <c r="F2425" s="23" t="n"/>
      <c r="G2425" s="23" t="n"/>
      <c r="H2425" s="23" t="n"/>
      <c r="I2425" s="20">
        <f>IF(COUNT(F2425:H2425)=0,"",SUM(F2425:H2425))</f>
        <v/>
      </c>
      <c r="J2425" s="23" t="n"/>
      <c r="K2425" s="23" t="n"/>
      <c r="L2425" s="23" t="n"/>
      <c r="M2425" s="23" t="n"/>
      <c r="N2425" s="23" t="n"/>
      <c r="O2425" s="20">
        <f>IF(OR(I2425="",COUNT(J2425:N2425)=0),"",IF(SUM(J2425:N2425)=I2425,"✓","⚠ "&amp;SUM(J2425:N2425)&amp;" statt "&amp;I2425))</f>
        <v/>
      </c>
      <c r="P2425" s="21" t="n"/>
      <c r="Q2425" s="21" t="n"/>
      <c r="R2425" s="21" t="n"/>
      <c r="S2425" s="24" t="n"/>
      <c r="T2425" s="24" t="n"/>
      <c r="V2425">
        <f>IF(A2425="","",MONTH(A2425))</f>
        <v/>
      </c>
      <c r="W2425">
        <f>N(W2424)+IF(AND(C2425&lt;&gt;"",T2425&lt;&gt;""),IF(C2425=WOCHE!$B$3,1,0),0)</f>
        <v/>
      </c>
      <c r="X2425">
        <f>N(X2424)+IF(AND(V2425&lt;&gt;"",T2425&lt;&gt;""),IF(V2425=MONAT!$AZ$3,1,0),0)</f>
        <v/>
      </c>
    </row>
    <row r="2426">
      <c r="A2426" s="19" t="n"/>
      <c r="B2426" s="20">
        <f>IF(A2426="","",CHOOSE(WEEKDAY(A2426,2),"Mo","Di","Mi","Do","Fr","Sa","So"))</f>
        <v/>
      </c>
      <c r="C2426" s="20">
        <f>IF(A2426="","",INT((A2426-DATE(YEAR(A2426-WEEKDAY(A2426-1)+4),1,3)+WEEKDAY(DATE(YEAR(A2426-WEEKDAY(A2426-1)+4),1,3))+5)/7))</f>
        <v/>
      </c>
      <c r="D2426" s="21" t="n"/>
      <c r="E2426" s="22" t="n"/>
      <c r="F2426" s="23" t="n"/>
      <c r="G2426" s="23" t="n"/>
      <c r="H2426" s="23" t="n"/>
      <c r="I2426" s="20">
        <f>IF(COUNT(F2426:H2426)=0,"",SUM(F2426:H2426))</f>
        <v/>
      </c>
      <c r="J2426" s="23" t="n"/>
      <c r="K2426" s="23" t="n"/>
      <c r="L2426" s="23" t="n"/>
      <c r="M2426" s="23" t="n"/>
      <c r="N2426" s="23" t="n"/>
      <c r="O2426" s="20">
        <f>IF(OR(I2426="",COUNT(J2426:N2426)=0),"",IF(SUM(J2426:N2426)=I2426,"✓","⚠ "&amp;SUM(J2426:N2426)&amp;" statt "&amp;I2426))</f>
        <v/>
      </c>
      <c r="P2426" s="21" t="n"/>
      <c r="Q2426" s="21" t="n"/>
      <c r="R2426" s="21" t="n"/>
      <c r="S2426" s="24" t="n"/>
      <c r="T2426" s="24" t="n"/>
      <c r="V2426">
        <f>IF(A2426="","",MONTH(A2426))</f>
        <v/>
      </c>
      <c r="W2426">
        <f>N(W2425)+IF(AND(C2426&lt;&gt;"",T2426&lt;&gt;""),IF(C2426=WOCHE!$B$3,1,0),0)</f>
        <v/>
      </c>
      <c r="X2426">
        <f>N(X2425)+IF(AND(V2426&lt;&gt;"",T2426&lt;&gt;""),IF(V2426=MONAT!$AZ$3,1,0),0)</f>
        <v/>
      </c>
    </row>
    <row r="2427">
      <c r="A2427" s="19" t="n"/>
      <c r="B2427" s="20">
        <f>IF(A2427="","",CHOOSE(WEEKDAY(A2427,2),"Mo","Di","Mi","Do","Fr","Sa","So"))</f>
        <v/>
      </c>
      <c r="C2427" s="20">
        <f>IF(A2427="","",INT((A2427-DATE(YEAR(A2427-WEEKDAY(A2427-1)+4),1,3)+WEEKDAY(DATE(YEAR(A2427-WEEKDAY(A2427-1)+4),1,3))+5)/7))</f>
        <v/>
      </c>
      <c r="D2427" s="21" t="n"/>
      <c r="E2427" s="22" t="n"/>
      <c r="F2427" s="23" t="n"/>
      <c r="G2427" s="23" t="n"/>
      <c r="H2427" s="23" t="n"/>
      <c r="I2427" s="20">
        <f>IF(COUNT(F2427:H2427)=0,"",SUM(F2427:H2427))</f>
        <v/>
      </c>
      <c r="J2427" s="23" t="n"/>
      <c r="K2427" s="23" t="n"/>
      <c r="L2427" s="23" t="n"/>
      <c r="M2427" s="23" t="n"/>
      <c r="N2427" s="23" t="n"/>
      <c r="O2427" s="20">
        <f>IF(OR(I2427="",COUNT(J2427:N2427)=0),"",IF(SUM(J2427:N2427)=I2427,"✓","⚠ "&amp;SUM(J2427:N2427)&amp;" statt "&amp;I2427))</f>
        <v/>
      </c>
      <c r="P2427" s="21" t="n"/>
      <c r="Q2427" s="21" t="n"/>
      <c r="R2427" s="21" t="n"/>
      <c r="S2427" s="24" t="n"/>
      <c r="T2427" s="24" t="n"/>
      <c r="V2427">
        <f>IF(A2427="","",MONTH(A2427))</f>
        <v/>
      </c>
      <c r="W2427">
        <f>N(W2426)+IF(AND(C2427&lt;&gt;"",T2427&lt;&gt;""),IF(C2427=WOCHE!$B$3,1,0),0)</f>
        <v/>
      </c>
      <c r="X2427">
        <f>N(X2426)+IF(AND(V2427&lt;&gt;"",T2427&lt;&gt;""),IF(V2427=MONAT!$AZ$3,1,0),0)</f>
        <v/>
      </c>
    </row>
    <row r="2428">
      <c r="A2428" s="19" t="n"/>
      <c r="B2428" s="20">
        <f>IF(A2428="","",CHOOSE(WEEKDAY(A2428,2),"Mo","Di","Mi","Do","Fr","Sa","So"))</f>
        <v/>
      </c>
      <c r="C2428" s="20">
        <f>IF(A2428="","",INT((A2428-DATE(YEAR(A2428-WEEKDAY(A2428-1)+4),1,3)+WEEKDAY(DATE(YEAR(A2428-WEEKDAY(A2428-1)+4),1,3))+5)/7))</f>
        <v/>
      </c>
      <c r="D2428" s="21" t="n"/>
      <c r="E2428" s="22" t="n"/>
      <c r="F2428" s="23" t="n"/>
      <c r="G2428" s="23" t="n"/>
      <c r="H2428" s="23" t="n"/>
      <c r="I2428" s="20">
        <f>IF(COUNT(F2428:H2428)=0,"",SUM(F2428:H2428))</f>
        <v/>
      </c>
      <c r="J2428" s="23" t="n"/>
      <c r="K2428" s="23" t="n"/>
      <c r="L2428" s="23" t="n"/>
      <c r="M2428" s="23" t="n"/>
      <c r="N2428" s="23" t="n"/>
      <c r="O2428" s="20">
        <f>IF(OR(I2428="",COUNT(J2428:N2428)=0),"",IF(SUM(J2428:N2428)=I2428,"✓","⚠ "&amp;SUM(J2428:N2428)&amp;" statt "&amp;I2428))</f>
        <v/>
      </c>
      <c r="P2428" s="21" t="n"/>
      <c r="Q2428" s="21" t="n"/>
      <c r="R2428" s="21" t="n"/>
      <c r="S2428" s="24" t="n"/>
      <c r="T2428" s="24" t="n"/>
      <c r="V2428">
        <f>IF(A2428="","",MONTH(A2428))</f>
        <v/>
      </c>
      <c r="W2428">
        <f>N(W2427)+IF(AND(C2428&lt;&gt;"",T2428&lt;&gt;""),IF(C2428=WOCHE!$B$3,1,0),0)</f>
        <v/>
      </c>
      <c r="X2428">
        <f>N(X2427)+IF(AND(V2428&lt;&gt;"",T2428&lt;&gt;""),IF(V2428=MONAT!$AZ$3,1,0),0)</f>
        <v/>
      </c>
    </row>
    <row r="2429">
      <c r="A2429" s="19" t="n"/>
      <c r="B2429" s="20">
        <f>IF(A2429="","",CHOOSE(WEEKDAY(A2429,2),"Mo","Di","Mi","Do","Fr","Sa","So"))</f>
        <v/>
      </c>
      <c r="C2429" s="20">
        <f>IF(A2429="","",INT((A2429-DATE(YEAR(A2429-WEEKDAY(A2429-1)+4),1,3)+WEEKDAY(DATE(YEAR(A2429-WEEKDAY(A2429-1)+4),1,3))+5)/7))</f>
        <v/>
      </c>
      <c r="D2429" s="21" t="n"/>
      <c r="E2429" s="22" t="n"/>
      <c r="F2429" s="23" t="n"/>
      <c r="G2429" s="23" t="n"/>
      <c r="H2429" s="23" t="n"/>
      <c r="I2429" s="20">
        <f>IF(COUNT(F2429:H2429)=0,"",SUM(F2429:H2429))</f>
        <v/>
      </c>
      <c r="J2429" s="23" t="n"/>
      <c r="K2429" s="23" t="n"/>
      <c r="L2429" s="23" t="n"/>
      <c r="M2429" s="23" t="n"/>
      <c r="N2429" s="23" t="n"/>
      <c r="O2429" s="20">
        <f>IF(OR(I2429="",COUNT(J2429:N2429)=0),"",IF(SUM(J2429:N2429)=I2429,"✓","⚠ "&amp;SUM(J2429:N2429)&amp;" statt "&amp;I2429))</f>
        <v/>
      </c>
      <c r="P2429" s="21" t="n"/>
      <c r="Q2429" s="21" t="n"/>
      <c r="R2429" s="21" t="n"/>
      <c r="S2429" s="24" t="n"/>
      <c r="T2429" s="24" t="n"/>
      <c r="V2429">
        <f>IF(A2429="","",MONTH(A2429))</f>
        <v/>
      </c>
      <c r="W2429">
        <f>N(W2428)+IF(AND(C2429&lt;&gt;"",T2429&lt;&gt;""),IF(C2429=WOCHE!$B$3,1,0),0)</f>
        <v/>
      </c>
      <c r="X2429">
        <f>N(X2428)+IF(AND(V2429&lt;&gt;"",T2429&lt;&gt;""),IF(V2429=MONAT!$AZ$3,1,0),0)</f>
        <v/>
      </c>
    </row>
    <row r="2430">
      <c r="A2430" s="19" t="n"/>
      <c r="B2430" s="20">
        <f>IF(A2430="","",CHOOSE(WEEKDAY(A2430,2),"Mo","Di","Mi","Do","Fr","Sa","So"))</f>
        <v/>
      </c>
      <c r="C2430" s="20">
        <f>IF(A2430="","",INT((A2430-DATE(YEAR(A2430-WEEKDAY(A2430-1)+4),1,3)+WEEKDAY(DATE(YEAR(A2430-WEEKDAY(A2430-1)+4),1,3))+5)/7))</f>
        <v/>
      </c>
      <c r="D2430" s="21" t="n"/>
      <c r="E2430" s="22" t="n"/>
      <c r="F2430" s="23" t="n"/>
      <c r="G2430" s="23" t="n"/>
      <c r="H2430" s="23" t="n"/>
      <c r="I2430" s="20">
        <f>IF(COUNT(F2430:H2430)=0,"",SUM(F2430:H2430))</f>
        <v/>
      </c>
      <c r="J2430" s="23" t="n"/>
      <c r="K2430" s="23" t="n"/>
      <c r="L2430" s="23" t="n"/>
      <c r="M2430" s="23" t="n"/>
      <c r="N2430" s="23" t="n"/>
      <c r="O2430" s="20">
        <f>IF(OR(I2430="",COUNT(J2430:N2430)=0),"",IF(SUM(J2430:N2430)=I2430,"✓","⚠ "&amp;SUM(J2430:N2430)&amp;" statt "&amp;I2430))</f>
        <v/>
      </c>
      <c r="P2430" s="21" t="n"/>
      <c r="Q2430" s="21" t="n"/>
      <c r="R2430" s="21" t="n"/>
      <c r="S2430" s="24" t="n"/>
      <c r="T2430" s="24" t="n"/>
      <c r="V2430">
        <f>IF(A2430="","",MONTH(A2430))</f>
        <v/>
      </c>
      <c r="W2430">
        <f>N(W2429)+IF(AND(C2430&lt;&gt;"",T2430&lt;&gt;""),IF(C2430=WOCHE!$B$3,1,0),0)</f>
        <v/>
      </c>
      <c r="X2430">
        <f>N(X2429)+IF(AND(V2430&lt;&gt;"",T2430&lt;&gt;""),IF(V2430=MONAT!$AZ$3,1,0),0)</f>
        <v/>
      </c>
    </row>
    <row r="2431">
      <c r="A2431" s="19" t="n"/>
      <c r="B2431" s="20">
        <f>IF(A2431="","",CHOOSE(WEEKDAY(A2431,2),"Mo","Di","Mi","Do","Fr","Sa","So"))</f>
        <v/>
      </c>
      <c r="C2431" s="20">
        <f>IF(A2431="","",INT((A2431-DATE(YEAR(A2431-WEEKDAY(A2431-1)+4),1,3)+WEEKDAY(DATE(YEAR(A2431-WEEKDAY(A2431-1)+4),1,3))+5)/7))</f>
        <v/>
      </c>
      <c r="D2431" s="21" t="n"/>
      <c r="E2431" s="22" t="n"/>
      <c r="F2431" s="23" t="n"/>
      <c r="G2431" s="23" t="n"/>
      <c r="H2431" s="23" t="n"/>
      <c r="I2431" s="20">
        <f>IF(COUNT(F2431:H2431)=0,"",SUM(F2431:H2431))</f>
        <v/>
      </c>
      <c r="J2431" s="23" t="n"/>
      <c r="K2431" s="23" t="n"/>
      <c r="L2431" s="23" t="n"/>
      <c r="M2431" s="23" t="n"/>
      <c r="N2431" s="23" t="n"/>
      <c r="O2431" s="20">
        <f>IF(OR(I2431="",COUNT(J2431:N2431)=0),"",IF(SUM(J2431:N2431)=I2431,"✓","⚠ "&amp;SUM(J2431:N2431)&amp;" statt "&amp;I2431))</f>
        <v/>
      </c>
      <c r="P2431" s="21" t="n"/>
      <c r="Q2431" s="21" t="n"/>
      <c r="R2431" s="21" t="n"/>
      <c r="S2431" s="24" t="n"/>
      <c r="T2431" s="24" t="n"/>
      <c r="V2431">
        <f>IF(A2431="","",MONTH(A2431))</f>
        <v/>
      </c>
      <c r="W2431">
        <f>N(W2430)+IF(AND(C2431&lt;&gt;"",T2431&lt;&gt;""),IF(C2431=WOCHE!$B$3,1,0),0)</f>
        <v/>
      </c>
      <c r="X2431">
        <f>N(X2430)+IF(AND(V2431&lt;&gt;"",T2431&lt;&gt;""),IF(V2431=MONAT!$AZ$3,1,0),0)</f>
        <v/>
      </c>
    </row>
    <row r="2432">
      <c r="A2432" s="19" t="n"/>
      <c r="B2432" s="20">
        <f>IF(A2432="","",CHOOSE(WEEKDAY(A2432,2),"Mo","Di","Mi","Do","Fr","Sa","So"))</f>
        <v/>
      </c>
      <c r="C2432" s="20">
        <f>IF(A2432="","",INT((A2432-DATE(YEAR(A2432-WEEKDAY(A2432-1)+4),1,3)+WEEKDAY(DATE(YEAR(A2432-WEEKDAY(A2432-1)+4),1,3))+5)/7))</f>
        <v/>
      </c>
      <c r="D2432" s="21" t="n"/>
      <c r="E2432" s="22" t="n"/>
      <c r="F2432" s="23" t="n"/>
      <c r="G2432" s="23" t="n"/>
      <c r="H2432" s="23" t="n"/>
      <c r="I2432" s="20">
        <f>IF(COUNT(F2432:H2432)=0,"",SUM(F2432:H2432))</f>
        <v/>
      </c>
      <c r="J2432" s="23" t="n"/>
      <c r="K2432" s="23" t="n"/>
      <c r="L2432" s="23" t="n"/>
      <c r="M2432" s="23" t="n"/>
      <c r="N2432" s="23" t="n"/>
      <c r="O2432" s="20">
        <f>IF(OR(I2432="",COUNT(J2432:N2432)=0),"",IF(SUM(J2432:N2432)=I2432,"✓","⚠ "&amp;SUM(J2432:N2432)&amp;" statt "&amp;I2432))</f>
        <v/>
      </c>
      <c r="P2432" s="21" t="n"/>
      <c r="Q2432" s="21" t="n"/>
      <c r="R2432" s="21" t="n"/>
      <c r="S2432" s="24" t="n"/>
      <c r="T2432" s="24" t="n"/>
      <c r="V2432">
        <f>IF(A2432="","",MONTH(A2432))</f>
        <v/>
      </c>
      <c r="W2432">
        <f>N(W2431)+IF(AND(C2432&lt;&gt;"",T2432&lt;&gt;""),IF(C2432=WOCHE!$B$3,1,0),0)</f>
        <v/>
      </c>
      <c r="X2432">
        <f>N(X2431)+IF(AND(V2432&lt;&gt;"",T2432&lt;&gt;""),IF(V2432=MONAT!$AZ$3,1,0),0)</f>
        <v/>
      </c>
    </row>
    <row r="2433">
      <c r="A2433" s="19" t="n"/>
      <c r="B2433" s="20">
        <f>IF(A2433="","",CHOOSE(WEEKDAY(A2433,2),"Mo","Di","Mi","Do","Fr","Sa","So"))</f>
        <v/>
      </c>
      <c r="C2433" s="20">
        <f>IF(A2433="","",INT((A2433-DATE(YEAR(A2433-WEEKDAY(A2433-1)+4),1,3)+WEEKDAY(DATE(YEAR(A2433-WEEKDAY(A2433-1)+4),1,3))+5)/7))</f>
        <v/>
      </c>
      <c r="D2433" s="21" t="n"/>
      <c r="E2433" s="22" t="n"/>
      <c r="F2433" s="23" t="n"/>
      <c r="G2433" s="23" t="n"/>
      <c r="H2433" s="23" t="n"/>
      <c r="I2433" s="20">
        <f>IF(COUNT(F2433:H2433)=0,"",SUM(F2433:H2433))</f>
        <v/>
      </c>
      <c r="J2433" s="23" t="n"/>
      <c r="K2433" s="23" t="n"/>
      <c r="L2433" s="23" t="n"/>
      <c r="M2433" s="23" t="n"/>
      <c r="N2433" s="23" t="n"/>
      <c r="O2433" s="20">
        <f>IF(OR(I2433="",COUNT(J2433:N2433)=0),"",IF(SUM(J2433:N2433)=I2433,"✓","⚠ "&amp;SUM(J2433:N2433)&amp;" statt "&amp;I2433))</f>
        <v/>
      </c>
      <c r="P2433" s="21" t="n"/>
      <c r="Q2433" s="21" t="n"/>
      <c r="R2433" s="21" t="n"/>
      <c r="S2433" s="24" t="n"/>
      <c r="T2433" s="24" t="n"/>
      <c r="V2433">
        <f>IF(A2433="","",MONTH(A2433))</f>
        <v/>
      </c>
      <c r="W2433">
        <f>N(W2432)+IF(AND(C2433&lt;&gt;"",T2433&lt;&gt;""),IF(C2433=WOCHE!$B$3,1,0),0)</f>
        <v/>
      </c>
      <c r="X2433">
        <f>N(X2432)+IF(AND(V2433&lt;&gt;"",T2433&lt;&gt;""),IF(V2433=MONAT!$AZ$3,1,0),0)</f>
        <v/>
      </c>
    </row>
    <row r="2434">
      <c r="A2434" s="19" t="n"/>
      <c r="B2434" s="20">
        <f>IF(A2434="","",CHOOSE(WEEKDAY(A2434,2),"Mo","Di","Mi","Do","Fr","Sa","So"))</f>
        <v/>
      </c>
      <c r="C2434" s="20">
        <f>IF(A2434="","",INT((A2434-DATE(YEAR(A2434-WEEKDAY(A2434-1)+4),1,3)+WEEKDAY(DATE(YEAR(A2434-WEEKDAY(A2434-1)+4),1,3))+5)/7))</f>
        <v/>
      </c>
      <c r="D2434" s="21" t="n"/>
      <c r="E2434" s="22" t="n"/>
      <c r="F2434" s="23" t="n"/>
      <c r="G2434" s="23" t="n"/>
      <c r="H2434" s="23" t="n"/>
      <c r="I2434" s="20">
        <f>IF(COUNT(F2434:H2434)=0,"",SUM(F2434:H2434))</f>
        <v/>
      </c>
      <c r="J2434" s="23" t="n"/>
      <c r="K2434" s="23" t="n"/>
      <c r="L2434" s="23" t="n"/>
      <c r="M2434" s="23" t="n"/>
      <c r="N2434" s="23" t="n"/>
      <c r="O2434" s="20">
        <f>IF(OR(I2434="",COUNT(J2434:N2434)=0),"",IF(SUM(J2434:N2434)=I2434,"✓","⚠ "&amp;SUM(J2434:N2434)&amp;" statt "&amp;I2434))</f>
        <v/>
      </c>
      <c r="P2434" s="21" t="n"/>
      <c r="Q2434" s="21" t="n"/>
      <c r="R2434" s="21" t="n"/>
      <c r="S2434" s="24" t="n"/>
      <c r="T2434" s="24" t="n"/>
      <c r="V2434">
        <f>IF(A2434="","",MONTH(A2434))</f>
        <v/>
      </c>
      <c r="W2434">
        <f>N(W2433)+IF(AND(C2434&lt;&gt;"",T2434&lt;&gt;""),IF(C2434=WOCHE!$B$3,1,0),0)</f>
        <v/>
      </c>
      <c r="X2434">
        <f>N(X2433)+IF(AND(V2434&lt;&gt;"",T2434&lt;&gt;""),IF(V2434=MONAT!$AZ$3,1,0),0)</f>
        <v/>
      </c>
    </row>
    <row r="2435">
      <c r="A2435" s="19" t="n"/>
      <c r="B2435" s="20">
        <f>IF(A2435="","",CHOOSE(WEEKDAY(A2435,2),"Mo","Di","Mi","Do","Fr","Sa","So"))</f>
        <v/>
      </c>
      <c r="C2435" s="20">
        <f>IF(A2435="","",INT((A2435-DATE(YEAR(A2435-WEEKDAY(A2435-1)+4),1,3)+WEEKDAY(DATE(YEAR(A2435-WEEKDAY(A2435-1)+4),1,3))+5)/7))</f>
        <v/>
      </c>
      <c r="D2435" s="21" t="n"/>
      <c r="E2435" s="22" t="n"/>
      <c r="F2435" s="23" t="n"/>
      <c r="G2435" s="23" t="n"/>
      <c r="H2435" s="23" t="n"/>
      <c r="I2435" s="20">
        <f>IF(COUNT(F2435:H2435)=0,"",SUM(F2435:H2435))</f>
        <v/>
      </c>
      <c r="J2435" s="23" t="n"/>
      <c r="K2435" s="23" t="n"/>
      <c r="L2435" s="23" t="n"/>
      <c r="M2435" s="23" t="n"/>
      <c r="N2435" s="23" t="n"/>
      <c r="O2435" s="20">
        <f>IF(OR(I2435="",COUNT(J2435:N2435)=0),"",IF(SUM(J2435:N2435)=I2435,"✓","⚠ "&amp;SUM(J2435:N2435)&amp;" statt "&amp;I2435))</f>
        <v/>
      </c>
      <c r="P2435" s="21" t="n"/>
      <c r="Q2435" s="21" t="n"/>
      <c r="R2435" s="21" t="n"/>
      <c r="S2435" s="24" t="n"/>
      <c r="T2435" s="24" t="n"/>
      <c r="V2435">
        <f>IF(A2435="","",MONTH(A2435))</f>
        <v/>
      </c>
      <c r="W2435">
        <f>N(W2434)+IF(AND(C2435&lt;&gt;"",T2435&lt;&gt;""),IF(C2435=WOCHE!$B$3,1,0),0)</f>
        <v/>
      </c>
      <c r="X2435">
        <f>N(X2434)+IF(AND(V2435&lt;&gt;"",T2435&lt;&gt;""),IF(V2435=MONAT!$AZ$3,1,0),0)</f>
        <v/>
      </c>
    </row>
    <row r="2436">
      <c r="A2436" s="19" t="n"/>
      <c r="B2436" s="20">
        <f>IF(A2436="","",CHOOSE(WEEKDAY(A2436,2),"Mo","Di","Mi","Do","Fr","Sa","So"))</f>
        <v/>
      </c>
      <c r="C2436" s="20">
        <f>IF(A2436="","",INT((A2436-DATE(YEAR(A2436-WEEKDAY(A2436-1)+4),1,3)+WEEKDAY(DATE(YEAR(A2436-WEEKDAY(A2436-1)+4),1,3))+5)/7))</f>
        <v/>
      </c>
      <c r="D2436" s="21" t="n"/>
      <c r="E2436" s="22" t="n"/>
      <c r="F2436" s="23" t="n"/>
      <c r="G2436" s="23" t="n"/>
      <c r="H2436" s="23" t="n"/>
      <c r="I2436" s="20">
        <f>IF(COUNT(F2436:H2436)=0,"",SUM(F2436:H2436))</f>
        <v/>
      </c>
      <c r="J2436" s="23" t="n"/>
      <c r="K2436" s="23" t="n"/>
      <c r="L2436" s="23" t="n"/>
      <c r="M2436" s="23" t="n"/>
      <c r="N2436" s="23" t="n"/>
      <c r="O2436" s="20">
        <f>IF(OR(I2436="",COUNT(J2436:N2436)=0),"",IF(SUM(J2436:N2436)=I2436,"✓","⚠ "&amp;SUM(J2436:N2436)&amp;" statt "&amp;I2436))</f>
        <v/>
      </c>
      <c r="P2436" s="21" t="n"/>
      <c r="Q2436" s="21" t="n"/>
      <c r="R2436" s="21" t="n"/>
      <c r="S2436" s="24" t="n"/>
      <c r="T2436" s="24" t="n"/>
      <c r="V2436">
        <f>IF(A2436="","",MONTH(A2436))</f>
        <v/>
      </c>
      <c r="W2436">
        <f>N(W2435)+IF(AND(C2436&lt;&gt;"",T2436&lt;&gt;""),IF(C2436=WOCHE!$B$3,1,0),0)</f>
        <v/>
      </c>
      <c r="X2436">
        <f>N(X2435)+IF(AND(V2436&lt;&gt;"",T2436&lt;&gt;""),IF(V2436=MONAT!$AZ$3,1,0),0)</f>
        <v/>
      </c>
    </row>
    <row r="2437">
      <c r="A2437" s="19" t="n"/>
      <c r="B2437" s="20">
        <f>IF(A2437="","",CHOOSE(WEEKDAY(A2437,2),"Mo","Di","Mi","Do","Fr","Sa","So"))</f>
        <v/>
      </c>
      <c r="C2437" s="20">
        <f>IF(A2437="","",INT((A2437-DATE(YEAR(A2437-WEEKDAY(A2437-1)+4),1,3)+WEEKDAY(DATE(YEAR(A2437-WEEKDAY(A2437-1)+4),1,3))+5)/7))</f>
        <v/>
      </c>
      <c r="D2437" s="21" t="n"/>
      <c r="E2437" s="22" t="n"/>
      <c r="F2437" s="23" t="n"/>
      <c r="G2437" s="23" t="n"/>
      <c r="H2437" s="23" t="n"/>
      <c r="I2437" s="20">
        <f>IF(COUNT(F2437:H2437)=0,"",SUM(F2437:H2437))</f>
        <v/>
      </c>
      <c r="J2437" s="23" t="n"/>
      <c r="K2437" s="23" t="n"/>
      <c r="L2437" s="23" t="n"/>
      <c r="M2437" s="23" t="n"/>
      <c r="N2437" s="23" t="n"/>
      <c r="O2437" s="20">
        <f>IF(OR(I2437="",COUNT(J2437:N2437)=0),"",IF(SUM(J2437:N2437)=I2437,"✓","⚠ "&amp;SUM(J2437:N2437)&amp;" statt "&amp;I2437))</f>
        <v/>
      </c>
      <c r="P2437" s="21" t="n"/>
      <c r="Q2437" s="21" t="n"/>
      <c r="R2437" s="21" t="n"/>
      <c r="S2437" s="24" t="n"/>
      <c r="T2437" s="24" t="n"/>
      <c r="V2437">
        <f>IF(A2437="","",MONTH(A2437))</f>
        <v/>
      </c>
      <c r="W2437">
        <f>N(W2436)+IF(AND(C2437&lt;&gt;"",T2437&lt;&gt;""),IF(C2437=WOCHE!$B$3,1,0),0)</f>
        <v/>
      </c>
      <c r="X2437">
        <f>N(X2436)+IF(AND(V2437&lt;&gt;"",T2437&lt;&gt;""),IF(V2437=MONAT!$AZ$3,1,0),0)</f>
        <v/>
      </c>
    </row>
    <row r="2438">
      <c r="A2438" s="19" t="n"/>
      <c r="B2438" s="20">
        <f>IF(A2438="","",CHOOSE(WEEKDAY(A2438,2),"Mo","Di","Mi","Do","Fr","Sa","So"))</f>
        <v/>
      </c>
      <c r="C2438" s="20">
        <f>IF(A2438="","",INT((A2438-DATE(YEAR(A2438-WEEKDAY(A2438-1)+4),1,3)+WEEKDAY(DATE(YEAR(A2438-WEEKDAY(A2438-1)+4),1,3))+5)/7))</f>
        <v/>
      </c>
      <c r="D2438" s="21" t="n"/>
      <c r="E2438" s="22" t="n"/>
      <c r="F2438" s="23" t="n"/>
      <c r="G2438" s="23" t="n"/>
      <c r="H2438" s="23" t="n"/>
      <c r="I2438" s="20">
        <f>IF(COUNT(F2438:H2438)=0,"",SUM(F2438:H2438))</f>
        <v/>
      </c>
      <c r="J2438" s="23" t="n"/>
      <c r="K2438" s="23" t="n"/>
      <c r="L2438" s="23" t="n"/>
      <c r="M2438" s="23" t="n"/>
      <c r="N2438" s="23" t="n"/>
      <c r="O2438" s="20">
        <f>IF(OR(I2438="",COUNT(J2438:N2438)=0),"",IF(SUM(J2438:N2438)=I2438,"✓","⚠ "&amp;SUM(J2438:N2438)&amp;" statt "&amp;I2438))</f>
        <v/>
      </c>
      <c r="P2438" s="21" t="n"/>
      <c r="Q2438" s="21" t="n"/>
      <c r="R2438" s="21" t="n"/>
      <c r="S2438" s="24" t="n"/>
      <c r="T2438" s="24" t="n"/>
      <c r="V2438">
        <f>IF(A2438="","",MONTH(A2438))</f>
        <v/>
      </c>
      <c r="W2438">
        <f>N(W2437)+IF(AND(C2438&lt;&gt;"",T2438&lt;&gt;""),IF(C2438=WOCHE!$B$3,1,0),0)</f>
        <v/>
      </c>
      <c r="X2438">
        <f>N(X2437)+IF(AND(V2438&lt;&gt;"",T2438&lt;&gt;""),IF(V2438=MONAT!$AZ$3,1,0),0)</f>
        <v/>
      </c>
    </row>
    <row r="2439">
      <c r="A2439" s="19" t="n"/>
      <c r="B2439" s="20">
        <f>IF(A2439="","",CHOOSE(WEEKDAY(A2439,2),"Mo","Di","Mi","Do","Fr","Sa","So"))</f>
        <v/>
      </c>
      <c r="C2439" s="20">
        <f>IF(A2439="","",INT((A2439-DATE(YEAR(A2439-WEEKDAY(A2439-1)+4),1,3)+WEEKDAY(DATE(YEAR(A2439-WEEKDAY(A2439-1)+4),1,3))+5)/7))</f>
        <v/>
      </c>
      <c r="D2439" s="21" t="n"/>
      <c r="E2439" s="22" t="n"/>
      <c r="F2439" s="23" t="n"/>
      <c r="G2439" s="23" t="n"/>
      <c r="H2439" s="23" t="n"/>
      <c r="I2439" s="20">
        <f>IF(COUNT(F2439:H2439)=0,"",SUM(F2439:H2439))</f>
        <v/>
      </c>
      <c r="J2439" s="23" t="n"/>
      <c r="K2439" s="23" t="n"/>
      <c r="L2439" s="23" t="n"/>
      <c r="M2439" s="23" t="n"/>
      <c r="N2439" s="23" t="n"/>
      <c r="O2439" s="20">
        <f>IF(OR(I2439="",COUNT(J2439:N2439)=0),"",IF(SUM(J2439:N2439)=I2439,"✓","⚠ "&amp;SUM(J2439:N2439)&amp;" statt "&amp;I2439))</f>
        <v/>
      </c>
      <c r="P2439" s="21" t="n"/>
      <c r="Q2439" s="21" t="n"/>
      <c r="R2439" s="21" t="n"/>
      <c r="S2439" s="24" t="n"/>
      <c r="T2439" s="24" t="n"/>
      <c r="V2439">
        <f>IF(A2439="","",MONTH(A2439))</f>
        <v/>
      </c>
      <c r="W2439">
        <f>N(W2438)+IF(AND(C2439&lt;&gt;"",T2439&lt;&gt;""),IF(C2439=WOCHE!$B$3,1,0),0)</f>
        <v/>
      </c>
      <c r="X2439">
        <f>N(X2438)+IF(AND(V2439&lt;&gt;"",T2439&lt;&gt;""),IF(V2439=MONAT!$AZ$3,1,0),0)</f>
        <v/>
      </c>
    </row>
    <row r="2440">
      <c r="A2440" s="19" t="n"/>
      <c r="B2440" s="20">
        <f>IF(A2440="","",CHOOSE(WEEKDAY(A2440,2),"Mo","Di","Mi","Do","Fr","Sa","So"))</f>
        <v/>
      </c>
      <c r="C2440" s="20">
        <f>IF(A2440="","",INT((A2440-DATE(YEAR(A2440-WEEKDAY(A2440-1)+4),1,3)+WEEKDAY(DATE(YEAR(A2440-WEEKDAY(A2440-1)+4),1,3))+5)/7))</f>
        <v/>
      </c>
      <c r="D2440" s="21" t="n"/>
      <c r="E2440" s="22" t="n"/>
      <c r="F2440" s="23" t="n"/>
      <c r="G2440" s="23" t="n"/>
      <c r="H2440" s="23" t="n"/>
      <c r="I2440" s="20">
        <f>IF(COUNT(F2440:H2440)=0,"",SUM(F2440:H2440))</f>
        <v/>
      </c>
      <c r="J2440" s="23" t="n"/>
      <c r="K2440" s="23" t="n"/>
      <c r="L2440" s="23" t="n"/>
      <c r="M2440" s="23" t="n"/>
      <c r="N2440" s="23" t="n"/>
      <c r="O2440" s="20">
        <f>IF(OR(I2440="",COUNT(J2440:N2440)=0),"",IF(SUM(J2440:N2440)=I2440,"✓","⚠ "&amp;SUM(J2440:N2440)&amp;" statt "&amp;I2440))</f>
        <v/>
      </c>
      <c r="P2440" s="21" t="n"/>
      <c r="Q2440" s="21" t="n"/>
      <c r="R2440" s="21" t="n"/>
      <c r="S2440" s="24" t="n"/>
      <c r="T2440" s="24" t="n"/>
      <c r="V2440">
        <f>IF(A2440="","",MONTH(A2440))</f>
        <v/>
      </c>
      <c r="W2440">
        <f>N(W2439)+IF(AND(C2440&lt;&gt;"",T2440&lt;&gt;""),IF(C2440=WOCHE!$B$3,1,0),0)</f>
        <v/>
      </c>
      <c r="X2440">
        <f>N(X2439)+IF(AND(V2440&lt;&gt;"",T2440&lt;&gt;""),IF(V2440=MONAT!$AZ$3,1,0),0)</f>
        <v/>
      </c>
    </row>
    <row r="2441">
      <c r="A2441" s="19" t="n"/>
      <c r="B2441" s="20">
        <f>IF(A2441="","",CHOOSE(WEEKDAY(A2441,2),"Mo","Di","Mi","Do","Fr","Sa","So"))</f>
        <v/>
      </c>
      <c r="C2441" s="20">
        <f>IF(A2441="","",INT((A2441-DATE(YEAR(A2441-WEEKDAY(A2441-1)+4),1,3)+WEEKDAY(DATE(YEAR(A2441-WEEKDAY(A2441-1)+4),1,3))+5)/7))</f>
        <v/>
      </c>
      <c r="D2441" s="21" t="n"/>
      <c r="E2441" s="22" t="n"/>
      <c r="F2441" s="23" t="n"/>
      <c r="G2441" s="23" t="n"/>
      <c r="H2441" s="23" t="n"/>
      <c r="I2441" s="20">
        <f>IF(COUNT(F2441:H2441)=0,"",SUM(F2441:H2441))</f>
        <v/>
      </c>
      <c r="J2441" s="23" t="n"/>
      <c r="K2441" s="23" t="n"/>
      <c r="L2441" s="23" t="n"/>
      <c r="M2441" s="23" t="n"/>
      <c r="N2441" s="23" t="n"/>
      <c r="O2441" s="20">
        <f>IF(OR(I2441="",COUNT(J2441:N2441)=0),"",IF(SUM(J2441:N2441)=I2441,"✓","⚠ "&amp;SUM(J2441:N2441)&amp;" statt "&amp;I2441))</f>
        <v/>
      </c>
      <c r="P2441" s="21" t="n"/>
      <c r="Q2441" s="21" t="n"/>
      <c r="R2441" s="21" t="n"/>
      <c r="S2441" s="24" t="n"/>
      <c r="T2441" s="24" t="n"/>
      <c r="V2441">
        <f>IF(A2441="","",MONTH(A2441))</f>
        <v/>
      </c>
      <c r="W2441">
        <f>N(W2440)+IF(AND(C2441&lt;&gt;"",T2441&lt;&gt;""),IF(C2441=WOCHE!$B$3,1,0),0)</f>
        <v/>
      </c>
      <c r="X2441">
        <f>N(X2440)+IF(AND(V2441&lt;&gt;"",T2441&lt;&gt;""),IF(V2441=MONAT!$AZ$3,1,0),0)</f>
        <v/>
      </c>
    </row>
    <row r="2442">
      <c r="A2442" s="19" t="n"/>
      <c r="B2442" s="20">
        <f>IF(A2442="","",CHOOSE(WEEKDAY(A2442,2),"Mo","Di","Mi","Do","Fr","Sa","So"))</f>
        <v/>
      </c>
      <c r="C2442" s="20">
        <f>IF(A2442="","",INT((A2442-DATE(YEAR(A2442-WEEKDAY(A2442-1)+4),1,3)+WEEKDAY(DATE(YEAR(A2442-WEEKDAY(A2442-1)+4),1,3))+5)/7))</f>
        <v/>
      </c>
      <c r="D2442" s="21" t="n"/>
      <c r="E2442" s="22" t="n"/>
      <c r="F2442" s="23" t="n"/>
      <c r="G2442" s="23" t="n"/>
      <c r="H2442" s="23" t="n"/>
      <c r="I2442" s="20">
        <f>IF(COUNT(F2442:H2442)=0,"",SUM(F2442:H2442))</f>
        <v/>
      </c>
      <c r="J2442" s="23" t="n"/>
      <c r="K2442" s="23" t="n"/>
      <c r="L2442" s="23" t="n"/>
      <c r="M2442" s="23" t="n"/>
      <c r="N2442" s="23" t="n"/>
      <c r="O2442" s="20">
        <f>IF(OR(I2442="",COUNT(J2442:N2442)=0),"",IF(SUM(J2442:N2442)=I2442,"✓","⚠ "&amp;SUM(J2442:N2442)&amp;" statt "&amp;I2442))</f>
        <v/>
      </c>
      <c r="P2442" s="21" t="n"/>
      <c r="Q2442" s="21" t="n"/>
      <c r="R2442" s="21" t="n"/>
      <c r="S2442" s="24" t="n"/>
      <c r="T2442" s="24" t="n"/>
      <c r="V2442">
        <f>IF(A2442="","",MONTH(A2442))</f>
        <v/>
      </c>
      <c r="W2442">
        <f>N(W2441)+IF(AND(C2442&lt;&gt;"",T2442&lt;&gt;""),IF(C2442=WOCHE!$B$3,1,0),0)</f>
        <v/>
      </c>
      <c r="X2442">
        <f>N(X2441)+IF(AND(V2442&lt;&gt;"",T2442&lt;&gt;""),IF(V2442=MONAT!$AZ$3,1,0),0)</f>
        <v/>
      </c>
    </row>
    <row r="2443">
      <c r="A2443" s="19" t="n"/>
      <c r="B2443" s="20">
        <f>IF(A2443="","",CHOOSE(WEEKDAY(A2443,2),"Mo","Di","Mi","Do","Fr","Sa","So"))</f>
        <v/>
      </c>
      <c r="C2443" s="20">
        <f>IF(A2443="","",INT((A2443-DATE(YEAR(A2443-WEEKDAY(A2443-1)+4),1,3)+WEEKDAY(DATE(YEAR(A2443-WEEKDAY(A2443-1)+4),1,3))+5)/7))</f>
        <v/>
      </c>
      <c r="D2443" s="21" t="n"/>
      <c r="E2443" s="22" t="n"/>
      <c r="F2443" s="23" t="n"/>
      <c r="G2443" s="23" t="n"/>
      <c r="H2443" s="23" t="n"/>
      <c r="I2443" s="20">
        <f>IF(COUNT(F2443:H2443)=0,"",SUM(F2443:H2443))</f>
        <v/>
      </c>
      <c r="J2443" s="23" t="n"/>
      <c r="K2443" s="23" t="n"/>
      <c r="L2443" s="23" t="n"/>
      <c r="M2443" s="23" t="n"/>
      <c r="N2443" s="23" t="n"/>
      <c r="O2443" s="20">
        <f>IF(OR(I2443="",COUNT(J2443:N2443)=0),"",IF(SUM(J2443:N2443)=I2443,"✓","⚠ "&amp;SUM(J2443:N2443)&amp;" statt "&amp;I2443))</f>
        <v/>
      </c>
      <c r="P2443" s="21" t="n"/>
      <c r="Q2443" s="21" t="n"/>
      <c r="R2443" s="21" t="n"/>
      <c r="S2443" s="24" t="n"/>
      <c r="T2443" s="24" t="n"/>
      <c r="V2443">
        <f>IF(A2443="","",MONTH(A2443))</f>
        <v/>
      </c>
      <c r="W2443">
        <f>N(W2442)+IF(AND(C2443&lt;&gt;"",T2443&lt;&gt;""),IF(C2443=WOCHE!$B$3,1,0),0)</f>
        <v/>
      </c>
      <c r="X2443">
        <f>N(X2442)+IF(AND(V2443&lt;&gt;"",T2443&lt;&gt;""),IF(V2443=MONAT!$AZ$3,1,0),0)</f>
        <v/>
      </c>
    </row>
    <row r="2444">
      <c r="A2444" s="19" t="n"/>
      <c r="B2444" s="20">
        <f>IF(A2444="","",CHOOSE(WEEKDAY(A2444,2),"Mo","Di","Mi","Do","Fr","Sa","So"))</f>
        <v/>
      </c>
      <c r="C2444" s="20">
        <f>IF(A2444="","",INT((A2444-DATE(YEAR(A2444-WEEKDAY(A2444-1)+4),1,3)+WEEKDAY(DATE(YEAR(A2444-WEEKDAY(A2444-1)+4),1,3))+5)/7))</f>
        <v/>
      </c>
      <c r="D2444" s="21" t="n"/>
      <c r="E2444" s="22" t="n"/>
      <c r="F2444" s="23" t="n"/>
      <c r="G2444" s="23" t="n"/>
      <c r="H2444" s="23" t="n"/>
      <c r="I2444" s="20">
        <f>IF(COUNT(F2444:H2444)=0,"",SUM(F2444:H2444))</f>
        <v/>
      </c>
      <c r="J2444" s="23" t="n"/>
      <c r="K2444" s="23" t="n"/>
      <c r="L2444" s="23" t="n"/>
      <c r="M2444" s="23" t="n"/>
      <c r="N2444" s="23" t="n"/>
      <c r="O2444" s="20">
        <f>IF(OR(I2444="",COUNT(J2444:N2444)=0),"",IF(SUM(J2444:N2444)=I2444,"✓","⚠ "&amp;SUM(J2444:N2444)&amp;" statt "&amp;I2444))</f>
        <v/>
      </c>
      <c r="P2444" s="21" t="n"/>
      <c r="Q2444" s="21" t="n"/>
      <c r="R2444" s="21" t="n"/>
      <c r="S2444" s="24" t="n"/>
      <c r="T2444" s="24" t="n"/>
      <c r="V2444">
        <f>IF(A2444="","",MONTH(A2444))</f>
        <v/>
      </c>
      <c r="W2444">
        <f>N(W2443)+IF(AND(C2444&lt;&gt;"",T2444&lt;&gt;""),IF(C2444=WOCHE!$B$3,1,0),0)</f>
        <v/>
      </c>
      <c r="X2444">
        <f>N(X2443)+IF(AND(V2444&lt;&gt;"",T2444&lt;&gt;""),IF(V2444=MONAT!$AZ$3,1,0),0)</f>
        <v/>
      </c>
    </row>
    <row r="2445">
      <c r="A2445" s="19" t="n"/>
      <c r="B2445" s="20">
        <f>IF(A2445="","",CHOOSE(WEEKDAY(A2445,2),"Mo","Di","Mi","Do","Fr","Sa","So"))</f>
        <v/>
      </c>
      <c r="C2445" s="20">
        <f>IF(A2445="","",INT((A2445-DATE(YEAR(A2445-WEEKDAY(A2445-1)+4),1,3)+WEEKDAY(DATE(YEAR(A2445-WEEKDAY(A2445-1)+4),1,3))+5)/7))</f>
        <v/>
      </c>
      <c r="D2445" s="21" t="n"/>
      <c r="E2445" s="22" t="n"/>
      <c r="F2445" s="23" t="n"/>
      <c r="G2445" s="23" t="n"/>
      <c r="H2445" s="23" t="n"/>
      <c r="I2445" s="20">
        <f>IF(COUNT(F2445:H2445)=0,"",SUM(F2445:H2445))</f>
        <v/>
      </c>
      <c r="J2445" s="23" t="n"/>
      <c r="K2445" s="23" t="n"/>
      <c r="L2445" s="23" t="n"/>
      <c r="M2445" s="23" t="n"/>
      <c r="N2445" s="23" t="n"/>
      <c r="O2445" s="20">
        <f>IF(OR(I2445="",COUNT(J2445:N2445)=0),"",IF(SUM(J2445:N2445)=I2445,"✓","⚠ "&amp;SUM(J2445:N2445)&amp;" statt "&amp;I2445))</f>
        <v/>
      </c>
      <c r="P2445" s="21" t="n"/>
      <c r="Q2445" s="21" t="n"/>
      <c r="R2445" s="21" t="n"/>
      <c r="S2445" s="24" t="n"/>
      <c r="T2445" s="24" t="n"/>
      <c r="V2445">
        <f>IF(A2445="","",MONTH(A2445))</f>
        <v/>
      </c>
      <c r="W2445">
        <f>N(W2444)+IF(AND(C2445&lt;&gt;"",T2445&lt;&gt;""),IF(C2445=WOCHE!$B$3,1,0),0)</f>
        <v/>
      </c>
      <c r="X2445">
        <f>N(X2444)+IF(AND(V2445&lt;&gt;"",T2445&lt;&gt;""),IF(V2445=MONAT!$AZ$3,1,0),0)</f>
        <v/>
      </c>
    </row>
    <row r="2446">
      <c r="A2446" s="19" t="n"/>
      <c r="B2446" s="20">
        <f>IF(A2446="","",CHOOSE(WEEKDAY(A2446,2),"Mo","Di","Mi","Do","Fr","Sa","So"))</f>
        <v/>
      </c>
      <c r="C2446" s="20">
        <f>IF(A2446="","",INT((A2446-DATE(YEAR(A2446-WEEKDAY(A2446-1)+4),1,3)+WEEKDAY(DATE(YEAR(A2446-WEEKDAY(A2446-1)+4),1,3))+5)/7))</f>
        <v/>
      </c>
      <c r="D2446" s="21" t="n"/>
      <c r="E2446" s="22" t="n"/>
      <c r="F2446" s="23" t="n"/>
      <c r="G2446" s="23" t="n"/>
      <c r="H2446" s="23" t="n"/>
      <c r="I2446" s="20">
        <f>IF(COUNT(F2446:H2446)=0,"",SUM(F2446:H2446))</f>
        <v/>
      </c>
      <c r="J2446" s="23" t="n"/>
      <c r="K2446" s="23" t="n"/>
      <c r="L2446" s="23" t="n"/>
      <c r="M2446" s="23" t="n"/>
      <c r="N2446" s="23" t="n"/>
      <c r="O2446" s="20">
        <f>IF(OR(I2446="",COUNT(J2446:N2446)=0),"",IF(SUM(J2446:N2446)=I2446,"✓","⚠ "&amp;SUM(J2446:N2446)&amp;" statt "&amp;I2446))</f>
        <v/>
      </c>
      <c r="P2446" s="21" t="n"/>
      <c r="Q2446" s="21" t="n"/>
      <c r="R2446" s="21" t="n"/>
      <c r="S2446" s="24" t="n"/>
      <c r="T2446" s="24" t="n"/>
      <c r="V2446">
        <f>IF(A2446="","",MONTH(A2446))</f>
        <v/>
      </c>
      <c r="W2446">
        <f>N(W2445)+IF(AND(C2446&lt;&gt;"",T2446&lt;&gt;""),IF(C2446=WOCHE!$B$3,1,0),0)</f>
        <v/>
      </c>
      <c r="X2446">
        <f>N(X2445)+IF(AND(V2446&lt;&gt;"",T2446&lt;&gt;""),IF(V2446=MONAT!$AZ$3,1,0),0)</f>
        <v/>
      </c>
    </row>
    <row r="2447">
      <c r="A2447" s="19" t="n"/>
      <c r="B2447" s="20">
        <f>IF(A2447="","",CHOOSE(WEEKDAY(A2447,2),"Mo","Di","Mi","Do","Fr","Sa","So"))</f>
        <v/>
      </c>
      <c r="C2447" s="20">
        <f>IF(A2447="","",INT((A2447-DATE(YEAR(A2447-WEEKDAY(A2447-1)+4),1,3)+WEEKDAY(DATE(YEAR(A2447-WEEKDAY(A2447-1)+4),1,3))+5)/7))</f>
        <v/>
      </c>
      <c r="D2447" s="21" t="n"/>
      <c r="E2447" s="22" t="n"/>
      <c r="F2447" s="23" t="n"/>
      <c r="G2447" s="23" t="n"/>
      <c r="H2447" s="23" t="n"/>
      <c r="I2447" s="20">
        <f>IF(COUNT(F2447:H2447)=0,"",SUM(F2447:H2447))</f>
        <v/>
      </c>
      <c r="J2447" s="23" t="n"/>
      <c r="K2447" s="23" t="n"/>
      <c r="L2447" s="23" t="n"/>
      <c r="M2447" s="23" t="n"/>
      <c r="N2447" s="23" t="n"/>
      <c r="O2447" s="20">
        <f>IF(OR(I2447="",COUNT(J2447:N2447)=0),"",IF(SUM(J2447:N2447)=I2447,"✓","⚠ "&amp;SUM(J2447:N2447)&amp;" statt "&amp;I2447))</f>
        <v/>
      </c>
      <c r="P2447" s="21" t="n"/>
      <c r="Q2447" s="21" t="n"/>
      <c r="R2447" s="21" t="n"/>
      <c r="S2447" s="24" t="n"/>
      <c r="T2447" s="24" t="n"/>
      <c r="V2447">
        <f>IF(A2447="","",MONTH(A2447))</f>
        <v/>
      </c>
      <c r="W2447">
        <f>N(W2446)+IF(AND(C2447&lt;&gt;"",T2447&lt;&gt;""),IF(C2447=WOCHE!$B$3,1,0),0)</f>
        <v/>
      </c>
      <c r="X2447">
        <f>N(X2446)+IF(AND(V2447&lt;&gt;"",T2447&lt;&gt;""),IF(V2447=MONAT!$AZ$3,1,0),0)</f>
        <v/>
      </c>
    </row>
    <row r="2448">
      <c r="A2448" s="19" t="n"/>
      <c r="B2448" s="20">
        <f>IF(A2448="","",CHOOSE(WEEKDAY(A2448,2),"Mo","Di","Mi","Do","Fr","Sa","So"))</f>
        <v/>
      </c>
      <c r="C2448" s="20">
        <f>IF(A2448="","",INT((A2448-DATE(YEAR(A2448-WEEKDAY(A2448-1)+4),1,3)+WEEKDAY(DATE(YEAR(A2448-WEEKDAY(A2448-1)+4),1,3))+5)/7))</f>
        <v/>
      </c>
      <c r="D2448" s="21" t="n"/>
      <c r="E2448" s="22" t="n"/>
      <c r="F2448" s="23" t="n"/>
      <c r="G2448" s="23" t="n"/>
      <c r="H2448" s="23" t="n"/>
      <c r="I2448" s="20">
        <f>IF(COUNT(F2448:H2448)=0,"",SUM(F2448:H2448))</f>
        <v/>
      </c>
      <c r="J2448" s="23" t="n"/>
      <c r="K2448" s="23" t="n"/>
      <c r="L2448" s="23" t="n"/>
      <c r="M2448" s="23" t="n"/>
      <c r="N2448" s="23" t="n"/>
      <c r="O2448" s="20">
        <f>IF(OR(I2448="",COUNT(J2448:N2448)=0),"",IF(SUM(J2448:N2448)=I2448,"✓","⚠ "&amp;SUM(J2448:N2448)&amp;" statt "&amp;I2448))</f>
        <v/>
      </c>
      <c r="P2448" s="21" t="n"/>
      <c r="Q2448" s="21" t="n"/>
      <c r="R2448" s="21" t="n"/>
      <c r="S2448" s="24" t="n"/>
      <c r="T2448" s="24" t="n"/>
      <c r="V2448">
        <f>IF(A2448="","",MONTH(A2448))</f>
        <v/>
      </c>
      <c r="W2448">
        <f>N(W2447)+IF(AND(C2448&lt;&gt;"",T2448&lt;&gt;""),IF(C2448=WOCHE!$B$3,1,0),0)</f>
        <v/>
      </c>
      <c r="X2448">
        <f>N(X2447)+IF(AND(V2448&lt;&gt;"",T2448&lt;&gt;""),IF(V2448=MONAT!$AZ$3,1,0),0)</f>
        <v/>
      </c>
    </row>
    <row r="2449">
      <c r="A2449" s="19" t="n"/>
      <c r="B2449" s="20">
        <f>IF(A2449="","",CHOOSE(WEEKDAY(A2449,2),"Mo","Di","Mi","Do","Fr","Sa","So"))</f>
        <v/>
      </c>
      <c r="C2449" s="20">
        <f>IF(A2449="","",INT((A2449-DATE(YEAR(A2449-WEEKDAY(A2449-1)+4),1,3)+WEEKDAY(DATE(YEAR(A2449-WEEKDAY(A2449-1)+4),1,3))+5)/7))</f>
        <v/>
      </c>
      <c r="D2449" s="21" t="n"/>
      <c r="E2449" s="22" t="n"/>
      <c r="F2449" s="23" t="n"/>
      <c r="G2449" s="23" t="n"/>
      <c r="H2449" s="23" t="n"/>
      <c r="I2449" s="20">
        <f>IF(COUNT(F2449:H2449)=0,"",SUM(F2449:H2449))</f>
        <v/>
      </c>
      <c r="J2449" s="23" t="n"/>
      <c r="K2449" s="23" t="n"/>
      <c r="L2449" s="23" t="n"/>
      <c r="M2449" s="23" t="n"/>
      <c r="N2449" s="23" t="n"/>
      <c r="O2449" s="20">
        <f>IF(OR(I2449="",COUNT(J2449:N2449)=0),"",IF(SUM(J2449:N2449)=I2449,"✓","⚠ "&amp;SUM(J2449:N2449)&amp;" statt "&amp;I2449))</f>
        <v/>
      </c>
      <c r="P2449" s="21" t="n"/>
      <c r="Q2449" s="21" t="n"/>
      <c r="R2449" s="21" t="n"/>
      <c r="S2449" s="24" t="n"/>
      <c r="T2449" s="24" t="n"/>
      <c r="V2449">
        <f>IF(A2449="","",MONTH(A2449))</f>
        <v/>
      </c>
      <c r="W2449">
        <f>N(W2448)+IF(AND(C2449&lt;&gt;"",T2449&lt;&gt;""),IF(C2449=WOCHE!$B$3,1,0),0)</f>
        <v/>
      </c>
      <c r="X2449">
        <f>N(X2448)+IF(AND(V2449&lt;&gt;"",T2449&lt;&gt;""),IF(V2449=MONAT!$AZ$3,1,0),0)</f>
        <v/>
      </c>
    </row>
    <row r="2450">
      <c r="A2450" s="19" t="n"/>
      <c r="B2450" s="20">
        <f>IF(A2450="","",CHOOSE(WEEKDAY(A2450,2),"Mo","Di","Mi","Do","Fr","Sa","So"))</f>
        <v/>
      </c>
      <c r="C2450" s="20">
        <f>IF(A2450="","",INT((A2450-DATE(YEAR(A2450-WEEKDAY(A2450-1)+4),1,3)+WEEKDAY(DATE(YEAR(A2450-WEEKDAY(A2450-1)+4),1,3))+5)/7))</f>
        <v/>
      </c>
      <c r="D2450" s="21" t="n"/>
      <c r="E2450" s="22" t="n"/>
      <c r="F2450" s="23" t="n"/>
      <c r="G2450" s="23" t="n"/>
      <c r="H2450" s="23" t="n"/>
      <c r="I2450" s="20">
        <f>IF(COUNT(F2450:H2450)=0,"",SUM(F2450:H2450))</f>
        <v/>
      </c>
      <c r="J2450" s="23" t="n"/>
      <c r="K2450" s="23" t="n"/>
      <c r="L2450" s="23" t="n"/>
      <c r="M2450" s="23" t="n"/>
      <c r="N2450" s="23" t="n"/>
      <c r="O2450" s="20">
        <f>IF(OR(I2450="",COUNT(J2450:N2450)=0),"",IF(SUM(J2450:N2450)=I2450,"✓","⚠ "&amp;SUM(J2450:N2450)&amp;" statt "&amp;I2450))</f>
        <v/>
      </c>
      <c r="P2450" s="21" t="n"/>
      <c r="Q2450" s="21" t="n"/>
      <c r="R2450" s="21" t="n"/>
      <c r="S2450" s="24" t="n"/>
      <c r="T2450" s="24" t="n"/>
      <c r="V2450">
        <f>IF(A2450="","",MONTH(A2450))</f>
        <v/>
      </c>
      <c r="W2450">
        <f>N(W2449)+IF(AND(C2450&lt;&gt;"",T2450&lt;&gt;""),IF(C2450=WOCHE!$B$3,1,0),0)</f>
        <v/>
      </c>
      <c r="X2450">
        <f>N(X2449)+IF(AND(V2450&lt;&gt;"",T2450&lt;&gt;""),IF(V2450=MONAT!$AZ$3,1,0),0)</f>
        <v/>
      </c>
    </row>
    <row r="2451">
      <c r="A2451" s="19" t="n"/>
      <c r="B2451" s="20">
        <f>IF(A2451="","",CHOOSE(WEEKDAY(A2451,2),"Mo","Di","Mi","Do","Fr","Sa","So"))</f>
        <v/>
      </c>
      <c r="C2451" s="20">
        <f>IF(A2451="","",INT((A2451-DATE(YEAR(A2451-WEEKDAY(A2451-1)+4),1,3)+WEEKDAY(DATE(YEAR(A2451-WEEKDAY(A2451-1)+4),1,3))+5)/7))</f>
        <v/>
      </c>
      <c r="D2451" s="21" t="n"/>
      <c r="E2451" s="22" t="n"/>
      <c r="F2451" s="23" t="n"/>
      <c r="G2451" s="23" t="n"/>
      <c r="H2451" s="23" t="n"/>
      <c r="I2451" s="20">
        <f>IF(COUNT(F2451:H2451)=0,"",SUM(F2451:H2451))</f>
        <v/>
      </c>
      <c r="J2451" s="23" t="n"/>
      <c r="K2451" s="23" t="n"/>
      <c r="L2451" s="23" t="n"/>
      <c r="M2451" s="23" t="n"/>
      <c r="N2451" s="23" t="n"/>
      <c r="O2451" s="20">
        <f>IF(OR(I2451="",COUNT(J2451:N2451)=0),"",IF(SUM(J2451:N2451)=I2451,"✓","⚠ "&amp;SUM(J2451:N2451)&amp;" statt "&amp;I2451))</f>
        <v/>
      </c>
      <c r="P2451" s="21" t="n"/>
      <c r="Q2451" s="21" t="n"/>
      <c r="R2451" s="21" t="n"/>
      <c r="S2451" s="24" t="n"/>
      <c r="T2451" s="24" t="n"/>
      <c r="V2451">
        <f>IF(A2451="","",MONTH(A2451))</f>
        <v/>
      </c>
      <c r="W2451">
        <f>N(W2450)+IF(AND(C2451&lt;&gt;"",T2451&lt;&gt;""),IF(C2451=WOCHE!$B$3,1,0),0)</f>
        <v/>
      </c>
      <c r="X2451">
        <f>N(X2450)+IF(AND(V2451&lt;&gt;"",T2451&lt;&gt;""),IF(V2451=MONAT!$AZ$3,1,0),0)</f>
        <v/>
      </c>
    </row>
    <row r="2452">
      <c r="A2452" s="19" t="n"/>
      <c r="B2452" s="20">
        <f>IF(A2452="","",CHOOSE(WEEKDAY(A2452,2),"Mo","Di","Mi","Do","Fr","Sa","So"))</f>
        <v/>
      </c>
      <c r="C2452" s="20">
        <f>IF(A2452="","",INT((A2452-DATE(YEAR(A2452-WEEKDAY(A2452-1)+4),1,3)+WEEKDAY(DATE(YEAR(A2452-WEEKDAY(A2452-1)+4),1,3))+5)/7))</f>
        <v/>
      </c>
      <c r="D2452" s="21" t="n"/>
      <c r="E2452" s="22" t="n"/>
      <c r="F2452" s="23" t="n"/>
      <c r="G2452" s="23" t="n"/>
      <c r="H2452" s="23" t="n"/>
      <c r="I2452" s="20">
        <f>IF(COUNT(F2452:H2452)=0,"",SUM(F2452:H2452))</f>
        <v/>
      </c>
      <c r="J2452" s="23" t="n"/>
      <c r="K2452" s="23" t="n"/>
      <c r="L2452" s="23" t="n"/>
      <c r="M2452" s="23" t="n"/>
      <c r="N2452" s="23" t="n"/>
      <c r="O2452" s="20">
        <f>IF(OR(I2452="",COUNT(J2452:N2452)=0),"",IF(SUM(J2452:N2452)=I2452,"✓","⚠ "&amp;SUM(J2452:N2452)&amp;" statt "&amp;I2452))</f>
        <v/>
      </c>
      <c r="P2452" s="21" t="n"/>
      <c r="Q2452" s="21" t="n"/>
      <c r="R2452" s="21" t="n"/>
      <c r="S2452" s="24" t="n"/>
      <c r="T2452" s="24" t="n"/>
      <c r="V2452">
        <f>IF(A2452="","",MONTH(A2452))</f>
        <v/>
      </c>
      <c r="W2452">
        <f>N(W2451)+IF(AND(C2452&lt;&gt;"",T2452&lt;&gt;""),IF(C2452=WOCHE!$B$3,1,0),0)</f>
        <v/>
      </c>
      <c r="X2452">
        <f>N(X2451)+IF(AND(V2452&lt;&gt;"",T2452&lt;&gt;""),IF(V2452=MONAT!$AZ$3,1,0),0)</f>
        <v/>
      </c>
    </row>
    <row r="2453">
      <c r="A2453" s="19" t="n"/>
      <c r="B2453" s="20">
        <f>IF(A2453="","",CHOOSE(WEEKDAY(A2453,2),"Mo","Di","Mi","Do","Fr","Sa","So"))</f>
        <v/>
      </c>
      <c r="C2453" s="20">
        <f>IF(A2453="","",INT((A2453-DATE(YEAR(A2453-WEEKDAY(A2453-1)+4),1,3)+WEEKDAY(DATE(YEAR(A2453-WEEKDAY(A2453-1)+4),1,3))+5)/7))</f>
        <v/>
      </c>
      <c r="D2453" s="21" t="n"/>
      <c r="E2453" s="22" t="n"/>
      <c r="F2453" s="23" t="n"/>
      <c r="G2453" s="23" t="n"/>
      <c r="H2453" s="23" t="n"/>
      <c r="I2453" s="20">
        <f>IF(COUNT(F2453:H2453)=0,"",SUM(F2453:H2453))</f>
        <v/>
      </c>
      <c r="J2453" s="23" t="n"/>
      <c r="K2453" s="23" t="n"/>
      <c r="L2453" s="23" t="n"/>
      <c r="M2453" s="23" t="n"/>
      <c r="N2453" s="23" t="n"/>
      <c r="O2453" s="20">
        <f>IF(OR(I2453="",COUNT(J2453:N2453)=0),"",IF(SUM(J2453:N2453)=I2453,"✓","⚠ "&amp;SUM(J2453:N2453)&amp;" statt "&amp;I2453))</f>
        <v/>
      </c>
      <c r="P2453" s="21" t="n"/>
      <c r="Q2453" s="21" t="n"/>
      <c r="R2453" s="21" t="n"/>
      <c r="S2453" s="24" t="n"/>
      <c r="T2453" s="24" t="n"/>
      <c r="V2453">
        <f>IF(A2453="","",MONTH(A2453))</f>
        <v/>
      </c>
      <c r="W2453">
        <f>N(W2452)+IF(AND(C2453&lt;&gt;"",T2453&lt;&gt;""),IF(C2453=WOCHE!$B$3,1,0),0)</f>
        <v/>
      </c>
      <c r="X2453">
        <f>N(X2452)+IF(AND(V2453&lt;&gt;"",T2453&lt;&gt;""),IF(V2453=MONAT!$AZ$3,1,0),0)</f>
        <v/>
      </c>
    </row>
    <row r="2454">
      <c r="A2454" s="19" t="n"/>
      <c r="B2454" s="20">
        <f>IF(A2454="","",CHOOSE(WEEKDAY(A2454,2),"Mo","Di","Mi","Do","Fr","Sa","So"))</f>
        <v/>
      </c>
      <c r="C2454" s="20">
        <f>IF(A2454="","",INT((A2454-DATE(YEAR(A2454-WEEKDAY(A2454-1)+4),1,3)+WEEKDAY(DATE(YEAR(A2454-WEEKDAY(A2454-1)+4),1,3))+5)/7))</f>
        <v/>
      </c>
      <c r="D2454" s="21" t="n"/>
      <c r="E2454" s="22" t="n"/>
      <c r="F2454" s="23" t="n"/>
      <c r="G2454" s="23" t="n"/>
      <c r="H2454" s="23" t="n"/>
      <c r="I2454" s="20">
        <f>IF(COUNT(F2454:H2454)=0,"",SUM(F2454:H2454))</f>
        <v/>
      </c>
      <c r="J2454" s="23" t="n"/>
      <c r="K2454" s="23" t="n"/>
      <c r="L2454" s="23" t="n"/>
      <c r="M2454" s="23" t="n"/>
      <c r="N2454" s="23" t="n"/>
      <c r="O2454" s="20">
        <f>IF(OR(I2454="",COUNT(J2454:N2454)=0),"",IF(SUM(J2454:N2454)=I2454,"✓","⚠ "&amp;SUM(J2454:N2454)&amp;" statt "&amp;I2454))</f>
        <v/>
      </c>
      <c r="P2454" s="21" t="n"/>
      <c r="Q2454" s="21" t="n"/>
      <c r="R2454" s="21" t="n"/>
      <c r="S2454" s="24" t="n"/>
      <c r="T2454" s="24" t="n"/>
      <c r="V2454">
        <f>IF(A2454="","",MONTH(A2454))</f>
        <v/>
      </c>
      <c r="W2454">
        <f>N(W2453)+IF(AND(C2454&lt;&gt;"",T2454&lt;&gt;""),IF(C2454=WOCHE!$B$3,1,0),0)</f>
        <v/>
      </c>
      <c r="X2454">
        <f>N(X2453)+IF(AND(V2454&lt;&gt;"",T2454&lt;&gt;""),IF(V2454=MONAT!$AZ$3,1,0),0)</f>
        <v/>
      </c>
    </row>
    <row r="2455">
      <c r="A2455" s="19" t="n"/>
      <c r="B2455" s="20">
        <f>IF(A2455="","",CHOOSE(WEEKDAY(A2455,2),"Mo","Di","Mi","Do","Fr","Sa","So"))</f>
        <v/>
      </c>
      <c r="C2455" s="20">
        <f>IF(A2455="","",INT((A2455-DATE(YEAR(A2455-WEEKDAY(A2455-1)+4),1,3)+WEEKDAY(DATE(YEAR(A2455-WEEKDAY(A2455-1)+4),1,3))+5)/7))</f>
        <v/>
      </c>
      <c r="D2455" s="21" t="n"/>
      <c r="E2455" s="22" t="n"/>
      <c r="F2455" s="23" t="n"/>
      <c r="G2455" s="23" t="n"/>
      <c r="H2455" s="23" t="n"/>
      <c r="I2455" s="20">
        <f>IF(COUNT(F2455:H2455)=0,"",SUM(F2455:H2455))</f>
        <v/>
      </c>
      <c r="J2455" s="23" t="n"/>
      <c r="K2455" s="23" t="n"/>
      <c r="L2455" s="23" t="n"/>
      <c r="M2455" s="23" t="n"/>
      <c r="N2455" s="23" t="n"/>
      <c r="O2455" s="20">
        <f>IF(OR(I2455="",COUNT(J2455:N2455)=0),"",IF(SUM(J2455:N2455)=I2455,"✓","⚠ "&amp;SUM(J2455:N2455)&amp;" statt "&amp;I2455))</f>
        <v/>
      </c>
      <c r="P2455" s="21" t="n"/>
      <c r="Q2455" s="21" t="n"/>
      <c r="R2455" s="21" t="n"/>
      <c r="S2455" s="24" t="n"/>
      <c r="T2455" s="24" t="n"/>
      <c r="V2455">
        <f>IF(A2455="","",MONTH(A2455))</f>
        <v/>
      </c>
      <c r="W2455">
        <f>N(W2454)+IF(AND(C2455&lt;&gt;"",T2455&lt;&gt;""),IF(C2455=WOCHE!$B$3,1,0),0)</f>
        <v/>
      </c>
      <c r="X2455">
        <f>N(X2454)+IF(AND(V2455&lt;&gt;"",T2455&lt;&gt;""),IF(V2455=MONAT!$AZ$3,1,0),0)</f>
        <v/>
      </c>
    </row>
    <row r="2456">
      <c r="A2456" s="19" t="n"/>
      <c r="B2456" s="20">
        <f>IF(A2456="","",CHOOSE(WEEKDAY(A2456,2),"Mo","Di","Mi","Do","Fr","Sa","So"))</f>
        <v/>
      </c>
      <c r="C2456" s="20">
        <f>IF(A2456="","",INT((A2456-DATE(YEAR(A2456-WEEKDAY(A2456-1)+4),1,3)+WEEKDAY(DATE(YEAR(A2456-WEEKDAY(A2456-1)+4),1,3))+5)/7))</f>
        <v/>
      </c>
      <c r="D2456" s="21" t="n"/>
      <c r="E2456" s="22" t="n"/>
      <c r="F2456" s="23" t="n"/>
      <c r="G2456" s="23" t="n"/>
      <c r="H2456" s="23" t="n"/>
      <c r="I2456" s="20">
        <f>IF(COUNT(F2456:H2456)=0,"",SUM(F2456:H2456))</f>
        <v/>
      </c>
      <c r="J2456" s="23" t="n"/>
      <c r="K2456" s="23" t="n"/>
      <c r="L2456" s="23" t="n"/>
      <c r="M2456" s="23" t="n"/>
      <c r="N2456" s="23" t="n"/>
      <c r="O2456" s="20">
        <f>IF(OR(I2456="",COUNT(J2456:N2456)=0),"",IF(SUM(J2456:N2456)=I2456,"✓","⚠ "&amp;SUM(J2456:N2456)&amp;" statt "&amp;I2456))</f>
        <v/>
      </c>
      <c r="P2456" s="21" t="n"/>
      <c r="Q2456" s="21" t="n"/>
      <c r="R2456" s="21" t="n"/>
      <c r="S2456" s="24" t="n"/>
      <c r="T2456" s="24" t="n"/>
      <c r="V2456">
        <f>IF(A2456="","",MONTH(A2456))</f>
        <v/>
      </c>
      <c r="W2456">
        <f>N(W2455)+IF(AND(C2456&lt;&gt;"",T2456&lt;&gt;""),IF(C2456=WOCHE!$B$3,1,0),0)</f>
        <v/>
      </c>
      <c r="X2456">
        <f>N(X2455)+IF(AND(V2456&lt;&gt;"",T2456&lt;&gt;""),IF(V2456=MONAT!$AZ$3,1,0),0)</f>
        <v/>
      </c>
    </row>
    <row r="2457">
      <c r="A2457" s="19" t="n"/>
      <c r="B2457" s="20">
        <f>IF(A2457="","",CHOOSE(WEEKDAY(A2457,2),"Mo","Di","Mi","Do","Fr","Sa","So"))</f>
        <v/>
      </c>
      <c r="C2457" s="20">
        <f>IF(A2457="","",INT((A2457-DATE(YEAR(A2457-WEEKDAY(A2457-1)+4),1,3)+WEEKDAY(DATE(YEAR(A2457-WEEKDAY(A2457-1)+4),1,3))+5)/7))</f>
        <v/>
      </c>
      <c r="D2457" s="21" t="n"/>
      <c r="E2457" s="22" t="n"/>
      <c r="F2457" s="23" t="n"/>
      <c r="G2457" s="23" t="n"/>
      <c r="H2457" s="23" t="n"/>
      <c r="I2457" s="20">
        <f>IF(COUNT(F2457:H2457)=0,"",SUM(F2457:H2457))</f>
        <v/>
      </c>
      <c r="J2457" s="23" t="n"/>
      <c r="K2457" s="23" t="n"/>
      <c r="L2457" s="23" t="n"/>
      <c r="M2457" s="23" t="n"/>
      <c r="N2457" s="23" t="n"/>
      <c r="O2457" s="20">
        <f>IF(OR(I2457="",COUNT(J2457:N2457)=0),"",IF(SUM(J2457:N2457)=I2457,"✓","⚠ "&amp;SUM(J2457:N2457)&amp;" statt "&amp;I2457))</f>
        <v/>
      </c>
      <c r="P2457" s="21" t="n"/>
      <c r="Q2457" s="21" t="n"/>
      <c r="R2457" s="21" t="n"/>
      <c r="S2457" s="24" t="n"/>
      <c r="T2457" s="24" t="n"/>
      <c r="V2457">
        <f>IF(A2457="","",MONTH(A2457))</f>
        <v/>
      </c>
      <c r="W2457">
        <f>N(W2456)+IF(AND(C2457&lt;&gt;"",T2457&lt;&gt;""),IF(C2457=WOCHE!$B$3,1,0),0)</f>
        <v/>
      </c>
      <c r="X2457">
        <f>N(X2456)+IF(AND(V2457&lt;&gt;"",T2457&lt;&gt;""),IF(V2457=MONAT!$AZ$3,1,0),0)</f>
        <v/>
      </c>
    </row>
    <row r="2458">
      <c r="A2458" s="19" t="n"/>
      <c r="B2458" s="20">
        <f>IF(A2458="","",CHOOSE(WEEKDAY(A2458,2),"Mo","Di","Mi","Do","Fr","Sa","So"))</f>
        <v/>
      </c>
      <c r="C2458" s="20">
        <f>IF(A2458="","",INT((A2458-DATE(YEAR(A2458-WEEKDAY(A2458-1)+4),1,3)+WEEKDAY(DATE(YEAR(A2458-WEEKDAY(A2458-1)+4),1,3))+5)/7))</f>
        <v/>
      </c>
      <c r="D2458" s="21" t="n"/>
      <c r="E2458" s="22" t="n"/>
      <c r="F2458" s="23" t="n"/>
      <c r="G2458" s="23" t="n"/>
      <c r="H2458" s="23" t="n"/>
      <c r="I2458" s="20">
        <f>IF(COUNT(F2458:H2458)=0,"",SUM(F2458:H2458))</f>
        <v/>
      </c>
      <c r="J2458" s="23" t="n"/>
      <c r="K2458" s="23" t="n"/>
      <c r="L2458" s="23" t="n"/>
      <c r="M2458" s="23" t="n"/>
      <c r="N2458" s="23" t="n"/>
      <c r="O2458" s="20">
        <f>IF(OR(I2458="",COUNT(J2458:N2458)=0),"",IF(SUM(J2458:N2458)=I2458,"✓","⚠ "&amp;SUM(J2458:N2458)&amp;" statt "&amp;I2458))</f>
        <v/>
      </c>
      <c r="P2458" s="21" t="n"/>
      <c r="Q2458" s="21" t="n"/>
      <c r="R2458" s="21" t="n"/>
      <c r="S2458" s="24" t="n"/>
      <c r="T2458" s="24" t="n"/>
      <c r="V2458">
        <f>IF(A2458="","",MONTH(A2458))</f>
        <v/>
      </c>
      <c r="W2458">
        <f>N(W2457)+IF(AND(C2458&lt;&gt;"",T2458&lt;&gt;""),IF(C2458=WOCHE!$B$3,1,0),0)</f>
        <v/>
      </c>
      <c r="X2458">
        <f>N(X2457)+IF(AND(V2458&lt;&gt;"",T2458&lt;&gt;""),IF(V2458=MONAT!$AZ$3,1,0),0)</f>
        <v/>
      </c>
    </row>
    <row r="2459">
      <c r="A2459" s="19" t="n"/>
      <c r="B2459" s="20">
        <f>IF(A2459="","",CHOOSE(WEEKDAY(A2459,2),"Mo","Di","Mi","Do","Fr","Sa","So"))</f>
        <v/>
      </c>
      <c r="C2459" s="20">
        <f>IF(A2459="","",INT((A2459-DATE(YEAR(A2459-WEEKDAY(A2459-1)+4),1,3)+WEEKDAY(DATE(YEAR(A2459-WEEKDAY(A2459-1)+4),1,3))+5)/7))</f>
        <v/>
      </c>
      <c r="D2459" s="21" t="n"/>
      <c r="E2459" s="22" t="n"/>
      <c r="F2459" s="23" t="n"/>
      <c r="G2459" s="23" t="n"/>
      <c r="H2459" s="23" t="n"/>
      <c r="I2459" s="20">
        <f>IF(COUNT(F2459:H2459)=0,"",SUM(F2459:H2459))</f>
        <v/>
      </c>
      <c r="J2459" s="23" t="n"/>
      <c r="K2459" s="23" t="n"/>
      <c r="L2459" s="23" t="n"/>
      <c r="M2459" s="23" t="n"/>
      <c r="N2459" s="23" t="n"/>
      <c r="O2459" s="20">
        <f>IF(OR(I2459="",COUNT(J2459:N2459)=0),"",IF(SUM(J2459:N2459)=I2459,"✓","⚠ "&amp;SUM(J2459:N2459)&amp;" statt "&amp;I2459))</f>
        <v/>
      </c>
      <c r="P2459" s="21" t="n"/>
      <c r="Q2459" s="21" t="n"/>
      <c r="R2459" s="21" t="n"/>
      <c r="S2459" s="24" t="n"/>
      <c r="T2459" s="24" t="n"/>
      <c r="V2459">
        <f>IF(A2459="","",MONTH(A2459))</f>
        <v/>
      </c>
      <c r="W2459">
        <f>N(W2458)+IF(AND(C2459&lt;&gt;"",T2459&lt;&gt;""),IF(C2459=WOCHE!$B$3,1,0),0)</f>
        <v/>
      </c>
      <c r="X2459">
        <f>N(X2458)+IF(AND(V2459&lt;&gt;"",T2459&lt;&gt;""),IF(V2459=MONAT!$AZ$3,1,0),0)</f>
        <v/>
      </c>
    </row>
    <row r="2460">
      <c r="A2460" s="19" t="n"/>
      <c r="B2460" s="20">
        <f>IF(A2460="","",CHOOSE(WEEKDAY(A2460,2),"Mo","Di","Mi","Do","Fr","Sa","So"))</f>
        <v/>
      </c>
      <c r="C2460" s="20">
        <f>IF(A2460="","",INT((A2460-DATE(YEAR(A2460-WEEKDAY(A2460-1)+4),1,3)+WEEKDAY(DATE(YEAR(A2460-WEEKDAY(A2460-1)+4),1,3))+5)/7))</f>
        <v/>
      </c>
      <c r="D2460" s="21" t="n"/>
      <c r="E2460" s="22" t="n"/>
      <c r="F2460" s="23" t="n"/>
      <c r="G2460" s="23" t="n"/>
      <c r="H2460" s="23" t="n"/>
      <c r="I2460" s="20">
        <f>IF(COUNT(F2460:H2460)=0,"",SUM(F2460:H2460))</f>
        <v/>
      </c>
      <c r="J2460" s="23" t="n"/>
      <c r="K2460" s="23" t="n"/>
      <c r="L2460" s="23" t="n"/>
      <c r="M2460" s="23" t="n"/>
      <c r="N2460" s="23" t="n"/>
      <c r="O2460" s="20">
        <f>IF(OR(I2460="",COUNT(J2460:N2460)=0),"",IF(SUM(J2460:N2460)=I2460,"✓","⚠ "&amp;SUM(J2460:N2460)&amp;" statt "&amp;I2460))</f>
        <v/>
      </c>
      <c r="P2460" s="21" t="n"/>
      <c r="Q2460" s="21" t="n"/>
      <c r="R2460" s="21" t="n"/>
      <c r="S2460" s="24" t="n"/>
      <c r="T2460" s="24" t="n"/>
      <c r="V2460">
        <f>IF(A2460="","",MONTH(A2460))</f>
        <v/>
      </c>
      <c r="W2460">
        <f>N(W2459)+IF(AND(C2460&lt;&gt;"",T2460&lt;&gt;""),IF(C2460=WOCHE!$B$3,1,0),0)</f>
        <v/>
      </c>
      <c r="X2460">
        <f>N(X2459)+IF(AND(V2460&lt;&gt;"",T2460&lt;&gt;""),IF(V2460=MONAT!$AZ$3,1,0),0)</f>
        <v/>
      </c>
    </row>
    <row r="2461">
      <c r="A2461" s="19" t="n"/>
      <c r="B2461" s="20">
        <f>IF(A2461="","",CHOOSE(WEEKDAY(A2461,2),"Mo","Di","Mi","Do","Fr","Sa","So"))</f>
        <v/>
      </c>
      <c r="C2461" s="20">
        <f>IF(A2461="","",INT((A2461-DATE(YEAR(A2461-WEEKDAY(A2461-1)+4),1,3)+WEEKDAY(DATE(YEAR(A2461-WEEKDAY(A2461-1)+4),1,3))+5)/7))</f>
        <v/>
      </c>
      <c r="D2461" s="21" t="n"/>
      <c r="E2461" s="22" t="n"/>
      <c r="F2461" s="23" t="n"/>
      <c r="G2461" s="23" t="n"/>
      <c r="H2461" s="23" t="n"/>
      <c r="I2461" s="20">
        <f>IF(COUNT(F2461:H2461)=0,"",SUM(F2461:H2461))</f>
        <v/>
      </c>
      <c r="J2461" s="23" t="n"/>
      <c r="K2461" s="23" t="n"/>
      <c r="L2461" s="23" t="n"/>
      <c r="M2461" s="23" t="n"/>
      <c r="N2461" s="23" t="n"/>
      <c r="O2461" s="20">
        <f>IF(OR(I2461="",COUNT(J2461:N2461)=0),"",IF(SUM(J2461:N2461)=I2461,"✓","⚠ "&amp;SUM(J2461:N2461)&amp;" statt "&amp;I2461))</f>
        <v/>
      </c>
      <c r="P2461" s="21" t="n"/>
      <c r="Q2461" s="21" t="n"/>
      <c r="R2461" s="21" t="n"/>
      <c r="S2461" s="24" t="n"/>
      <c r="T2461" s="24" t="n"/>
      <c r="V2461">
        <f>IF(A2461="","",MONTH(A2461))</f>
        <v/>
      </c>
      <c r="W2461">
        <f>N(W2460)+IF(AND(C2461&lt;&gt;"",T2461&lt;&gt;""),IF(C2461=WOCHE!$B$3,1,0),0)</f>
        <v/>
      </c>
      <c r="X2461">
        <f>N(X2460)+IF(AND(V2461&lt;&gt;"",T2461&lt;&gt;""),IF(V2461=MONAT!$AZ$3,1,0),0)</f>
        <v/>
      </c>
    </row>
    <row r="2462">
      <c r="A2462" s="19" t="n"/>
      <c r="B2462" s="20">
        <f>IF(A2462="","",CHOOSE(WEEKDAY(A2462,2),"Mo","Di","Mi","Do","Fr","Sa","So"))</f>
        <v/>
      </c>
      <c r="C2462" s="20">
        <f>IF(A2462="","",INT((A2462-DATE(YEAR(A2462-WEEKDAY(A2462-1)+4),1,3)+WEEKDAY(DATE(YEAR(A2462-WEEKDAY(A2462-1)+4),1,3))+5)/7))</f>
        <v/>
      </c>
      <c r="D2462" s="21" t="n"/>
      <c r="E2462" s="22" t="n"/>
      <c r="F2462" s="23" t="n"/>
      <c r="G2462" s="23" t="n"/>
      <c r="H2462" s="23" t="n"/>
      <c r="I2462" s="20">
        <f>IF(COUNT(F2462:H2462)=0,"",SUM(F2462:H2462))</f>
        <v/>
      </c>
      <c r="J2462" s="23" t="n"/>
      <c r="K2462" s="23" t="n"/>
      <c r="L2462" s="23" t="n"/>
      <c r="M2462" s="23" t="n"/>
      <c r="N2462" s="23" t="n"/>
      <c r="O2462" s="20">
        <f>IF(OR(I2462="",COUNT(J2462:N2462)=0),"",IF(SUM(J2462:N2462)=I2462,"✓","⚠ "&amp;SUM(J2462:N2462)&amp;" statt "&amp;I2462))</f>
        <v/>
      </c>
      <c r="P2462" s="21" t="n"/>
      <c r="Q2462" s="21" t="n"/>
      <c r="R2462" s="21" t="n"/>
      <c r="S2462" s="24" t="n"/>
      <c r="T2462" s="24" t="n"/>
      <c r="V2462">
        <f>IF(A2462="","",MONTH(A2462))</f>
        <v/>
      </c>
      <c r="W2462">
        <f>N(W2461)+IF(AND(C2462&lt;&gt;"",T2462&lt;&gt;""),IF(C2462=WOCHE!$B$3,1,0),0)</f>
        <v/>
      </c>
      <c r="X2462">
        <f>N(X2461)+IF(AND(V2462&lt;&gt;"",T2462&lt;&gt;""),IF(V2462=MONAT!$AZ$3,1,0),0)</f>
        <v/>
      </c>
    </row>
    <row r="2463">
      <c r="A2463" s="19" t="n"/>
      <c r="B2463" s="20">
        <f>IF(A2463="","",CHOOSE(WEEKDAY(A2463,2),"Mo","Di","Mi","Do","Fr","Sa","So"))</f>
        <v/>
      </c>
      <c r="C2463" s="20">
        <f>IF(A2463="","",INT((A2463-DATE(YEAR(A2463-WEEKDAY(A2463-1)+4),1,3)+WEEKDAY(DATE(YEAR(A2463-WEEKDAY(A2463-1)+4),1,3))+5)/7))</f>
        <v/>
      </c>
      <c r="D2463" s="21" t="n"/>
      <c r="E2463" s="22" t="n"/>
      <c r="F2463" s="23" t="n"/>
      <c r="G2463" s="23" t="n"/>
      <c r="H2463" s="23" t="n"/>
      <c r="I2463" s="20">
        <f>IF(COUNT(F2463:H2463)=0,"",SUM(F2463:H2463))</f>
        <v/>
      </c>
      <c r="J2463" s="23" t="n"/>
      <c r="K2463" s="23" t="n"/>
      <c r="L2463" s="23" t="n"/>
      <c r="M2463" s="23" t="n"/>
      <c r="N2463" s="23" t="n"/>
      <c r="O2463" s="20">
        <f>IF(OR(I2463="",COUNT(J2463:N2463)=0),"",IF(SUM(J2463:N2463)=I2463,"✓","⚠ "&amp;SUM(J2463:N2463)&amp;" statt "&amp;I2463))</f>
        <v/>
      </c>
      <c r="P2463" s="21" t="n"/>
      <c r="Q2463" s="21" t="n"/>
      <c r="R2463" s="21" t="n"/>
      <c r="S2463" s="24" t="n"/>
      <c r="T2463" s="24" t="n"/>
      <c r="V2463">
        <f>IF(A2463="","",MONTH(A2463))</f>
        <v/>
      </c>
      <c r="W2463">
        <f>N(W2462)+IF(AND(C2463&lt;&gt;"",T2463&lt;&gt;""),IF(C2463=WOCHE!$B$3,1,0),0)</f>
        <v/>
      </c>
      <c r="X2463">
        <f>N(X2462)+IF(AND(V2463&lt;&gt;"",T2463&lt;&gt;""),IF(V2463=MONAT!$AZ$3,1,0),0)</f>
        <v/>
      </c>
    </row>
    <row r="2464">
      <c r="A2464" s="19" t="n"/>
      <c r="B2464" s="20">
        <f>IF(A2464="","",CHOOSE(WEEKDAY(A2464,2),"Mo","Di","Mi","Do","Fr","Sa","So"))</f>
        <v/>
      </c>
      <c r="C2464" s="20">
        <f>IF(A2464="","",INT((A2464-DATE(YEAR(A2464-WEEKDAY(A2464-1)+4),1,3)+WEEKDAY(DATE(YEAR(A2464-WEEKDAY(A2464-1)+4),1,3))+5)/7))</f>
        <v/>
      </c>
      <c r="D2464" s="21" t="n"/>
      <c r="E2464" s="22" t="n"/>
      <c r="F2464" s="23" t="n"/>
      <c r="G2464" s="23" t="n"/>
      <c r="H2464" s="23" t="n"/>
      <c r="I2464" s="20">
        <f>IF(COUNT(F2464:H2464)=0,"",SUM(F2464:H2464))</f>
        <v/>
      </c>
      <c r="J2464" s="23" t="n"/>
      <c r="K2464" s="23" t="n"/>
      <c r="L2464" s="23" t="n"/>
      <c r="M2464" s="23" t="n"/>
      <c r="N2464" s="23" t="n"/>
      <c r="O2464" s="20">
        <f>IF(OR(I2464="",COUNT(J2464:N2464)=0),"",IF(SUM(J2464:N2464)=I2464,"✓","⚠ "&amp;SUM(J2464:N2464)&amp;" statt "&amp;I2464))</f>
        <v/>
      </c>
      <c r="P2464" s="21" t="n"/>
      <c r="Q2464" s="21" t="n"/>
      <c r="R2464" s="21" t="n"/>
      <c r="S2464" s="24" t="n"/>
      <c r="T2464" s="24" t="n"/>
      <c r="V2464">
        <f>IF(A2464="","",MONTH(A2464))</f>
        <v/>
      </c>
      <c r="W2464">
        <f>N(W2463)+IF(AND(C2464&lt;&gt;"",T2464&lt;&gt;""),IF(C2464=WOCHE!$B$3,1,0),0)</f>
        <v/>
      </c>
      <c r="X2464">
        <f>N(X2463)+IF(AND(V2464&lt;&gt;"",T2464&lt;&gt;""),IF(V2464=MONAT!$AZ$3,1,0),0)</f>
        <v/>
      </c>
    </row>
    <row r="2465">
      <c r="A2465" s="19" t="n"/>
      <c r="B2465" s="20">
        <f>IF(A2465="","",CHOOSE(WEEKDAY(A2465,2),"Mo","Di","Mi","Do","Fr","Sa","So"))</f>
        <v/>
      </c>
      <c r="C2465" s="20">
        <f>IF(A2465="","",INT((A2465-DATE(YEAR(A2465-WEEKDAY(A2465-1)+4),1,3)+WEEKDAY(DATE(YEAR(A2465-WEEKDAY(A2465-1)+4),1,3))+5)/7))</f>
        <v/>
      </c>
      <c r="D2465" s="21" t="n"/>
      <c r="E2465" s="22" t="n"/>
      <c r="F2465" s="23" t="n"/>
      <c r="G2465" s="23" t="n"/>
      <c r="H2465" s="23" t="n"/>
      <c r="I2465" s="20">
        <f>IF(COUNT(F2465:H2465)=0,"",SUM(F2465:H2465))</f>
        <v/>
      </c>
      <c r="J2465" s="23" t="n"/>
      <c r="K2465" s="23" t="n"/>
      <c r="L2465" s="23" t="n"/>
      <c r="M2465" s="23" t="n"/>
      <c r="N2465" s="23" t="n"/>
      <c r="O2465" s="20">
        <f>IF(OR(I2465="",COUNT(J2465:N2465)=0),"",IF(SUM(J2465:N2465)=I2465,"✓","⚠ "&amp;SUM(J2465:N2465)&amp;" statt "&amp;I2465))</f>
        <v/>
      </c>
      <c r="P2465" s="21" t="n"/>
      <c r="Q2465" s="21" t="n"/>
      <c r="R2465" s="21" t="n"/>
      <c r="S2465" s="24" t="n"/>
      <c r="T2465" s="24" t="n"/>
      <c r="V2465">
        <f>IF(A2465="","",MONTH(A2465))</f>
        <v/>
      </c>
      <c r="W2465">
        <f>N(W2464)+IF(AND(C2465&lt;&gt;"",T2465&lt;&gt;""),IF(C2465=WOCHE!$B$3,1,0),0)</f>
        <v/>
      </c>
      <c r="X2465">
        <f>N(X2464)+IF(AND(V2465&lt;&gt;"",T2465&lt;&gt;""),IF(V2465=MONAT!$AZ$3,1,0),0)</f>
        <v/>
      </c>
    </row>
    <row r="2466">
      <c r="A2466" s="19" t="n"/>
      <c r="B2466" s="20">
        <f>IF(A2466="","",CHOOSE(WEEKDAY(A2466,2),"Mo","Di","Mi","Do","Fr","Sa","So"))</f>
        <v/>
      </c>
      <c r="C2466" s="20">
        <f>IF(A2466="","",INT((A2466-DATE(YEAR(A2466-WEEKDAY(A2466-1)+4),1,3)+WEEKDAY(DATE(YEAR(A2466-WEEKDAY(A2466-1)+4),1,3))+5)/7))</f>
        <v/>
      </c>
      <c r="D2466" s="21" t="n"/>
      <c r="E2466" s="22" t="n"/>
      <c r="F2466" s="23" t="n"/>
      <c r="G2466" s="23" t="n"/>
      <c r="H2466" s="23" t="n"/>
      <c r="I2466" s="20">
        <f>IF(COUNT(F2466:H2466)=0,"",SUM(F2466:H2466))</f>
        <v/>
      </c>
      <c r="J2466" s="23" t="n"/>
      <c r="K2466" s="23" t="n"/>
      <c r="L2466" s="23" t="n"/>
      <c r="M2466" s="23" t="n"/>
      <c r="N2466" s="23" t="n"/>
      <c r="O2466" s="20">
        <f>IF(OR(I2466="",COUNT(J2466:N2466)=0),"",IF(SUM(J2466:N2466)=I2466,"✓","⚠ "&amp;SUM(J2466:N2466)&amp;" statt "&amp;I2466))</f>
        <v/>
      </c>
      <c r="P2466" s="21" t="n"/>
      <c r="Q2466" s="21" t="n"/>
      <c r="R2466" s="21" t="n"/>
      <c r="S2466" s="24" t="n"/>
      <c r="T2466" s="24" t="n"/>
      <c r="V2466">
        <f>IF(A2466="","",MONTH(A2466))</f>
        <v/>
      </c>
      <c r="W2466">
        <f>N(W2465)+IF(AND(C2466&lt;&gt;"",T2466&lt;&gt;""),IF(C2466=WOCHE!$B$3,1,0),0)</f>
        <v/>
      </c>
      <c r="X2466">
        <f>N(X2465)+IF(AND(V2466&lt;&gt;"",T2466&lt;&gt;""),IF(V2466=MONAT!$AZ$3,1,0),0)</f>
        <v/>
      </c>
    </row>
    <row r="2467">
      <c r="A2467" s="19" t="n"/>
      <c r="B2467" s="20">
        <f>IF(A2467="","",CHOOSE(WEEKDAY(A2467,2),"Mo","Di","Mi","Do","Fr","Sa","So"))</f>
        <v/>
      </c>
      <c r="C2467" s="20">
        <f>IF(A2467="","",INT((A2467-DATE(YEAR(A2467-WEEKDAY(A2467-1)+4),1,3)+WEEKDAY(DATE(YEAR(A2467-WEEKDAY(A2467-1)+4),1,3))+5)/7))</f>
        <v/>
      </c>
      <c r="D2467" s="21" t="n"/>
      <c r="E2467" s="22" t="n"/>
      <c r="F2467" s="23" t="n"/>
      <c r="G2467" s="23" t="n"/>
      <c r="H2467" s="23" t="n"/>
      <c r="I2467" s="20">
        <f>IF(COUNT(F2467:H2467)=0,"",SUM(F2467:H2467))</f>
        <v/>
      </c>
      <c r="J2467" s="23" t="n"/>
      <c r="K2467" s="23" t="n"/>
      <c r="L2467" s="23" t="n"/>
      <c r="M2467" s="23" t="n"/>
      <c r="N2467" s="23" t="n"/>
      <c r="O2467" s="20">
        <f>IF(OR(I2467="",COUNT(J2467:N2467)=0),"",IF(SUM(J2467:N2467)=I2467,"✓","⚠ "&amp;SUM(J2467:N2467)&amp;" statt "&amp;I2467))</f>
        <v/>
      </c>
      <c r="P2467" s="21" t="n"/>
      <c r="Q2467" s="21" t="n"/>
      <c r="R2467" s="21" t="n"/>
      <c r="S2467" s="24" t="n"/>
      <c r="T2467" s="24" t="n"/>
      <c r="V2467">
        <f>IF(A2467="","",MONTH(A2467))</f>
        <v/>
      </c>
      <c r="W2467">
        <f>N(W2466)+IF(AND(C2467&lt;&gt;"",T2467&lt;&gt;""),IF(C2467=WOCHE!$B$3,1,0),0)</f>
        <v/>
      </c>
      <c r="X2467">
        <f>N(X2466)+IF(AND(V2467&lt;&gt;"",T2467&lt;&gt;""),IF(V2467=MONAT!$AZ$3,1,0),0)</f>
        <v/>
      </c>
    </row>
    <row r="2468">
      <c r="A2468" s="19" t="n"/>
      <c r="B2468" s="20">
        <f>IF(A2468="","",CHOOSE(WEEKDAY(A2468,2),"Mo","Di","Mi","Do","Fr","Sa","So"))</f>
        <v/>
      </c>
      <c r="C2468" s="20">
        <f>IF(A2468="","",INT((A2468-DATE(YEAR(A2468-WEEKDAY(A2468-1)+4),1,3)+WEEKDAY(DATE(YEAR(A2468-WEEKDAY(A2468-1)+4),1,3))+5)/7))</f>
        <v/>
      </c>
      <c r="D2468" s="21" t="n"/>
      <c r="E2468" s="22" t="n"/>
      <c r="F2468" s="23" t="n"/>
      <c r="G2468" s="23" t="n"/>
      <c r="H2468" s="23" t="n"/>
      <c r="I2468" s="20">
        <f>IF(COUNT(F2468:H2468)=0,"",SUM(F2468:H2468))</f>
        <v/>
      </c>
      <c r="J2468" s="23" t="n"/>
      <c r="K2468" s="23" t="n"/>
      <c r="L2468" s="23" t="n"/>
      <c r="M2468" s="23" t="n"/>
      <c r="N2468" s="23" t="n"/>
      <c r="O2468" s="20">
        <f>IF(OR(I2468="",COUNT(J2468:N2468)=0),"",IF(SUM(J2468:N2468)=I2468,"✓","⚠ "&amp;SUM(J2468:N2468)&amp;" statt "&amp;I2468))</f>
        <v/>
      </c>
      <c r="P2468" s="21" t="n"/>
      <c r="Q2468" s="21" t="n"/>
      <c r="R2468" s="21" t="n"/>
      <c r="S2468" s="24" t="n"/>
      <c r="T2468" s="24" t="n"/>
      <c r="V2468">
        <f>IF(A2468="","",MONTH(A2468))</f>
        <v/>
      </c>
      <c r="W2468">
        <f>N(W2467)+IF(AND(C2468&lt;&gt;"",T2468&lt;&gt;""),IF(C2468=WOCHE!$B$3,1,0),0)</f>
        <v/>
      </c>
      <c r="X2468">
        <f>N(X2467)+IF(AND(V2468&lt;&gt;"",T2468&lt;&gt;""),IF(V2468=MONAT!$AZ$3,1,0),0)</f>
        <v/>
      </c>
    </row>
    <row r="2469">
      <c r="A2469" s="19" t="n"/>
      <c r="B2469" s="20">
        <f>IF(A2469="","",CHOOSE(WEEKDAY(A2469,2),"Mo","Di","Mi","Do","Fr","Sa","So"))</f>
        <v/>
      </c>
      <c r="C2469" s="20">
        <f>IF(A2469="","",INT((A2469-DATE(YEAR(A2469-WEEKDAY(A2469-1)+4),1,3)+WEEKDAY(DATE(YEAR(A2469-WEEKDAY(A2469-1)+4),1,3))+5)/7))</f>
        <v/>
      </c>
      <c r="D2469" s="21" t="n"/>
      <c r="E2469" s="22" t="n"/>
      <c r="F2469" s="23" t="n"/>
      <c r="G2469" s="23" t="n"/>
      <c r="H2469" s="23" t="n"/>
      <c r="I2469" s="20">
        <f>IF(COUNT(F2469:H2469)=0,"",SUM(F2469:H2469))</f>
        <v/>
      </c>
      <c r="J2469" s="23" t="n"/>
      <c r="K2469" s="23" t="n"/>
      <c r="L2469" s="23" t="n"/>
      <c r="M2469" s="23" t="n"/>
      <c r="N2469" s="23" t="n"/>
      <c r="O2469" s="20">
        <f>IF(OR(I2469="",COUNT(J2469:N2469)=0),"",IF(SUM(J2469:N2469)=I2469,"✓","⚠ "&amp;SUM(J2469:N2469)&amp;" statt "&amp;I2469))</f>
        <v/>
      </c>
      <c r="P2469" s="21" t="n"/>
      <c r="Q2469" s="21" t="n"/>
      <c r="R2469" s="21" t="n"/>
      <c r="S2469" s="24" t="n"/>
      <c r="T2469" s="24" t="n"/>
      <c r="V2469">
        <f>IF(A2469="","",MONTH(A2469))</f>
        <v/>
      </c>
      <c r="W2469">
        <f>N(W2468)+IF(AND(C2469&lt;&gt;"",T2469&lt;&gt;""),IF(C2469=WOCHE!$B$3,1,0),0)</f>
        <v/>
      </c>
      <c r="X2469">
        <f>N(X2468)+IF(AND(V2469&lt;&gt;"",T2469&lt;&gt;""),IF(V2469=MONAT!$AZ$3,1,0),0)</f>
        <v/>
      </c>
    </row>
    <row r="2470">
      <c r="A2470" s="19" t="n"/>
      <c r="B2470" s="20">
        <f>IF(A2470="","",CHOOSE(WEEKDAY(A2470,2),"Mo","Di","Mi","Do","Fr","Sa","So"))</f>
        <v/>
      </c>
      <c r="C2470" s="20">
        <f>IF(A2470="","",INT((A2470-DATE(YEAR(A2470-WEEKDAY(A2470-1)+4),1,3)+WEEKDAY(DATE(YEAR(A2470-WEEKDAY(A2470-1)+4),1,3))+5)/7))</f>
        <v/>
      </c>
      <c r="D2470" s="21" t="n"/>
      <c r="E2470" s="22" t="n"/>
      <c r="F2470" s="23" t="n"/>
      <c r="G2470" s="23" t="n"/>
      <c r="H2470" s="23" t="n"/>
      <c r="I2470" s="20">
        <f>IF(COUNT(F2470:H2470)=0,"",SUM(F2470:H2470))</f>
        <v/>
      </c>
      <c r="J2470" s="23" t="n"/>
      <c r="K2470" s="23" t="n"/>
      <c r="L2470" s="23" t="n"/>
      <c r="M2470" s="23" t="n"/>
      <c r="N2470" s="23" t="n"/>
      <c r="O2470" s="20">
        <f>IF(OR(I2470="",COUNT(J2470:N2470)=0),"",IF(SUM(J2470:N2470)=I2470,"✓","⚠ "&amp;SUM(J2470:N2470)&amp;" statt "&amp;I2470))</f>
        <v/>
      </c>
      <c r="P2470" s="21" t="n"/>
      <c r="Q2470" s="21" t="n"/>
      <c r="R2470" s="21" t="n"/>
      <c r="S2470" s="24" t="n"/>
      <c r="T2470" s="24" t="n"/>
      <c r="V2470">
        <f>IF(A2470="","",MONTH(A2470))</f>
        <v/>
      </c>
      <c r="W2470">
        <f>N(W2469)+IF(AND(C2470&lt;&gt;"",T2470&lt;&gt;""),IF(C2470=WOCHE!$B$3,1,0),0)</f>
        <v/>
      </c>
      <c r="X2470">
        <f>N(X2469)+IF(AND(V2470&lt;&gt;"",T2470&lt;&gt;""),IF(V2470=MONAT!$AZ$3,1,0),0)</f>
        <v/>
      </c>
    </row>
    <row r="2471">
      <c r="A2471" s="19" t="n"/>
      <c r="B2471" s="20">
        <f>IF(A2471="","",CHOOSE(WEEKDAY(A2471,2),"Mo","Di","Mi","Do","Fr","Sa","So"))</f>
        <v/>
      </c>
      <c r="C2471" s="20">
        <f>IF(A2471="","",INT((A2471-DATE(YEAR(A2471-WEEKDAY(A2471-1)+4),1,3)+WEEKDAY(DATE(YEAR(A2471-WEEKDAY(A2471-1)+4),1,3))+5)/7))</f>
        <v/>
      </c>
      <c r="D2471" s="21" t="n"/>
      <c r="E2471" s="22" t="n"/>
      <c r="F2471" s="23" t="n"/>
      <c r="G2471" s="23" t="n"/>
      <c r="H2471" s="23" t="n"/>
      <c r="I2471" s="20">
        <f>IF(COUNT(F2471:H2471)=0,"",SUM(F2471:H2471))</f>
        <v/>
      </c>
      <c r="J2471" s="23" t="n"/>
      <c r="K2471" s="23" t="n"/>
      <c r="L2471" s="23" t="n"/>
      <c r="M2471" s="23" t="n"/>
      <c r="N2471" s="23" t="n"/>
      <c r="O2471" s="20">
        <f>IF(OR(I2471="",COUNT(J2471:N2471)=0),"",IF(SUM(J2471:N2471)=I2471,"✓","⚠ "&amp;SUM(J2471:N2471)&amp;" statt "&amp;I2471))</f>
        <v/>
      </c>
      <c r="P2471" s="21" t="n"/>
      <c r="Q2471" s="21" t="n"/>
      <c r="R2471" s="21" t="n"/>
      <c r="S2471" s="24" t="n"/>
      <c r="T2471" s="24" t="n"/>
      <c r="V2471">
        <f>IF(A2471="","",MONTH(A2471))</f>
        <v/>
      </c>
      <c r="W2471">
        <f>N(W2470)+IF(AND(C2471&lt;&gt;"",T2471&lt;&gt;""),IF(C2471=WOCHE!$B$3,1,0),0)</f>
        <v/>
      </c>
      <c r="X2471">
        <f>N(X2470)+IF(AND(V2471&lt;&gt;"",T2471&lt;&gt;""),IF(V2471=MONAT!$AZ$3,1,0),0)</f>
        <v/>
      </c>
    </row>
    <row r="2472">
      <c r="A2472" s="19" t="n"/>
      <c r="B2472" s="20">
        <f>IF(A2472="","",CHOOSE(WEEKDAY(A2472,2),"Mo","Di","Mi","Do","Fr","Sa","So"))</f>
        <v/>
      </c>
      <c r="C2472" s="20">
        <f>IF(A2472="","",INT((A2472-DATE(YEAR(A2472-WEEKDAY(A2472-1)+4),1,3)+WEEKDAY(DATE(YEAR(A2472-WEEKDAY(A2472-1)+4),1,3))+5)/7))</f>
        <v/>
      </c>
      <c r="D2472" s="21" t="n"/>
      <c r="E2472" s="22" t="n"/>
      <c r="F2472" s="23" t="n"/>
      <c r="G2472" s="23" t="n"/>
      <c r="H2472" s="23" t="n"/>
      <c r="I2472" s="20">
        <f>IF(COUNT(F2472:H2472)=0,"",SUM(F2472:H2472))</f>
        <v/>
      </c>
      <c r="J2472" s="23" t="n"/>
      <c r="K2472" s="23" t="n"/>
      <c r="L2472" s="23" t="n"/>
      <c r="M2472" s="23" t="n"/>
      <c r="N2472" s="23" t="n"/>
      <c r="O2472" s="20">
        <f>IF(OR(I2472="",COUNT(J2472:N2472)=0),"",IF(SUM(J2472:N2472)=I2472,"✓","⚠ "&amp;SUM(J2472:N2472)&amp;" statt "&amp;I2472))</f>
        <v/>
      </c>
      <c r="P2472" s="21" t="n"/>
      <c r="Q2472" s="21" t="n"/>
      <c r="R2472" s="21" t="n"/>
      <c r="S2472" s="24" t="n"/>
      <c r="T2472" s="24" t="n"/>
      <c r="V2472">
        <f>IF(A2472="","",MONTH(A2472))</f>
        <v/>
      </c>
      <c r="W2472">
        <f>N(W2471)+IF(AND(C2472&lt;&gt;"",T2472&lt;&gt;""),IF(C2472=WOCHE!$B$3,1,0),0)</f>
        <v/>
      </c>
      <c r="X2472">
        <f>N(X2471)+IF(AND(V2472&lt;&gt;"",T2472&lt;&gt;""),IF(V2472=MONAT!$AZ$3,1,0),0)</f>
        <v/>
      </c>
    </row>
    <row r="2473">
      <c r="A2473" s="19" t="n"/>
      <c r="B2473" s="20">
        <f>IF(A2473="","",CHOOSE(WEEKDAY(A2473,2),"Mo","Di","Mi","Do","Fr","Sa","So"))</f>
        <v/>
      </c>
      <c r="C2473" s="20">
        <f>IF(A2473="","",INT((A2473-DATE(YEAR(A2473-WEEKDAY(A2473-1)+4),1,3)+WEEKDAY(DATE(YEAR(A2473-WEEKDAY(A2473-1)+4),1,3))+5)/7))</f>
        <v/>
      </c>
      <c r="D2473" s="21" t="n"/>
      <c r="E2473" s="22" t="n"/>
      <c r="F2473" s="23" t="n"/>
      <c r="G2473" s="23" t="n"/>
      <c r="H2473" s="23" t="n"/>
      <c r="I2473" s="20">
        <f>IF(COUNT(F2473:H2473)=0,"",SUM(F2473:H2473))</f>
        <v/>
      </c>
      <c r="J2473" s="23" t="n"/>
      <c r="K2473" s="23" t="n"/>
      <c r="L2473" s="23" t="n"/>
      <c r="M2473" s="23" t="n"/>
      <c r="N2473" s="23" t="n"/>
      <c r="O2473" s="20">
        <f>IF(OR(I2473="",COUNT(J2473:N2473)=0),"",IF(SUM(J2473:N2473)=I2473,"✓","⚠ "&amp;SUM(J2473:N2473)&amp;" statt "&amp;I2473))</f>
        <v/>
      </c>
      <c r="P2473" s="21" t="n"/>
      <c r="Q2473" s="21" t="n"/>
      <c r="R2473" s="21" t="n"/>
      <c r="S2473" s="24" t="n"/>
      <c r="T2473" s="24" t="n"/>
      <c r="V2473">
        <f>IF(A2473="","",MONTH(A2473))</f>
        <v/>
      </c>
      <c r="W2473">
        <f>N(W2472)+IF(AND(C2473&lt;&gt;"",T2473&lt;&gt;""),IF(C2473=WOCHE!$B$3,1,0),0)</f>
        <v/>
      </c>
      <c r="X2473">
        <f>N(X2472)+IF(AND(V2473&lt;&gt;"",T2473&lt;&gt;""),IF(V2473=MONAT!$AZ$3,1,0),0)</f>
        <v/>
      </c>
    </row>
    <row r="2474">
      <c r="A2474" s="19" t="n"/>
      <c r="B2474" s="20">
        <f>IF(A2474="","",CHOOSE(WEEKDAY(A2474,2),"Mo","Di","Mi","Do","Fr","Sa","So"))</f>
        <v/>
      </c>
      <c r="C2474" s="20">
        <f>IF(A2474="","",INT((A2474-DATE(YEAR(A2474-WEEKDAY(A2474-1)+4),1,3)+WEEKDAY(DATE(YEAR(A2474-WEEKDAY(A2474-1)+4),1,3))+5)/7))</f>
        <v/>
      </c>
      <c r="D2474" s="21" t="n"/>
      <c r="E2474" s="22" t="n"/>
      <c r="F2474" s="23" t="n"/>
      <c r="G2474" s="23" t="n"/>
      <c r="H2474" s="23" t="n"/>
      <c r="I2474" s="20">
        <f>IF(COUNT(F2474:H2474)=0,"",SUM(F2474:H2474))</f>
        <v/>
      </c>
      <c r="J2474" s="23" t="n"/>
      <c r="K2474" s="23" t="n"/>
      <c r="L2474" s="23" t="n"/>
      <c r="M2474" s="23" t="n"/>
      <c r="N2474" s="23" t="n"/>
      <c r="O2474" s="20">
        <f>IF(OR(I2474="",COUNT(J2474:N2474)=0),"",IF(SUM(J2474:N2474)=I2474,"✓","⚠ "&amp;SUM(J2474:N2474)&amp;" statt "&amp;I2474))</f>
        <v/>
      </c>
      <c r="P2474" s="21" t="n"/>
      <c r="Q2474" s="21" t="n"/>
      <c r="R2474" s="21" t="n"/>
      <c r="S2474" s="24" t="n"/>
      <c r="T2474" s="24" t="n"/>
      <c r="V2474">
        <f>IF(A2474="","",MONTH(A2474))</f>
        <v/>
      </c>
      <c r="W2474">
        <f>N(W2473)+IF(AND(C2474&lt;&gt;"",T2474&lt;&gt;""),IF(C2474=WOCHE!$B$3,1,0),0)</f>
        <v/>
      </c>
      <c r="X2474">
        <f>N(X2473)+IF(AND(V2474&lt;&gt;"",T2474&lt;&gt;""),IF(V2474=MONAT!$AZ$3,1,0),0)</f>
        <v/>
      </c>
    </row>
    <row r="2475">
      <c r="A2475" s="19" t="n"/>
      <c r="B2475" s="20">
        <f>IF(A2475="","",CHOOSE(WEEKDAY(A2475,2),"Mo","Di","Mi","Do","Fr","Sa","So"))</f>
        <v/>
      </c>
      <c r="C2475" s="20">
        <f>IF(A2475="","",INT((A2475-DATE(YEAR(A2475-WEEKDAY(A2475-1)+4),1,3)+WEEKDAY(DATE(YEAR(A2475-WEEKDAY(A2475-1)+4),1,3))+5)/7))</f>
        <v/>
      </c>
      <c r="D2475" s="21" t="n"/>
      <c r="E2475" s="22" t="n"/>
      <c r="F2475" s="23" t="n"/>
      <c r="G2475" s="23" t="n"/>
      <c r="H2475" s="23" t="n"/>
      <c r="I2475" s="20">
        <f>IF(COUNT(F2475:H2475)=0,"",SUM(F2475:H2475))</f>
        <v/>
      </c>
      <c r="J2475" s="23" t="n"/>
      <c r="K2475" s="23" t="n"/>
      <c r="L2475" s="23" t="n"/>
      <c r="M2475" s="23" t="n"/>
      <c r="N2475" s="23" t="n"/>
      <c r="O2475" s="20">
        <f>IF(OR(I2475="",COUNT(J2475:N2475)=0),"",IF(SUM(J2475:N2475)=I2475,"✓","⚠ "&amp;SUM(J2475:N2475)&amp;" statt "&amp;I2475))</f>
        <v/>
      </c>
      <c r="P2475" s="21" t="n"/>
      <c r="Q2475" s="21" t="n"/>
      <c r="R2475" s="21" t="n"/>
      <c r="S2475" s="24" t="n"/>
      <c r="T2475" s="24" t="n"/>
      <c r="V2475">
        <f>IF(A2475="","",MONTH(A2475))</f>
        <v/>
      </c>
      <c r="W2475">
        <f>N(W2474)+IF(AND(C2475&lt;&gt;"",T2475&lt;&gt;""),IF(C2475=WOCHE!$B$3,1,0),0)</f>
        <v/>
      </c>
      <c r="X2475">
        <f>N(X2474)+IF(AND(V2475&lt;&gt;"",T2475&lt;&gt;""),IF(V2475=MONAT!$AZ$3,1,0),0)</f>
        <v/>
      </c>
    </row>
    <row r="2476">
      <c r="A2476" s="19" t="n"/>
      <c r="B2476" s="20">
        <f>IF(A2476="","",CHOOSE(WEEKDAY(A2476,2),"Mo","Di","Mi","Do","Fr","Sa","So"))</f>
        <v/>
      </c>
      <c r="C2476" s="20">
        <f>IF(A2476="","",INT((A2476-DATE(YEAR(A2476-WEEKDAY(A2476-1)+4),1,3)+WEEKDAY(DATE(YEAR(A2476-WEEKDAY(A2476-1)+4),1,3))+5)/7))</f>
        <v/>
      </c>
      <c r="D2476" s="21" t="n"/>
      <c r="E2476" s="22" t="n"/>
      <c r="F2476" s="23" t="n"/>
      <c r="G2476" s="23" t="n"/>
      <c r="H2476" s="23" t="n"/>
      <c r="I2476" s="20">
        <f>IF(COUNT(F2476:H2476)=0,"",SUM(F2476:H2476))</f>
        <v/>
      </c>
      <c r="J2476" s="23" t="n"/>
      <c r="K2476" s="23" t="n"/>
      <c r="L2476" s="23" t="n"/>
      <c r="M2476" s="23" t="n"/>
      <c r="N2476" s="23" t="n"/>
      <c r="O2476" s="20">
        <f>IF(OR(I2476="",COUNT(J2476:N2476)=0),"",IF(SUM(J2476:N2476)=I2476,"✓","⚠ "&amp;SUM(J2476:N2476)&amp;" statt "&amp;I2476))</f>
        <v/>
      </c>
      <c r="P2476" s="21" t="n"/>
      <c r="Q2476" s="21" t="n"/>
      <c r="R2476" s="21" t="n"/>
      <c r="S2476" s="24" t="n"/>
      <c r="T2476" s="24" t="n"/>
      <c r="V2476">
        <f>IF(A2476="","",MONTH(A2476))</f>
        <v/>
      </c>
      <c r="W2476">
        <f>N(W2475)+IF(AND(C2476&lt;&gt;"",T2476&lt;&gt;""),IF(C2476=WOCHE!$B$3,1,0),0)</f>
        <v/>
      </c>
      <c r="X2476">
        <f>N(X2475)+IF(AND(V2476&lt;&gt;"",T2476&lt;&gt;""),IF(V2476=MONAT!$AZ$3,1,0),0)</f>
        <v/>
      </c>
    </row>
    <row r="2477">
      <c r="A2477" s="19" t="n"/>
      <c r="B2477" s="20">
        <f>IF(A2477="","",CHOOSE(WEEKDAY(A2477,2),"Mo","Di","Mi","Do","Fr","Sa","So"))</f>
        <v/>
      </c>
      <c r="C2477" s="20">
        <f>IF(A2477="","",INT((A2477-DATE(YEAR(A2477-WEEKDAY(A2477-1)+4),1,3)+WEEKDAY(DATE(YEAR(A2477-WEEKDAY(A2477-1)+4),1,3))+5)/7))</f>
        <v/>
      </c>
      <c r="D2477" s="21" t="n"/>
      <c r="E2477" s="22" t="n"/>
      <c r="F2477" s="23" t="n"/>
      <c r="G2477" s="23" t="n"/>
      <c r="H2477" s="23" t="n"/>
      <c r="I2477" s="20">
        <f>IF(COUNT(F2477:H2477)=0,"",SUM(F2477:H2477))</f>
        <v/>
      </c>
      <c r="J2477" s="23" t="n"/>
      <c r="K2477" s="23" t="n"/>
      <c r="L2477" s="23" t="n"/>
      <c r="M2477" s="23" t="n"/>
      <c r="N2477" s="23" t="n"/>
      <c r="O2477" s="20">
        <f>IF(OR(I2477="",COUNT(J2477:N2477)=0),"",IF(SUM(J2477:N2477)=I2477,"✓","⚠ "&amp;SUM(J2477:N2477)&amp;" statt "&amp;I2477))</f>
        <v/>
      </c>
      <c r="P2477" s="21" t="n"/>
      <c r="Q2477" s="21" t="n"/>
      <c r="R2477" s="21" t="n"/>
      <c r="S2477" s="24" t="n"/>
      <c r="T2477" s="24" t="n"/>
      <c r="V2477">
        <f>IF(A2477="","",MONTH(A2477))</f>
        <v/>
      </c>
      <c r="W2477">
        <f>N(W2476)+IF(AND(C2477&lt;&gt;"",T2477&lt;&gt;""),IF(C2477=WOCHE!$B$3,1,0),0)</f>
        <v/>
      </c>
      <c r="X2477">
        <f>N(X2476)+IF(AND(V2477&lt;&gt;"",T2477&lt;&gt;""),IF(V2477=MONAT!$AZ$3,1,0),0)</f>
        <v/>
      </c>
    </row>
    <row r="2478">
      <c r="A2478" s="19" t="n"/>
      <c r="B2478" s="20">
        <f>IF(A2478="","",CHOOSE(WEEKDAY(A2478,2),"Mo","Di","Mi","Do","Fr","Sa","So"))</f>
        <v/>
      </c>
      <c r="C2478" s="20">
        <f>IF(A2478="","",INT((A2478-DATE(YEAR(A2478-WEEKDAY(A2478-1)+4),1,3)+WEEKDAY(DATE(YEAR(A2478-WEEKDAY(A2478-1)+4),1,3))+5)/7))</f>
        <v/>
      </c>
      <c r="D2478" s="21" t="n"/>
      <c r="E2478" s="22" t="n"/>
      <c r="F2478" s="23" t="n"/>
      <c r="G2478" s="23" t="n"/>
      <c r="H2478" s="23" t="n"/>
      <c r="I2478" s="20">
        <f>IF(COUNT(F2478:H2478)=0,"",SUM(F2478:H2478))</f>
        <v/>
      </c>
      <c r="J2478" s="23" t="n"/>
      <c r="K2478" s="23" t="n"/>
      <c r="L2478" s="23" t="n"/>
      <c r="M2478" s="23" t="n"/>
      <c r="N2478" s="23" t="n"/>
      <c r="O2478" s="20">
        <f>IF(OR(I2478="",COUNT(J2478:N2478)=0),"",IF(SUM(J2478:N2478)=I2478,"✓","⚠ "&amp;SUM(J2478:N2478)&amp;" statt "&amp;I2478))</f>
        <v/>
      </c>
      <c r="P2478" s="21" t="n"/>
      <c r="Q2478" s="21" t="n"/>
      <c r="R2478" s="21" t="n"/>
      <c r="S2478" s="24" t="n"/>
      <c r="T2478" s="24" t="n"/>
      <c r="V2478">
        <f>IF(A2478="","",MONTH(A2478))</f>
        <v/>
      </c>
      <c r="W2478">
        <f>N(W2477)+IF(AND(C2478&lt;&gt;"",T2478&lt;&gt;""),IF(C2478=WOCHE!$B$3,1,0),0)</f>
        <v/>
      </c>
      <c r="X2478">
        <f>N(X2477)+IF(AND(V2478&lt;&gt;"",T2478&lt;&gt;""),IF(V2478=MONAT!$AZ$3,1,0),0)</f>
        <v/>
      </c>
    </row>
    <row r="2479">
      <c r="A2479" s="19" t="n"/>
      <c r="B2479" s="20">
        <f>IF(A2479="","",CHOOSE(WEEKDAY(A2479,2),"Mo","Di","Mi","Do","Fr","Sa","So"))</f>
        <v/>
      </c>
      <c r="C2479" s="20">
        <f>IF(A2479="","",INT((A2479-DATE(YEAR(A2479-WEEKDAY(A2479-1)+4),1,3)+WEEKDAY(DATE(YEAR(A2479-WEEKDAY(A2479-1)+4),1,3))+5)/7))</f>
        <v/>
      </c>
      <c r="D2479" s="21" t="n"/>
      <c r="E2479" s="22" t="n"/>
      <c r="F2479" s="23" t="n"/>
      <c r="G2479" s="23" t="n"/>
      <c r="H2479" s="23" t="n"/>
      <c r="I2479" s="20">
        <f>IF(COUNT(F2479:H2479)=0,"",SUM(F2479:H2479))</f>
        <v/>
      </c>
      <c r="J2479" s="23" t="n"/>
      <c r="K2479" s="23" t="n"/>
      <c r="L2479" s="23" t="n"/>
      <c r="M2479" s="23" t="n"/>
      <c r="N2479" s="23" t="n"/>
      <c r="O2479" s="20">
        <f>IF(OR(I2479="",COUNT(J2479:N2479)=0),"",IF(SUM(J2479:N2479)=I2479,"✓","⚠ "&amp;SUM(J2479:N2479)&amp;" statt "&amp;I2479))</f>
        <v/>
      </c>
      <c r="P2479" s="21" t="n"/>
      <c r="Q2479" s="21" t="n"/>
      <c r="R2479" s="21" t="n"/>
      <c r="S2479" s="24" t="n"/>
      <c r="T2479" s="24" t="n"/>
      <c r="V2479">
        <f>IF(A2479="","",MONTH(A2479))</f>
        <v/>
      </c>
      <c r="W2479">
        <f>N(W2478)+IF(AND(C2479&lt;&gt;"",T2479&lt;&gt;""),IF(C2479=WOCHE!$B$3,1,0),0)</f>
        <v/>
      </c>
      <c r="X2479">
        <f>N(X2478)+IF(AND(V2479&lt;&gt;"",T2479&lt;&gt;""),IF(V2479=MONAT!$AZ$3,1,0),0)</f>
        <v/>
      </c>
    </row>
    <row r="2480">
      <c r="A2480" s="19" t="n"/>
      <c r="B2480" s="20">
        <f>IF(A2480="","",CHOOSE(WEEKDAY(A2480,2),"Mo","Di","Mi","Do","Fr","Sa","So"))</f>
        <v/>
      </c>
      <c r="C2480" s="20">
        <f>IF(A2480="","",INT((A2480-DATE(YEAR(A2480-WEEKDAY(A2480-1)+4),1,3)+WEEKDAY(DATE(YEAR(A2480-WEEKDAY(A2480-1)+4),1,3))+5)/7))</f>
        <v/>
      </c>
      <c r="D2480" s="21" t="n"/>
      <c r="E2480" s="22" t="n"/>
      <c r="F2480" s="23" t="n"/>
      <c r="G2480" s="23" t="n"/>
      <c r="H2480" s="23" t="n"/>
      <c r="I2480" s="20">
        <f>IF(COUNT(F2480:H2480)=0,"",SUM(F2480:H2480))</f>
        <v/>
      </c>
      <c r="J2480" s="23" t="n"/>
      <c r="K2480" s="23" t="n"/>
      <c r="L2480" s="23" t="n"/>
      <c r="M2480" s="23" t="n"/>
      <c r="N2480" s="23" t="n"/>
      <c r="O2480" s="20">
        <f>IF(OR(I2480="",COUNT(J2480:N2480)=0),"",IF(SUM(J2480:N2480)=I2480,"✓","⚠ "&amp;SUM(J2480:N2480)&amp;" statt "&amp;I2480))</f>
        <v/>
      </c>
      <c r="P2480" s="21" t="n"/>
      <c r="Q2480" s="21" t="n"/>
      <c r="R2480" s="21" t="n"/>
      <c r="S2480" s="24" t="n"/>
      <c r="T2480" s="24" t="n"/>
      <c r="V2480">
        <f>IF(A2480="","",MONTH(A2480))</f>
        <v/>
      </c>
      <c r="W2480">
        <f>N(W2479)+IF(AND(C2480&lt;&gt;"",T2480&lt;&gt;""),IF(C2480=WOCHE!$B$3,1,0),0)</f>
        <v/>
      </c>
      <c r="X2480">
        <f>N(X2479)+IF(AND(V2480&lt;&gt;"",T2480&lt;&gt;""),IF(V2480=MONAT!$AZ$3,1,0),0)</f>
        <v/>
      </c>
    </row>
    <row r="2481">
      <c r="A2481" s="19" t="n"/>
      <c r="B2481" s="20">
        <f>IF(A2481="","",CHOOSE(WEEKDAY(A2481,2),"Mo","Di","Mi","Do","Fr","Sa","So"))</f>
        <v/>
      </c>
      <c r="C2481" s="20">
        <f>IF(A2481="","",INT((A2481-DATE(YEAR(A2481-WEEKDAY(A2481-1)+4),1,3)+WEEKDAY(DATE(YEAR(A2481-WEEKDAY(A2481-1)+4),1,3))+5)/7))</f>
        <v/>
      </c>
      <c r="D2481" s="21" t="n"/>
      <c r="E2481" s="22" t="n"/>
      <c r="F2481" s="23" t="n"/>
      <c r="G2481" s="23" t="n"/>
      <c r="H2481" s="23" t="n"/>
      <c r="I2481" s="20">
        <f>IF(COUNT(F2481:H2481)=0,"",SUM(F2481:H2481))</f>
        <v/>
      </c>
      <c r="J2481" s="23" t="n"/>
      <c r="K2481" s="23" t="n"/>
      <c r="L2481" s="23" t="n"/>
      <c r="M2481" s="23" t="n"/>
      <c r="N2481" s="23" t="n"/>
      <c r="O2481" s="20">
        <f>IF(OR(I2481="",COUNT(J2481:N2481)=0),"",IF(SUM(J2481:N2481)=I2481,"✓","⚠ "&amp;SUM(J2481:N2481)&amp;" statt "&amp;I2481))</f>
        <v/>
      </c>
      <c r="P2481" s="21" t="n"/>
      <c r="Q2481" s="21" t="n"/>
      <c r="R2481" s="21" t="n"/>
      <c r="S2481" s="24" t="n"/>
      <c r="T2481" s="24" t="n"/>
      <c r="V2481">
        <f>IF(A2481="","",MONTH(A2481))</f>
        <v/>
      </c>
      <c r="W2481">
        <f>N(W2480)+IF(AND(C2481&lt;&gt;"",T2481&lt;&gt;""),IF(C2481=WOCHE!$B$3,1,0),0)</f>
        <v/>
      </c>
      <c r="X2481">
        <f>N(X2480)+IF(AND(V2481&lt;&gt;"",T2481&lt;&gt;""),IF(V2481=MONAT!$AZ$3,1,0),0)</f>
        <v/>
      </c>
    </row>
    <row r="2482">
      <c r="A2482" s="19" t="n"/>
      <c r="B2482" s="20">
        <f>IF(A2482="","",CHOOSE(WEEKDAY(A2482,2),"Mo","Di","Mi","Do","Fr","Sa","So"))</f>
        <v/>
      </c>
      <c r="C2482" s="20">
        <f>IF(A2482="","",INT((A2482-DATE(YEAR(A2482-WEEKDAY(A2482-1)+4),1,3)+WEEKDAY(DATE(YEAR(A2482-WEEKDAY(A2482-1)+4),1,3))+5)/7))</f>
        <v/>
      </c>
      <c r="D2482" s="21" t="n"/>
      <c r="E2482" s="22" t="n"/>
      <c r="F2482" s="23" t="n"/>
      <c r="G2482" s="23" t="n"/>
      <c r="H2482" s="23" t="n"/>
      <c r="I2482" s="20">
        <f>IF(COUNT(F2482:H2482)=0,"",SUM(F2482:H2482))</f>
        <v/>
      </c>
      <c r="J2482" s="23" t="n"/>
      <c r="K2482" s="23" t="n"/>
      <c r="L2482" s="23" t="n"/>
      <c r="M2482" s="23" t="n"/>
      <c r="N2482" s="23" t="n"/>
      <c r="O2482" s="20">
        <f>IF(OR(I2482="",COUNT(J2482:N2482)=0),"",IF(SUM(J2482:N2482)=I2482,"✓","⚠ "&amp;SUM(J2482:N2482)&amp;" statt "&amp;I2482))</f>
        <v/>
      </c>
      <c r="P2482" s="21" t="n"/>
      <c r="Q2482" s="21" t="n"/>
      <c r="R2482" s="21" t="n"/>
      <c r="S2482" s="24" t="n"/>
      <c r="T2482" s="24" t="n"/>
      <c r="V2482">
        <f>IF(A2482="","",MONTH(A2482))</f>
        <v/>
      </c>
      <c r="W2482">
        <f>N(W2481)+IF(AND(C2482&lt;&gt;"",T2482&lt;&gt;""),IF(C2482=WOCHE!$B$3,1,0),0)</f>
        <v/>
      </c>
      <c r="X2482">
        <f>N(X2481)+IF(AND(V2482&lt;&gt;"",T2482&lt;&gt;""),IF(V2482=MONAT!$AZ$3,1,0),0)</f>
        <v/>
      </c>
    </row>
    <row r="2483">
      <c r="A2483" s="19" t="n"/>
      <c r="B2483" s="20">
        <f>IF(A2483="","",CHOOSE(WEEKDAY(A2483,2),"Mo","Di","Mi","Do","Fr","Sa","So"))</f>
        <v/>
      </c>
      <c r="C2483" s="20">
        <f>IF(A2483="","",INT((A2483-DATE(YEAR(A2483-WEEKDAY(A2483-1)+4),1,3)+WEEKDAY(DATE(YEAR(A2483-WEEKDAY(A2483-1)+4),1,3))+5)/7))</f>
        <v/>
      </c>
      <c r="D2483" s="21" t="n"/>
      <c r="E2483" s="22" t="n"/>
      <c r="F2483" s="23" t="n"/>
      <c r="G2483" s="23" t="n"/>
      <c r="H2483" s="23" t="n"/>
      <c r="I2483" s="20">
        <f>IF(COUNT(F2483:H2483)=0,"",SUM(F2483:H2483))</f>
        <v/>
      </c>
      <c r="J2483" s="23" t="n"/>
      <c r="K2483" s="23" t="n"/>
      <c r="L2483" s="23" t="n"/>
      <c r="M2483" s="23" t="n"/>
      <c r="N2483" s="23" t="n"/>
      <c r="O2483" s="20">
        <f>IF(OR(I2483="",COUNT(J2483:N2483)=0),"",IF(SUM(J2483:N2483)=I2483,"✓","⚠ "&amp;SUM(J2483:N2483)&amp;" statt "&amp;I2483))</f>
        <v/>
      </c>
      <c r="P2483" s="21" t="n"/>
      <c r="Q2483" s="21" t="n"/>
      <c r="R2483" s="21" t="n"/>
      <c r="S2483" s="24" t="n"/>
      <c r="T2483" s="24" t="n"/>
      <c r="V2483">
        <f>IF(A2483="","",MONTH(A2483))</f>
        <v/>
      </c>
      <c r="W2483">
        <f>N(W2482)+IF(AND(C2483&lt;&gt;"",T2483&lt;&gt;""),IF(C2483=WOCHE!$B$3,1,0),0)</f>
        <v/>
      </c>
      <c r="X2483">
        <f>N(X2482)+IF(AND(V2483&lt;&gt;"",T2483&lt;&gt;""),IF(V2483=MONAT!$AZ$3,1,0),0)</f>
        <v/>
      </c>
    </row>
    <row r="2484">
      <c r="A2484" s="19" t="n"/>
      <c r="B2484" s="20">
        <f>IF(A2484="","",CHOOSE(WEEKDAY(A2484,2),"Mo","Di","Mi","Do","Fr","Sa","So"))</f>
        <v/>
      </c>
      <c r="C2484" s="20">
        <f>IF(A2484="","",INT((A2484-DATE(YEAR(A2484-WEEKDAY(A2484-1)+4),1,3)+WEEKDAY(DATE(YEAR(A2484-WEEKDAY(A2484-1)+4),1,3))+5)/7))</f>
        <v/>
      </c>
      <c r="D2484" s="21" t="n"/>
      <c r="E2484" s="22" t="n"/>
      <c r="F2484" s="23" t="n"/>
      <c r="G2484" s="23" t="n"/>
      <c r="H2484" s="23" t="n"/>
      <c r="I2484" s="20">
        <f>IF(COUNT(F2484:H2484)=0,"",SUM(F2484:H2484))</f>
        <v/>
      </c>
      <c r="J2484" s="23" t="n"/>
      <c r="K2484" s="23" t="n"/>
      <c r="L2484" s="23" t="n"/>
      <c r="M2484" s="23" t="n"/>
      <c r="N2484" s="23" t="n"/>
      <c r="O2484" s="20">
        <f>IF(OR(I2484="",COUNT(J2484:N2484)=0),"",IF(SUM(J2484:N2484)=I2484,"✓","⚠ "&amp;SUM(J2484:N2484)&amp;" statt "&amp;I2484))</f>
        <v/>
      </c>
      <c r="P2484" s="21" t="n"/>
      <c r="Q2484" s="21" t="n"/>
      <c r="R2484" s="21" t="n"/>
      <c r="S2484" s="24" t="n"/>
      <c r="T2484" s="24" t="n"/>
      <c r="V2484">
        <f>IF(A2484="","",MONTH(A2484))</f>
        <v/>
      </c>
      <c r="W2484">
        <f>N(W2483)+IF(AND(C2484&lt;&gt;"",T2484&lt;&gt;""),IF(C2484=WOCHE!$B$3,1,0),0)</f>
        <v/>
      </c>
      <c r="X2484">
        <f>N(X2483)+IF(AND(V2484&lt;&gt;"",T2484&lt;&gt;""),IF(V2484=MONAT!$AZ$3,1,0),0)</f>
        <v/>
      </c>
    </row>
    <row r="2485">
      <c r="A2485" s="19" t="n"/>
      <c r="B2485" s="20">
        <f>IF(A2485="","",CHOOSE(WEEKDAY(A2485,2),"Mo","Di","Mi","Do","Fr","Sa","So"))</f>
        <v/>
      </c>
      <c r="C2485" s="20">
        <f>IF(A2485="","",INT((A2485-DATE(YEAR(A2485-WEEKDAY(A2485-1)+4),1,3)+WEEKDAY(DATE(YEAR(A2485-WEEKDAY(A2485-1)+4),1,3))+5)/7))</f>
        <v/>
      </c>
      <c r="D2485" s="21" t="n"/>
      <c r="E2485" s="22" t="n"/>
      <c r="F2485" s="23" t="n"/>
      <c r="G2485" s="23" t="n"/>
      <c r="H2485" s="23" t="n"/>
      <c r="I2485" s="20">
        <f>IF(COUNT(F2485:H2485)=0,"",SUM(F2485:H2485))</f>
        <v/>
      </c>
      <c r="J2485" s="23" t="n"/>
      <c r="K2485" s="23" t="n"/>
      <c r="L2485" s="23" t="n"/>
      <c r="M2485" s="23" t="n"/>
      <c r="N2485" s="23" t="n"/>
      <c r="O2485" s="20">
        <f>IF(OR(I2485="",COUNT(J2485:N2485)=0),"",IF(SUM(J2485:N2485)=I2485,"✓","⚠ "&amp;SUM(J2485:N2485)&amp;" statt "&amp;I2485))</f>
        <v/>
      </c>
      <c r="P2485" s="21" t="n"/>
      <c r="Q2485" s="21" t="n"/>
      <c r="R2485" s="21" t="n"/>
      <c r="S2485" s="24" t="n"/>
      <c r="T2485" s="24" t="n"/>
      <c r="V2485">
        <f>IF(A2485="","",MONTH(A2485))</f>
        <v/>
      </c>
      <c r="W2485">
        <f>N(W2484)+IF(AND(C2485&lt;&gt;"",T2485&lt;&gt;""),IF(C2485=WOCHE!$B$3,1,0),0)</f>
        <v/>
      </c>
      <c r="X2485">
        <f>N(X2484)+IF(AND(V2485&lt;&gt;"",T2485&lt;&gt;""),IF(V2485=MONAT!$AZ$3,1,0),0)</f>
        <v/>
      </c>
    </row>
    <row r="2486">
      <c r="A2486" s="19" t="n"/>
      <c r="B2486" s="20">
        <f>IF(A2486="","",CHOOSE(WEEKDAY(A2486,2),"Mo","Di","Mi","Do","Fr","Sa","So"))</f>
        <v/>
      </c>
      <c r="C2486" s="20">
        <f>IF(A2486="","",INT((A2486-DATE(YEAR(A2486-WEEKDAY(A2486-1)+4),1,3)+WEEKDAY(DATE(YEAR(A2486-WEEKDAY(A2486-1)+4),1,3))+5)/7))</f>
        <v/>
      </c>
      <c r="D2486" s="21" t="n"/>
      <c r="E2486" s="22" t="n"/>
      <c r="F2486" s="23" t="n"/>
      <c r="G2486" s="23" t="n"/>
      <c r="H2486" s="23" t="n"/>
      <c r="I2486" s="20">
        <f>IF(COUNT(F2486:H2486)=0,"",SUM(F2486:H2486))</f>
        <v/>
      </c>
      <c r="J2486" s="23" t="n"/>
      <c r="K2486" s="23" t="n"/>
      <c r="L2486" s="23" t="n"/>
      <c r="M2486" s="23" t="n"/>
      <c r="N2486" s="23" t="n"/>
      <c r="O2486" s="20">
        <f>IF(OR(I2486="",COUNT(J2486:N2486)=0),"",IF(SUM(J2486:N2486)=I2486,"✓","⚠ "&amp;SUM(J2486:N2486)&amp;" statt "&amp;I2486))</f>
        <v/>
      </c>
      <c r="P2486" s="21" t="n"/>
      <c r="Q2486" s="21" t="n"/>
      <c r="R2486" s="21" t="n"/>
      <c r="S2486" s="24" t="n"/>
      <c r="T2486" s="24" t="n"/>
      <c r="V2486">
        <f>IF(A2486="","",MONTH(A2486))</f>
        <v/>
      </c>
      <c r="W2486">
        <f>N(W2485)+IF(AND(C2486&lt;&gt;"",T2486&lt;&gt;""),IF(C2486=WOCHE!$B$3,1,0),0)</f>
        <v/>
      </c>
      <c r="X2486">
        <f>N(X2485)+IF(AND(V2486&lt;&gt;"",T2486&lt;&gt;""),IF(V2486=MONAT!$AZ$3,1,0),0)</f>
        <v/>
      </c>
    </row>
    <row r="2487">
      <c r="A2487" s="19" t="n"/>
      <c r="B2487" s="20">
        <f>IF(A2487="","",CHOOSE(WEEKDAY(A2487,2),"Mo","Di","Mi","Do","Fr","Sa","So"))</f>
        <v/>
      </c>
      <c r="C2487" s="20">
        <f>IF(A2487="","",INT((A2487-DATE(YEAR(A2487-WEEKDAY(A2487-1)+4),1,3)+WEEKDAY(DATE(YEAR(A2487-WEEKDAY(A2487-1)+4),1,3))+5)/7))</f>
        <v/>
      </c>
      <c r="D2487" s="21" t="n"/>
      <c r="E2487" s="22" t="n"/>
      <c r="F2487" s="23" t="n"/>
      <c r="G2487" s="23" t="n"/>
      <c r="H2487" s="23" t="n"/>
      <c r="I2487" s="20">
        <f>IF(COUNT(F2487:H2487)=0,"",SUM(F2487:H2487))</f>
        <v/>
      </c>
      <c r="J2487" s="23" t="n"/>
      <c r="K2487" s="23" t="n"/>
      <c r="L2487" s="23" t="n"/>
      <c r="M2487" s="23" t="n"/>
      <c r="N2487" s="23" t="n"/>
      <c r="O2487" s="20">
        <f>IF(OR(I2487="",COUNT(J2487:N2487)=0),"",IF(SUM(J2487:N2487)=I2487,"✓","⚠ "&amp;SUM(J2487:N2487)&amp;" statt "&amp;I2487))</f>
        <v/>
      </c>
      <c r="P2487" s="21" t="n"/>
      <c r="Q2487" s="21" t="n"/>
      <c r="R2487" s="21" t="n"/>
      <c r="S2487" s="24" t="n"/>
      <c r="T2487" s="24" t="n"/>
      <c r="V2487">
        <f>IF(A2487="","",MONTH(A2487))</f>
        <v/>
      </c>
      <c r="W2487">
        <f>N(W2486)+IF(AND(C2487&lt;&gt;"",T2487&lt;&gt;""),IF(C2487=WOCHE!$B$3,1,0),0)</f>
        <v/>
      </c>
      <c r="X2487">
        <f>N(X2486)+IF(AND(V2487&lt;&gt;"",T2487&lt;&gt;""),IF(V2487=MONAT!$AZ$3,1,0),0)</f>
        <v/>
      </c>
    </row>
    <row r="2488">
      <c r="A2488" s="19" t="n"/>
      <c r="B2488" s="20">
        <f>IF(A2488="","",CHOOSE(WEEKDAY(A2488,2),"Mo","Di","Mi","Do","Fr","Sa","So"))</f>
        <v/>
      </c>
      <c r="C2488" s="20">
        <f>IF(A2488="","",INT((A2488-DATE(YEAR(A2488-WEEKDAY(A2488-1)+4),1,3)+WEEKDAY(DATE(YEAR(A2488-WEEKDAY(A2488-1)+4),1,3))+5)/7))</f>
        <v/>
      </c>
      <c r="D2488" s="21" t="n"/>
      <c r="E2488" s="22" t="n"/>
      <c r="F2488" s="23" t="n"/>
      <c r="G2488" s="23" t="n"/>
      <c r="H2488" s="23" t="n"/>
      <c r="I2488" s="20">
        <f>IF(COUNT(F2488:H2488)=0,"",SUM(F2488:H2488))</f>
        <v/>
      </c>
      <c r="J2488" s="23" t="n"/>
      <c r="K2488" s="23" t="n"/>
      <c r="L2488" s="23" t="n"/>
      <c r="M2488" s="23" t="n"/>
      <c r="N2488" s="23" t="n"/>
      <c r="O2488" s="20">
        <f>IF(OR(I2488="",COUNT(J2488:N2488)=0),"",IF(SUM(J2488:N2488)=I2488,"✓","⚠ "&amp;SUM(J2488:N2488)&amp;" statt "&amp;I2488))</f>
        <v/>
      </c>
      <c r="P2488" s="21" t="n"/>
      <c r="Q2488" s="21" t="n"/>
      <c r="R2488" s="21" t="n"/>
      <c r="S2488" s="24" t="n"/>
      <c r="T2488" s="24" t="n"/>
      <c r="V2488">
        <f>IF(A2488="","",MONTH(A2488))</f>
        <v/>
      </c>
      <c r="W2488">
        <f>N(W2487)+IF(AND(C2488&lt;&gt;"",T2488&lt;&gt;""),IF(C2488=WOCHE!$B$3,1,0),0)</f>
        <v/>
      </c>
      <c r="X2488">
        <f>N(X2487)+IF(AND(V2488&lt;&gt;"",T2488&lt;&gt;""),IF(V2488=MONAT!$AZ$3,1,0),0)</f>
        <v/>
      </c>
    </row>
    <row r="2489">
      <c r="A2489" s="19" t="n"/>
      <c r="B2489" s="20">
        <f>IF(A2489="","",CHOOSE(WEEKDAY(A2489,2),"Mo","Di","Mi","Do","Fr","Sa","So"))</f>
        <v/>
      </c>
      <c r="C2489" s="20">
        <f>IF(A2489="","",INT((A2489-DATE(YEAR(A2489-WEEKDAY(A2489-1)+4),1,3)+WEEKDAY(DATE(YEAR(A2489-WEEKDAY(A2489-1)+4),1,3))+5)/7))</f>
        <v/>
      </c>
      <c r="D2489" s="21" t="n"/>
      <c r="E2489" s="22" t="n"/>
      <c r="F2489" s="23" t="n"/>
      <c r="G2489" s="23" t="n"/>
      <c r="H2489" s="23" t="n"/>
      <c r="I2489" s="20">
        <f>IF(COUNT(F2489:H2489)=0,"",SUM(F2489:H2489))</f>
        <v/>
      </c>
      <c r="J2489" s="23" t="n"/>
      <c r="K2489" s="23" t="n"/>
      <c r="L2489" s="23" t="n"/>
      <c r="M2489" s="23" t="n"/>
      <c r="N2489" s="23" t="n"/>
      <c r="O2489" s="20">
        <f>IF(OR(I2489="",COUNT(J2489:N2489)=0),"",IF(SUM(J2489:N2489)=I2489,"✓","⚠ "&amp;SUM(J2489:N2489)&amp;" statt "&amp;I2489))</f>
        <v/>
      </c>
      <c r="P2489" s="21" t="n"/>
      <c r="Q2489" s="21" t="n"/>
      <c r="R2489" s="21" t="n"/>
      <c r="S2489" s="24" t="n"/>
      <c r="T2489" s="24" t="n"/>
      <c r="V2489">
        <f>IF(A2489="","",MONTH(A2489))</f>
        <v/>
      </c>
      <c r="W2489">
        <f>N(W2488)+IF(AND(C2489&lt;&gt;"",T2489&lt;&gt;""),IF(C2489=WOCHE!$B$3,1,0),0)</f>
        <v/>
      </c>
      <c r="X2489">
        <f>N(X2488)+IF(AND(V2489&lt;&gt;"",T2489&lt;&gt;""),IF(V2489=MONAT!$AZ$3,1,0),0)</f>
        <v/>
      </c>
    </row>
    <row r="2490">
      <c r="A2490" s="19" t="n"/>
      <c r="B2490" s="20">
        <f>IF(A2490="","",CHOOSE(WEEKDAY(A2490,2),"Mo","Di","Mi","Do","Fr","Sa","So"))</f>
        <v/>
      </c>
      <c r="C2490" s="20">
        <f>IF(A2490="","",INT((A2490-DATE(YEAR(A2490-WEEKDAY(A2490-1)+4),1,3)+WEEKDAY(DATE(YEAR(A2490-WEEKDAY(A2490-1)+4),1,3))+5)/7))</f>
        <v/>
      </c>
      <c r="D2490" s="21" t="n"/>
      <c r="E2490" s="22" t="n"/>
      <c r="F2490" s="23" t="n"/>
      <c r="G2490" s="23" t="n"/>
      <c r="H2490" s="23" t="n"/>
      <c r="I2490" s="20">
        <f>IF(COUNT(F2490:H2490)=0,"",SUM(F2490:H2490))</f>
        <v/>
      </c>
      <c r="J2490" s="23" t="n"/>
      <c r="K2490" s="23" t="n"/>
      <c r="L2490" s="23" t="n"/>
      <c r="M2490" s="23" t="n"/>
      <c r="N2490" s="23" t="n"/>
      <c r="O2490" s="20">
        <f>IF(OR(I2490="",COUNT(J2490:N2490)=0),"",IF(SUM(J2490:N2490)=I2490,"✓","⚠ "&amp;SUM(J2490:N2490)&amp;" statt "&amp;I2490))</f>
        <v/>
      </c>
      <c r="P2490" s="21" t="n"/>
      <c r="Q2490" s="21" t="n"/>
      <c r="R2490" s="21" t="n"/>
      <c r="S2490" s="24" t="n"/>
      <c r="T2490" s="24" t="n"/>
      <c r="V2490">
        <f>IF(A2490="","",MONTH(A2490))</f>
        <v/>
      </c>
      <c r="W2490">
        <f>N(W2489)+IF(AND(C2490&lt;&gt;"",T2490&lt;&gt;""),IF(C2490=WOCHE!$B$3,1,0),0)</f>
        <v/>
      </c>
      <c r="X2490">
        <f>N(X2489)+IF(AND(V2490&lt;&gt;"",T2490&lt;&gt;""),IF(V2490=MONAT!$AZ$3,1,0),0)</f>
        <v/>
      </c>
    </row>
    <row r="2491">
      <c r="A2491" s="19" t="n"/>
      <c r="B2491" s="20">
        <f>IF(A2491="","",CHOOSE(WEEKDAY(A2491,2),"Mo","Di","Mi","Do","Fr","Sa","So"))</f>
        <v/>
      </c>
      <c r="C2491" s="20">
        <f>IF(A2491="","",INT((A2491-DATE(YEAR(A2491-WEEKDAY(A2491-1)+4),1,3)+WEEKDAY(DATE(YEAR(A2491-WEEKDAY(A2491-1)+4),1,3))+5)/7))</f>
        <v/>
      </c>
      <c r="D2491" s="21" t="n"/>
      <c r="E2491" s="22" t="n"/>
      <c r="F2491" s="23" t="n"/>
      <c r="G2491" s="23" t="n"/>
      <c r="H2491" s="23" t="n"/>
      <c r="I2491" s="20">
        <f>IF(COUNT(F2491:H2491)=0,"",SUM(F2491:H2491))</f>
        <v/>
      </c>
      <c r="J2491" s="23" t="n"/>
      <c r="K2491" s="23" t="n"/>
      <c r="L2491" s="23" t="n"/>
      <c r="M2491" s="23" t="n"/>
      <c r="N2491" s="23" t="n"/>
      <c r="O2491" s="20">
        <f>IF(OR(I2491="",COUNT(J2491:N2491)=0),"",IF(SUM(J2491:N2491)=I2491,"✓","⚠ "&amp;SUM(J2491:N2491)&amp;" statt "&amp;I2491))</f>
        <v/>
      </c>
      <c r="P2491" s="21" t="n"/>
      <c r="Q2491" s="21" t="n"/>
      <c r="R2491" s="21" t="n"/>
      <c r="S2491" s="24" t="n"/>
      <c r="T2491" s="24" t="n"/>
      <c r="V2491">
        <f>IF(A2491="","",MONTH(A2491))</f>
        <v/>
      </c>
      <c r="W2491">
        <f>N(W2490)+IF(AND(C2491&lt;&gt;"",T2491&lt;&gt;""),IF(C2491=WOCHE!$B$3,1,0),0)</f>
        <v/>
      </c>
      <c r="X2491">
        <f>N(X2490)+IF(AND(V2491&lt;&gt;"",T2491&lt;&gt;""),IF(V2491=MONAT!$AZ$3,1,0),0)</f>
        <v/>
      </c>
    </row>
    <row r="2492">
      <c r="A2492" s="19" t="n"/>
      <c r="B2492" s="20">
        <f>IF(A2492="","",CHOOSE(WEEKDAY(A2492,2),"Mo","Di","Mi","Do","Fr","Sa","So"))</f>
        <v/>
      </c>
      <c r="C2492" s="20">
        <f>IF(A2492="","",INT((A2492-DATE(YEAR(A2492-WEEKDAY(A2492-1)+4),1,3)+WEEKDAY(DATE(YEAR(A2492-WEEKDAY(A2492-1)+4),1,3))+5)/7))</f>
        <v/>
      </c>
      <c r="D2492" s="21" t="n"/>
      <c r="E2492" s="22" t="n"/>
      <c r="F2492" s="23" t="n"/>
      <c r="G2492" s="23" t="n"/>
      <c r="H2492" s="23" t="n"/>
      <c r="I2492" s="20">
        <f>IF(COUNT(F2492:H2492)=0,"",SUM(F2492:H2492))</f>
        <v/>
      </c>
      <c r="J2492" s="23" t="n"/>
      <c r="K2492" s="23" t="n"/>
      <c r="L2492" s="23" t="n"/>
      <c r="M2492" s="23" t="n"/>
      <c r="N2492" s="23" t="n"/>
      <c r="O2492" s="20">
        <f>IF(OR(I2492="",COUNT(J2492:N2492)=0),"",IF(SUM(J2492:N2492)=I2492,"✓","⚠ "&amp;SUM(J2492:N2492)&amp;" statt "&amp;I2492))</f>
        <v/>
      </c>
      <c r="P2492" s="21" t="n"/>
      <c r="Q2492" s="21" t="n"/>
      <c r="R2492" s="21" t="n"/>
      <c r="S2492" s="24" t="n"/>
      <c r="T2492" s="24" t="n"/>
      <c r="V2492">
        <f>IF(A2492="","",MONTH(A2492))</f>
        <v/>
      </c>
      <c r="W2492">
        <f>N(W2491)+IF(AND(C2492&lt;&gt;"",T2492&lt;&gt;""),IF(C2492=WOCHE!$B$3,1,0),0)</f>
        <v/>
      </c>
      <c r="X2492">
        <f>N(X2491)+IF(AND(V2492&lt;&gt;"",T2492&lt;&gt;""),IF(V2492=MONAT!$AZ$3,1,0),0)</f>
        <v/>
      </c>
    </row>
    <row r="2493">
      <c r="A2493" s="19" t="n"/>
      <c r="B2493" s="20">
        <f>IF(A2493="","",CHOOSE(WEEKDAY(A2493,2),"Mo","Di","Mi","Do","Fr","Sa","So"))</f>
        <v/>
      </c>
      <c r="C2493" s="20">
        <f>IF(A2493="","",INT((A2493-DATE(YEAR(A2493-WEEKDAY(A2493-1)+4),1,3)+WEEKDAY(DATE(YEAR(A2493-WEEKDAY(A2493-1)+4),1,3))+5)/7))</f>
        <v/>
      </c>
      <c r="D2493" s="21" t="n"/>
      <c r="E2493" s="22" t="n"/>
      <c r="F2493" s="23" t="n"/>
      <c r="G2493" s="23" t="n"/>
      <c r="H2493" s="23" t="n"/>
      <c r="I2493" s="20">
        <f>IF(COUNT(F2493:H2493)=0,"",SUM(F2493:H2493))</f>
        <v/>
      </c>
      <c r="J2493" s="23" t="n"/>
      <c r="K2493" s="23" t="n"/>
      <c r="L2493" s="23" t="n"/>
      <c r="M2493" s="23" t="n"/>
      <c r="N2493" s="23" t="n"/>
      <c r="O2493" s="20">
        <f>IF(OR(I2493="",COUNT(J2493:N2493)=0),"",IF(SUM(J2493:N2493)=I2493,"✓","⚠ "&amp;SUM(J2493:N2493)&amp;" statt "&amp;I2493))</f>
        <v/>
      </c>
      <c r="P2493" s="21" t="n"/>
      <c r="Q2493" s="21" t="n"/>
      <c r="R2493" s="21" t="n"/>
      <c r="S2493" s="24" t="n"/>
      <c r="T2493" s="24" t="n"/>
      <c r="V2493">
        <f>IF(A2493="","",MONTH(A2493))</f>
        <v/>
      </c>
      <c r="W2493">
        <f>N(W2492)+IF(AND(C2493&lt;&gt;"",T2493&lt;&gt;""),IF(C2493=WOCHE!$B$3,1,0),0)</f>
        <v/>
      </c>
      <c r="X2493">
        <f>N(X2492)+IF(AND(V2493&lt;&gt;"",T2493&lt;&gt;""),IF(V2493=MONAT!$AZ$3,1,0),0)</f>
        <v/>
      </c>
    </row>
    <row r="2494">
      <c r="A2494" s="19" t="n"/>
      <c r="B2494" s="20">
        <f>IF(A2494="","",CHOOSE(WEEKDAY(A2494,2),"Mo","Di","Mi","Do","Fr","Sa","So"))</f>
        <v/>
      </c>
      <c r="C2494" s="20">
        <f>IF(A2494="","",INT((A2494-DATE(YEAR(A2494-WEEKDAY(A2494-1)+4),1,3)+WEEKDAY(DATE(YEAR(A2494-WEEKDAY(A2494-1)+4),1,3))+5)/7))</f>
        <v/>
      </c>
      <c r="D2494" s="21" t="n"/>
      <c r="E2494" s="22" t="n"/>
      <c r="F2494" s="23" t="n"/>
      <c r="G2494" s="23" t="n"/>
      <c r="H2494" s="23" t="n"/>
      <c r="I2494" s="20">
        <f>IF(COUNT(F2494:H2494)=0,"",SUM(F2494:H2494))</f>
        <v/>
      </c>
      <c r="J2494" s="23" t="n"/>
      <c r="K2494" s="23" t="n"/>
      <c r="L2494" s="23" t="n"/>
      <c r="M2494" s="23" t="n"/>
      <c r="N2494" s="23" t="n"/>
      <c r="O2494" s="20">
        <f>IF(OR(I2494="",COUNT(J2494:N2494)=0),"",IF(SUM(J2494:N2494)=I2494,"✓","⚠ "&amp;SUM(J2494:N2494)&amp;" statt "&amp;I2494))</f>
        <v/>
      </c>
      <c r="P2494" s="21" t="n"/>
      <c r="Q2494" s="21" t="n"/>
      <c r="R2494" s="21" t="n"/>
      <c r="S2494" s="24" t="n"/>
      <c r="T2494" s="24" t="n"/>
      <c r="V2494">
        <f>IF(A2494="","",MONTH(A2494))</f>
        <v/>
      </c>
      <c r="W2494">
        <f>N(W2493)+IF(AND(C2494&lt;&gt;"",T2494&lt;&gt;""),IF(C2494=WOCHE!$B$3,1,0),0)</f>
        <v/>
      </c>
      <c r="X2494">
        <f>N(X2493)+IF(AND(V2494&lt;&gt;"",T2494&lt;&gt;""),IF(V2494=MONAT!$AZ$3,1,0),0)</f>
        <v/>
      </c>
    </row>
    <row r="2495">
      <c r="A2495" s="19" t="n"/>
      <c r="B2495" s="20">
        <f>IF(A2495="","",CHOOSE(WEEKDAY(A2495,2),"Mo","Di","Mi","Do","Fr","Sa","So"))</f>
        <v/>
      </c>
      <c r="C2495" s="20">
        <f>IF(A2495="","",INT((A2495-DATE(YEAR(A2495-WEEKDAY(A2495-1)+4),1,3)+WEEKDAY(DATE(YEAR(A2495-WEEKDAY(A2495-1)+4),1,3))+5)/7))</f>
        <v/>
      </c>
      <c r="D2495" s="21" t="n"/>
      <c r="E2495" s="22" t="n"/>
      <c r="F2495" s="23" t="n"/>
      <c r="G2495" s="23" t="n"/>
      <c r="H2495" s="23" t="n"/>
      <c r="I2495" s="20">
        <f>IF(COUNT(F2495:H2495)=0,"",SUM(F2495:H2495))</f>
        <v/>
      </c>
      <c r="J2495" s="23" t="n"/>
      <c r="K2495" s="23" t="n"/>
      <c r="L2495" s="23" t="n"/>
      <c r="M2495" s="23" t="n"/>
      <c r="N2495" s="23" t="n"/>
      <c r="O2495" s="20">
        <f>IF(OR(I2495="",COUNT(J2495:N2495)=0),"",IF(SUM(J2495:N2495)=I2495,"✓","⚠ "&amp;SUM(J2495:N2495)&amp;" statt "&amp;I2495))</f>
        <v/>
      </c>
      <c r="P2495" s="21" t="n"/>
      <c r="Q2495" s="21" t="n"/>
      <c r="R2495" s="21" t="n"/>
      <c r="S2495" s="24" t="n"/>
      <c r="T2495" s="24" t="n"/>
      <c r="V2495">
        <f>IF(A2495="","",MONTH(A2495))</f>
        <v/>
      </c>
      <c r="W2495">
        <f>N(W2494)+IF(AND(C2495&lt;&gt;"",T2495&lt;&gt;""),IF(C2495=WOCHE!$B$3,1,0),0)</f>
        <v/>
      </c>
      <c r="X2495">
        <f>N(X2494)+IF(AND(V2495&lt;&gt;"",T2495&lt;&gt;""),IF(V2495=MONAT!$AZ$3,1,0),0)</f>
        <v/>
      </c>
    </row>
    <row r="2496">
      <c r="A2496" s="19" t="n"/>
      <c r="B2496" s="20">
        <f>IF(A2496="","",CHOOSE(WEEKDAY(A2496,2),"Mo","Di","Mi","Do","Fr","Sa","So"))</f>
        <v/>
      </c>
      <c r="C2496" s="20">
        <f>IF(A2496="","",INT((A2496-DATE(YEAR(A2496-WEEKDAY(A2496-1)+4),1,3)+WEEKDAY(DATE(YEAR(A2496-WEEKDAY(A2496-1)+4),1,3))+5)/7))</f>
        <v/>
      </c>
      <c r="D2496" s="21" t="n"/>
      <c r="E2496" s="22" t="n"/>
      <c r="F2496" s="23" t="n"/>
      <c r="G2496" s="23" t="n"/>
      <c r="H2496" s="23" t="n"/>
      <c r="I2496" s="20">
        <f>IF(COUNT(F2496:H2496)=0,"",SUM(F2496:H2496))</f>
        <v/>
      </c>
      <c r="J2496" s="23" t="n"/>
      <c r="K2496" s="23" t="n"/>
      <c r="L2496" s="23" t="n"/>
      <c r="M2496" s="23" t="n"/>
      <c r="N2496" s="23" t="n"/>
      <c r="O2496" s="20">
        <f>IF(OR(I2496="",COUNT(J2496:N2496)=0),"",IF(SUM(J2496:N2496)=I2496,"✓","⚠ "&amp;SUM(J2496:N2496)&amp;" statt "&amp;I2496))</f>
        <v/>
      </c>
      <c r="P2496" s="21" t="n"/>
      <c r="Q2496" s="21" t="n"/>
      <c r="R2496" s="21" t="n"/>
      <c r="S2496" s="24" t="n"/>
      <c r="T2496" s="24" t="n"/>
      <c r="V2496">
        <f>IF(A2496="","",MONTH(A2496))</f>
        <v/>
      </c>
      <c r="W2496">
        <f>N(W2495)+IF(AND(C2496&lt;&gt;"",T2496&lt;&gt;""),IF(C2496=WOCHE!$B$3,1,0),0)</f>
        <v/>
      </c>
      <c r="X2496">
        <f>N(X2495)+IF(AND(V2496&lt;&gt;"",T2496&lt;&gt;""),IF(V2496=MONAT!$AZ$3,1,0),0)</f>
        <v/>
      </c>
    </row>
    <row r="2497">
      <c r="A2497" s="19" t="n"/>
      <c r="B2497" s="20">
        <f>IF(A2497="","",CHOOSE(WEEKDAY(A2497,2),"Mo","Di","Mi","Do","Fr","Sa","So"))</f>
        <v/>
      </c>
      <c r="C2497" s="20">
        <f>IF(A2497="","",INT((A2497-DATE(YEAR(A2497-WEEKDAY(A2497-1)+4),1,3)+WEEKDAY(DATE(YEAR(A2497-WEEKDAY(A2497-1)+4),1,3))+5)/7))</f>
        <v/>
      </c>
      <c r="D2497" s="21" t="n"/>
      <c r="E2497" s="22" t="n"/>
      <c r="F2497" s="23" t="n"/>
      <c r="G2497" s="23" t="n"/>
      <c r="H2497" s="23" t="n"/>
      <c r="I2497" s="20">
        <f>IF(COUNT(F2497:H2497)=0,"",SUM(F2497:H2497))</f>
        <v/>
      </c>
      <c r="J2497" s="23" t="n"/>
      <c r="K2497" s="23" t="n"/>
      <c r="L2497" s="23" t="n"/>
      <c r="M2497" s="23" t="n"/>
      <c r="N2497" s="23" t="n"/>
      <c r="O2497" s="20">
        <f>IF(OR(I2497="",COUNT(J2497:N2497)=0),"",IF(SUM(J2497:N2497)=I2497,"✓","⚠ "&amp;SUM(J2497:N2497)&amp;" statt "&amp;I2497))</f>
        <v/>
      </c>
      <c r="P2497" s="21" t="n"/>
      <c r="Q2497" s="21" t="n"/>
      <c r="R2497" s="21" t="n"/>
      <c r="S2497" s="24" t="n"/>
      <c r="T2497" s="24" t="n"/>
      <c r="V2497">
        <f>IF(A2497="","",MONTH(A2497))</f>
        <v/>
      </c>
      <c r="W2497">
        <f>N(W2496)+IF(AND(C2497&lt;&gt;"",T2497&lt;&gt;""),IF(C2497=WOCHE!$B$3,1,0),0)</f>
        <v/>
      </c>
      <c r="X2497">
        <f>N(X2496)+IF(AND(V2497&lt;&gt;"",T2497&lt;&gt;""),IF(V2497=MONAT!$AZ$3,1,0),0)</f>
        <v/>
      </c>
    </row>
    <row r="2498">
      <c r="A2498" s="19" t="n"/>
      <c r="B2498" s="20">
        <f>IF(A2498="","",CHOOSE(WEEKDAY(A2498,2),"Mo","Di","Mi","Do","Fr","Sa","So"))</f>
        <v/>
      </c>
      <c r="C2498" s="20">
        <f>IF(A2498="","",INT((A2498-DATE(YEAR(A2498-WEEKDAY(A2498-1)+4),1,3)+WEEKDAY(DATE(YEAR(A2498-WEEKDAY(A2498-1)+4),1,3))+5)/7))</f>
        <v/>
      </c>
      <c r="D2498" s="21" t="n"/>
      <c r="E2498" s="22" t="n"/>
      <c r="F2498" s="23" t="n"/>
      <c r="G2498" s="23" t="n"/>
      <c r="H2498" s="23" t="n"/>
      <c r="I2498" s="20">
        <f>IF(COUNT(F2498:H2498)=0,"",SUM(F2498:H2498))</f>
        <v/>
      </c>
      <c r="J2498" s="23" t="n"/>
      <c r="K2498" s="23" t="n"/>
      <c r="L2498" s="23" t="n"/>
      <c r="M2498" s="23" t="n"/>
      <c r="N2498" s="23" t="n"/>
      <c r="O2498" s="20">
        <f>IF(OR(I2498="",COUNT(J2498:N2498)=0),"",IF(SUM(J2498:N2498)=I2498,"✓","⚠ "&amp;SUM(J2498:N2498)&amp;" statt "&amp;I2498))</f>
        <v/>
      </c>
      <c r="P2498" s="21" t="n"/>
      <c r="Q2498" s="21" t="n"/>
      <c r="R2498" s="21" t="n"/>
      <c r="S2498" s="24" t="n"/>
      <c r="T2498" s="24" t="n"/>
      <c r="V2498">
        <f>IF(A2498="","",MONTH(A2498))</f>
        <v/>
      </c>
      <c r="W2498">
        <f>N(W2497)+IF(AND(C2498&lt;&gt;"",T2498&lt;&gt;""),IF(C2498=WOCHE!$B$3,1,0),0)</f>
        <v/>
      </c>
      <c r="X2498">
        <f>N(X2497)+IF(AND(V2498&lt;&gt;"",T2498&lt;&gt;""),IF(V2498=MONAT!$AZ$3,1,0),0)</f>
        <v/>
      </c>
    </row>
    <row r="2499">
      <c r="A2499" s="19" t="n"/>
      <c r="B2499" s="20">
        <f>IF(A2499="","",CHOOSE(WEEKDAY(A2499,2),"Mo","Di","Mi","Do","Fr","Sa","So"))</f>
        <v/>
      </c>
      <c r="C2499" s="20">
        <f>IF(A2499="","",INT((A2499-DATE(YEAR(A2499-WEEKDAY(A2499-1)+4),1,3)+WEEKDAY(DATE(YEAR(A2499-WEEKDAY(A2499-1)+4),1,3))+5)/7))</f>
        <v/>
      </c>
      <c r="D2499" s="21" t="n"/>
      <c r="E2499" s="22" t="n"/>
      <c r="F2499" s="23" t="n"/>
      <c r="G2499" s="23" t="n"/>
      <c r="H2499" s="23" t="n"/>
      <c r="I2499" s="20">
        <f>IF(COUNT(F2499:H2499)=0,"",SUM(F2499:H2499))</f>
        <v/>
      </c>
      <c r="J2499" s="23" t="n"/>
      <c r="K2499" s="23" t="n"/>
      <c r="L2499" s="23" t="n"/>
      <c r="M2499" s="23" t="n"/>
      <c r="N2499" s="23" t="n"/>
      <c r="O2499" s="20">
        <f>IF(OR(I2499="",COUNT(J2499:N2499)=0),"",IF(SUM(J2499:N2499)=I2499,"✓","⚠ "&amp;SUM(J2499:N2499)&amp;" statt "&amp;I2499))</f>
        <v/>
      </c>
      <c r="P2499" s="21" t="n"/>
      <c r="Q2499" s="21" t="n"/>
      <c r="R2499" s="21" t="n"/>
      <c r="S2499" s="24" t="n"/>
      <c r="T2499" s="24" t="n"/>
      <c r="V2499">
        <f>IF(A2499="","",MONTH(A2499))</f>
        <v/>
      </c>
      <c r="W2499">
        <f>N(W2498)+IF(AND(C2499&lt;&gt;"",T2499&lt;&gt;""),IF(C2499=WOCHE!$B$3,1,0),0)</f>
        <v/>
      </c>
      <c r="X2499">
        <f>N(X2498)+IF(AND(V2499&lt;&gt;"",T2499&lt;&gt;""),IF(V2499=MONAT!$AZ$3,1,0),0)</f>
        <v/>
      </c>
    </row>
    <row r="2500">
      <c r="A2500" s="19" t="n"/>
      <c r="B2500" s="20">
        <f>IF(A2500="","",CHOOSE(WEEKDAY(A2500,2),"Mo","Di","Mi","Do","Fr","Sa","So"))</f>
        <v/>
      </c>
      <c r="C2500" s="20">
        <f>IF(A2500="","",INT((A2500-DATE(YEAR(A2500-WEEKDAY(A2500-1)+4),1,3)+WEEKDAY(DATE(YEAR(A2500-WEEKDAY(A2500-1)+4),1,3))+5)/7))</f>
        <v/>
      </c>
      <c r="D2500" s="21" t="n"/>
      <c r="E2500" s="22" t="n"/>
      <c r="F2500" s="23" t="n"/>
      <c r="G2500" s="23" t="n"/>
      <c r="H2500" s="23" t="n"/>
      <c r="I2500" s="20">
        <f>IF(COUNT(F2500:H2500)=0,"",SUM(F2500:H2500))</f>
        <v/>
      </c>
      <c r="J2500" s="23" t="n"/>
      <c r="K2500" s="23" t="n"/>
      <c r="L2500" s="23" t="n"/>
      <c r="M2500" s="23" t="n"/>
      <c r="N2500" s="23" t="n"/>
      <c r="O2500" s="20">
        <f>IF(OR(I2500="",COUNT(J2500:N2500)=0),"",IF(SUM(J2500:N2500)=I2500,"✓","⚠ "&amp;SUM(J2500:N2500)&amp;" statt "&amp;I2500))</f>
        <v/>
      </c>
      <c r="P2500" s="21" t="n"/>
      <c r="Q2500" s="21" t="n"/>
      <c r="R2500" s="21" t="n"/>
      <c r="S2500" s="24" t="n"/>
      <c r="T2500" s="24" t="n"/>
      <c r="V2500">
        <f>IF(A2500="","",MONTH(A2500))</f>
        <v/>
      </c>
      <c r="W2500">
        <f>N(W2499)+IF(AND(C2500&lt;&gt;"",T2500&lt;&gt;""),IF(C2500=WOCHE!$B$3,1,0),0)</f>
        <v/>
      </c>
      <c r="X2500">
        <f>N(X2499)+IF(AND(V2500&lt;&gt;"",T2500&lt;&gt;""),IF(V2500=MONAT!$AZ$3,1,0),0)</f>
        <v/>
      </c>
    </row>
    <row r="2501">
      <c r="A2501" s="19" t="n"/>
      <c r="B2501" s="20">
        <f>IF(A2501="","",CHOOSE(WEEKDAY(A2501,2),"Mo","Di","Mi","Do","Fr","Sa","So"))</f>
        <v/>
      </c>
      <c r="C2501" s="20">
        <f>IF(A2501="","",INT((A2501-DATE(YEAR(A2501-WEEKDAY(A2501-1)+4),1,3)+WEEKDAY(DATE(YEAR(A2501-WEEKDAY(A2501-1)+4),1,3))+5)/7))</f>
        <v/>
      </c>
      <c r="D2501" s="21" t="n"/>
      <c r="E2501" s="22" t="n"/>
      <c r="F2501" s="23" t="n"/>
      <c r="G2501" s="23" t="n"/>
      <c r="H2501" s="23" t="n"/>
      <c r="I2501" s="20">
        <f>IF(COUNT(F2501:H2501)=0,"",SUM(F2501:H2501))</f>
        <v/>
      </c>
      <c r="J2501" s="23" t="n"/>
      <c r="K2501" s="23" t="n"/>
      <c r="L2501" s="23" t="n"/>
      <c r="M2501" s="23" t="n"/>
      <c r="N2501" s="23" t="n"/>
      <c r="O2501" s="20">
        <f>IF(OR(I2501="",COUNT(J2501:N2501)=0),"",IF(SUM(J2501:N2501)=I2501,"✓","⚠ "&amp;SUM(J2501:N2501)&amp;" statt "&amp;I2501))</f>
        <v/>
      </c>
      <c r="P2501" s="21" t="n"/>
      <c r="Q2501" s="21" t="n"/>
      <c r="R2501" s="21" t="n"/>
      <c r="S2501" s="24" t="n"/>
      <c r="T2501" s="24" t="n"/>
      <c r="V2501">
        <f>IF(A2501="","",MONTH(A2501))</f>
        <v/>
      </c>
      <c r="W2501">
        <f>N(W2500)+IF(AND(C2501&lt;&gt;"",T2501&lt;&gt;""),IF(C2501=WOCHE!$B$3,1,0),0)</f>
        <v/>
      </c>
      <c r="X2501">
        <f>N(X2500)+IF(AND(V2501&lt;&gt;"",T2501&lt;&gt;""),IF(V2501=MONAT!$AZ$3,1,0),0)</f>
        <v/>
      </c>
    </row>
    <row r="2502">
      <c r="A2502" s="19" t="n"/>
      <c r="B2502" s="20">
        <f>IF(A2502="","",CHOOSE(WEEKDAY(A2502,2),"Mo","Di","Mi","Do","Fr","Sa","So"))</f>
        <v/>
      </c>
      <c r="C2502" s="20">
        <f>IF(A2502="","",INT((A2502-DATE(YEAR(A2502-WEEKDAY(A2502-1)+4),1,3)+WEEKDAY(DATE(YEAR(A2502-WEEKDAY(A2502-1)+4),1,3))+5)/7))</f>
        <v/>
      </c>
      <c r="D2502" s="21" t="n"/>
      <c r="E2502" s="22" t="n"/>
      <c r="F2502" s="23" t="n"/>
      <c r="G2502" s="23" t="n"/>
      <c r="H2502" s="23" t="n"/>
      <c r="I2502" s="20">
        <f>IF(COUNT(F2502:H2502)=0,"",SUM(F2502:H2502))</f>
        <v/>
      </c>
      <c r="J2502" s="23" t="n"/>
      <c r="K2502" s="23" t="n"/>
      <c r="L2502" s="23" t="n"/>
      <c r="M2502" s="23" t="n"/>
      <c r="N2502" s="23" t="n"/>
      <c r="O2502" s="20">
        <f>IF(OR(I2502="",COUNT(J2502:N2502)=0),"",IF(SUM(J2502:N2502)=I2502,"✓","⚠ "&amp;SUM(J2502:N2502)&amp;" statt "&amp;I2502))</f>
        <v/>
      </c>
      <c r="P2502" s="21" t="n"/>
      <c r="Q2502" s="21" t="n"/>
      <c r="R2502" s="21" t="n"/>
      <c r="S2502" s="24" t="n"/>
      <c r="T2502" s="24" t="n"/>
      <c r="V2502">
        <f>IF(A2502="","",MONTH(A2502))</f>
        <v/>
      </c>
      <c r="W2502">
        <f>N(W2501)+IF(AND(C2502&lt;&gt;"",T2502&lt;&gt;""),IF(C2502=WOCHE!$B$3,1,0),0)</f>
        <v/>
      </c>
      <c r="X2502">
        <f>N(X2501)+IF(AND(V2502&lt;&gt;"",T2502&lt;&gt;""),IF(V2502=MONAT!$AZ$3,1,0),0)</f>
        <v/>
      </c>
    </row>
    <row r="2503">
      <c r="A2503" s="19" t="n"/>
      <c r="B2503" s="20">
        <f>IF(A2503="","",CHOOSE(WEEKDAY(A2503,2),"Mo","Di","Mi","Do","Fr","Sa","So"))</f>
        <v/>
      </c>
      <c r="C2503" s="20">
        <f>IF(A2503="","",INT((A2503-DATE(YEAR(A2503-WEEKDAY(A2503-1)+4),1,3)+WEEKDAY(DATE(YEAR(A2503-WEEKDAY(A2503-1)+4),1,3))+5)/7))</f>
        <v/>
      </c>
      <c r="D2503" s="21" t="n"/>
      <c r="E2503" s="22" t="n"/>
      <c r="F2503" s="23" t="n"/>
      <c r="G2503" s="23" t="n"/>
      <c r="H2503" s="23" t="n"/>
      <c r="I2503" s="20">
        <f>IF(COUNT(F2503:H2503)=0,"",SUM(F2503:H2503))</f>
        <v/>
      </c>
      <c r="J2503" s="23" t="n"/>
      <c r="K2503" s="23" t="n"/>
      <c r="L2503" s="23" t="n"/>
      <c r="M2503" s="23" t="n"/>
      <c r="N2503" s="23" t="n"/>
      <c r="O2503" s="20">
        <f>IF(OR(I2503="",COUNT(J2503:N2503)=0),"",IF(SUM(J2503:N2503)=I2503,"✓","⚠ "&amp;SUM(J2503:N2503)&amp;" statt "&amp;I2503))</f>
        <v/>
      </c>
      <c r="P2503" s="21" t="n"/>
      <c r="Q2503" s="21" t="n"/>
      <c r="R2503" s="21" t="n"/>
      <c r="S2503" s="24" t="n"/>
      <c r="T2503" s="24" t="n"/>
      <c r="V2503">
        <f>IF(A2503="","",MONTH(A2503))</f>
        <v/>
      </c>
      <c r="W2503">
        <f>N(W2502)+IF(AND(C2503&lt;&gt;"",T2503&lt;&gt;""),IF(C2503=WOCHE!$B$3,1,0),0)</f>
        <v/>
      </c>
      <c r="X2503">
        <f>N(X2502)+IF(AND(V2503&lt;&gt;"",T2503&lt;&gt;""),IF(V2503=MONAT!$AZ$3,1,0),0)</f>
        <v/>
      </c>
    </row>
    <row r="2504">
      <c r="A2504" s="19" t="n"/>
      <c r="B2504" s="20">
        <f>IF(A2504="","",CHOOSE(WEEKDAY(A2504,2),"Mo","Di","Mi","Do","Fr","Sa","So"))</f>
        <v/>
      </c>
      <c r="C2504" s="20">
        <f>IF(A2504="","",INT((A2504-DATE(YEAR(A2504-WEEKDAY(A2504-1)+4),1,3)+WEEKDAY(DATE(YEAR(A2504-WEEKDAY(A2504-1)+4),1,3))+5)/7))</f>
        <v/>
      </c>
      <c r="D2504" s="21" t="n"/>
      <c r="E2504" s="22" t="n"/>
      <c r="F2504" s="23" t="n"/>
      <c r="G2504" s="23" t="n"/>
      <c r="H2504" s="23" t="n"/>
      <c r="I2504" s="20">
        <f>IF(COUNT(F2504:H2504)=0,"",SUM(F2504:H2504))</f>
        <v/>
      </c>
      <c r="J2504" s="23" t="n"/>
      <c r="K2504" s="23" t="n"/>
      <c r="L2504" s="23" t="n"/>
      <c r="M2504" s="23" t="n"/>
      <c r="N2504" s="23" t="n"/>
      <c r="O2504" s="20">
        <f>IF(OR(I2504="",COUNT(J2504:N2504)=0),"",IF(SUM(J2504:N2504)=I2504,"✓","⚠ "&amp;SUM(J2504:N2504)&amp;" statt "&amp;I2504))</f>
        <v/>
      </c>
      <c r="P2504" s="21" t="n"/>
      <c r="Q2504" s="21" t="n"/>
      <c r="R2504" s="21" t="n"/>
      <c r="S2504" s="24" t="n"/>
      <c r="T2504" s="24" t="n"/>
      <c r="V2504">
        <f>IF(A2504="","",MONTH(A2504))</f>
        <v/>
      </c>
      <c r="W2504">
        <f>N(W2503)+IF(AND(C2504&lt;&gt;"",T2504&lt;&gt;""),IF(C2504=WOCHE!$B$3,1,0),0)</f>
        <v/>
      </c>
      <c r="X2504">
        <f>N(X2503)+IF(AND(V2504&lt;&gt;"",T2504&lt;&gt;""),IF(V2504=MONAT!$AZ$3,1,0),0)</f>
        <v/>
      </c>
    </row>
    <row r="2505">
      <c r="A2505" s="19" t="n"/>
      <c r="B2505" s="20">
        <f>IF(A2505="","",CHOOSE(WEEKDAY(A2505,2),"Mo","Di","Mi","Do","Fr","Sa","So"))</f>
        <v/>
      </c>
      <c r="C2505" s="20">
        <f>IF(A2505="","",INT((A2505-DATE(YEAR(A2505-WEEKDAY(A2505-1)+4),1,3)+WEEKDAY(DATE(YEAR(A2505-WEEKDAY(A2505-1)+4),1,3))+5)/7))</f>
        <v/>
      </c>
      <c r="D2505" s="21" t="n"/>
      <c r="E2505" s="22" t="n"/>
      <c r="F2505" s="23" t="n"/>
      <c r="G2505" s="23" t="n"/>
      <c r="H2505" s="23" t="n"/>
      <c r="I2505" s="20">
        <f>IF(COUNT(F2505:H2505)=0,"",SUM(F2505:H2505))</f>
        <v/>
      </c>
      <c r="J2505" s="23" t="n"/>
      <c r="K2505" s="23" t="n"/>
      <c r="L2505" s="23" t="n"/>
      <c r="M2505" s="23" t="n"/>
      <c r="N2505" s="23" t="n"/>
      <c r="O2505" s="20">
        <f>IF(OR(I2505="",COUNT(J2505:N2505)=0),"",IF(SUM(J2505:N2505)=I2505,"✓","⚠ "&amp;SUM(J2505:N2505)&amp;" statt "&amp;I2505))</f>
        <v/>
      </c>
      <c r="P2505" s="21" t="n"/>
      <c r="Q2505" s="21" t="n"/>
      <c r="R2505" s="21" t="n"/>
      <c r="S2505" s="24" t="n"/>
      <c r="T2505" s="24" t="n"/>
      <c r="V2505">
        <f>IF(A2505="","",MONTH(A2505))</f>
        <v/>
      </c>
      <c r="W2505">
        <f>N(W2504)+IF(AND(C2505&lt;&gt;"",T2505&lt;&gt;""),IF(C2505=WOCHE!$B$3,1,0),0)</f>
        <v/>
      </c>
      <c r="X2505">
        <f>N(X2504)+IF(AND(V2505&lt;&gt;"",T2505&lt;&gt;""),IF(V2505=MONAT!$AZ$3,1,0),0)</f>
        <v/>
      </c>
    </row>
    <row r="2506">
      <c r="A2506" s="19" t="n"/>
      <c r="B2506" s="20">
        <f>IF(A2506="","",CHOOSE(WEEKDAY(A2506,2),"Mo","Di","Mi","Do","Fr","Sa","So"))</f>
        <v/>
      </c>
      <c r="C2506" s="20">
        <f>IF(A2506="","",INT((A2506-DATE(YEAR(A2506-WEEKDAY(A2506-1)+4),1,3)+WEEKDAY(DATE(YEAR(A2506-WEEKDAY(A2506-1)+4),1,3))+5)/7))</f>
        <v/>
      </c>
      <c r="D2506" s="21" t="n"/>
      <c r="E2506" s="22" t="n"/>
      <c r="F2506" s="23" t="n"/>
      <c r="G2506" s="23" t="n"/>
      <c r="H2506" s="23" t="n"/>
      <c r="I2506" s="20">
        <f>IF(COUNT(F2506:H2506)=0,"",SUM(F2506:H2506))</f>
        <v/>
      </c>
      <c r="J2506" s="23" t="n"/>
      <c r="K2506" s="23" t="n"/>
      <c r="L2506" s="23" t="n"/>
      <c r="M2506" s="23" t="n"/>
      <c r="N2506" s="23" t="n"/>
      <c r="O2506" s="20">
        <f>IF(OR(I2506="",COUNT(J2506:N2506)=0),"",IF(SUM(J2506:N2506)=I2506,"✓","⚠ "&amp;SUM(J2506:N2506)&amp;" statt "&amp;I2506))</f>
        <v/>
      </c>
      <c r="P2506" s="21" t="n"/>
      <c r="Q2506" s="21" t="n"/>
      <c r="R2506" s="21" t="n"/>
      <c r="S2506" s="24" t="n"/>
      <c r="T2506" s="24" t="n"/>
      <c r="V2506">
        <f>IF(A2506="","",MONTH(A2506))</f>
        <v/>
      </c>
      <c r="W2506">
        <f>N(W2505)+IF(AND(C2506&lt;&gt;"",T2506&lt;&gt;""),IF(C2506=WOCHE!$B$3,1,0),0)</f>
        <v/>
      </c>
      <c r="X2506">
        <f>N(X2505)+IF(AND(V2506&lt;&gt;"",T2506&lt;&gt;""),IF(V2506=MONAT!$AZ$3,1,0),0)</f>
        <v/>
      </c>
    </row>
    <row r="2507">
      <c r="A2507" s="19" t="n"/>
      <c r="B2507" s="20">
        <f>IF(A2507="","",CHOOSE(WEEKDAY(A2507,2),"Mo","Di","Mi","Do","Fr","Sa","So"))</f>
        <v/>
      </c>
      <c r="C2507" s="20">
        <f>IF(A2507="","",INT((A2507-DATE(YEAR(A2507-WEEKDAY(A2507-1)+4),1,3)+WEEKDAY(DATE(YEAR(A2507-WEEKDAY(A2507-1)+4),1,3))+5)/7))</f>
        <v/>
      </c>
      <c r="D2507" s="21" t="n"/>
      <c r="E2507" s="22" t="n"/>
      <c r="F2507" s="23" t="n"/>
      <c r="G2507" s="23" t="n"/>
      <c r="H2507" s="23" t="n"/>
      <c r="I2507" s="20">
        <f>IF(COUNT(F2507:H2507)=0,"",SUM(F2507:H2507))</f>
        <v/>
      </c>
      <c r="J2507" s="23" t="n"/>
      <c r="K2507" s="23" t="n"/>
      <c r="L2507" s="23" t="n"/>
      <c r="M2507" s="23" t="n"/>
      <c r="N2507" s="23" t="n"/>
      <c r="O2507" s="20">
        <f>IF(OR(I2507="",COUNT(J2507:N2507)=0),"",IF(SUM(J2507:N2507)=I2507,"✓","⚠ "&amp;SUM(J2507:N2507)&amp;" statt "&amp;I2507))</f>
        <v/>
      </c>
      <c r="P2507" s="21" t="n"/>
      <c r="Q2507" s="21" t="n"/>
      <c r="R2507" s="21" t="n"/>
      <c r="S2507" s="24" t="n"/>
      <c r="T2507" s="24" t="n"/>
      <c r="V2507">
        <f>IF(A2507="","",MONTH(A2507))</f>
        <v/>
      </c>
      <c r="W2507">
        <f>N(W2506)+IF(AND(C2507&lt;&gt;"",T2507&lt;&gt;""),IF(C2507=WOCHE!$B$3,1,0),0)</f>
        <v/>
      </c>
      <c r="X2507">
        <f>N(X2506)+IF(AND(V2507&lt;&gt;"",T2507&lt;&gt;""),IF(V2507=MONAT!$AZ$3,1,0),0)</f>
        <v/>
      </c>
    </row>
    <row r="2508">
      <c r="A2508" s="19" t="n"/>
      <c r="B2508" s="20">
        <f>IF(A2508="","",CHOOSE(WEEKDAY(A2508,2),"Mo","Di","Mi","Do","Fr","Sa","So"))</f>
        <v/>
      </c>
      <c r="C2508" s="20">
        <f>IF(A2508="","",INT((A2508-DATE(YEAR(A2508-WEEKDAY(A2508-1)+4),1,3)+WEEKDAY(DATE(YEAR(A2508-WEEKDAY(A2508-1)+4),1,3))+5)/7))</f>
        <v/>
      </c>
      <c r="D2508" s="21" t="n"/>
      <c r="E2508" s="22" t="n"/>
      <c r="F2508" s="23" t="n"/>
      <c r="G2508" s="23" t="n"/>
      <c r="H2508" s="23" t="n"/>
      <c r="I2508" s="20">
        <f>IF(COUNT(F2508:H2508)=0,"",SUM(F2508:H2508))</f>
        <v/>
      </c>
      <c r="J2508" s="23" t="n"/>
      <c r="K2508" s="23" t="n"/>
      <c r="L2508" s="23" t="n"/>
      <c r="M2508" s="23" t="n"/>
      <c r="N2508" s="23" t="n"/>
      <c r="O2508" s="20">
        <f>IF(OR(I2508="",COUNT(J2508:N2508)=0),"",IF(SUM(J2508:N2508)=I2508,"✓","⚠ "&amp;SUM(J2508:N2508)&amp;" statt "&amp;I2508))</f>
        <v/>
      </c>
      <c r="P2508" s="21" t="n"/>
      <c r="Q2508" s="21" t="n"/>
      <c r="R2508" s="21" t="n"/>
      <c r="S2508" s="24" t="n"/>
      <c r="T2508" s="24" t="n"/>
      <c r="V2508">
        <f>IF(A2508="","",MONTH(A2508))</f>
        <v/>
      </c>
      <c r="W2508">
        <f>N(W2507)+IF(AND(C2508&lt;&gt;"",T2508&lt;&gt;""),IF(C2508=WOCHE!$B$3,1,0),0)</f>
        <v/>
      </c>
      <c r="X2508">
        <f>N(X2507)+IF(AND(V2508&lt;&gt;"",T2508&lt;&gt;""),IF(V2508=MONAT!$AZ$3,1,0),0)</f>
        <v/>
      </c>
    </row>
    <row r="2509">
      <c r="A2509" s="19" t="n"/>
      <c r="B2509" s="20">
        <f>IF(A2509="","",CHOOSE(WEEKDAY(A2509,2),"Mo","Di","Mi","Do","Fr","Sa","So"))</f>
        <v/>
      </c>
      <c r="C2509" s="20">
        <f>IF(A2509="","",INT((A2509-DATE(YEAR(A2509-WEEKDAY(A2509-1)+4),1,3)+WEEKDAY(DATE(YEAR(A2509-WEEKDAY(A2509-1)+4),1,3))+5)/7))</f>
        <v/>
      </c>
      <c r="D2509" s="21" t="n"/>
      <c r="E2509" s="22" t="n"/>
      <c r="F2509" s="23" t="n"/>
      <c r="G2509" s="23" t="n"/>
      <c r="H2509" s="23" t="n"/>
      <c r="I2509" s="20">
        <f>IF(COUNT(F2509:H2509)=0,"",SUM(F2509:H2509))</f>
        <v/>
      </c>
      <c r="J2509" s="23" t="n"/>
      <c r="K2509" s="23" t="n"/>
      <c r="L2509" s="23" t="n"/>
      <c r="M2509" s="23" t="n"/>
      <c r="N2509" s="23" t="n"/>
      <c r="O2509" s="20">
        <f>IF(OR(I2509="",COUNT(J2509:N2509)=0),"",IF(SUM(J2509:N2509)=I2509,"✓","⚠ "&amp;SUM(J2509:N2509)&amp;" statt "&amp;I2509))</f>
        <v/>
      </c>
      <c r="P2509" s="21" t="n"/>
      <c r="Q2509" s="21" t="n"/>
      <c r="R2509" s="21" t="n"/>
      <c r="S2509" s="24" t="n"/>
      <c r="T2509" s="24" t="n"/>
      <c r="V2509">
        <f>IF(A2509="","",MONTH(A2509))</f>
        <v/>
      </c>
      <c r="W2509">
        <f>N(W2508)+IF(AND(C2509&lt;&gt;"",T2509&lt;&gt;""),IF(C2509=WOCHE!$B$3,1,0),0)</f>
        <v/>
      </c>
      <c r="X2509">
        <f>N(X2508)+IF(AND(V2509&lt;&gt;"",T2509&lt;&gt;""),IF(V2509=MONAT!$AZ$3,1,0),0)</f>
        <v/>
      </c>
    </row>
    <row r="2510">
      <c r="A2510" s="19" t="n"/>
      <c r="B2510" s="20">
        <f>IF(A2510="","",CHOOSE(WEEKDAY(A2510,2),"Mo","Di","Mi","Do","Fr","Sa","So"))</f>
        <v/>
      </c>
      <c r="C2510" s="20">
        <f>IF(A2510="","",INT((A2510-DATE(YEAR(A2510-WEEKDAY(A2510-1)+4),1,3)+WEEKDAY(DATE(YEAR(A2510-WEEKDAY(A2510-1)+4),1,3))+5)/7))</f>
        <v/>
      </c>
      <c r="D2510" s="21" t="n"/>
      <c r="E2510" s="22" t="n"/>
      <c r="F2510" s="23" t="n"/>
      <c r="G2510" s="23" t="n"/>
      <c r="H2510" s="23" t="n"/>
      <c r="I2510" s="20">
        <f>IF(COUNT(F2510:H2510)=0,"",SUM(F2510:H2510))</f>
        <v/>
      </c>
      <c r="J2510" s="23" t="n"/>
      <c r="K2510" s="23" t="n"/>
      <c r="L2510" s="23" t="n"/>
      <c r="M2510" s="23" t="n"/>
      <c r="N2510" s="23" t="n"/>
      <c r="O2510" s="20">
        <f>IF(OR(I2510="",COUNT(J2510:N2510)=0),"",IF(SUM(J2510:N2510)=I2510,"✓","⚠ "&amp;SUM(J2510:N2510)&amp;" statt "&amp;I2510))</f>
        <v/>
      </c>
      <c r="P2510" s="21" t="n"/>
      <c r="Q2510" s="21" t="n"/>
      <c r="R2510" s="21" t="n"/>
      <c r="S2510" s="24" t="n"/>
      <c r="T2510" s="24" t="n"/>
      <c r="V2510">
        <f>IF(A2510="","",MONTH(A2510))</f>
        <v/>
      </c>
      <c r="W2510">
        <f>N(W2509)+IF(AND(C2510&lt;&gt;"",T2510&lt;&gt;""),IF(C2510=WOCHE!$B$3,1,0),0)</f>
        <v/>
      </c>
      <c r="X2510">
        <f>N(X2509)+IF(AND(V2510&lt;&gt;"",T2510&lt;&gt;""),IF(V2510=MONAT!$AZ$3,1,0),0)</f>
        <v/>
      </c>
    </row>
    <row r="2511">
      <c r="A2511" s="19" t="n"/>
      <c r="B2511" s="20">
        <f>IF(A2511="","",CHOOSE(WEEKDAY(A2511,2),"Mo","Di","Mi","Do","Fr","Sa","So"))</f>
        <v/>
      </c>
      <c r="C2511" s="20">
        <f>IF(A2511="","",INT((A2511-DATE(YEAR(A2511-WEEKDAY(A2511-1)+4),1,3)+WEEKDAY(DATE(YEAR(A2511-WEEKDAY(A2511-1)+4),1,3))+5)/7))</f>
        <v/>
      </c>
      <c r="D2511" s="21" t="n"/>
      <c r="E2511" s="22" t="n"/>
      <c r="F2511" s="23" t="n"/>
      <c r="G2511" s="23" t="n"/>
      <c r="H2511" s="23" t="n"/>
      <c r="I2511" s="20">
        <f>IF(COUNT(F2511:H2511)=0,"",SUM(F2511:H2511))</f>
        <v/>
      </c>
      <c r="J2511" s="23" t="n"/>
      <c r="K2511" s="23" t="n"/>
      <c r="L2511" s="23" t="n"/>
      <c r="M2511" s="23" t="n"/>
      <c r="N2511" s="23" t="n"/>
      <c r="O2511" s="20">
        <f>IF(OR(I2511="",COUNT(J2511:N2511)=0),"",IF(SUM(J2511:N2511)=I2511,"✓","⚠ "&amp;SUM(J2511:N2511)&amp;" statt "&amp;I2511))</f>
        <v/>
      </c>
      <c r="P2511" s="21" t="n"/>
      <c r="Q2511" s="21" t="n"/>
      <c r="R2511" s="21" t="n"/>
      <c r="S2511" s="24" t="n"/>
      <c r="T2511" s="24" t="n"/>
      <c r="V2511">
        <f>IF(A2511="","",MONTH(A2511))</f>
        <v/>
      </c>
      <c r="W2511">
        <f>N(W2510)+IF(AND(C2511&lt;&gt;"",T2511&lt;&gt;""),IF(C2511=WOCHE!$B$3,1,0),0)</f>
        <v/>
      </c>
      <c r="X2511">
        <f>N(X2510)+IF(AND(V2511&lt;&gt;"",T2511&lt;&gt;""),IF(V2511=MONAT!$AZ$3,1,0),0)</f>
        <v/>
      </c>
    </row>
    <row r="2512">
      <c r="A2512" s="19" t="n"/>
      <c r="B2512" s="20">
        <f>IF(A2512="","",CHOOSE(WEEKDAY(A2512,2),"Mo","Di","Mi","Do","Fr","Sa","So"))</f>
        <v/>
      </c>
      <c r="C2512" s="20">
        <f>IF(A2512="","",INT((A2512-DATE(YEAR(A2512-WEEKDAY(A2512-1)+4),1,3)+WEEKDAY(DATE(YEAR(A2512-WEEKDAY(A2512-1)+4),1,3))+5)/7))</f>
        <v/>
      </c>
      <c r="D2512" s="21" t="n"/>
      <c r="E2512" s="22" t="n"/>
      <c r="F2512" s="23" t="n"/>
      <c r="G2512" s="23" t="n"/>
      <c r="H2512" s="23" t="n"/>
      <c r="I2512" s="20">
        <f>IF(COUNT(F2512:H2512)=0,"",SUM(F2512:H2512))</f>
        <v/>
      </c>
      <c r="J2512" s="23" t="n"/>
      <c r="K2512" s="23" t="n"/>
      <c r="L2512" s="23" t="n"/>
      <c r="M2512" s="23" t="n"/>
      <c r="N2512" s="23" t="n"/>
      <c r="O2512" s="20">
        <f>IF(OR(I2512="",COUNT(J2512:N2512)=0),"",IF(SUM(J2512:N2512)=I2512,"✓","⚠ "&amp;SUM(J2512:N2512)&amp;" statt "&amp;I2512))</f>
        <v/>
      </c>
      <c r="P2512" s="21" t="n"/>
      <c r="Q2512" s="21" t="n"/>
      <c r="R2512" s="21" t="n"/>
      <c r="S2512" s="24" t="n"/>
      <c r="T2512" s="24" t="n"/>
      <c r="V2512">
        <f>IF(A2512="","",MONTH(A2512))</f>
        <v/>
      </c>
      <c r="W2512">
        <f>N(W2511)+IF(AND(C2512&lt;&gt;"",T2512&lt;&gt;""),IF(C2512=WOCHE!$B$3,1,0),0)</f>
        <v/>
      </c>
      <c r="X2512">
        <f>N(X2511)+IF(AND(V2512&lt;&gt;"",T2512&lt;&gt;""),IF(V2512=MONAT!$AZ$3,1,0),0)</f>
        <v/>
      </c>
    </row>
    <row r="2513">
      <c r="A2513" s="19" t="n"/>
      <c r="B2513" s="20">
        <f>IF(A2513="","",CHOOSE(WEEKDAY(A2513,2),"Mo","Di","Mi","Do","Fr","Sa","So"))</f>
        <v/>
      </c>
      <c r="C2513" s="20">
        <f>IF(A2513="","",INT((A2513-DATE(YEAR(A2513-WEEKDAY(A2513-1)+4),1,3)+WEEKDAY(DATE(YEAR(A2513-WEEKDAY(A2513-1)+4),1,3))+5)/7))</f>
        <v/>
      </c>
      <c r="D2513" s="21" t="n"/>
      <c r="E2513" s="22" t="n"/>
      <c r="F2513" s="23" t="n"/>
      <c r="G2513" s="23" t="n"/>
      <c r="H2513" s="23" t="n"/>
      <c r="I2513" s="20">
        <f>IF(COUNT(F2513:H2513)=0,"",SUM(F2513:H2513))</f>
        <v/>
      </c>
      <c r="J2513" s="23" t="n"/>
      <c r="K2513" s="23" t="n"/>
      <c r="L2513" s="23" t="n"/>
      <c r="M2513" s="23" t="n"/>
      <c r="N2513" s="23" t="n"/>
      <c r="O2513" s="20">
        <f>IF(OR(I2513="",COUNT(J2513:N2513)=0),"",IF(SUM(J2513:N2513)=I2513,"✓","⚠ "&amp;SUM(J2513:N2513)&amp;" statt "&amp;I2513))</f>
        <v/>
      </c>
      <c r="P2513" s="21" t="n"/>
      <c r="Q2513" s="21" t="n"/>
      <c r="R2513" s="21" t="n"/>
      <c r="S2513" s="24" t="n"/>
      <c r="T2513" s="24" t="n"/>
      <c r="V2513">
        <f>IF(A2513="","",MONTH(A2513))</f>
        <v/>
      </c>
      <c r="W2513">
        <f>N(W2512)+IF(AND(C2513&lt;&gt;"",T2513&lt;&gt;""),IF(C2513=WOCHE!$B$3,1,0),0)</f>
        <v/>
      </c>
      <c r="X2513">
        <f>N(X2512)+IF(AND(V2513&lt;&gt;"",T2513&lt;&gt;""),IF(V2513=MONAT!$AZ$3,1,0),0)</f>
        <v/>
      </c>
    </row>
    <row r="2514">
      <c r="A2514" s="19" t="n"/>
      <c r="B2514" s="20">
        <f>IF(A2514="","",CHOOSE(WEEKDAY(A2514,2),"Mo","Di","Mi","Do","Fr","Sa","So"))</f>
        <v/>
      </c>
      <c r="C2514" s="20">
        <f>IF(A2514="","",INT((A2514-DATE(YEAR(A2514-WEEKDAY(A2514-1)+4),1,3)+WEEKDAY(DATE(YEAR(A2514-WEEKDAY(A2514-1)+4),1,3))+5)/7))</f>
        <v/>
      </c>
      <c r="D2514" s="21" t="n"/>
      <c r="E2514" s="22" t="n"/>
      <c r="F2514" s="23" t="n"/>
      <c r="G2514" s="23" t="n"/>
      <c r="H2514" s="23" t="n"/>
      <c r="I2514" s="20">
        <f>IF(COUNT(F2514:H2514)=0,"",SUM(F2514:H2514))</f>
        <v/>
      </c>
      <c r="J2514" s="23" t="n"/>
      <c r="K2514" s="23" t="n"/>
      <c r="L2514" s="23" t="n"/>
      <c r="M2514" s="23" t="n"/>
      <c r="N2514" s="23" t="n"/>
      <c r="O2514" s="20">
        <f>IF(OR(I2514="",COUNT(J2514:N2514)=0),"",IF(SUM(J2514:N2514)=I2514,"✓","⚠ "&amp;SUM(J2514:N2514)&amp;" statt "&amp;I2514))</f>
        <v/>
      </c>
      <c r="P2514" s="21" t="n"/>
      <c r="Q2514" s="21" t="n"/>
      <c r="R2514" s="21" t="n"/>
      <c r="S2514" s="24" t="n"/>
      <c r="T2514" s="24" t="n"/>
      <c r="V2514">
        <f>IF(A2514="","",MONTH(A2514))</f>
        <v/>
      </c>
      <c r="W2514">
        <f>N(W2513)+IF(AND(C2514&lt;&gt;"",T2514&lt;&gt;""),IF(C2514=WOCHE!$B$3,1,0),0)</f>
        <v/>
      </c>
      <c r="X2514">
        <f>N(X2513)+IF(AND(V2514&lt;&gt;"",T2514&lt;&gt;""),IF(V2514=MONAT!$AZ$3,1,0),0)</f>
        <v/>
      </c>
    </row>
    <row r="2515">
      <c r="A2515" s="19" t="n"/>
      <c r="B2515" s="20">
        <f>IF(A2515="","",CHOOSE(WEEKDAY(A2515,2),"Mo","Di","Mi","Do","Fr","Sa","So"))</f>
        <v/>
      </c>
      <c r="C2515" s="20">
        <f>IF(A2515="","",INT((A2515-DATE(YEAR(A2515-WEEKDAY(A2515-1)+4),1,3)+WEEKDAY(DATE(YEAR(A2515-WEEKDAY(A2515-1)+4),1,3))+5)/7))</f>
        <v/>
      </c>
      <c r="D2515" s="21" t="n"/>
      <c r="E2515" s="22" t="n"/>
      <c r="F2515" s="23" t="n"/>
      <c r="G2515" s="23" t="n"/>
      <c r="H2515" s="23" t="n"/>
      <c r="I2515" s="20">
        <f>IF(COUNT(F2515:H2515)=0,"",SUM(F2515:H2515))</f>
        <v/>
      </c>
      <c r="J2515" s="23" t="n"/>
      <c r="K2515" s="23" t="n"/>
      <c r="L2515" s="23" t="n"/>
      <c r="M2515" s="23" t="n"/>
      <c r="N2515" s="23" t="n"/>
      <c r="O2515" s="20">
        <f>IF(OR(I2515="",COUNT(J2515:N2515)=0),"",IF(SUM(J2515:N2515)=I2515,"✓","⚠ "&amp;SUM(J2515:N2515)&amp;" statt "&amp;I2515))</f>
        <v/>
      </c>
      <c r="P2515" s="21" t="n"/>
      <c r="Q2515" s="21" t="n"/>
      <c r="R2515" s="21" t="n"/>
      <c r="S2515" s="24" t="n"/>
      <c r="T2515" s="24" t="n"/>
      <c r="V2515">
        <f>IF(A2515="","",MONTH(A2515))</f>
        <v/>
      </c>
      <c r="W2515">
        <f>N(W2514)+IF(AND(C2515&lt;&gt;"",T2515&lt;&gt;""),IF(C2515=WOCHE!$B$3,1,0),0)</f>
        <v/>
      </c>
      <c r="X2515">
        <f>N(X2514)+IF(AND(V2515&lt;&gt;"",T2515&lt;&gt;""),IF(V2515=MONAT!$AZ$3,1,0),0)</f>
        <v/>
      </c>
    </row>
    <row r="2516">
      <c r="A2516" s="19" t="n"/>
      <c r="B2516" s="20">
        <f>IF(A2516="","",CHOOSE(WEEKDAY(A2516,2),"Mo","Di","Mi","Do","Fr","Sa","So"))</f>
        <v/>
      </c>
      <c r="C2516" s="20">
        <f>IF(A2516="","",INT((A2516-DATE(YEAR(A2516-WEEKDAY(A2516-1)+4),1,3)+WEEKDAY(DATE(YEAR(A2516-WEEKDAY(A2516-1)+4),1,3))+5)/7))</f>
        <v/>
      </c>
      <c r="D2516" s="21" t="n"/>
      <c r="E2516" s="22" t="n"/>
      <c r="F2516" s="23" t="n"/>
      <c r="G2516" s="23" t="n"/>
      <c r="H2516" s="23" t="n"/>
      <c r="I2516" s="20">
        <f>IF(COUNT(F2516:H2516)=0,"",SUM(F2516:H2516))</f>
        <v/>
      </c>
      <c r="J2516" s="23" t="n"/>
      <c r="K2516" s="23" t="n"/>
      <c r="L2516" s="23" t="n"/>
      <c r="M2516" s="23" t="n"/>
      <c r="N2516" s="23" t="n"/>
      <c r="O2516" s="20">
        <f>IF(OR(I2516="",COUNT(J2516:N2516)=0),"",IF(SUM(J2516:N2516)=I2516,"✓","⚠ "&amp;SUM(J2516:N2516)&amp;" statt "&amp;I2516))</f>
        <v/>
      </c>
      <c r="P2516" s="21" t="n"/>
      <c r="Q2516" s="21" t="n"/>
      <c r="R2516" s="21" t="n"/>
      <c r="S2516" s="24" t="n"/>
      <c r="T2516" s="24" t="n"/>
      <c r="V2516">
        <f>IF(A2516="","",MONTH(A2516))</f>
        <v/>
      </c>
      <c r="W2516">
        <f>N(W2515)+IF(AND(C2516&lt;&gt;"",T2516&lt;&gt;""),IF(C2516=WOCHE!$B$3,1,0),0)</f>
        <v/>
      </c>
      <c r="X2516">
        <f>N(X2515)+IF(AND(V2516&lt;&gt;"",T2516&lt;&gt;""),IF(V2516=MONAT!$AZ$3,1,0),0)</f>
        <v/>
      </c>
    </row>
    <row r="2517">
      <c r="A2517" s="19" t="n"/>
      <c r="B2517" s="20">
        <f>IF(A2517="","",CHOOSE(WEEKDAY(A2517,2),"Mo","Di","Mi","Do","Fr","Sa","So"))</f>
        <v/>
      </c>
      <c r="C2517" s="20">
        <f>IF(A2517="","",INT((A2517-DATE(YEAR(A2517-WEEKDAY(A2517-1)+4),1,3)+WEEKDAY(DATE(YEAR(A2517-WEEKDAY(A2517-1)+4),1,3))+5)/7))</f>
        <v/>
      </c>
      <c r="D2517" s="21" t="n"/>
      <c r="E2517" s="22" t="n"/>
      <c r="F2517" s="23" t="n"/>
      <c r="G2517" s="23" t="n"/>
      <c r="H2517" s="23" t="n"/>
      <c r="I2517" s="20">
        <f>IF(COUNT(F2517:H2517)=0,"",SUM(F2517:H2517))</f>
        <v/>
      </c>
      <c r="J2517" s="23" t="n"/>
      <c r="K2517" s="23" t="n"/>
      <c r="L2517" s="23" t="n"/>
      <c r="M2517" s="23" t="n"/>
      <c r="N2517" s="23" t="n"/>
      <c r="O2517" s="20">
        <f>IF(OR(I2517="",COUNT(J2517:N2517)=0),"",IF(SUM(J2517:N2517)=I2517,"✓","⚠ "&amp;SUM(J2517:N2517)&amp;" statt "&amp;I2517))</f>
        <v/>
      </c>
      <c r="P2517" s="21" t="n"/>
      <c r="Q2517" s="21" t="n"/>
      <c r="R2517" s="21" t="n"/>
      <c r="S2517" s="24" t="n"/>
      <c r="T2517" s="24" t="n"/>
      <c r="V2517">
        <f>IF(A2517="","",MONTH(A2517))</f>
        <v/>
      </c>
      <c r="W2517">
        <f>N(W2516)+IF(AND(C2517&lt;&gt;"",T2517&lt;&gt;""),IF(C2517=WOCHE!$B$3,1,0),0)</f>
        <v/>
      </c>
      <c r="X2517">
        <f>N(X2516)+IF(AND(V2517&lt;&gt;"",T2517&lt;&gt;""),IF(V2517=MONAT!$AZ$3,1,0),0)</f>
        <v/>
      </c>
    </row>
    <row r="2518">
      <c r="A2518" s="19" t="n"/>
      <c r="B2518" s="20">
        <f>IF(A2518="","",CHOOSE(WEEKDAY(A2518,2),"Mo","Di","Mi","Do","Fr","Sa","So"))</f>
        <v/>
      </c>
      <c r="C2518" s="20">
        <f>IF(A2518="","",INT((A2518-DATE(YEAR(A2518-WEEKDAY(A2518-1)+4),1,3)+WEEKDAY(DATE(YEAR(A2518-WEEKDAY(A2518-1)+4),1,3))+5)/7))</f>
        <v/>
      </c>
      <c r="D2518" s="21" t="n"/>
      <c r="E2518" s="22" t="n"/>
      <c r="F2518" s="23" t="n"/>
      <c r="G2518" s="23" t="n"/>
      <c r="H2518" s="23" t="n"/>
      <c r="I2518" s="20">
        <f>IF(COUNT(F2518:H2518)=0,"",SUM(F2518:H2518))</f>
        <v/>
      </c>
      <c r="J2518" s="23" t="n"/>
      <c r="K2518" s="23" t="n"/>
      <c r="L2518" s="23" t="n"/>
      <c r="M2518" s="23" t="n"/>
      <c r="N2518" s="23" t="n"/>
      <c r="O2518" s="20">
        <f>IF(OR(I2518="",COUNT(J2518:N2518)=0),"",IF(SUM(J2518:N2518)=I2518,"✓","⚠ "&amp;SUM(J2518:N2518)&amp;" statt "&amp;I2518))</f>
        <v/>
      </c>
      <c r="P2518" s="21" t="n"/>
      <c r="Q2518" s="21" t="n"/>
      <c r="R2518" s="21" t="n"/>
      <c r="S2518" s="24" t="n"/>
      <c r="T2518" s="24" t="n"/>
      <c r="V2518">
        <f>IF(A2518="","",MONTH(A2518))</f>
        <v/>
      </c>
      <c r="W2518">
        <f>N(W2517)+IF(AND(C2518&lt;&gt;"",T2518&lt;&gt;""),IF(C2518=WOCHE!$B$3,1,0),0)</f>
        <v/>
      </c>
      <c r="X2518">
        <f>N(X2517)+IF(AND(V2518&lt;&gt;"",T2518&lt;&gt;""),IF(V2518=MONAT!$AZ$3,1,0),0)</f>
        <v/>
      </c>
    </row>
    <row r="2519">
      <c r="A2519" s="19" t="n"/>
      <c r="B2519" s="20">
        <f>IF(A2519="","",CHOOSE(WEEKDAY(A2519,2),"Mo","Di","Mi","Do","Fr","Sa","So"))</f>
        <v/>
      </c>
      <c r="C2519" s="20">
        <f>IF(A2519="","",INT((A2519-DATE(YEAR(A2519-WEEKDAY(A2519-1)+4),1,3)+WEEKDAY(DATE(YEAR(A2519-WEEKDAY(A2519-1)+4),1,3))+5)/7))</f>
        <v/>
      </c>
      <c r="D2519" s="21" t="n"/>
      <c r="E2519" s="22" t="n"/>
      <c r="F2519" s="23" t="n"/>
      <c r="G2519" s="23" t="n"/>
      <c r="H2519" s="23" t="n"/>
      <c r="I2519" s="20">
        <f>IF(COUNT(F2519:H2519)=0,"",SUM(F2519:H2519))</f>
        <v/>
      </c>
      <c r="J2519" s="23" t="n"/>
      <c r="K2519" s="23" t="n"/>
      <c r="L2519" s="23" t="n"/>
      <c r="M2519" s="23" t="n"/>
      <c r="N2519" s="23" t="n"/>
      <c r="O2519" s="20">
        <f>IF(OR(I2519="",COUNT(J2519:N2519)=0),"",IF(SUM(J2519:N2519)=I2519,"✓","⚠ "&amp;SUM(J2519:N2519)&amp;" statt "&amp;I2519))</f>
        <v/>
      </c>
      <c r="P2519" s="21" t="n"/>
      <c r="Q2519" s="21" t="n"/>
      <c r="R2519" s="21" t="n"/>
      <c r="S2519" s="24" t="n"/>
      <c r="T2519" s="24" t="n"/>
      <c r="V2519">
        <f>IF(A2519="","",MONTH(A2519))</f>
        <v/>
      </c>
      <c r="W2519">
        <f>N(W2518)+IF(AND(C2519&lt;&gt;"",T2519&lt;&gt;""),IF(C2519=WOCHE!$B$3,1,0),0)</f>
        <v/>
      </c>
      <c r="X2519">
        <f>N(X2518)+IF(AND(V2519&lt;&gt;"",T2519&lt;&gt;""),IF(V2519=MONAT!$AZ$3,1,0),0)</f>
        <v/>
      </c>
    </row>
    <row r="2520">
      <c r="A2520" s="19" t="n"/>
      <c r="B2520" s="20">
        <f>IF(A2520="","",CHOOSE(WEEKDAY(A2520,2),"Mo","Di","Mi","Do","Fr","Sa","So"))</f>
        <v/>
      </c>
      <c r="C2520" s="20">
        <f>IF(A2520="","",INT((A2520-DATE(YEAR(A2520-WEEKDAY(A2520-1)+4),1,3)+WEEKDAY(DATE(YEAR(A2520-WEEKDAY(A2520-1)+4),1,3))+5)/7))</f>
        <v/>
      </c>
      <c r="D2520" s="21" t="n"/>
      <c r="E2520" s="22" t="n"/>
      <c r="F2520" s="23" t="n"/>
      <c r="G2520" s="23" t="n"/>
      <c r="H2520" s="23" t="n"/>
      <c r="I2520" s="20">
        <f>IF(COUNT(F2520:H2520)=0,"",SUM(F2520:H2520))</f>
        <v/>
      </c>
      <c r="J2520" s="23" t="n"/>
      <c r="K2520" s="23" t="n"/>
      <c r="L2520" s="23" t="n"/>
      <c r="M2520" s="23" t="n"/>
      <c r="N2520" s="23" t="n"/>
      <c r="O2520" s="20">
        <f>IF(OR(I2520="",COUNT(J2520:N2520)=0),"",IF(SUM(J2520:N2520)=I2520,"✓","⚠ "&amp;SUM(J2520:N2520)&amp;" statt "&amp;I2520))</f>
        <v/>
      </c>
      <c r="P2520" s="21" t="n"/>
      <c r="Q2520" s="21" t="n"/>
      <c r="R2520" s="21" t="n"/>
      <c r="S2520" s="24" t="n"/>
      <c r="T2520" s="24" t="n"/>
      <c r="V2520">
        <f>IF(A2520="","",MONTH(A2520))</f>
        <v/>
      </c>
      <c r="W2520">
        <f>N(W2519)+IF(AND(C2520&lt;&gt;"",T2520&lt;&gt;""),IF(C2520=WOCHE!$B$3,1,0),0)</f>
        <v/>
      </c>
      <c r="X2520">
        <f>N(X2519)+IF(AND(V2520&lt;&gt;"",T2520&lt;&gt;""),IF(V2520=MONAT!$AZ$3,1,0),0)</f>
        <v/>
      </c>
    </row>
    <row r="2521">
      <c r="A2521" s="19" t="n"/>
      <c r="B2521" s="20">
        <f>IF(A2521="","",CHOOSE(WEEKDAY(A2521,2),"Mo","Di","Mi","Do","Fr","Sa","So"))</f>
        <v/>
      </c>
      <c r="C2521" s="20">
        <f>IF(A2521="","",INT((A2521-DATE(YEAR(A2521-WEEKDAY(A2521-1)+4),1,3)+WEEKDAY(DATE(YEAR(A2521-WEEKDAY(A2521-1)+4),1,3))+5)/7))</f>
        <v/>
      </c>
      <c r="D2521" s="21" t="n"/>
      <c r="E2521" s="22" t="n"/>
      <c r="F2521" s="23" t="n"/>
      <c r="G2521" s="23" t="n"/>
      <c r="H2521" s="23" t="n"/>
      <c r="I2521" s="20">
        <f>IF(COUNT(F2521:H2521)=0,"",SUM(F2521:H2521))</f>
        <v/>
      </c>
      <c r="J2521" s="23" t="n"/>
      <c r="K2521" s="23" t="n"/>
      <c r="L2521" s="23" t="n"/>
      <c r="M2521" s="23" t="n"/>
      <c r="N2521" s="23" t="n"/>
      <c r="O2521" s="20">
        <f>IF(OR(I2521="",COUNT(J2521:N2521)=0),"",IF(SUM(J2521:N2521)=I2521,"✓","⚠ "&amp;SUM(J2521:N2521)&amp;" statt "&amp;I2521))</f>
        <v/>
      </c>
      <c r="P2521" s="21" t="n"/>
      <c r="Q2521" s="21" t="n"/>
      <c r="R2521" s="21" t="n"/>
      <c r="S2521" s="24" t="n"/>
      <c r="T2521" s="24" t="n"/>
      <c r="V2521">
        <f>IF(A2521="","",MONTH(A2521))</f>
        <v/>
      </c>
      <c r="W2521">
        <f>N(W2520)+IF(AND(C2521&lt;&gt;"",T2521&lt;&gt;""),IF(C2521=WOCHE!$B$3,1,0),0)</f>
        <v/>
      </c>
      <c r="X2521">
        <f>N(X2520)+IF(AND(V2521&lt;&gt;"",T2521&lt;&gt;""),IF(V2521=MONAT!$AZ$3,1,0),0)</f>
        <v/>
      </c>
    </row>
    <row r="2522">
      <c r="A2522" s="19" t="n"/>
      <c r="B2522" s="20">
        <f>IF(A2522="","",CHOOSE(WEEKDAY(A2522,2),"Mo","Di","Mi","Do","Fr","Sa","So"))</f>
        <v/>
      </c>
      <c r="C2522" s="20">
        <f>IF(A2522="","",INT((A2522-DATE(YEAR(A2522-WEEKDAY(A2522-1)+4),1,3)+WEEKDAY(DATE(YEAR(A2522-WEEKDAY(A2522-1)+4),1,3))+5)/7))</f>
        <v/>
      </c>
      <c r="D2522" s="21" t="n"/>
      <c r="E2522" s="22" t="n"/>
      <c r="F2522" s="23" t="n"/>
      <c r="G2522" s="23" t="n"/>
      <c r="H2522" s="23" t="n"/>
      <c r="I2522" s="20">
        <f>IF(COUNT(F2522:H2522)=0,"",SUM(F2522:H2522))</f>
        <v/>
      </c>
      <c r="J2522" s="23" t="n"/>
      <c r="K2522" s="23" t="n"/>
      <c r="L2522" s="23" t="n"/>
      <c r="M2522" s="23" t="n"/>
      <c r="N2522" s="23" t="n"/>
      <c r="O2522" s="20">
        <f>IF(OR(I2522="",COUNT(J2522:N2522)=0),"",IF(SUM(J2522:N2522)=I2522,"✓","⚠ "&amp;SUM(J2522:N2522)&amp;" statt "&amp;I2522))</f>
        <v/>
      </c>
      <c r="P2522" s="21" t="n"/>
      <c r="Q2522" s="21" t="n"/>
      <c r="R2522" s="21" t="n"/>
      <c r="S2522" s="24" t="n"/>
      <c r="T2522" s="24" t="n"/>
      <c r="V2522">
        <f>IF(A2522="","",MONTH(A2522))</f>
        <v/>
      </c>
      <c r="W2522">
        <f>N(W2521)+IF(AND(C2522&lt;&gt;"",T2522&lt;&gt;""),IF(C2522=WOCHE!$B$3,1,0),0)</f>
        <v/>
      </c>
      <c r="X2522">
        <f>N(X2521)+IF(AND(V2522&lt;&gt;"",T2522&lt;&gt;""),IF(V2522=MONAT!$AZ$3,1,0),0)</f>
        <v/>
      </c>
    </row>
    <row r="2523">
      <c r="A2523" s="19" t="n"/>
      <c r="B2523" s="20">
        <f>IF(A2523="","",CHOOSE(WEEKDAY(A2523,2),"Mo","Di","Mi","Do","Fr","Sa","So"))</f>
        <v/>
      </c>
      <c r="C2523" s="20">
        <f>IF(A2523="","",INT((A2523-DATE(YEAR(A2523-WEEKDAY(A2523-1)+4),1,3)+WEEKDAY(DATE(YEAR(A2523-WEEKDAY(A2523-1)+4),1,3))+5)/7))</f>
        <v/>
      </c>
      <c r="D2523" s="21" t="n"/>
      <c r="E2523" s="22" t="n"/>
      <c r="F2523" s="23" t="n"/>
      <c r="G2523" s="23" t="n"/>
      <c r="H2523" s="23" t="n"/>
      <c r="I2523" s="20">
        <f>IF(COUNT(F2523:H2523)=0,"",SUM(F2523:H2523))</f>
        <v/>
      </c>
      <c r="J2523" s="23" t="n"/>
      <c r="K2523" s="23" t="n"/>
      <c r="L2523" s="23" t="n"/>
      <c r="M2523" s="23" t="n"/>
      <c r="N2523" s="23" t="n"/>
      <c r="O2523" s="20">
        <f>IF(OR(I2523="",COUNT(J2523:N2523)=0),"",IF(SUM(J2523:N2523)=I2523,"✓","⚠ "&amp;SUM(J2523:N2523)&amp;" statt "&amp;I2523))</f>
        <v/>
      </c>
      <c r="P2523" s="21" t="n"/>
      <c r="Q2523" s="21" t="n"/>
      <c r="R2523" s="21" t="n"/>
      <c r="S2523" s="24" t="n"/>
      <c r="T2523" s="24" t="n"/>
      <c r="V2523">
        <f>IF(A2523="","",MONTH(A2523))</f>
        <v/>
      </c>
      <c r="W2523">
        <f>N(W2522)+IF(AND(C2523&lt;&gt;"",T2523&lt;&gt;""),IF(C2523=WOCHE!$B$3,1,0),0)</f>
        <v/>
      </c>
      <c r="X2523">
        <f>N(X2522)+IF(AND(V2523&lt;&gt;"",T2523&lt;&gt;""),IF(V2523=MONAT!$AZ$3,1,0),0)</f>
        <v/>
      </c>
    </row>
    <row r="2524">
      <c r="A2524" s="19" t="n"/>
      <c r="B2524" s="20">
        <f>IF(A2524="","",CHOOSE(WEEKDAY(A2524,2),"Mo","Di","Mi","Do","Fr","Sa","So"))</f>
        <v/>
      </c>
      <c r="C2524" s="20">
        <f>IF(A2524="","",INT((A2524-DATE(YEAR(A2524-WEEKDAY(A2524-1)+4),1,3)+WEEKDAY(DATE(YEAR(A2524-WEEKDAY(A2524-1)+4),1,3))+5)/7))</f>
        <v/>
      </c>
      <c r="D2524" s="21" t="n"/>
      <c r="E2524" s="22" t="n"/>
      <c r="F2524" s="23" t="n"/>
      <c r="G2524" s="23" t="n"/>
      <c r="H2524" s="23" t="n"/>
      <c r="I2524" s="20">
        <f>IF(COUNT(F2524:H2524)=0,"",SUM(F2524:H2524))</f>
        <v/>
      </c>
      <c r="J2524" s="23" t="n"/>
      <c r="K2524" s="23" t="n"/>
      <c r="L2524" s="23" t="n"/>
      <c r="M2524" s="23" t="n"/>
      <c r="N2524" s="23" t="n"/>
      <c r="O2524" s="20">
        <f>IF(OR(I2524="",COUNT(J2524:N2524)=0),"",IF(SUM(J2524:N2524)=I2524,"✓","⚠ "&amp;SUM(J2524:N2524)&amp;" statt "&amp;I2524))</f>
        <v/>
      </c>
      <c r="P2524" s="21" t="n"/>
      <c r="Q2524" s="21" t="n"/>
      <c r="R2524" s="21" t="n"/>
      <c r="S2524" s="24" t="n"/>
      <c r="T2524" s="24" t="n"/>
      <c r="V2524">
        <f>IF(A2524="","",MONTH(A2524))</f>
        <v/>
      </c>
      <c r="W2524">
        <f>N(W2523)+IF(AND(C2524&lt;&gt;"",T2524&lt;&gt;""),IF(C2524=WOCHE!$B$3,1,0),0)</f>
        <v/>
      </c>
      <c r="X2524">
        <f>N(X2523)+IF(AND(V2524&lt;&gt;"",T2524&lt;&gt;""),IF(V2524=MONAT!$AZ$3,1,0),0)</f>
        <v/>
      </c>
    </row>
    <row r="2525">
      <c r="A2525" s="19" t="n"/>
      <c r="B2525" s="20">
        <f>IF(A2525="","",CHOOSE(WEEKDAY(A2525,2),"Mo","Di","Mi","Do","Fr","Sa","So"))</f>
        <v/>
      </c>
      <c r="C2525" s="20">
        <f>IF(A2525="","",INT((A2525-DATE(YEAR(A2525-WEEKDAY(A2525-1)+4),1,3)+WEEKDAY(DATE(YEAR(A2525-WEEKDAY(A2525-1)+4),1,3))+5)/7))</f>
        <v/>
      </c>
      <c r="D2525" s="21" t="n"/>
      <c r="E2525" s="22" t="n"/>
      <c r="F2525" s="23" t="n"/>
      <c r="G2525" s="23" t="n"/>
      <c r="H2525" s="23" t="n"/>
      <c r="I2525" s="20">
        <f>IF(COUNT(F2525:H2525)=0,"",SUM(F2525:H2525))</f>
        <v/>
      </c>
      <c r="J2525" s="23" t="n"/>
      <c r="K2525" s="23" t="n"/>
      <c r="L2525" s="23" t="n"/>
      <c r="M2525" s="23" t="n"/>
      <c r="N2525" s="23" t="n"/>
      <c r="O2525" s="20">
        <f>IF(OR(I2525="",COUNT(J2525:N2525)=0),"",IF(SUM(J2525:N2525)=I2525,"✓","⚠ "&amp;SUM(J2525:N2525)&amp;" statt "&amp;I2525))</f>
        <v/>
      </c>
      <c r="P2525" s="21" t="n"/>
      <c r="Q2525" s="21" t="n"/>
      <c r="R2525" s="21" t="n"/>
      <c r="S2525" s="24" t="n"/>
      <c r="T2525" s="24" t="n"/>
      <c r="V2525">
        <f>IF(A2525="","",MONTH(A2525))</f>
        <v/>
      </c>
      <c r="W2525">
        <f>N(W2524)+IF(AND(C2525&lt;&gt;"",T2525&lt;&gt;""),IF(C2525=WOCHE!$B$3,1,0),0)</f>
        <v/>
      </c>
      <c r="X2525">
        <f>N(X2524)+IF(AND(V2525&lt;&gt;"",T2525&lt;&gt;""),IF(V2525=MONAT!$AZ$3,1,0),0)</f>
        <v/>
      </c>
    </row>
    <row r="2526">
      <c r="A2526" s="19" t="n"/>
      <c r="B2526" s="20">
        <f>IF(A2526="","",CHOOSE(WEEKDAY(A2526,2),"Mo","Di","Mi","Do","Fr","Sa","So"))</f>
        <v/>
      </c>
      <c r="C2526" s="20">
        <f>IF(A2526="","",INT((A2526-DATE(YEAR(A2526-WEEKDAY(A2526-1)+4),1,3)+WEEKDAY(DATE(YEAR(A2526-WEEKDAY(A2526-1)+4),1,3))+5)/7))</f>
        <v/>
      </c>
      <c r="D2526" s="21" t="n"/>
      <c r="E2526" s="22" t="n"/>
      <c r="F2526" s="23" t="n"/>
      <c r="G2526" s="23" t="n"/>
      <c r="H2526" s="23" t="n"/>
      <c r="I2526" s="20">
        <f>IF(COUNT(F2526:H2526)=0,"",SUM(F2526:H2526))</f>
        <v/>
      </c>
      <c r="J2526" s="23" t="n"/>
      <c r="K2526" s="23" t="n"/>
      <c r="L2526" s="23" t="n"/>
      <c r="M2526" s="23" t="n"/>
      <c r="N2526" s="23" t="n"/>
      <c r="O2526" s="20">
        <f>IF(OR(I2526="",COUNT(J2526:N2526)=0),"",IF(SUM(J2526:N2526)=I2526,"✓","⚠ "&amp;SUM(J2526:N2526)&amp;" statt "&amp;I2526))</f>
        <v/>
      </c>
      <c r="P2526" s="21" t="n"/>
      <c r="Q2526" s="21" t="n"/>
      <c r="R2526" s="21" t="n"/>
      <c r="S2526" s="24" t="n"/>
      <c r="T2526" s="24" t="n"/>
      <c r="V2526">
        <f>IF(A2526="","",MONTH(A2526))</f>
        <v/>
      </c>
      <c r="W2526">
        <f>N(W2525)+IF(AND(C2526&lt;&gt;"",T2526&lt;&gt;""),IF(C2526=WOCHE!$B$3,1,0),0)</f>
        <v/>
      </c>
      <c r="X2526">
        <f>N(X2525)+IF(AND(V2526&lt;&gt;"",T2526&lt;&gt;""),IF(V2526=MONAT!$AZ$3,1,0),0)</f>
        <v/>
      </c>
    </row>
    <row r="2527">
      <c r="A2527" s="19" t="n"/>
      <c r="B2527" s="20">
        <f>IF(A2527="","",CHOOSE(WEEKDAY(A2527,2),"Mo","Di","Mi","Do","Fr","Sa","So"))</f>
        <v/>
      </c>
      <c r="C2527" s="20">
        <f>IF(A2527="","",INT((A2527-DATE(YEAR(A2527-WEEKDAY(A2527-1)+4),1,3)+WEEKDAY(DATE(YEAR(A2527-WEEKDAY(A2527-1)+4),1,3))+5)/7))</f>
        <v/>
      </c>
      <c r="D2527" s="21" t="n"/>
      <c r="E2527" s="22" t="n"/>
      <c r="F2527" s="23" t="n"/>
      <c r="G2527" s="23" t="n"/>
      <c r="H2527" s="23" t="n"/>
      <c r="I2527" s="20">
        <f>IF(COUNT(F2527:H2527)=0,"",SUM(F2527:H2527))</f>
        <v/>
      </c>
      <c r="J2527" s="23" t="n"/>
      <c r="K2527" s="23" t="n"/>
      <c r="L2527" s="23" t="n"/>
      <c r="M2527" s="23" t="n"/>
      <c r="N2527" s="23" t="n"/>
      <c r="O2527" s="20">
        <f>IF(OR(I2527="",COUNT(J2527:N2527)=0),"",IF(SUM(J2527:N2527)=I2527,"✓","⚠ "&amp;SUM(J2527:N2527)&amp;" statt "&amp;I2527))</f>
        <v/>
      </c>
      <c r="P2527" s="21" t="n"/>
      <c r="Q2527" s="21" t="n"/>
      <c r="R2527" s="21" t="n"/>
      <c r="S2527" s="24" t="n"/>
      <c r="T2527" s="24" t="n"/>
      <c r="V2527">
        <f>IF(A2527="","",MONTH(A2527))</f>
        <v/>
      </c>
      <c r="W2527">
        <f>N(W2526)+IF(AND(C2527&lt;&gt;"",T2527&lt;&gt;""),IF(C2527=WOCHE!$B$3,1,0),0)</f>
        <v/>
      </c>
      <c r="X2527">
        <f>N(X2526)+IF(AND(V2527&lt;&gt;"",T2527&lt;&gt;""),IF(V2527=MONAT!$AZ$3,1,0),0)</f>
        <v/>
      </c>
    </row>
    <row r="2528">
      <c r="A2528" s="19" t="n"/>
      <c r="B2528" s="20">
        <f>IF(A2528="","",CHOOSE(WEEKDAY(A2528,2),"Mo","Di","Mi","Do","Fr","Sa","So"))</f>
        <v/>
      </c>
      <c r="C2528" s="20">
        <f>IF(A2528="","",INT((A2528-DATE(YEAR(A2528-WEEKDAY(A2528-1)+4),1,3)+WEEKDAY(DATE(YEAR(A2528-WEEKDAY(A2528-1)+4),1,3))+5)/7))</f>
        <v/>
      </c>
      <c r="D2528" s="21" t="n"/>
      <c r="E2528" s="22" t="n"/>
      <c r="F2528" s="23" t="n"/>
      <c r="G2528" s="23" t="n"/>
      <c r="H2528" s="23" t="n"/>
      <c r="I2528" s="20">
        <f>IF(COUNT(F2528:H2528)=0,"",SUM(F2528:H2528))</f>
        <v/>
      </c>
      <c r="J2528" s="23" t="n"/>
      <c r="K2528" s="23" t="n"/>
      <c r="L2528" s="23" t="n"/>
      <c r="M2528" s="23" t="n"/>
      <c r="N2528" s="23" t="n"/>
      <c r="O2528" s="20">
        <f>IF(OR(I2528="",COUNT(J2528:N2528)=0),"",IF(SUM(J2528:N2528)=I2528,"✓","⚠ "&amp;SUM(J2528:N2528)&amp;" statt "&amp;I2528))</f>
        <v/>
      </c>
      <c r="P2528" s="21" t="n"/>
      <c r="Q2528" s="21" t="n"/>
      <c r="R2528" s="21" t="n"/>
      <c r="S2528" s="24" t="n"/>
      <c r="T2528" s="24" t="n"/>
      <c r="V2528">
        <f>IF(A2528="","",MONTH(A2528))</f>
        <v/>
      </c>
      <c r="W2528">
        <f>N(W2527)+IF(AND(C2528&lt;&gt;"",T2528&lt;&gt;""),IF(C2528=WOCHE!$B$3,1,0),0)</f>
        <v/>
      </c>
      <c r="X2528">
        <f>N(X2527)+IF(AND(V2528&lt;&gt;"",T2528&lt;&gt;""),IF(V2528=MONAT!$AZ$3,1,0),0)</f>
        <v/>
      </c>
    </row>
    <row r="2529">
      <c r="A2529" s="19" t="n"/>
      <c r="B2529" s="20">
        <f>IF(A2529="","",CHOOSE(WEEKDAY(A2529,2),"Mo","Di","Mi","Do","Fr","Sa","So"))</f>
        <v/>
      </c>
      <c r="C2529" s="20">
        <f>IF(A2529="","",INT((A2529-DATE(YEAR(A2529-WEEKDAY(A2529-1)+4),1,3)+WEEKDAY(DATE(YEAR(A2529-WEEKDAY(A2529-1)+4),1,3))+5)/7))</f>
        <v/>
      </c>
      <c r="D2529" s="21" t="n"/>
      <c r="E2529" s="22" t="n"/>
      <c r="F2529" s="23" t="n"/>
      <c r="G2529" s="23" t="n"/>
      <c r="H2529" s="23" t="n"/>
      <c r="I2529" s="20">
        <f>IF(COUNT(F2529:H2529)=0,"",SUM(F2529:H2529))</f>
        <v/>
      </c>
      <c r="J2529" s="23" t="n"/>
      <c r="K2529" s="23" t="n"/>
      <c r="L2529" s="23" t="n"/>
      <c r="M2529" s="23" t="n"/>
      <c r="N2529" s="23" t="n"/>
      <c r="O2529" s="20">
        <f>IF(OR(I2529="",COUNT(J2529:N2529)=0),"",IF(SUM(J2529:N2529)=I2529,"✓","⚠ "&amp;SUM(J2529:N2529)&amp;" statt "&amp;I2529))</f>
        <v/>
      </c>
      <c r="P2529" s="21" t="n"/>
      <c r="Q2529" s="21" t="n"/>
      <c r="R2529" s="21" t="n"/>
      <c r="S2529" s="24" t="n"/>
      <c r="T2529" s="24" t="n"/>
      <c r="V2529">
        <f>IF(A2529="","",MONTH(A2529))</f>
        <v/>
      </c>
      <c r="W2529">
        <f>N(W2528)+IF(AND(C2529&lt;&gt;"",T2529&lt;&gt;""),IF(C2529=WOCHE!$B$3,1,0),0)</f>
        <v/>
      </c>
      <c r="X2529">
        <f>N(X2528)+IF(AND(V2529&lt;&gt;"",T2529&lt;&gt;""),IF(V2529=MONAT!$AZ$3,1,0),0)</f>
        <v/>
      </c>
    </row>
    <row r="2530">
      <c r="A2530" s="19" t="n"/>
      <c r="B2530" s="20">
        <f>IF(A2530="","",CHOOSE(WEEKDAY(A2530,2),"Mo","Di","Mi","Do","Fr","Sa","So"))</f>
        <v/>
      </c>
      <c r="C2530" s="20">
        <f>IF(A2530="","",INT((A2530-DATE(YEAR(A2530-WEEKDAY(A2530-1)+4),1,3)+WEEKDAY(DATE(YEAR(A2530-WEEKDAY(A2530-1)+4),1,3))+5)/7))</f>
        <v/>
      </c>
      <c r="D2530" s="21" t="n"/>
      <c r="E2530" s="22" t="n"/>
      <c r="F2530" s="23" t="n"/>
      <c r="G2530" s="23" t="n"/>
      <c r="H2530" s="23" t="n"/>
      <c r="I2530" s="20">
        <f>IF(COUNT(F2530:H2530)=0,"",SUM(F2530:H2530))</f>
        <v/>
      </c>
      <c r="J2530" s="23" t="n"/>
      <c r="K2530" s="23" t="n"/>
      <c r="L2530" s="23" t="n"/>
      <c r="M2530" s="23" t="n"/>
      <c r="N2530" s="23" t="n"/>
      <c r="O2530" s="20">
        <f>IF(OR(I2530="",COUNT(J2530:N2530)=0),"",IF(SUM(J2530:N2530)=I2530,"✓","⚠ "&amp;SUM(J2530:N2530)&amp;" statt "&amp;I2530))</f>
        <v/>
      </c>
      <c r="P2530" s="21" t="n"/>
      <c r="Q2530" s="21" t="n"/>
      <c r="R2530" s="21" t="n"/>
      <c r="S2530" s="24" t="n"/>
      <c r="T2530" s="24" t="n"/>
      <c r="V2530">
        <f>IF(A2530="","",MONTH(A2530))</f>
        <v/>
      </c>
      <c r="W2530">
        <f>N(W2529)+IF(AND(C2530&lt;&gt;"",T2530&lt;&gt;""),IF(C2530=WOCHE!$B$3,1,0),0)</f>
        <v/>
      </c>
      <c r="X2530">
        <f>N(X2529)+IF(AND(V2530&lt;&gt;"",T2530&lt;&gt;""),IF(V2530=MONAT!$AZ$3,1,0),0)</f>
        <v/>
      </c>
    </row>
    <row r="2531">
      <c r="A2531" s="19" t="n"/>
      <c r="B2531" s="20">
        <f>IF(A2531="","",CHOOSE(WEEKDAY(A2531,2),"Mo","Di","Mi","Do","Fr","Sa","So"))</f>
        <v/>
      </c>
      <c r="C2531" s="20">
        <f>IF(A2531="","",INT((A2531-DATE(YEAR(A2531-WEEKDAY(A2531-1)+4),1,3)+WEEKDAY(DATE(YEAR(A2531-WEEKDAY(A2531-1)+4),1,3))+5)/7))</f>
        <v/>
      </c>
      <c r="D2531" s="21" t="n"/>
      <c r="E2531" s="22" t="n"/>
      <c r="F2531" s="23" t="n"/>
      <c r="G2531" s="23" t="n"/>
      <c r="H2531" s="23" t="n"/>
      <c r="I2531" s="20">
        <f>IF(COUNT(F2531:H2531)=0,"",SUM(F2531:H2531))</f>
        <v/>
      </c>
      <c r="J2531" s="23" t="n"/>
      <c r="K2531" s="23" t="n"/>
      <c r="L2531" s="23" t="n"/>
      <c r="M2531" s="23" t="n"/>
      <c r="N2531" s="23" t="n"/>
      <c r="O2531" s="20">
        <f>IF(OR(I2531="",COUNT(J2531:N2531)=0),"",IF(SUM(J2531:N2531)=I2531,"✓","⚠ "&amp;SUM(J2531:N2531)&amp;" statt "&amp;I2531))</f>
        <v/>
      </c>
      <c r="P2531" s="21" t="n"/>
      <c r="Q2531" s="21" t="n"/>
      <c r="R2531" s="21" t="n"/>
      <c r="S2531" s="24" t="n"/>
      <c r="T2531" s="24" t="n"/>
      <c r="V2531">
        <f>IF(A2531="","",MONTH(A2531))</f>
        <v/>
      </c>
      <c r="W2531">
        <f>N(W2530)+IF(AND(C2531&lt;&gt;"",T2531&lt;&gt;""),IF(C2531=WOCHE!$B$3,1,0),0)</f>
        <v/>
      </c>
      <c r="X2531">
        <f>N(X2530)+IF(AND(V2531&lt;&gt;"",T2531&lt;&gt;""),IF(V2531=MONAT!$AZ$3,1,0),0)</f>
        <v/>
      </c>
    </row>
    <row r="2532">
      <c r="A2532" s="19" t="n"/>
      <c r="B2532" s="20">
        <f>IF(A2532="","",CHOOSE(WEEKDAY(A2532,2),"Mo","Di","Mi","Do","Fr","Sa","So"))</f>
        <v/>
      </c>
      <c r="C2532" s="20">
        <f>IF(A2532="","",INT((A2532-DATE(YEAR(A2532-WEEKDAY(A2532-1)+4),1,3)+WEEKDAY(DATE(YEAR(A2532-WEEKDAY(A2532-1)+4),1,3))+5)/7))</f>
        <v/>
      </c>
      <c r="D2532" s="21" t="n"/>
      <c r="E2532" s="22" t="n"/>
      <c r="F2532" s="23" t="n"/>
      <c r="G2532" s="23" t="n"/>
      <c r="H2532" s="23" t="n"/>
      <c r="I2532" s="20">
        <f>IF(COUNT(F2532:H2532)=0,"",SUM(F2532:H2532))</f>
        <v/>
      </c>
      <c r="J2532" s="23" t="n"/>
      <c r="K2532" s="23" t="n"/>
      <c r="L2532" s="23" t="n"/>
      <c r="M2532" s="23" t="n"/>
      <c r="N2532" s="23" t="n"/>
      <c r="O2532" s="20">
        <f>IF(OR(I2532="",COUNT(J2532:N2532)=0),"",IF(SUM(J2532:N2532)=I2532,"✓","⚠ "&amp;SUM(J2532:N2532)&amp;" statt "&amp;I2532))</f>
        <v/>
      </c>
      <c r="P2532" s="21" t="n"/>
      <c r="Q2532" s="21" t="n"/>
      <c r="R2532" s="21" t="n"/>
      <c r="S2532" s="24" t="n"/>
      <c r="T2532" s="24" t="n"/>
      <c r="V2532">
        <f>IF(A2532="","",MONTH(A2532))</f>
        <v/>
      </c>
      <c r="W2532">
        <f>N(W2531)+IF(AND(C2532&lt;&gt;"",T2532&lt;&gt;""),IF(C2532=WOCHE!$B$3,1,0),0)</f>
        <v/>
      </c>
      <c r="X2532">
        <f>N(X2531)+IF(AND(V2532&lt;&gt;"",T2532&lt;&gt;""),IF(V2532=MONAT!$AZ$3,1,0),0)</f>
        <v/>
      </c>
    </row>
    <row r="2533">
      <c r="A2533" s="19" t="n"/>
      <c r="B2533" s="20">
        <f>IF(A2533="","",CHOOSE(WEEKDAY(A2533,2),"Mo","Di","Mi","Do","Fr","Sa","So"))</f>
        <v/>
      </c>
      <c r="C2533" s="20">
        <f>IF(A2533="","",INT((A2533-DATE(YEAR(A2533-WEEKDAY(A2533-1)+4),1,3)+WEEKDAY(DATE(YEAR(A2533-WEEKDAY(A2533-1)+4),1,3))+5)/7))</f>
        <v/>
      </c>
      <c r="D2533" s="21" t="n"/>
      <c r="E2533" s="22" t="n"/>
      <c r="F2533" s="23" t="n"/>
      <c r="G2533" s="23" t="n"/>
      <c r="H2533" s="23" t="n"/>
      <c r="I2533" s="20">
        <f>IF(COUNT(F2533:H2533)=0,"",SUM(F2533:H2533))</f>
        <v/>
      </c>
      <c r="J2533" s="23" t="n"/>
      <c r="K2533" s="23" t="n"/>
      <c r="L2533" s="23" t="n"/>
      <c r="M2533" s="23" t="n"/>
      <c r="N2533" s="23" t="n"/>
      <c r="O2533" s="20">
        <f>IF(OR(I2533="",COUNT(J2533:N2533)=0),"",IF(SUM(J2533:N2533)=I2533,"✓","⚠ "&amp;SUM(J2533:N2533)&amp;" statt "&amp;I2533))</f>
        <v/>
      </c>
      <c r="P2533" s="21" t="n"/>
      <c r="Q2533" s="21" t="n"/>
      <c r="R2533" s="21" t="n"/>
      <c r="S2533" s="24" t="n"/>
      <c r="T2533" s="24" t="n"/>
      <c r="V2533">
        <f>IF(A2533="","",MONTH(A2533))</f>
        <v/>
      </c>
      <c r="W2533">
        <f>N(W2532)+IF(AND(C2533&lt;&gt;"",T2533&lt;&gt;""),IF(C2533=WOCHE!$B$3,1,0),0)</f>
        <v/>
      </c>
      <c r="X2533">
        <f>N(X2532)+IF(AND(V2533&lt;&gt;"",T2533&lt;&gt;""),IF(V2533=MONAT!$AZ$3,1,0),0)</f>
        <v/>
      </c>
    </row>
    <row r="2534">
      <c r="A2534" s="19" t="n"/>
      <c r="B2534" s="20">
        <f>IF(A2534="","",CHOOSE(WEEKDAY(A2534,2),"Mo","Di","Mi","Do","Fr","Sa","So"))</f>
        <v/>
      </c>
      <c r="C2534" s="20">
        <f>IF(A2534="","",INT((A2534-DATE(YEAR(A2534-WEEKDAY(A2534-1)+4),1,3)+WEEKDAY(DATE(YEAR(A2534-WEEKDAY(A2534-1)+4),1,3))+5)/7))</f>
        <v/>
      </c>
      <c r="D2534" s="21" t="n"/>
      <c r="E2534" s="22" t="n"/>
      <c r="F2534" s="23" t="n"/>
      <c r="G2534" s="23" t="n"/>
      <c r="H2534" s="23" t="n"/>
      <c r="I2534" s="20">
        <f>IF(COUNT(F2534:H2534)=0,"",SUM(F2534:H2534))</f>
        <v/>
      </c>
      <c r="J2534" s="23" t="n"/>
      <c r="K2534" s="23" t="n"/>
      <c r="L2534" s="23" t="n"/>
      <c r="M2534" s="23" t="n"/>
      <c r="N2534" s="23" t="n"/>
      <c r="O2534" s="20">
        <f>IF(OR(I2534="",COUNT(J2534:N2534)=0),"",IF(SUM(J2534:N2534)=I2534,"✓","⚠ "&amp;SUM(J2534:N2534)&amp;" statt "&amp;I2534))</f>
        <v/>
      </c>
      <c r="P2534" s="21" t="n"/>
      <c r="Q2534" s="21" t="n"/>
      <c r="R2534" s="21" t="n"/>
      <c r="S2534" s="24" t="n"/>
      <c r="T2534" s="24" t="n"/>
      <c r="V2534">
        <f>IF(A2534="","",MONTH(A2534))</f>
        <v/>
      </c>
      <c r="W2534">
        <f>N(W2533)+IF(AND(C2534&lt;&gt;"",T2534&lt;&gt;""),IF(C2534=WOCHE!$B$3,1,0),0)</f>
        <v/>
      </c>
      <c r="X2534">
        <f>N(X2533)+IF(AND(V2534&lt;&gt;"",T2534&lt;&gt;""),IF(V2534=MONAT!$AZ$3,1,0),0)</f>
        <v/>
      </c>
    </row>
    <row r="2535">
      <c r="A2535" s="19" t="n"/>
      <c r="B2535" s="20">
        <f>IF(A2535="","",CHOOSE(WEEKDAY(A2535,2),"Mo","Di","Mi","Do","Fr","Sa","So"))</f>
        <v/>
      </c>
      <c r="C2535" s="20">
        <f>IF(A2535="","",INT((A2535-DATE(YEAR(A2535-WEEKDAY(A2535-1)+4),1,3)+WEEKDAY(DATE(YEAR(A2535-WEEKDAY(A2535-1)+4),1,3))+5)/7))</f>
        <v/>
      </c>
      <c r="D2535" s="21" t="n"/>
      <c r="E2535" s="22" t="n"/>
      <c r="F2535" s="23" t="n"/>
      <c r="G2535" s="23" t="n"/>
      <c r="H2535" s="23" t="n"/>
      <c r="I2535" s="20">
        <f>IF(COUNT(F2535:H2535)=0,"",SUM(F2535:H2535))</f>
        <v/>
      </c>
      <c r="J2535" s="23" t="n"/>
      <c r="K2535" s="23" t="n"/>
      <c r="L2535" s="23" t="n"/>
      <c r="M2535" s="23" t="n"/>
      <c r="N2535" s="23" t="n"/>
      <c r="O2535" s="20">
        <f>IF(OR(I2535="",COUNT(J2535:N2535)=0),"",IF(SUM(J2535:N2535)=I2535,"✓","⚠ "&amp;SUM(J2535:N2535)&amp;" statt "&amp;I2535))</f>
        <v/>
      </c>
      <c r="P2535" s="21" t="n"/>
      <c r="Q2535" s="21" t="n"/>
      <c r="R2535" s="21" t="n"/>
      <c r="S2535" s="24" t="n"/>
      <c r="T2535" s="24" t="n"/>
      <c r="V2535">
        <f>IF(A2535="","",MONTH(A2535))</f>
        <v/>
      </c>
      <c r="W2535">
        <f>N(W2534)+IF(AND(C2535&lt;&gt;"",T2535&lt;&gt;""),IF(C2535=WOCHE!$B$3,1,0),0)</f>
        <v/>
      </c>
      <c r="X2535">
        <f>N(X2534)+IF(AND(V2535&lt;&gt;"",T2535&lt;&gt;""),IF(V2535=MONAT!$AZ$3,1,0),0)</f>
        <v/>
      </c>
    </row>
    <row r="2536">
      <c r="A2536" s="19" t="n"/>
      <c r="B2536" s="20">
        <f>IF(A2536="","",CHOOSE(WEEKDAY(A2536,2),"Mo","Di","Mi","Do","Fr","Sa","So"))</f>
        <v/>
      </c>
      <c r="C2536" s="20">
        <f>IF(A2536="","",INT((A2536-DATE(YEAR(A2536-WEEKDAY(A2536-1)+4),1,3)+WEEKDAY(DATE(YEAR(A2536-WEEKDAY(A2536-1)+4),1,3))+5)/7))</f>
        <v/>
      </c>
      <c r="D2536" s="21" t="n"/>
      <c r="E2536" s="22" t="n"/>
      <c r="F2536" s="23" t="n"/>
      <c r="G2536" s="23" t="n"/>
      <c r="H2536" s="23" t="n"/>
      <c r="I2536" s="20">
        <f>IF(COUNT(F2536:H2536)=0,"",SUM(F2536:H2536))</f>
        <v/>
      </c>
      <c r="J2536" s="23" t="n"/>
      <c r="K2536" s="23" t="n"/>
      <c r="L2536" s="23" t="n"/>
      <c r="M2536" s="23" t="n"/>
      <c r="N2536" s="23" t="n"/>
      <c r="O2536" s="20">
        <f>IF(OR(I2536="",COUNT(J2536:N2536)=0),"",IF(SUM(J2536:N2536)=I2536,"✓","⚠ "&amp;SUM(J2536:N2536)&amp;" statt "&amp;I2536))</f>
        <v/>
      </c>
      <c r="P2536" s="21" t="n"/>
      <c r="Q2536" s="21" t="n"/>
      <c r="R2536" s="21" t="n"/>
      <c r="S2536" s="24" t="n"/>
      <c r="T2536" s="24" t="n"/>
      <c r="V2536">
        <f>IF(A2536="","",MONTH(A2536))</f>
        <v/>
      </c>
      <c r="W2536">
        <f>N(W2535)+IF(AND(C2536&lt;&gt;"",T2536&lt;&gt;""),IF(C2536=WOCHE!$B$3,1,0),0)</f>
        <v/>
      </c>
      <c r="X2536">
        <f>N(X2535)+IF(AND(V2536&lt;&gt;"",T2536&lt;&gt;""),IF(V2536=MONAT!$AZ$3,1,0),0)</f>
        <v/>
      </c>
    </row>
    <row r="2537">
      <c r="A2537" s="19" t="n"/>
      <c r="B2537" s="20">
        <f>IF(A2537="","",CHOOSE(WEEKDAY(A2537,2),"Mo","Di","Mi","Do","Fr","Sa","So"))</f>
        <v/>
      </c>
      <c r="C2537" s="20">
        <f>IF(A2537="","",INT((A2537-DATE(YEAR(A2537-WEEKDAY(A2537-1)+4),1,3)+WEEKDAY(DATE(YEAR(A2537-WEEKDAY(A2537-1)+4),1,3))+5)/7))</f>
        <v/>
      </c>
      <c r="D2537" s="21" t="n"/>
      <c r="E2537" s="22" t="n"/>
      <c r="F2537" s="23" t="n"/>
      <c r="G2537" s="23" t="n"/>
      <c r="H2537" s="23" t="n"/>
      <c r="I2537" s="20">
        <f>IF(COUNT(F2537:H2537)=0,"",SUM(F2537:H2537))</f>
        <v/>
      </c>
      <c r="J2537" s="23" t="n"/>
      <c r="K2537" s="23" t="n"/>
      <c r="L2537" s="23" t="n"/>
      <c r="M2537" s="23" t="n"/>
      <c r="N2537" s="23" t="n"/>
      <c r="O2537" s="20">
        <f>IF(OR(I2537="",COUNT(J2537:N2537)=0),"",IF(SUM(J2537:N2537)=I2537,"✓","⚠ "&amp;SUM(J2537:N2537)&amp;" statt "&amp;I2537))</f>
        <v/>
      </c>
      <c r="P2537" s="21" t="n"/>
      <c r="Q2537" s="21" t="n"/>
      <c r="R2537" s="21" t="n"/>
      <c r="S2537" s="24" t="n"/>
      <c r="T2537" s="24" t="n"/>
      <c r="V2537">
        <f>IF(A2537="","",MONTH(A2537))</f>
        <v/>
      </c>
      <c r="W2537">
        <f>N(W2536)+IF(AND(C2537&lt;&gt;"",T2537&lt;&gt;""),IF(C2537=WOCHE!$B$3,1,0),0)</f>
        <v/>
      </c>
      <c r="X2537">
        <f>N(X2536)+IF(AND(V2537&lt;&gt;"",T2537&lt;&gt;""),IF(V2537=MONAT!$AZ$3,1,0),0)</f>
        <v/>
      </c>
    </row>
    <row r="2538">
      <c r="A2538" s="19" t="n"/>
      <c r="B2538" s="20">
        <f>IF(A2538="","",CHOOSE(WEEKDAY(A2538,2),"Mo","Di","Mi","Do","Fr","Sa","So"))</f>
        <v/>
      </c>
      <c r="C2538" s="20">
        <f>IF(A2538="","",INT((A2538-DATE(YEAR(A2538-WEEKDAY(A2538-1)+4),1,3)+WEEKDAY(DATE(YEAR(A2538-WEEKDAY(A2538-1)+4),1,3))+5)/7))</f>
        <v/>
      </c>
      <c r="D2538" s="21" t="n"/>
      <c r="E2538" s="22" t="n"/>
      <c r="F2538" s="23" t="n"/>
      <c r="G2538" s="23" t="n"/>
      <c r="H2538" s="23" t="n"/>
      <c r="I2538" s="20">
        <f>IF(COUNT(F2538:H2538)=0,"",SUM(F2538:H2538))</f>
        <v/>
      </c>
      <c r="J2538" s="23" t="n"/>
      <c r="K2538" s="23" t="n"/>
      <c r="L2538" s="23" t="n"/>
      <c r="M2538" s="23" t="n"/>
      <c r="N2538" s="23" t="n"/>
      <c r="O2538" s="20">
        <f>IF(OR(I2538="",COUNT(J2538:N2538)=0),"",IF(SUM(J2538:N2538)=I2538,"✓","⚠ "&amp;SUM(J2538:N2538)&amp;" statt "&amp;I2538))</f>
        <v/>
      </c>
      <c r="P2538" s="21" t="n"/>
      <c r="Q2538" s="21" t="n"/>
      <c r="R2538" s="21" t="n"/>
      <c r="S2538" s="24" t="n"/>
      <c r="T2538" s="24" t="n"/>
      <c r="V2538">
        <f>IF(A2538="","",MONTH(A2538))</f>
        <v/>
      </c>
      <c r="W2538">
        <f>N(W2537)+IF(AND(C2538&lt;&gt;"",T2538&lt;&gt;""),IF(C2538=WOCHE!$B$3,1,0),0)</f>
        <v/>
      </c>
      <c r="X2538">
        <f>N(X2537)+IF(AND(V2538&lt;&gt;"",T2538&lt;&gt;""),IF(V2538=MONAT!$AZ$3,1,0),0)</f>
        <v/>
      </c>
    </row>
    <row r="2539">
      <c r="A2539" s="19" t="n"/>
      <c r="B2539" s="20">
        <f>IF(A2539="","",CHOOSE(WEEKDAY(A2539,2),"Mo","Di","Mi","Do","Fr","Sa","So"))</f>
        <v/>
      </c>
      <c r="C2539" s="20">
        <f>IF(A2539="","",INT((A2539-DATE(YEAR(A2539-WEEKDAY(A2539-1)+4),1,3)+WEEKDAY(DATE(YEAR(A2539-WEEKDAY(A2539-1)+4),1,3))+5)/7))</f>
        <v/>
      </c>
      <c r="D2539" s="21" t="n"/>
      <c r="E2539" s="22" t="n"/>
      <c r="F2539" s="23" t="n"/>
      <c r="G2539" s="23" t="n"/>
      <c r="H2539" s="23" t="n"/>
      <c r="I2539" s="20">
        <f>IF(COUNT(F2539:H2539)=0,"",SUM(F2539:H2539))</f>
        <v/>
      </c>
      <c r="J2539" s="23" t="n"/>
      <c r="K2539" s="23" t="n"/>
      <c r="L2539" s="23" t="n"/>
      <c r="M2539" s="23" t="n"/>
      <c r="N2539" s="23" t="n"/>
      <c r="O2539" s="20">
        <f>IF(OR(I2539="",COUNT(J2539:N2539)=0),"",IF(SUM(J2539:N2539)=I2539,"✓","⚠ "&amp;SUM(J2539:N2539)&amp;" statt "&amp;I2539))</f>
        <v/>
      </c>
      <c r="P2539" s="21" t="n"/>
      <c r="Q2539" s="21" t="n"/>
      <c r="R2539" s="21" t="n"/>
      <c r="S2539" s="24" t="n"/>
      <c r="T2539" s="24" t="n"/>
      <c r="V2539">
        <f>IF(A2539="","",MONTH(A2539))</f>
        <v/>
      </c>
      <c r="W2539">
        <f>N(W2538)+IF(AND(C2539&lt;&gt;"",T2539&lt;&gt;""),IF(C2539=WOCHE!$B$3,1,0),0)</f>
        <v/>
      </c>
      <c r="X2539">
        <f>N(X2538)+IF(AND(V2539&lt;&gt;"",T2539&lt;&gt;""),IF(V2539=MONAT!$AZ$3,1,0),0)</f>
        <v/>
      </c>
    </row>
    <row r="2540">
      <c r="A2540" s="19" t="n"/>
      <c r="B2540" s="20">
        <f>IF(A2540="","",CHOOSE(WEEKDAY(A2540,2),"Mo","Di","Mi","Do","Fr","Sa","So"))</f>
        <v/>
      </c>
      <c r="C2540" s="20">
        <f>IF(A2540="","",INT((A2540-DATE(YEAR(A2540-WEEKDAY(A2540-1)+4),1,3)+WEEKDAY(DATE(YEAR(A2540-WEEKDAY(A2540-1)+4),1,3))+5)/7))</f>
        <v/>
      </c>
      <c r="D2540" s="21" t="n"/>
      <c r="E2540" s="22" t="n"/>
      <c r="F2540" s="23" t="n"/>
      <c r="G2540" s="23" t="n"/>
      <c r="H2540" s="23" t="n"/>
      <c r="I2540" s="20">
        <f>IF(COUNT(F2540:H2540)=0,"",SUM(F2540:H2540))</f>
        <v/>
      </c>
      <c r="J2540" s="23" t="n"/>
      <c r="K2540" s="23" t="n"/>
      <c r="L2540" s="23" t="n"/>
      <c r="M2540" s="23" t="n"/>
      <c r="N2540" s="23" t="n"/>
      <c r="O2540" s="20">
        <f>IF(OR(I2540="",COUNT(J2540:N2540)=0),"",IF(SUM(J2540:N2540)=I2540,"✓","⚠ "&amp;SUM(J2540:N2540)&amp;" statt "&amp;I2540))</f>
        <v/>
      </c>
      <c r="P2540" s="21" t="n"/>
      <c r="Q2540" s="21" t="n"/>
      <c r="R2540" s="21" t="n"/>
      <c r="S2540" s="24" t="n"/>
      <c r="T2540" s="24" t="n"/>
      <c r="V2540">
        <f>IF(A2540="","",MONTH(A2540))</f>
        <v/>
      </c>
      <c r="W2540">
        <f>N(W2539)+IF(AND(C2540&lt;&gt;"",T2540&lt;&gt;""),IF(C2540=WOCHE!$B$3,1,0),0)</f>
        <v/>
      </c>
      <c r="X2540">
        <f>N(X2539)+IF(AND(V2540&lt;&gt;"",T2540&lt;&gt;""),IF(V2540=MONAT!$AZ$3,1,0),0)</f>
        <v/>
      </c>
    </row>
    <row r="2541">
      <c r="A2541" s="19" t="n"/>
      <c r="B2541" s="20">
        <f>IF(A2541="","",CHOOSE(WEEKDAY(A2541,2),"Mo","Di","Mi","Do","Fr","Sa","So"))</f>
        <v/>
      </c>
      <c r="C2541" s="20">
        <f>IF(A2541="","",INT((A2541-DATE(YEAR(A2541-WEEKDAY(A2541-1)+4),1,3)+WEEKDAY(DATE(YEAR(A2541-WEEKDAY(A2541-1)+4),1,3))+5)/7))</f>
        <v/>
      </c>
      <c r="D2541" s="21" t="n"/>
      <c r="E2541" s="22" t="n"/>
      <c r="F2541" s="23" t="n"/>
      <c r="G2541" s="23" t="n"/>
      <c r="H2541" s="23" t="n"/>
      <c r="I2541" s="20">
        <f>IF(COUNT(F2541:H2541)=0,"",SUM(F2541:H2541))</f>
        <v/>
      </c>
      <c r="J2541" s="23" t="n"/>
      <c r="K2541" s="23" t="n"/>
      <c r="L2541" s="23" t="n"/>
      <c r="M2541" s="23" t="n"/>
      <c r="N2541" s="23" t="n"/>
      <c r="O2541" s="20">
        <f>IF(OR(I2541="",COUNT(J2541:N2541)=0),"",IF(SUM(J2541:N2541)=I2541,"✓","⚠ "&amp;SUM(J2541:N2541)&amp;" statt "&amp;I2541))</f>
        <v/>
      </c>
      <c r="P2541" s="21" t="n"/>
      <c r="Q2541" s="21" t="n"/>
      <c r="R2541" s="21" t="n"/>
      <c r="S2541" s="24" t="n"/>
      <c r="T2541" s="24" t="n"/>
      <c r="V2541">
        <f>IF(A2541="","",MONTH(A2541))</f>
        <v/>
      </c>
      <c r="W2541">
        <f>N(W2540)+IF(AND(C2541&lt;&gt;"",T2541&lt;&gt;""),IF(C2541=WOCHE!$B$3,1,0),0)</f>
        <v/>
      </c>
      <c r="X2541">
        <f>N(X2540)+IF(AND(V2541&lt;&gt;"",T2541&lt;&gt;""),IF(V2541=MONAT!$AZ$3,1,0),0)</f>
        <v/>
      </c>
    </row>
    <row r="2542">
      <c r="A2542" s="19" t="n"/>
      <c r="B2542" s="20">
        <f>IF(A2542="","",CHOOSE(WEEKDAY(A2542,2),"Mo","Di","Mi","Do","Fr","Sa","So"))</f>
        <v/>
      </c>
      <c r="C2542" s="20">
        <f>IF(A2542="","",INT((A2542-DATE(YEAR(A2542-WEEKDAY(A2542-1)+4),1,3)+WEEKDAY(DATE(YEAR(A2542-WEEKDAY(A2542-1)+4),1,3))+5)/7))</f>
        <v/>
      </c>
      <c r="D2542" s="21" t="n"/>
      <c r="E2542" s="22" t="n"/>
      <c r="F2542" s="23" t="n"/>
      <c r="G2542" s="23" t="n"/>
      <c r="H2542" s="23" t="n"/>
      <c r="I2542" s="20">
        <f>IF(COUNT(F2542:H2542)=0,"",SUM(F2542:H2542))</f>
        <v/>
      </c>
      <c r="J2542" s="23" t="n"/>
      <c r="K2542" s="23" t="n"/>
      <c r="L2542" s="23" t="n"/>
      <c r="M2542" s="23" t="n"/>
      <c r="N2542" s="23" t="n"/>
      <c r="O2542" s="20">
        <f>IF(OR(I2542="",COUNT(J2542:N2542)=0),"",IF(SUM(J2542:N2542)=I2542,"✓","⚠ "&amp;SUM(J2542:N2542)&amp;" statt "&amp;I2542))</f>
        <v/>
      </c>
      <c r="P2542" s="21" t="n"/>
      <c r="Q2542" s="21" t="n"/>
      <c r="R2542" s="21" t="n"/>
      <c r="S2542" s="24" t="n"/>
      <c r="T2542" s="24" t="n"/>
      <c r="V2542">
        <f>IF(A2542="","",MONTH(A2542))</f>
        <v/>
      </c>
      <c r="W2542">
        <f>N(W2541)+IF(AND(C2542&lt;&gt;"",T2542&lt;&gt;""),IF(C2542=WOCHE!$B$3,1,0),0)</f>
        <v/>
      </c>
      <c r="X2542">
        <f>N(X2541)+IF(AND(V2542&lt;&gt;"",T2542&lt;&gt;""),IF(V2542=MONAT!$AZ$3,1,0),0)</f>
        <v/>
      </c>
    </row>
    <row r="2543">
      <c r="A2543" s="19" t="n"/>
      <c r="B2543" s="20">
        <f>IF(A2543="","",CHOOSE(WEEKDAY(A2543,2),"Mo","Di","Mi","Do","Fr","Sa","So"))</f>
        <v/>
      </c>
      <c r="C2543" s="20">
        <f>IF(A2543="","",INT((A2543-DATE(YEAR(A2543-WEEKDAY(A2543-1)+4),1,3)+WEEKDAY(DATE(YEAR(A2543-WEEKDAY(A2543-1)+4),1,3))+5)/7))</f>
        <v/>
      </c>
      <c r="D2543" s="21" t="n"/>
      <c r="E2543" s="22" t="n"/>
      <c r="F2543" s="23" t="n"/>
      <c r="G2543" s="23" t="n"/>
      <c r="H2543" s="23" t="n"/>
      <c r="I2543" s="20">
        <f>IF(COUNT(F2543:H2543)=0,"",SUM(F2543:H2543))</f>
        <v/>
      </c>
      <c r="J2543" s="23" t="n"/>
      <c r="K2543" s="23" t="n"/>
      <c r="L2543" s="23" t="n"/>
      <c r="M2543" s="23" t="n"/>
      <c r="N2543" s="23" t="n"/>
      <c r="O2543" s="20">
        <f>IF(OR(I2543="",COUNT(J2543:N2543)=0),"",IF(SUM(J2543:N2543)=I2543,"✓","⚠ "&amp;SUM(J2543:N2543)&amp;" statt "&amp;I2543))</f>
        <v/>
      </c>
      <c r="P2543" s="21" t="n"/>
      <c r="Q2543" s="21" t="n"/>
      <c r="R2543" s="21" t="n"/>
      <c r="S2543" s="24" t="n"/>
      <c r="T2543" s="24" t="n"/>
      <c r="V2543">
        <f>IF(A2543="","",MONTH(A2543))</f>
        <v/>
      </c>
      <c r="W2543">
        <f>N(W2542)+IF(AND(C2543&lt;&gt;"",T2543&lt;&gt;""),IF(C2543=WOCHE!$B$3,1,0),0)</f>
        <v/>
      </c>
      <c r="X2543">
        <f>N(X2542)+IF(AND(V2543&lt;&gt;"",T2543&lt;&gt;""),IF(V2543=MONAT!$AZ$3,1,0),0)</f>
        <v/>
      </c>
    </row>
    <row r="2544">
      <c r="A2544" s="19" t="n"/>
      <c r="B2544" s="20">
        <f>IF(A2544="","",CHOOSE(WEEKDAY(A2544,2),"Mo","Di","Mi","Do","Fr","Sa","So"))</f>
        <v/>
      </c>
      <c r="C2544" s="20">
        <f>IF(A2544="","",INT((A2544-DATE(YEAR(A2544-WEEKDAY(A2544-1)+4),1,3)+WEEKDAY(DATE(YEAR(A2544-WEEKDAY(A2544-1)+4),1,3))+5)/7))</f>
        <v/>
      </c>
      <c r="D2544" s="21" t="n"/>
      <c r="E2544" s="22" t="n"/>
      <c r="F2544" s="23" t="n"/>
      <c r="G2544" s="23" t="n"/>
      <c r="H2544" s="23" t="n"/>
      <c r="I2544" s="20">
        <f>IF(COUNT(F2544:H2544)=0,"",SUM(F2544:H2544))</f>
        <v/>
      </c>
      <c r="J2544" s="23" t="n"/>
      <c r="K2544" s="23" t="n"/>
      <c r="L2544" s="23" t="n"/>
      <c r="M2544" s="23" t="n"/>
      <c r="N2544" s="23" t="n"/>
      <c r="O2544" s="20">
        <f>IF(OR(I2544="",COUNT(J2544:N2544)=0),"",IF(SUM(J2544:N2544)=I2544,"✓","⚠ "&amp;SUM(J2544:N2544)&amp;" statt "&amp;I2544))</f>
        <v/>
      </c>
      <c r="P2544" s="21" t="n"/>
      <c r="Q2544" s="21" t="n"/>
      <c r="R2544" s="21" t="n"/>
      <c r="S2544" s="24" t="n"/>
      <c r="T2544" s="24" t="n"/>
      <c r="V2544">
        <f>IF(A2544="","",MONTH(A2544))</f>
        <v/>
      </c>
      <c r="W2544">
        <f>N(W2543)+IF(AND(C2544&lt;&gt;"",T2544&lt;&gt;""),IF(C2544=WOCHE!$B$3,1,0),0)</f>
        <v/>
      </c>
      <c r="X2544">
        <f>N(X2543)+IF(AND(V2544&lt;&gt;"",T2544&lt;&gt;""),IF(V2544=MONAT!$AZ$3,1,0),0)</f>
        <v/>
      </c>
    </row>
    <row r="2545">
      <c r="A2545" s="19" t="n"/>
      <c r="B2545" s="20">
        <f>IF(A2545="","",CHOOSE(WEEKDAY(A2545,2),"Mo","Di","Mi","Do","Fr","Sa","So"))</f>
        <v/>
      </c>
      <c r="C2545" s="20">
        <f>IF(A2545="","",INT((A2545-DATE(YEAR(A2545-WEEKDAY(A2545-1)+4),1,3)+WEEKDAY(DATE(YEAR(A2545-WEEKDAY(A2545-1)+4),1,3))+5)/7))</f>
        <v/>
      </c>
      <c r="D2545" s="21" t="n"/>
      <c r="E2545" s="22" t="n"/>
      <c r="F2545" s="23" t="n"/>
      <c r="G2545" s="23" t="n"/>
      <c r="H2545" s="23" t="n"/>
      <c r="I2545" s="20">
        <f>IF(COUNT(F2545:H2545)=0,"",SUM(F2545:H2545))</f>
        <v/>
      </c>
      <c r="J2545" s="23" t="n"/>
      <c r="K2545" s="23" t="n"/>
      <c r="L2545" s="23" t="n"/>
      <c r="M2545" s="23" t="n"/>
      <c r="N2545" s="23" t="n"/>
      <c r="O2545" s="20">
        <f>IF(OR(I2545="",COUNT(J2545:N2545)=0),"",IF(SUM(J2545:N2545)=I2545,"✓","⚠ "&amp;SUM(J2545:N2545)&amp;" statt "&amp;I2545))</f>
        <v/>
      </c>
      <c r="P2545" s="21" t="n"/>
      <c r="Q2545" s="21" t="n"/>
      <c r="R2545" s="21" t="n"/>
      <c r="S2545" s="24" t="n"/>
      <c r="T2545" s="24" t="n"/>
      <c r="V2545">
        <f>IF(A2545="","",MONTH(A2545))</f>
        <v/>
      </c>
      <c r="W2545">
        <f>N(W2544)+IF(AND(C2545&lt;&gt;"",T2545&lt;&gt;""),IF(C2545=WOCHE!$B$3,1,0),0)</f>
        <v/>
      </c>
      <c r="X2545">
        <f>N(X2544)+IF(AND(V2545&lt;&gt;"",T2545&lt;&gt;""),IF(V2545=MONAT!$AZ$3,1,0),0)</f>
        <v/>
      </c>
    </row>
    <row r="2546">
      <c r="A2546" s="19" t="n"/>
      <c r="B2546" s="20">
        <f>IF(A2546="","",CHOOSE(WEEKDAY(A2546,2),"Mo","Di","Mi","Do","Fr","Sa","So"))</f>
        <v/>
      </c>
      <c r="C2546" s="20">
        <f>IF(A2546="","",INT((A2546-DATE(YEAR(A2546-WEEKDAY(A2546-1)+4),1,3)+WEEKDAY(DATE(YEAR(A2546-WEEKDAY(A2546-1)+4),1,3))+5)/7))</f>
        <v/>
      </c>
      <c r="D2546" s="21" t="n"/>
      <c r="E2546" s="22" t="n"/>
      <c r="F2546" s="23" t="n"/>
      <c r="G2546" s="23" t="n"/>
      <c r="H2546" s="23" t="n"/>
      <c r="I2546" s="20">
        <f>IF(COUNT(F2546:H2546)=0,"",SUM(F2546:H2546))</f>
        <v/>
      </c>
      <c r="J2546" s="23" t="n"/>
      <c r="K2546" s="23" t="n"/>
      <c r="L2546" s="23" t="n"/>
      <c r="M2546" s="23" t="n"/>
      <c r="N2546" s="23" t="n"/>
      <c r="O2546" s="20">
        <f>IF(OR(I2546="",COUNT(J2546:N2546)=0),"",IF(SUM(J2546:N2546)=I2546,"✓","⚠ "&amp;SUM(J2546:N2546)&amp;" statt "&amp;I2546))</f>
        <v/>
      </c>
      <c r="P2546" s="21" t="n"/>
      <c r="Q2546" s="21" t="n"/>
      <c r="R2546" s="21" t="n"/>
      <c r="S2546" s="24" t="n"/>
      <c r="T2546" s="24" t="n"/>
      <c r="V2546">
        <f>IF(A2546="","",MONTH(A2546))</f>
        <v/>
      </c>
      <c r="W2546">
        <f>N(W2545)+IF(AND(C2546&lt;&gt;"",T2546&lt;&gt;""),IF(C2546=WOCHE!$B$3,1,0),0)</f>
        <v/>
      </c>
      <c r="X2546">
        <f>N(X2545)+IF(AND(V2546&lt;&gt;"",T2546&lt;&gt;""),IF(V2546=MONAT!$AZ$3,1,0),0)</f>
        <v/>
      </c>
    </row>
    <row r="2547">
      <c r="A2547" s="19" t="n"/>
      <c r="B2547" s="20">
        <f>IF(A2547="","",CHOOSE(WEEKDAY(A2547,2),"Mo","Di","Mi","Do","Fr","Sa","So"))</f>
        <v/>
      </c>
      <c r="C2547" s="20">
        <f>IF(A2547="","",INT((A2547-DATE(YEAR(A2547-WEEKDAY(A2547-1)+4),1,3)+WEEKDAY(DATE(YEAR(A2547-WEEKDAY(A2547-1)+4),1,3))+5)/7))</f>
        <v/>
      </c>
      <c r="D2547" s="21" t="n"/>
      <c r="E2547" s="22" t="n"/>
      <c r="F2547" s="23" t="n"/>
      <c r="G2547" s="23" t="n"/>
      <c r="H2547" s="23" t="n"/>
      <c r="I2547" s="20">
        <f>IF(COUNT(F2547:H2547)=0,"",SUM(F2547:H2547))</f>
        <v/>
      </c>
      <c r="J2547" s="23" t="n"/>
      <c r="K2547" s="23" t="n"/>
      <c r="L2547" s="23" t="n"/>
      <c r="M2547" s="23" t="n"/>
      <c r="N2547" s="23" t="n"/>
      <c r="O2547" s="20">
        <f>IF(OR(I2547="",COUNT(J2547:N2547)=0),"",IF(SUM(J2547:N2547)=I2547,"✓","⚠ "&amp;SUM(J2547:N2547)&amp;" statt "&amp;I2547))</f>
        <v/>
      </c>
      <c r="P2547" s="21" t="n"/>
      <c r="Q2547" s="21" t="n"/>
      <c r="R2547" s="21" t="n"/>
      <c r="S2547" s="24" t="n"/>
      <c r="T2547" s="24" t="n"/>
      <c r="V2547">
        <f>IF(A2547="","",MONTH(A2547))</f>
        <v/>
      </c>
      <c r="W2547">
        <f>N(W2546)+IF(AND(C2547&lt;&gt;"",T2547&lt;&gt;""),IF(C2547=WOCHE!$B$3,1,0),0)</f>
        <v/>
      </c>
      <c r="X2547">
        <f>N(X2546)+IF(AND(V2547&lt;&gt;"",T2547&lt;&gt;""),IF(V2547=MONAT!$AZ$3,1,0),0)</f>
        <v/>
      </c>
    </row>
    <row r="2548">
      <c r="A2548" s="19" t="n"/>
      <c r="B2548" s="20">
        <f>IF(A2548="","",CHOOSE(WEEKDAY(A2548,2),"Mo","Di","Mi","Do","Fr","Sa","So"))</f>
        <v/>
      </c>
      <c r="C2548" s="20">
        <f>IF(A2548="","",INT((A2548-DATE(YEAR(A2548-WEEKDAY(A2548-1)+4),1,3)+WEEKDAY(DATE(YEAR(A2548-WEEKDAY(A2548-1)+4),1,3))+5)/7))</f>
        <v/>
      </c>
      <c r="D2548" s="21" t="n"/>
      <c r="E2548" s="22" t="n"/>
      <c r="F2548" s="23" t="n"/>
      <c r="G2548" s="23" t="n"/>
      <c r="H2548" s="23" t="n"/>
      <c r="I2548" s="20">
        <f>IF(COUNT(F2548:H2548)=0,"",SUM(F2548:H2548))</f>
        <v/>
      </c>
      <c r="J2548" s="23" t="n"/>
      <c r="K2548" s="23" t="n"/>
      <c r="L2548" s="23" t="n"/>
      <c r="M2548" s="23" t="n"/>
      <c r="N2548" s="23" t="n"/>
      <c r="O2548" s="20">
        <f>IF(OR(I2548="",COUNT(J2548:N2548)=0),"",IF(SUM(J2548:N2548)=I2548,"✓","⚠ "&amp;SUM(J2548:N2548)&amp;" statt "&amp;I2548))</f>
        <v/>
      </c>
      <c r="P2548" s="21" t="n"/>
      <c r="Q2548" s="21" t="n"/>
      <c r="R2548" s="21" t="n"/>
      <c r="S2548" s="24" t="n"/>
      <c r="T2548" s="24" t="n"/>
      <c r="V2548">
        <f>IF(A2548="","",MONTH(A2548))</f>
        <v/>
      </c>
      <c r="W2548">
        <f>N(W2547)+IF(AND(C2548&lt;&gt;"",T2548&lt;&gt;""),IF(C2548=WOCHE!$B$3,1,0),0)</f>
        <v/>
      </c>
      <c r="X2548">
        <f>N(X2547)+IF(AND(V2548&lt;&gt;"",T2548&lt;&gt;""),IF(V2548=MONAT!$AZ$3,1,0),0)</f>
        <v/>
      </c>
    </row>
    <row r="2549">
      <c r="A2549" s="19" t="n"/>
      <c r="B2549" s="20">
        <f>IF(A2549="","",CHOOSE(WEEKDAY(A2549,2),"Mo","Di","Mi","Do","Fr","Sa","So"))</f>
        <v/>
      </c>
      <c r="C2549" s="20">
        <f>IF(A2549="","",INT((A2549-DATE(YEAR(A2549-WEEKDAY(A2549-1)+4),1,3)+WEEKDAY(DATE(YEAR(A2549-WEEKDAY(A2549-1)+4),1,3))+5)/7))</f>
        <v/>
      </c>
      <c r="D2549" s="21" t="n"/>
      <c r="E2549" s="22" t="n"/>
      <c r="F2549" s="23" t="n"/>
      <c r="G2549" s="23" t="n"/>
      <c r="H2549" s="23" t="n"/>
      <c r="I2549" s="20">
        <f>IF(COUNT(F2549:H2549)=0,"",SUM(F2549:H2549))</f>
        <v/>
      </c>
      <c r="J2549" s="23" t="n"/>
      <c r="K2549" s="23" t="n"/>
      <c r="L2549" s="23" t="n"/>
      <c r="M2549" s="23" t="n"/>
      <c r="N2549" s="23" t="n"/>
      <c r="O2549" s="20">
        <f>IF(OR(I2549="",COUNT(J2549:N2549)=0),"",IF(SUM(J2549:N2549)=I2549,"✓","⚠ "&amp;SUM(J2549:N2549)&amp;" statt "&amp;I2549))</f>
        <v/>
      </c>
      <c r="P2549" s="21" t="n"/>
      <c r="Q2549" s="21" t="n"/>
      <c r="R2549" s="21" t="n"/>
      <c r="S2549" s="24" t="n"/>
      <c r="T2549" s="24" t="n"/>
      <c r="V2549">
        <f>IF(A2549="","",MONTH(A2549))</f>
        <v/>
      </c>
      <c r="W2549">
        <f>N(W2548)+IF(AND(C2549&lt;&gt;"",T2549&lt;&gt;""),IF(C2549=WOCHE!$B$3,1,0),0)</f>
        <v/>
      </c>
      <c r="X2549">
        <f>N(X2548)+IF(AND(V2549&lt;&gt;"",T2549&lt;&gt;""),IF(V2549=MONAT!$AZ$3,1,0),0)</f>
        <v/>
      </c>
    </row>
    <row r="2550">
      <c r="A2550" s="19" t="n"/>
      <c r="B2550" s="20">
        <f>IF(A2550="","",CHOOSE(WEEKDAY(A2550,2),"Mo","Di","Mi","Do","Fr","Sa","So"))</f>
        <v/>
      </c>
      <c r="C2550" s="20">
        <f>IF(A2550="","",INT((A2550-DATE(YEAR(A2550-WEEKDAY(A2550-1)+4),1,3)+WEEKDAY(DATE(YEAR(A2550-WEEKDAY(A2550-1)+4),1,3))+5)/7))</f>
        <v/>
      </c>
      <c r="D2550" s="21" t="n"/>
      <c r="E2550" s="22" t="n"/>
      <c r="F2550" s="23" t="n"/>
      <c r="G2550" s="23" t="n"/>
      <c r="H2550" s="23" t="n"/>
      <c r="I2550" s="20">
        <f>IF(COUNT(F2550:H2550)=0,"",SUM(F2550:H2550))</f>
        <v/>
      </c>
      <c r="J2550" s="23" t="n"/>
      <c r="K2550" s="23" t="n"/>
      <c r="L2550" s="23" t="n"/>
      <c r="M2550" s="23" t="n"/>
      <c r="N2550" s="23" t="n"/>
      <c r="O2550" s="20">
        <f>IF(OR(I2550="",COUNT(J2550:N2550)=0),"",IF(SUM(J2550:N2550)=I2550,"✓","⚠ "&amp;SUM(J2550:N2550)&amp;" statt "&amp;I2550))</f>
        <v/>
      </c>
      <c r="P2550" s="21" t="n"/>
      <c r="Q2550" s="21" t="n"/>
      <c r="R2550" s="21" t="n"/>
      <c r="S2550" s="24" t="n"/>
      <c r="T2550" s="24" t="n"/>
      <c r="V2550">
        <f>IF(A2550="","",MONTH(A2550))</f>
        <v/>
      </c>
      <c r="W2550">
        <f>N(W2549)+IF(AND(C2550&lt;&gt;"",T2550&lt;&gt;""),IF(C2550=WOCHE!$B$3,1,0),0)</f>
        <v/>
      </c>
      <c r="X2550">
        <f>N(X2549)+IF(AND(V2550&lt;&gt;"",T2550&lt;&gt;""),IF(V2550=MONAT!$AZ$3,1,0),0)</f>
        <v/>
      </c>
    </row>
    <row r="2551">
      <c r="A2551" s="19" t="n"/>
      <c r="B2551" s="20">
        <f>IF(A2551="","",CHOOSE(WEEKDAY(A2551,2),"Mo","Di","Mi","Do","Fr","Sa","So"))</f>
        <v/>
      </c>
      <c r="C2551" s="20">
        <f>IF(A2551="","",INT((A2551-DATE(YEAR(A2551-WEEKDAY(A2551-1)+4),1,3)+WEEKDAY(DATE(YEAR(A2551-WEEKDAY(A2551-1)+4),1,3))+5)/7))</f>
        <v/>
      </c>
      <c r="D2551" s="21" t="n"/>
      <c r="E2551" s="22" t="n"/>
      <c r="F2551" s="23" t="n"/>
      <c r="G2551" s="23" t="n"/>
      <c r="H2551" s="23" t="n"/>
      <c r="I2551" s="20">
        <f>IF(COUNT(F2551:H2551)=0,"",SUM(F2551:H2551))</f>
        <v/>
      </c>
      <c r="J2551" s="23" t="n"/>
      <c r="K2551" s="23" t="n"/>
      <c r="L2551" s="23" t="n"/>
      <c r="M2551" s="23" t="n"/>
      <c r="N2551" s="23" t="n"/>
      <c r="O2551" s="20">
        <f>IF(OR(I2551="",COUNT(J2551:N2551)=0),"",IF(SUM(J2551:N2551)=I2551,"✓","⚠ "&amp;SUM(J2551:N2551)&amp;" statt "&amp;I2551))</f>
        <v/>
      </c>
      <c r="P2551" s="21" t="n"/>
      <c r="Q2551" s="21" t="n"/>
      <c r="R2551" s="21" t="n"/>
      <c r="S2551" s="24" t="n"/>
      <c r="T2551" s="24" t="n"/>
      <c r="V2551">
        <f>IF(A2551="","",MONTH(A2551))</f>
        <v/>
      </c>
      <c r="W2551">
        <f>N(W2550)+IF(AND(C2551&lt;&gt;"",T2551&lt;&gt;""),IF(C2551=WOCHE!$B$3,1,0),0)</f>
        <v/>
      </c>
      <c r="X2551">
        <f>N(X2550)+IF(AND(V2551&lt;&gt;"",T2551&lt;&gt;""),IF(V2551=MONAT!$AZ$3,1,0),0)</f>
        <v/>
      </c>
    </row>
    <row r="2552">
      <c r="A2552" s="19" t="n"/>
      <c r="B2552" s="20">
        <f>IF(A2552="","",CHOOSE(WEEKDAY(A2552,2),"Mo","Di","Mi","Do","Fr","Sa","So"))</f>
        <v/>
      </c>
      <c r="C2552" s="20">
        <f>IF(A2552="","",INT((A2552-DATE(YEAR(A2552-WEEKDAY(A2552-1)+4),1,3)+WEEKDAY(DATE(YEAR(A2552-WEEKDAY(A2552-1)+4),1,3))+5)/7))</f>
        <v/>
      </c>
      <c r="D2552" s="21" t="n"/>
      <c r="E2552" s="22" t="n"/>
      <c r="F2552" s="23" t="n"/>
      <c r="G2552" s="23" t="n"/>
      <c r="H2552" s="23" t="n"/>
      <c r="I2552" s="20">
        <f>IF(COUNT(F2552:H2552)=0,"",SUM(F2552:H2552))</f>
        <v/>
      </c>
      <c r="J2552" s="23" t="n"/>
      <c r="K2552" s="23" t="n"/>
      <c r="L2552" s="23" t="n"/>
      <c r="M2552" s="23" t="n"/>
      <c r="N2552" s="23" t="n"/>
      <c r="O2552" s="20">
        <f>IF(OR(I2552="",COUNT(J2552:N2552)=0),"",IF(SUM(J2552:N2552)=I2552,"✓","⚠ "&amp;SUM(J2552:N2552)&amp;" statt "&amp;I2552))</f>
        <v/>
      </c>
      <c r="P2552" s="21" t="n"/>
      <c r="Q2552" s="21" t="n"/>
      <c r="R2552" s="21" t="n"/>
      <c r="S2552" s="24" t="n"/>
      <c r="T2552" s="24" t="n"/>
      <c r="V2552">
        <f>IF(A2552="","",MONTH(A2552))</f>
        <v/>
      </c>
      <c r="W2552">
        <f>N(W2551)+IF(AND(C2552&lt;&gt;"",T2552&lt;&gt;""),IF(C2552=WOCHE!$B$3,1,0),0)</f>
        <v/>
      </c>
      <c r="X2552">
        <f>N(X2551)+IF(AND(V2552&lt;&gt;"",T2552&lt;&gt;""),IF(V2552=MONAT!$AZ$3,1,0),0)</f>
        <v/>
      </c>
    </row>
    <row r="2553">
      <c r="A2553" s="19" t="n"/>
      <c r="B2553" s="20">
        <f>IF(A2553="","",CHOOSE(WEEKDAY(A2553,2),"Mo","Di","Mi","Do","Fr","Sa","So"))</f>
        <v/>
      </c>
      <c r="C2553" s="20">
        <f>IF(A2553="","",INT((A2553-DATE(YEAR(A2553-WEEKDAY(A2553-1)+4),1,3)+WEEKDAY(DATE(YEAR(A2553-WEEKDAY(A2553-1)+4),1,3))+5)/7))</f>
        <v/>
      </c>
      <c r="D2553" s="21" t="n"/>
      <c r="E2553" s="22" t="n"/>
      <c r="F2553" s="23" t="n"/>
      <c r="G2553" s="23" t="n"/>
      <c r="H2553" s="23" t="n"/>
      <c r="I2553" s="20">
        <f>IF(COUNT(F2553:H2553)=0,"",SUM(F2553:H2553))</f>
        <v/>
      </c>
      <c r="J2553" s="23" t="n"/>
      <c r="K2553" s="23" t="n"/>
      <c r="L2553" s="23" t="n"/>
      <c r="M2553" s="23" t="n"/>
      <c r="N2553" s="23" t="n"/>
      <c r="O2553" s="20">
        <f>IF(OR(I2553="",COUNT(J2553:N2553)=0),"",IF(SUM(J2553:N2553)=I2553,"✓","⚠ "&amp;SUM(J2553:N2553)&amp;" statt "&amp;I2553))</f>
        <v/>
      </c>
      <c r="P2553" s="21" t="n"/>
      <c r="Q2553" s="21" t="n"/>
      <c r="R2553" s="21" t="n"/>
      <c r="S2553" s="24" t="n"/>
      <c r="T2553" s="24" t="n"/>
      <c r="V2553">
        <f>IF(A2553="","",MONTH(A2553))</f>
        <v/>
      </c>
      <c r="W2553">
        <f>N(W2552)+IF(AND(C2553&lt;&gt;"",T2553&lt;&gt;""),IF(C2553=WOCHE!$B$3,1,0),0)</f>
        <v/>
      </c>
      <c r="X2553">
        <f>N(X2552)+IF(AND(V2553&lt;&gt;"",T2553&lt;&gt;""),IF(V2553=MONAT!$AZ$3,1,0),0)</f>
        <v/>
      </c>
    </row>
    <row r="2554">
      <c r="A2554" s="19" t="n"/>
      <c r="B2554" s="20">
        <f>IF(A2554="","",CHOOSE(WEEKDAY(A2554,2),"Mo","Di","Mi","Do","Fr","Sa","So"))</f>
        <v/>
      </c>
      <c r="C2554" s="20">
        <f>IF(A2554="","",INT((A2554-DATE(YEAR(A2554-WEEKDAY(A2554-1)+4),1,3)+WEEKDAY(DATE(YEAR(A2554-WEEKDAY(A2554-1)+4),1,3))+5)/7))</f>
        <v/>
      </c>
      <c r="D2554" s="21" t="n"/>
      <c r="E2554" s="22" t="n"/>
      <c r="F2554" s="23" t="n"/>
      <c r="G2554" s="23" t="n"/>
      <c r="H2554" s="23" t="n"/>
      <c r="I2554" s="20">
        <f>IF(COUNT(F2554:H2554)=0,"",SUM(F2554:H2554))</f>
        <v/>
      </c>
      <c r="J2554" s="23" t="n"/>
      <c r="K2554" s="23" t="n"/>
      <c r="L2554" s="23" t="n"/>
      <c r="M2554" s="23" t="n"/>
      <c r="N2554" s="23" t="n"/>
      <c r="O2554" s="20">
        <f>IF(OR(I2554="",COUNT(J2554:N2554)=0),"",IF(SUM(J2554:N2554)=I2554,"✓","⚠ "&amp;SUM(J2554:N2554)&amp;" statt "&amp;I2554))</f>
        <v/>
      </c>
      <c r="P2554" s="21" t="n"/>
      <c r="Q2554" s="21" t="n"/>
      <c r="R2554" s="21" t="n"/>
      <c r="S2554" s="24" t="n"/>
      <c r="T2554" s="24" t="n"/>
      <c r="V2554">
        <f>IF(A2554="","",MONTH(A2554))</f>
        <v/>
      </c>
      <c r="W2554">
        <f>N(W2553)+IF(AND(C2554&lt;&gt;"",T2554&lt;&gt;""),IF(C2554=WOCHE!$B$3,1,0),0)</f>
        <v/>
      </c>
      <c r="X2554">
        <f>N(X2553)+IF(AND(V2554&lt;&gt;"",T2554&lt;&gt;""),IF(V2554=MONAT!$AZ$3,1,0),0)</f>
        <v/>
      </c>
    </row>
    <row r="2555">
      <c r="A2555" s="19" t="n"/>
      <c r="B2555" s="20">
        <f>IF(A2555="","",CHOOSE(WEEKDAY(A2555,2),"Mo","Di","Mi","Do","Fr","Sa","So"))</f>
        <v/>
      </c>
      <c r="C2555" s="20">
        <f>IF(A2555="","",INT((A2555-DATE(YEAR(A2555-WEEKDAY(A2555-1)+4),1,3)+WEEKDAY(DATE(YEAR(A2555-WEEKDAY(A2555-1)+4),1,3))+5)/7))</f>
        <v/>
      </c>
      <c r="D2555" s="21" t="n"/>
      <c r="E2555" s="22" t="n"/>
      <c r="F2555" s="23" t="n"/>
      <c r="G2555" s="23" t="n"/>
      <c r="H2555" s="23" t="n"/>
      <c r="I2555" s="20">
        <f>IF(COUNT(F2555:H2555)=0,"",SUM(F2555:H2555))</f>
        <v/>
      </c>
      <c r="J2555" s="23" t="n"/>
      <c r="K2555" s="23" t="n"/>
      <c r="L2555" s="23" t="n"/>
      <c r="M2555" s="23" t="n"/>
      <c r="N2555" s="23" t="n"/>
      <c r="O2555" s="20">
        <f>IF(OR(I2555="",COUNT(J2555:N2555)=0),"",IF(SUM(J2555:N2555)=I2555,"✓","⚠ "&amp;SUM(J2555:N2555)&amp;" statt "&amp;I2555))</f>
        <v/>
      </c>
      <c r="P2555" s="21" t="n"/>
      <c r="Q2555" s="21" t="n"/>
      <c r="R2555" s="21" t="n"/>
      <c r="S2555" s="24" t="n"/>
      <c r="T2555" s="24" t="n"/>
      <c r="V2555">
        <f>IF(A2555="","",MONTH(A2555))</f>
        <v/>
      </c>
      <c r="W2555">
        <f>N(W2554)+IF(AND(C2555&lt;&gt;"",T2555&lt;&gt;""),IF(C2555=WOCHE!$B$3,1,0),0)</f>
        <v/>
      </c>
      <c r="X2555">
        <f>N(X2554)+IF(AND(V2555&lt;&gt;"",T2555&lt;&gt;""),IF(V2555=MONAT!$AZ$3,1,0),0)</f>
        <v/>
      </c>
    </row>
    <row r="2556">
      <c r="A2556" s="19" t="n"/>
      <c r="B2556" s="20">
        <f>IF(A2556="","",CHOOSE(WEEKDAY(A2556,2),"Mo","Di","Mi","Do","Fr","Sa","So"))</f>
        <v/>
      </c>
      <c r="C2556" s="20">
        <f>IF(A2556="","",INT((A2556-DATE(YEAR(A2556-WEEKDAY(A2556-1)+4),1,3)+WEEKDAY(DATE(YEAR(A2556-WEEKDAY(A2556-1)+4),1,3))+5)/7))</f>
        <v/>
      </c>
      <c r="D2556" s="21" t="n"/>
      <c r="E2556" s="22" t="n"/>
      <c r="F2556" s="23" t="n"/>
      <c r="G2556" s="23" t="n"/>
      <c r="H2556" s="23" t="n"/>
      <c r="I2556" s="20">
        <f>IF(COUNT(F2556:H2556)=0,"",SUM(F2556:H2556))</f>
        <v/>
      </c>
      <c r="J2556" s="23" t="n"/>
      <c r="K2556" s="23" t="n"/>
      <c r="L2556" s="23" t="n"/>
      <c r="M2556" s="23" t="n"/>
      <c r="N2556" s="23" t="n"/>
      <c r="O2556" s="20">
        <f>IF(OR(I2556="",COUNT(J2556:N2556)=0),"",IF(SUM(J2556:N2556)=I2556,"✓","⚠ "&amp;SUM(J2556:N2556)&amp;" statt "&amp;I2556))</f>
        <v/>
      </c>
      <c r="P2556" s="21" t="n"/>
      <c r="Q2556" s="21" t="n"/>
      <c r="R2556" s="21" t="n"/>
      <c r="S2556" s="24" t="n"/>
      <c r="T2556" s="24" t="n"/>
      <c r="V2556">
        <f>IF(A2556="","",MONTH(A2556))</f>
        <v/>
      </c>
      <c r="W2556">
        <f>N(W2555)+IF(AND(C2556&lt;&gt;"",T2556&lt;&gt;""),IF(C2556=WOCHE!$B$3,1,0),0)</f>
        <v/>
      </c>
      <c r="X2556">
        <f>N(X2555)+IF(AND(V2556&lt;&gt;"",T2556&lt;&gt;""),IF(V2556=MONAT!$AZ$3,1,0),0)</f>
        <v/>
      </c>
    </row>
    <row r="2557">
      <c r="A2557" s="19" t="n"/>
      <c r="B2557" s="20">
        <f>IF(A2557="","",CHOOSE(WEEKDAY(A2557,2),"Mo","Di","Mi","Do","Fr","Sa","So"))</f>
        <v/>
      </c>
      <c r="C2557" s="20">
        <f>IF(A2557="","",INT((A2557-DATE(YEAR(A2557-WEEKDAY(A2557-1)+4),1,3)+WEEKDAY(DATE(YEAR(A2557-WEEKDAY(A2557-1)+4),1,3))+5)/7))</f>
        <v/>
      </c>
      <c r="D2557" s="21" t="n"/>
      <c r="E2557" s="22" t="n"/>
      <c r="F2557" s="23" t="n"/>
      <c r="G2557" s="23" t="n"/>
      <c r="H2557" s="23" t="n"/>
      <c r="I2557" s="20">
        <f>IF(COUNT(F2557:H2557)=0,"",SUM(F2557:H2557))</f>
        <v/>
      </c>
      <c r="J2557" s="23" t="n"/>
      <c r="K2557" s="23" t="n"/>
      <c r="L2557" s="23" t="n"/>
      <c r="M2557" s="23" t="n"/>
      <c r="N2557" s="23" t="n"/>
      <c r="O2557" s="20">
        <f>IF(OR(I2557="",COUNT(J2557:N2557)=0),"",IF(SUM(J2557:N2557)=I2557,"✓","⚠ "&amp;SUM(J2557:N2557)&amp;" statt "&amp;I2557))</f>
        <v/>
      </c>
      <c r="P2557" s="21" t="n"/>
      <c r="Q2557" s="21" t="n"/>
      <c r="R2557" s="21" t="n"/>
      <c r="S2557" s="24" t="n"/>
      <c r="T2557" s="24" t="n"/>
      <c r="V2557">
        <f>IF(A2557="","",MONTH(A2557))</f>
        <v/>
      </c>
      <c r="W2557">
        <f>N(W2556)+IF(AND(C2557&lt;&gt;"",T2557&lt;&gt;""),IF(C2557=WOCHE!$B$3,1,0),0)</f>
        <v/>
      </c>
      <c r="X2557">
        <f>N(X2556)+IF(AND(V2557&lt;&gt;"",T2557&lt;&gt;""),IF(V2557=MONAT!$AZ$3,1,0),0)</f>
        <v/>
      </c>
    </row>
    <row r="2558">
      <c r="A2558" s="19" t="n"/>
      <c r="B2558" s="20">
        <f>IF(A2558="","",CHOOSE(WEEKDAY(A2558,2),"Mo","Di","Mi","Do","Fr","Sa","So"))</f>
        <v/>
      </c>
      <c r="C2558" s="20">
        <f>IF(A2558="","",INT((A2558-DATE(YEAR(A2558-WEEKDAY(A2558-1)+4),1,3)+WEEKDAY(DATE(YEAR(A2558-WEEKDAY(A2558-1)+4),1,3))+5)/7))</f>
        <v/>
      </c>
      <c r="D2558" s="21" t="n"/>
      <c r="E2558" s="22" t="n"/>
      <c r="F2558" s="23" t="n"/>
      <c r="G2558" s="23" t="n"/>
      <c r="H2558" s="23" t="n"/>
      <c r="I2558" s="20">
        <f>IF(COUNT(F2558:H2558)=0,"",SUM(F2558:H2558))</f>
        <v/>
      </c>
      <c r="J2558" s="23" t="n"/>
      <c r="K2558" s="23" t="n"/>
      <c r="L2558" s="23" t="n"/>
      <c r="M2558" s="23" t="n"/>
      <c r="N2558" s="23" t="n"/>
      <c r="O2558" s="20">
        <f>IF(OR(I2558="",COUNT(J2558:N2558)=0),"",IF(SUM(J2558:N2558)=I2558,"✓","⚠ "&amp;SUM(J2558:N2558)&amp;" statt "&amp;I2558))</f>
        <v/>
      </c>
      <c r="P2558" s="21" t="n"/>
      <c r="Q2558" s="21" t="n"/>
      <c r="R2558" s="21" t="n"/>
      <c r="S2558" s="24" t="n"/>
      <c r="T2558" s="24" t="n"/>
      <c r="V2558">
        <f>IF(A2558="","",MONTH(A2558))</f>
        <v/>
      </c>
      <c r="W2558">
        <f>N(W2557)+IF(AND(C2558&lt;&gt;"",T2558&lt;&gt;""),IF(C2558=WOCHE!$B$3,1,0),0)</f>
        <v/>
      </c>
      <c r="X2558">
        <f>N(X2557)+IF(AND(V2558&lt;&gt;"",T2558&lt;&gt;""),IF(V2558=MONAT!$AZ$3,1,0),0)</f>
        <v/>
      </c>
    </row>
    <row r="2559">
      <c r="A2559" s="19" t="n"/>
      <c r="B2559" s="20">
        <f>IF(A2559="","",CHOOSE(WEEKDAY(A2559,2),"Mo","Di","Mi","Do","Fr","Sa","So"))</f>
        <v/>
      </c>
      <c r="C2559" s="20">
        <f>IF(A2559="","",INT((A2559-DATE(YEAR(A2559-WEEKDAY(A2559-1)+4),1,3)+WEEKDAY(DATE(YEAR(A2559-WEEKDAY(A2559-1)+4),1,3))+5)/7))</f>
        <v/>
      </c>
      <c r="D2559" s="21" t="n"/>
      <c r="E2559" s="22" t="n"/>
      <c r="F2559" s="23" t="n"/>
      <c r="G2559" s="23" t="n"/>
      <c r="H2559" s="23" t="n"/>
      <c r="I2559" s="20">
        <f>IF(COUNT(F2559:H2559)=0,"",SUM(F2559:H2559))</f>
        <v/>
      </c>
      <c r="J2559" s="23" t="n"/>
      <c r="K2559" s="23" t="n"/>
      <c r="L2559" s="23" t="n"/>
      <c r="M2559" s="23" t="n"/>
      <c r="N2559" s="23" t="n"/>
      <c r="O2559" s="20">
        <f>IF(OR(I2559="",COUNT(J2559:N2559)=0),"",IF(SUM(J2559:N2559)=I2559,"✓","⚠ "&amp;SUM(J2559:N2559)&amp;" statt "&amp;I2559))</f>
        <v/>
      </c>
      <c r="P2559" s="21" t="n"/>
      <c r="Q2559" s="21" t="n"/>
      <c r="R2559" s="21" t="n"/>
      <c r="S2559" s="24" t="n"/>
      <c r="T2559" s="24" t="n"/>
      <c r="V2559">
        <f>IF(A2559="","",MONTH(A2559))</f>
        <v/>
      </c>
      <c r="W2559">
        <f>N(W2558)+IF(AND(C2559&lt;&gt;"",T2559&lt;&gt;""),IF(C2559=WOCHE!$B$3,1,0),0)</f>
        <v/>
      </c>
      <c r="X2559">
        <f>N(X2558)+IF(AND(V2559&lt;&gt;"",T2559&lt;&gt;""),IF(V2559=MONAT!$AZ$3,1,0),0)</f>
        <v/>
      </c>
    </row>
    <row r="2560">
      <c r="A2560" s="19" t="n"/>
      <c r="B2560" s="20">
        <f>IF(A2560="","",CHOOSE(WEEKDAY(A2560,2),"Mo","Di","Mi","Do","Fr","Sa","So"))</f>
        <v/>
      </c>
      <c r="C2560" s="20">
        <f>IF(A2560="","",INT((A2560-DATE(YEAR(A2560-WEEKDAY(A2560-1)+4),1,3)+WEEKDAY(DATE(YEAR(A2560-WEEKDAY(A2560-1)+4),1,3))+5)/7))</f>
        <v/>
      </c>
      <c r="D2560" s="21" t="n"/>
      <c r="E2560" s="22" t="n"/>
      <c r="F2560" s="23" t="n"/>
      <c r="G2560" s="23" t="n"/>
      <c r="H2560" s="23" t="n"/>
      <c r="I2560" s="20">
        <f>IF(COUNT(F2560:H2560)=0,"",SUM(F2560:H2560))</f>
        <v/>
      </c>
      <c r="J2560" s="23" t="n"/>
      <c r="K2560" s="23" t="n"/>
      <c r="L2560" s="23" t="n"/>
      <c r="M2560" s="23" t="n"/>
      <c r="N2560" s="23" t="n"/>
      <c r="O2560" s="20">
        <f>IF(OR(I2560="",COUNT(J2560:N2560)=0),"",IF(SUM(J2560:N2560)=I2560,"✓","⚠ "&amp;SUM(J2560:N2560)&amp;" statt "&amp;I2560))</f>
        <v/>
      </c>
      <c r="P2560" s="21" t="n"/>
      <c r="Q2560" s="21" t="n"/>
      <c r="R2560" s="21" t="n"/>
      <c r="S2560" s="24" t="n"/>
      <c r="T2560" s="24" t="n"/>
      <c r="V2560">
        <f>IF(A2560="","",MONTH(A2560))</f>
        <v/>
      </c>
      <c r="W2560">
        <f>N(W2559)+IF(AND(C2560&lt;&gt;"",T2560&lt;&gt;""),IF(C2560=WOCHE!$B$3,1,0),0)</f>
        <v/>
      </c>
      <c r="X2560">
        <f>N(X2559)+IF(AND(V2560&lt;&gt;"",T2560&lt;&gt;""),IF(V2560=MONAT!$AZ$3,1,0),0)</f>
        <v/>
      </c>
    </row>
    <row r="2561">
      <c r="A2561" s="19" t="n"/>
      <c r="B2561" s="20">
        <f>IF(A2561="","",CHOOSE(WEEKDAY(A2561,2),"Mo","Di","Mi","Do","Fr","Sa","So"))</f>
        <v/>
      </c>
      <c r="C2561" s="20">
        <f>IF(A2561="","",INT((A2561-DATE(YEAR(A2561-WEEKDAY(A2561-1)+4),1,3)+WEEKDAY(DATE(YEAR(A2561-WEEKDAY(A2561-1)+4),1,3))+5)/7))</f>
        <v/>
      </c>
      <c r="D2561" s="21" t="n"/>
      <c r="E2561" s="22" t="n"/>
      <c r="F2561" s="23" t="n"/>
      <c r="G2561" s="23" t="n"/>
      <c r="H2561" s="23" t="n"/>
      <c r="I2561" s="20">
        <f>IF(COUNT(F2561:H2561)=0,"",SUM(F2561:H2561))</f>
        <v/>
      </c>
      <c r="J2561" s="23" t="n"/>
      <c r="K2561" s="23" t="n"/>
      <c r="L2561" s="23" t="n"/>
      <c r="M2561" s="23" t="n"/>
      <c r="N2561" s="23" t="n"/>
      <c r="O2561" s="20">
        <f>IF(OR(I2561="",COUNT(J2561:N2561)=0),"",IF(SUM(J2561:N2561)=I2561,"✓","⚠ "&amp;SUM(J2561:N2561)&amp;" statt "&amp;I2561))</f>
        <v/>
      </c>
      <c r="P2561" s="21" t="n"/>
      <c r="Q2561" s="21" t="n"/>
      <c r="R2561" s="21" t="n"/>
      <c r="S2561" s="24" t="n"/>
      <c r="T2561" s="24" t="n"/>
      <c r="V2561">
        <f>IF(A2561="","",MONTH(A2561))</f>
        <v/>
      </c>
      <c r="W2561">
        <f>N(W2560)+IF(AND(C2561&lt;&gt;"",T2561&lt;&gt;""),IF(C2561=WOCHE!$B$3,1,0),0)</f>
        <v/>
      </c>
      <c r="X2561">
        <f>N(X2560)+IF(AND(V2561&lt;&gt;"",T2561&lt;&gt;""),IF(V2561=MONAT!$AZ$3,1,0),0)</f>
        <v/>
      </c>
    </row>
    <row r="2562">
      <c r="A2562" s="19" t="n"/>
      <c r="B2562" s="20">
        <f>IF(A2562="","",CHOOSE(WEEKDAY(A2562,2),"Mo","Di","Mi","Do","Fr","Sa","So"))</f>
        <v/>
      </c>
      <c r="C2562" s="20">
        <f>IF(A2562="","",INT((A2562-DATE(YEAR(A2562-WEEKDAY(A2562-1)+4),1,3)+WEEKDAY(DATE(YEAR(A2562-WEEKDAY(A2562-1)+4),1,3))+5)/7))</f>
        <v/>
      </c>
      <c r="D2562" s="21" t="n"/>
      <c r="E2562" s="22" t="n"/>
      <c r="F2562" s="23" t="n"/>
      <c r="G2562" s="23" t="n"/>
      <c r="H2562" s="23" t="n"/>
      <c r="I2562" s="20">
        <f>IF(COUNT(F2562:H2562)=0,"",SUM(F2562:H2562))</f>
        <v/>
      </c>
      <c r="J2562" s="23" t="n"/>
      <c r="K2562" s="23" t="n"/>
      <c r="L2562" s="23" t="n"/>
      <c r="M2562" s="23" t="n"/>
      <c r="N2562" s="23" t="n"/>
      <c r="O2562" s="20">
        <f>IF(OR(I2562="",COUNT(J2562:N2562)=0),"",IF(SUM(J2562:N2562)=I2562,"✓","⚠ "&amp;SUM(J2562:N2562)&amp;" statt "&amp;I2562))</f>
        <v/>
      </c>
      <c r="P2562" s="21" t="n"/>
      <c r="Q2562" s="21" t="n"/>
      <c r="R2562" s="21" t="n"/>
      <c r="S2562" s="24" t="n"/>
      <c r="T2562" s="24" t="n"/>
      <c r="V2562">
        <f>IF(A2562="","",MONTH(A2562))</f>
        <v/>
      </c>
      <c r="W2562">
        <f>N(W2561)+IF(AND(C2562&lt;&gt;"",T2562&lt;&gt;""),IF(C2562=WOCHE!$B$3,1,0),0)</f>
        <v/>
      </c>
      <c r="X2562">
        <f>N(X2561)+IF(AND(V2562&lt;&gt;"",T2562&lt;&gt;""),IF(V2562=MONAT!$AZ$3,1,0),0)</f>
        <v/>
      </c>
    </row>
    <row r="2563">
      <c r="A2563" s="19" t="n"/>
      <c r="B2563" s="20">
        <f>IF(A2563="","",CHOOSE(WEEKDAY(A2563,2),"Mo","Di","Mi","Do","Fr","Sa","So"))</f>
        <v/>
      </c>
      <c r="C2563" s="20">
        <f>IF(A2563="","",INT((A2563-DATE(YEAR(A2563-WEEKDAY(A2563-1)+4),1,3)+WEEKDAY(DATE(YEAR(A2563-WEEKDAY(A2563-1)+4),1,3))+5)/7))</f>
        <v/>
      </c>
      <c r="D2563" s="21" t="n"/>
      <c r="E2563" s="22" t="n"/>
      <c r="F2563" s="23" t="n"/>
      <c r="G2563" s="23" t="n"/>
      <c r="H2563" s="23" t="n"/>
      <c r="I2563" s="20">
        <f>IF(COUNT(F2563:H2563)=0,"",SUM(F2563:H2563))</f>
        <v/>
      </c>
      <c r="J2563" s="23" t="n"/>
      <c r="K2563" s="23" t="n"/>
      <c r="L2563" s="23" t="n"/>
      <c r="M2563" s="23" t="n"/>
      <c r="N2563" s="23" t="n"/>
      <c r="O2563" s="20">
        <f>IF(OR(I2563="",COUNT(J2563:N2563)=0),"",IF(SUM(J2563:N2563)=I2563,"✓","⚠ "&amp;SUM(J2563:N2563)&amp;" statt "&amp;I2563))</f>
        <v/>
      </c>
      <c r="P2563" s="21" t="n"/>
      <c r="Q2563" s="21" t="n"/>
      <c r="R2563" s="21" t="n"/>
      <c r="S2563" s="24" t="n"/>
      <c r="T2563" s="24" t="n"/>
      <c r="V2563">
        <f>IF(A2563="","",MONTH(A2563))</f>
        <v/>
      </c>
      <c r="W2563">
        <f>N(W2562)+IF(AND(C2563&lt;&gt;"",T2563&lt;&gt;""),IF(C2563=WOCHE!$B$3,1,0),0)</f>
        <v/>
      </c>
      <c r="X2563">
        <f>N(X2562)+IF(AND(V2563&lt;&gt;"",T2563&lt;&gt;""),IF(V2563=MONAT!$AZ$3,1,0),0)</f>
        <v/>
      </c>
    </row>
    <row r="2564">
      <c r="A2564" s="19" t="n"/>
      <c r="B2564" s="20">
        <f>IF(A2564="","",CHOOSE(WEEKDAY(A2564,2),"Mo","Di","Mi","Do","Fr","Sa","So"))</f>
        <v/>
      </c>
      <c r="C2564" s="20">
        <f>IF(A2564="","",INT((A2564-DATE(YEAR(A2564-WEEKDAY(A2564-1)+4),1,3)+WEEKDAY(DATE(YEAR(A2564-WEEKDAY(A2564-1)+4),1,3))+5)/7))</f>
        <v/>
      </c>
      <c r="D2564" s="21" t="n"/>
      <c r="E2564" s="22" t="n"/>
      <c r="F2564" s="23" t="n"/>
      <c r="G2564" s="23" t="n"/>
      <c r="H2564" s="23" t="n"/>
      <c r="I2564" s="20">
        <f>IF(COUNT(F2564:H2564)=0,"",SUM(F2564:H2564))</f>
        <v/>
      </c>
      <c r="J2564" s="23" t="n"/>
      <c r="K2564" s="23" t="n"/>
      <c r="L2564" s="23" t="n"/>
      <c r="M2564" s="23" t="n"/>
      <c r="N2564" s="23" t="n"/>
      <c r="O2564" s="20">
        <f>IF(OR(I2564="",COUNT(J2564:N2564)=0),"",IF(SUM(J2564:N2564)=I2564,"✓","⚠ "&amp;SUM(J2564:N2564)&amp;" statt "&amp;I2564))</f>
        <v/>
      </c>
      <c r="P2564" s="21" t="n"/>
      <c r="Q2564" s="21" t="n"/>
      <c r="R2564" s="21" t="n"/>
      <c r="S2564" s="24" t="n"/>
      <c r="T2564" s="24" t="n"/>
      <c r="V2564">
        <f>IF(A2564="","",MONTH(A2564))</f>
        <v/>
      </c>
      <c r="W2564">
        <f>N(W2563)+IF(AND(C2564&lt;&gt;"",T2564&lt;&gt;""),IF(C2564=WOCHE!$B$3,1,0),0)</f>
        <v/>
      </c>
      <c r="X2564">
        <f>N(X2563)+IF(AND(V2564&lt;&gt;"",T2564&lt;&gt;""),IF(V2564=MONAT!$AZ$3,1,0),0)</f>
        <v/>
      </c>
    </row>
    <row r="2565">
      <c r="A2565" s="19" t="n"/>
      <c r="B2565" s="20">
        <f>IF(A2565="","",CHOOSE(WEEKDAY(A2565,2),"Mo","Di","Mi","Do","Fr","Sa","So"))</f>
        <v/>
      </c>
      <c r="C2565" s="20">
        <f>IF(A2565="","",INT((A2565-DATE(YEAR(A2565-WEEKDAY(A2565-1)+4),1,3)+WEEKDAY(DATE(YEAR(A2565-WEEKDAY(A2565-1)+4),1,3))+5)/7))</f>
        <v/>
      </c>
      <c r="D2565" s="21" t="n"/>
      <c r="E2565" s="22" t="n"/>
      <c r="F2565" s="23" t="n"/>
      <c r="G2565" s="23" t="n"/>
      <c r="H2565" s="23" t="n"/>
      <c r="I2565" s="20">
        <f>IF(COUNT(F2565:H2565)=0,"",SUM(F2565:H2565))</f>
        <v/>
      </c>
      <c r="J2565" s="23" t="n"/>
      <c r="K2565" s="23" t="n"/>
      <c r="L2565" s="23" t="n"/>
      <c r="M2565" s="23" t="n"/>
      <c r="N2565" s="23" t="n"/>
      <c r="O2565" s="20">
        <f>IF(OR(I2565="",COUNT(J2565:N2565)=0),"",IF(SUM(J2565:N2565)=I2565,"✓","⚠ "&amp;SUM(J2565:N2565)&amp;" statt "&amp;I2565))</f>
        <v/>
      </c>
      <c r="P2565" s="21" t="n"/>
      <c r="Q2565" s="21" t="n"/>
      <c r="R2565" s="21" t="n"/>
      <c r="S2565" s="24" t="n"/>
      <c r="T2565" s="24" t="n"/>
      <c r="V2565">
        <f>IF(A2565="","",MONTH(A2565))</f>
        <v/>
      </c>
      <c r="W2565">
        <f>N(W2564)+IF(AND(C2565&lt;&gt;"",T2565&lt;&gt;""),IF(C2565=WOCHE!$B$3,1,0),0)</f>
        <v/>
      </c>
      <c r="X2565">
        <f>N(X2564)+IF(AND(V2565&lt;&gt;"",T2565&lt;&gt;""),IF(V2565=MONAT!$AZ$3,1,0),0)</f>
        <v/>
      </c>
    </row>
    <row r="2566">
      <c r="A2566" s="19" t="n"/>
      <c r="B2566" s="20">
        <f>IF(A2566="","",CHOOSE(WEEKDAY(A2566,2),"Mo","Di","Mi","Do","Fr","Sa","So"))</f>
        <v/>
      </c>
      <c r="C2566" s="20">
        <f>IF(A2566="","",INT((A2566-DATE(YEAR(A2566-WEEKDAY(A2566-1)+4),1,3)+WEEKDAY(DATE(YEAR(A2566-WEEKDAY(A2566-1)+4),1,3))+5)/7))</f>
        <v/>
      </c>
      <c r="D2566" s="21" t="n"/>
      <c r="E2566" s="22" t="n"/>
      <c r="F2566" s="23" t="n"/>
      <c r="G2566" s="23" t="n"/>
      <c r="H2566" s="23" t="n"/>
      <c r="I2566" s="20">
        <f>IF(COUNT(F2566:H2566)=0,"",SUM(F2566:H2566))</f>
        <v/>
      </c>
      <c r="J2566" s="23" t="n"/>
      <c r="K2566" s="23" t="n"/>
      <c r="L2566" s="23" t="n"/>
      <c r="M2566" s="23" t="n"/>
      <c r="N2566" s="23" t="n"/>
      <c r="O2566" s="20">
        <f>IF(OR(I2566="",COUNT(J2566:N2566)=0),"",IF(SUM(J2566:N2566)=I2566,"✓","⚠ "&amp;SUM(J2566:N2566)&amp;" statt "&amp;I2566))</f>
        <v/>
      </c>
      <c r="P2566" s="21" t="n"/>
      <c r="Q2566" s="21" t="n"/>
      <c r="R2566" s="21" t="n"/>
      <c r="S2566" s="24" t="n"/>
      <c r="T2566" s="24" t="n"/>
      <c r="V2566">
        <f>IF(A2566="","",MONTH(A2566))</f>
        <v/>
      </c>
      <c r="W2566">
        <f>N(W2565)+IF(AND(C2566&lt;&gt;"",T2566&lt;&gt;""),IF(C2566=WOCHE!$B$3,1,0),0)</f>
        <v/>
      </c>
      <c r="X2566">
        <f>N(X2565)+IF(AND(V2566&lt;&gt;"",T2566&lt;&gt;""),IF(V2566=MONAT!$AZ$3,1,0),0)</f>
        <v/>
      </c>
    </row>
    <row r="2567">
      <c r="A2567" s="19" t="n"/>
      <c r="B2567" s="20">
        <f>IF(A2567="","",CHOOSE(WEEKDAY(A2567,2),"Mo","Di","Mi","Do","Fr","Sa","So"))</f>
        <v/>
      </c>
      <c r="C2567" s="20">
        <f>IF(A2567="","",INT((A2567-DATE(YEAR(A2567-WEEKDAY(A2567-1)+4),1,3)+WEEKDAY(DATE(YEAR(A2567-WEEKDAY(A2567-1)+4),1,3))+5)/7))</f>
        <v/>
      </c>
      <c r="D2567" s="21" t="n"/>
      <c r="E2567" s="22" t="n"/>
      <c r="F2567" s="23" t="n"/>
      <c r="G2567" s="23" t="n"/>
      <c r="H2567" s="23" t="n"/>
      <c r="I2567" s="20">
        <f>IF(COUNT(F2567:H2567)=0,"",SUM(F2567:H2567))</f>
        <v/>
      </c>
      <c r="J2567" s="23" t="n"/>
      <c r="K2567" s="23" t="n"/>
      <c r="L2567" s="23" t="n"/>
      <c r="M2567" s="23" t="n"/>
      <c r="N2567" s="23" t="n"/>
      <c r="O2567" s="20">
        <f>IF(OR(I2567="",COUNT(J2567:N2567)=0),"",IF(SUM(J2567:N2567)=I2567,"✓","⚠ "&amp;SUM(J2567:N2567)&amp;" statt "&amp;I2567))</f>
        <v/>
      </c>
      <c r="P2567" s="21" t="n"/>
      <c r="Q2567" s="21" t="n"/>
      <c r="R2567" s="21" t="n"/>
      <c r="S2567" s="24" t="n"/>
      <c r="T2567" s="24" t="n"/>
      <c r="V2567">
        <f>IF(A2567="","",MONTH(A2567))</f>
        <v/>
      </c>
      <c r="W2567">
        <f>N(W2566)+IF(AND(C2567&lt;&gt;"",T2567&lt;&gt;""),IF(C2567=WOCHE!$B$3,1,0),0)</f>
        <v/>
      </c>
      <c r="X2567">
        <f>N(X2566)+IF(AND(V2567&lt;&gt;"",T2567&lt;&gt;""),IF(V2567=MONAT!$AZ$3,1,0),0)</f>
        <v/>
      </c>
    </row>
    <row r="2568">
      <c r="A2568" s="19" t="n"/>
      <c r="B2568" s="20">
        <f>IF(A2568="","",CHOOSE(WEEKDAY(A2568,2),"Mo","Di","Mi","Do","Fr","Sa","So"))</f>
        <v/>
      </c>
      <c r="C2568" s="20">
        <f>IF(A2568="","",INT((A2568-DATE(YEAR(A2568-WEEKDAY(A2568-1)+4),1,3)+WEEKDAY(DATE(YEAR(A2568-WEEKDAY(A2568-1)+4),1,3))+5)/7))</f>
        <v/>
      </c>
      <c r="D2568" s="21" t="n"/>
      <c r="E2568" s="22" t="n"/>
      <c r="F2568" s="23" t="n"/>
      <c r="G2568" s="23" t="n"/>
      <c r="H2568" s="23" t="n"/>
      <c r="I2568" s="20">
        <f>IF(COUNT(F2568:H2568)=0,"",SUM(F2568:H2568))</f>
        <v/>
      </c>
      <c r="J2568" s="23" t="n"/>
      <c r="K2568" s="23" t="n"/>
      <c r="L2568" s="23" t="n"/>
      <c r="M2568" s="23" t="n"/>
      <c r="N2568" s="23" t="n"/>
      <c r="O2568" s="20">
        <f>IF(OR(I2568="",COUNT(J2568:N2568)=0),"",IF(SUM(J2568:N2568)=I2568,"✓","⚠ "&amp;SUM(J2568:N2568)&amp;" statt "&amp;I2568))</f>
        <v/>
      </c>
      <c r="P2568" s="21" t="n"/>
      <c r="Q2568" s="21" t="n"/>
      <c r="R2568" s="21" t="n"/>
      <c r="S2568" s="24" t="n"/>
      <c r="T2568" s="24" t="n"/>
      <c r="V2568">
        <f>IF(A2568="","",MONTH(A2568))</f>
        <v/>
      </c>
      <c r="W2568">
        <f>N(W2567)+IF(AND(C2568&lt;&gt;"",T2568&lt;&gt;""),IF(C2568=WOCHE!$B$3,1,0),0)</f>
        <v/>
      </c>
      <c r="X2568">
        <f>N(X2567)+IF(AND(V2568&lt;&gt;"",T2568&lt;&gt;""),IF(V2568=MONAT!$AZ$3,1,0),0)</f>
        <v/>
      </c>
    </row>
    <row r="2569">
      <c r="A2569" s="19" t="n"/>
      <c r="B2569" s="20">
        <f>IF(A2569="","",CHOOSE(WEEKDAY(A2569,2),"Mo","Di","Mi","Do","Fr","Sa","So"))</f>
        <v/>
      </c>
      <c r="C2569" s="20">
        <f>IF(A2569="","",INT((A2569-DATE(YEAR(A2569-WEEKDAY(A2569-1)+4),1,3)+WEEKDAY(DATE(YEAR(A2569-WEEKDAY(A2569-1)+4),1,3))+5)/7))</f>
        <v/>
      </c>
      <c r="D2569" s="21" t="n"/>
      <c r="E2569" s="22" t="n"/>
      <c r="F2569" s="23" t="n"/>
      <c r="G2569" s="23" t="n"/>
      <c r="H2569" s="23" t="n"/>
      <c r="I2569" s="20">
        <f>IF(COUNT(F2569:H2569)=0,"",SUM(F2569:H2569))</f>
        <v/>
      </c>
      <c r="J2569" s="23" t="n"/>
      <c r="K2569" s="23" t="n"/>
      <c r="L2569" s="23" t="n"/>
      <c r="M2569" s="23" t="n"/>
      <c r="N2569" s="23" t="n"/>
      <c r="O2569" s="20">
        <f>IF(OR(I2569="",COUNT(J2569:N2569)=0),"",IF(SUM(J2569:N2569)=I2569,"✓","⚠ "&amp;SUM(J2569:N2569)&amp;" statt "&amp;I2569))</f>
        <v/>
      </c>
      <c r="P2569" s="21" t="n"/>
      <c r="Q2569" s="21" t="n"/>
      <c r="R2569" s="21" t="n"/>
      <c r="S2569" s="24" t="n"/>
      <c r="T2569" s="24" t="n"/>
      <c r="V2569">
        <f>IF(A2569="","",MONTH(A2569))</f>
        <v/>
      </c>
      <c r="W2569">
        <f>N(W2568)+IF(AND(C2569&lt;&gt;"",T2569&lt;&gt;""),IF(C2569=WOCHE!$B$3,1,0),0)</f>
        <v/>
      </c>
      <c r="X2569">
        <f>N(X2568)+IF(AND(V2569&lt;&gt;"",T2569&lt;&gt;""),IF(V2569=MONAT!$AZ$3,1,0),0)</f>
        <v/>
      </c>
    </row>
    <row r="2570">
      <c r="A2570" s="19" t="n"/>
      <c r="B2570" s="20">
        <f>IF(A2570="","",CHOOSE(WEEKDAY(A2570,2),"Mo","Di","Mi","Do","Fr","Sa","So"))</f>
        <v/>
      </c>
      <c r="C2570" s="20">
        <f>IF(A2570="","",INT((A2570-DATE(YEAR(A2570-WEEKDAY(A2570-1)+4),1,3)+WEEKDAY(DATE(YEAR(A2570-WEEKDAY(A2570-1)+4),1,3))+5)/7))</f>
        <v/>
      </c>
      <c r="D2570" s="21" t="n"/>
      <c r="E2570" s="22" t="n"/>
      <c r="F2570" s="23" t="n"/>
      <c r="G2570" s="23" t="n"/>
      <c r="H2570" s="23" t="n"/>
      <c r="I2570" s="20">
        <f>IF(COUNT(F2570:H2570)=0,"",SUM(F2570:H2570))</f>
        <v/>
      </c>
      <c r="J2570" s="23" t="n"/>
      <c r="K2570" s="23" t="n"/>
      <c r="L2570" s="23" t="n"/>
      <c r="M2570" s="23" t="n"/>
      <c r="N2570" s="23" t="n"/>
      <c r="O2570" s="20">
        <f>IF(OR(I2570="",COUNT(J2570:N2570)=0),"",IF(SUM(J2570:N2570)=I2570,"✓","⚠ "&amp;SUM(J2570:N2570)&amp;" statt "&amp;I2570))</f>
        <v/>
      </c>
      <c r="P2570" s="21" t="n"/>
      <c r="Q2570" s="21" t="n"/>
      <c r="R2570" s="21" t="n"/>
      <c r="S2570" s="24" t="n"/>
      <c r="T2570" s="24" t="n"/>
      <c r="V2570">
        <f>IF(A2570="","",MONTH(A2570))</f>
        <v/>
      </c>
      <c r="W2570">
        <f>N(W2569)+IF(AND(C2570&lt;&gt;"",T2570&lt;&gt;""),IF(C2570=WOCHE!$B$3,1,0),0)</f>
        <v/>
      </c>
      <c r="X2570">
        <f>N(X2569)+IF(AND(V2570&lt;&gt;"",T2570&lt;&gt;""),IF(V2570=MONAT!$AZ$3,1,0),0)</f>
        <v/>
      </c>
    </row>
    <row r="2571">
      <c r="A2571" s="19" t="n"/>
      <c r="B2571" s="20">
        <f>IF(A2571="","",CHOOSE(WEEKDAY(A2571,2),"Mo","Di","Mi","Do","Fr","Sa","So"))</f>
        <v/>
      </c>
      <c r="C2571" s="20">
        <f>IF(A2571="","",INT((A2571-DATE(YEAR(A2571-WEEKDAY(A2571-1)+4),1,3)+WEEKDAY(DATE(YEAR(A2571-WEEKDAY(A2571-1)+4),1,3))+5)/7))</f>
        <v/>
      </c>
      <c r="D2571" s="21" t="n"/>
      <c r="E2571" s="22" t="n"/>
      <c r="F2571" s="23" t="n"/>
      <c r="G2571" s="23" t="n"/>
      <c r="H2571" s="23" t="n"/>
      <c r="I2571" s="20">
        <f>IF(COUNT(F2571:H2571)=0,"",SUM(F2571:H2571))</f>
        <v/>
      </c>
      <c r="J2571" s="23" t="n"/>
      <c r="K2571" s="23" t="n"/>
      <c r="L2571" s="23" t="n"/>
      <c r="M2571" s="23" t="n"/>
      <c r="N2571" s="23" t="n"/>
      <c r="O2571" s="20">
        <f>IF(OR(I2571="",COUNT(J2571:N2571)=0),"",IF(SUM(J2571:N2571)=I2571,"✓","⚠ "&amp;SUM(J2571:N2571)&amp;" statt "&amp;I2571))</f>
        <v/>
      </c>
      <c r="P2571" s="21" t="n"/>
      <c r="Q2571" s="21" t="n"/>
      <c r="R2571" s="21" t="n"/>
      <c r="S2571" s="24" t="n"/>
      <c r="T2571" s="24" t="n"/>
      <c r="V2571">
        <f>IF(A2571="","",MONTH(A2571))</f>
        <v/>
      </c>
      <c r="W2571">
        <f>N(W2570)+IF(AND(C2571&lt;&gt;"",T2571&lt;&gt;""),IF(C2571=WOCHE!$B$3,1,0),0)</f>
        <v/>
      </c>
      <c r="X2571">
        <f>N(X2570)+IF(AND(V2571&lt;&gt;"",T2571&lt;&gt;""),IF(V2571=MONAT!$AZ$3,1,0),0)</f>
        <v/>
      </c>
    </row>
    <row r="2572">
      <c r="A2572" s="19" t="n"/>
      <c r="B2572" s="20">
        <f>IF(A2572="","",CHOOSE(WEEKDAY(A2572,2),"Mo","Di","Mi","Do","Fr","Sa","So"))</f>
        <v/>
      </c>
      <c r="C2572" s="20">
        <f>IF(A2572="","",INT((A2572-DATE(YEAR(A2572-WEEKDAY(A2572-1)+4),1,3)+WEEKDAY(DATE(YEAR(A2572-WEEKDAY(A2572-1)+4),1,3))+5)/7))</f>
        <v/>
      </c>
      <c r="D2572" s="21" t="n"/>
      <c r="E2572" s="22" t="n"/>
      <c r="F2572" s="23" t="n"/>
      <c r="G2572" s="23" t="n"/>
      <c r="H2572" s="23" t="n"/>
      <c r="I2572" s="20">
        <f>IF(COUNT(F2572:H2572)=0,"",SUM(F2572:H2572))</f>
        <v/>
      </c>
      <c r="J2572" s="23" t="n"/>
      <c r="K2572" s="23" t="n"/>
      <c r="L2572" s="23" t="n"/>
      <c r="M2572" s="23" t="n"/>
      <c r="N2572" s="23" t="n"/>
      <c r="O2572" s="20">
        <f>IF(OR(I2572="",COUNT(J2572:N2572)=0),"",IF(SUM(J2572:N2572)=I2572,"✓","⚠ "&amp;SUM(J2572:N2572)&amp;" statt "&amp;I2572))</f>
        <v/>
      </c>
      <c r="P2572" s="21" t="n"/>
      <c r="Q2572" s="21" t="n"/>
      <c r="R2572" s="21" t="n"/>
      <c r="S2572" s="24" t="n"/>
      <c r="T2572" s="24" t="n"/>
      <c r="V2572">
        <f>IF(A2572="","",MONTH(A2572))</f>
        <v/>
      </c>
      <c r="W2572">
        <f>N(W2571)+IF(AND(C2572&lt;&gt;"",T2572&lt;&gt;""),IF(C2572=WOCHE!$B$3,1,0),0)</f>
        <v/>
      </c>
      <c r="X2572">
        <f>N(X2571)+IF(AND(V2572&lt;&gt;"",T2572&lt;&gt;""),IF(V2572=MONAT!$AZ$3,1,0),0)</f>
        <v/>
      </c>
    </row>
    <row r="2573">
      <c r="A2573" s="19" t="n"/>
      <c r="B2573" s="20">
        <f>IF(A2573="","",CHOOSE(WEEKDAY(A2573,2),"Mo","Di","Mi","Do","Fr","Sa","So"))</f>
        <v/>
      </c>
      <c r="C2573" s="20">
        <f>IF(A2573="","",INT((A2573-DATE(YEAR(A2573-WEEKDAY(A2573-1)+4),1,3)+WEEKDAY(DATE(YEAR(A2573-WEEKDAY(A2573-1)+4),1,3))+5)/7))</f>
        <v/>
      </c>
      <c r="D2573" s="21" t="n"/>
      <c r="E2573" s="22" t="n"/>
      <c r="F2573" s="23" t="n"/>
      <c r="G2573" s="23" t="n"/>
      <c r="H2573" s="23" t="n"/>
      <c r="I2573" s="20">
        <f>IF(COUNT(F2573:H2573)=0,"",SUM(F2573:H2573))</f>
        <v/>
      </c>
      <c r="J2573" s="23" t="n"/>
      <c r="K2573" s="23" t="n"/>
      <c r="L2573" s="23" t="n"/>
      <c r="M2573" s="23" t="n"/>
      <c r="N2573" s="23" t="n"/>
      <c r="O2573" s="20">
        <f>IF(OR(I2573="",COUNT(J2573:N2573)=0),"",IF(SUM(J2573:N2573)=I2573,"✓","⚠ "&amp;SUM(J2573:N2573)&amp;" statt "&amp;I2573))</f>
        <v/>
      </c>
      <c r="P2573" s="21" t="n"/>
      <c r="Q2573" s="21" t="n"/>
      <c r="R2573" s="21" t="n"/>
      <c r="S2573" s="24" t="n"/>
      <c r="T2573" s="24" t="n"/>
      <c r="V2573">
        <f>IF(A2573="","",MONTH(A2573))</f>
        <v/>
      </c>
      <c r="W2573">
        <f>N(W2572)+IF(AND(C2573&lt;&gt;"",T2573&lt;&gt;""),IF(C2573=WOCHE!$B$3,1,0),0)</f>
        <v/>
      </c>
      <c r="X2573">
        <f>N(X2572)+IF(AND(V2573&lt;&gt;"",T2573&lt;&gt;""),IF(V2573=MONAT!$AZ$3,1,0),0)</f>
        <v/>
      </c>
    </row>
    <row r="2574">
      <c r="A2574" s="19" t="n"/>
      <c r="B2574" s="20">
        <f>IF(A2574="","",CHOOSE(WEEKDAY(A2574,2),"Mo","Di","Mi","Do","Fr","Sa","So"))</f>
        <v/>
      </c>
      <c r="C2574" s="20">
        <f>IF(A2574="","",INT((A2574-DATE(YEAR(A2574-WEEKDAY(A2574-1)+4),1,3)+WEEKDAY(DATE(YEAR(A2574-WEEKDAY(A2574-1)+4),1,3))+5)/7))</f>
        <v/>
      </c>
      <c r="D2574" s="21" t="n"/>
      <c r="E2574" s="22" t="n"/>
      <c r="F2574" s="23" t="n"/>
      <c r="G2574" s="23" t="n"/>
      <c r="H2574" s="23" t="n"/>
      <c r="I2574" s="20">
        <f>IF(COUNT(F2574:H2574)=0,"",SUM(F2574:H2574))</f>
        <v/>
      </c>
      <c r="J2574" s="23" t="n"/>
      <c r="K2574" s="23" t="n"/>
      <c r="L2574" s="23" t="n"/>
      <c r="M2574" s="23" t="n"/>
      <c r="N2574" s="23" t="n"/>
      <c r="O2574" s="20">
        <f>IF(OR(I2574="",COUNT(J2574:N2574)=0),"",IF(SUM(J2574:N2574)=I2574,"✓","⚠ "&amp;SUM(J2574:N2574)&amp;" statt "&amp;I2574))</f>
        <v/>
      </c>
      <c r="P2574" s="21" t="n"/>
      <c r="Q2574" s="21" t="n"/>
      <c r="R2574" s="21" t="n"/>
      <c r="S2574" s="24" t="n"/>
      <c r="T2574" s="24" t="n"/>
      <c r="V2574">
        <f>IF(A2574="","",MONTH(A2574))</f>
        <v/>
      </c>
      <c r="W2574">
        <f>N(W2573)+IF(AND(C2574&lt;&gt;"",T2574&lt;&gt;""),IF(C2574=WOCHE!$B$3,1,0),0)</f>
        <v/>
      </c>
      <c r="X2574">
        <f>N(X2573)+IF(AND(V2574&lt;&gt;"",T2574&lt;&gt;""),IF(V2574=MONAT!$AZ$3,1,0),0)</f>
        <v/>
      </c>
    </row>
    <row r="2575">
      <c r="A2575" s="19" t="n"/>
      <c r="B2575" s="20">
        <f>IF(A2575="","",CHOOSE(WEEKDAY(A2575,2),"Mo","Di","Mi","Do","Fr","Sa","So"))</f>
        <v/>
      </c>
      <c r="C2575" s="20">
        <f>IF(A2575="","",INT((A2575-DATE(YEAR(A2575-WEEKDAY(A2575-1)+4),1,3)+WEEKDAY(DATE(YEAR(A2575-WEEKDAY(A2575-1)+4),1,3))+5)/7))</f>
        <v/>
      </c>
      <c r="D2575" s="21" t="n"/>
      <c r="E2575" s="22" t="n"/>
      <c r="F2575" s="23" t="n"/>
      <c r="G2575" s="23" t="n"/>
      <c r="H2575" s="23" t="n"/>
      <c r="I2575" s="20">
        <f>IF(COUNT(F2575:H2575)=0,"",SUM(F2575:H2575))</f>
        <v/>
      </c>
      <c r="J2575" s="23" t="n"/>
      <c r="K2575" s="23" t="n"/>
      <c r="L2575" s="23" t="n"/>
      <c r="M2575" s="23" t="n"/>
      <c r="N2575" s="23" t="n"/>
      <c r="O2575" s="20">
        <f>IF(OR(I2575="",COUNT(J2575:N2575)=0),"",IF(SUM(J2575:N2575)=I2575,"✓","⚠ "&amp;SUM(J2575:N2575)&amp;" statt "&amp;I2575))</f>
        <v/>
      </c>
      <c r="P2575" s="21" t="n"/>
      <c r="Q2575" s="21" t="n"/>
      <c r="R2575" s="21" t="n"/>
      <c r="S2575" s="24" t="n"/>
      <c r="T2575" s="24" t="n"/>
      <c r="V2575">
        <f>IF(A2575="","",MONTH(A2575))</f>
        <v/>
      </c>
      <c r="W2575">
        <f>N(W2574)+IF(AND(C2575&lt;&gt;"",T2575&lt;&gt;""),IF(C2575=WOCHE!$B$3,1,0),0)</f>
        <v/>
      </c>
      <c r="X2575">
        <f>N(X2574)+IF(AND(V2575&lt;&gt;"",T2575&lt;&gt;""),IF(V2575=MONAT!$AZ$3,1,0),0)</f>
        <v/>
      </c>
    </row>
    <row r="2576">
      <c r="A2576" s="19" t="n"/>
      <c r="B2576" s="20">
        <f>IF(A2576="","",CHOOSE(WEEKDAY(A2576,2),"Mo","Di","Mi","Do","Fr","Sa","So"))</f>
        <v/>
      </c>
      <c r="C2576" s="20">
        <f>IF(A2576="","",INT((A2576-DATE(YEAR(A2576-WEEKDAY(A2576-1)+4),1,3)+WEEKDAY(DATE(YEAR(A2576-WEEKDAY(A2576-1)+4),1,3))+5)/7))</f>
        <v/>
      </c>
      <c r="D2576" s="21" t="n"/>
      <c r="E2576" s="22" t="n"/>
      <c r="F2576" s="23" t="n"/>
      <c r="G2576" s="23" t="n"/>
      <c r="H2576" s="23" t="n"/>
      <c r="I2576" s="20">
        <f>IF(COUNT(F2576:H2576)=0,"",SUM(F2576:H2576))</f>
        <v/>
      </c>
      <c r="J2576" s="23" t="n"/>
      <c r="K2576" s="23" t="n"/>
      <c r="L2576" s="23" t="n"/>
      <c r="M2576" s="23" t="n"/>
      <c r="N2576" s="23" t="n"/>
      <c r="O2576" s="20">
        <f>IF(OR(I2576="",COUNT(J2576:N2576)=0),"",IF(SUM(J2576:N2576)=I2576,"✓","⚠ "&amp;SUM(J2576:N2576)&amp;" statt "&amp;I2576))</f>
        <v/>
      </c>
      <c r="P2576" s="21" t="n"/>
      <c r="Q2576" s="21" t="n"/>
      <c r="R2576" s="21" t="n"/>
      <c r="S2576" s="24" t="n"/>
      <c r="T2576" s="24" t="n"/>
      <c r="V2576">
        <f>IF(A2576="","",MONTH(A2576))</f>
        <v/>
      </c>
      <c r="W2576">
        <f>N(W2575)+IF(AND(C2576&lt;&gt;"",T2576&lt;&gt;""),IF(C2576=WOCHE!$B$3,1,0),0)</f>
        <v/>
      </c>
      <c r="X2576">
        <f>N(X2575)+IF(AND(V2576&lt;&gt;"",T2576&lt;&gt;""),IF(V2576=MONAT!$AZ$3,1,0),0)</f>
        <v/>
      </c>
    </row>
    <row r="2577">
      <c r="A2577" s="19" t="n"/>
      <c r="B2577" s="20">
        <f>IF(A2577="","",CHOOSE(WEEKDAY(A2577,2),"Mo","Di","Mi","Do","Fr","Sa","So"))</f>
        <v/>
      </c>
      <c r="C2577" s="20">
        <f>IF(A2577="","",INT((A2577-DATE(YEAR(A2577-WEEKDAY(A2577-1)+4),1,3)+WEEKDAY(DATE(YEAR(A2577-WEEKDAY(A2577-1)+4),1,3))+5)/7))</f>
        <v/>
      </c>
      <c r="D2577" s="21" t="n"/>
      <c r="E2577" s="22" t="n"/>
      <c r="F2577" s="23" t="n"/>
      <c r="G2577" s="23" t="n"/>
      <c r="H2577" s="23" t="n"/>
      <c r="I2577" s="20">
        <f>IF(COUNT(F2577:H2577)=0,"",SUM(F2577:H2577))</f>
        <v/>
      </c>
      <c r="J2577" s="23" t="n"/>
      <c r="K2577" s="23" t="n"/>
      <c r="L2577" s="23" t="n"/>
      <c r="M2577" s="23" t="n"/>
      <c r="N2577" s="23" t="n"/>
      <c r="O2577" s="20">
        <f>IF(OR(I2577="",COUNT(J2577:N2577)=0),"",IF(SUM(J2577:N2577)=I2577,"✓","⚠ "&amp;SUM(J2577:N2577)&amp;" statt "&amp;I2577))</f>
        <v/>
      </c>
      <c r="P2577" s="21" t="n"/>
      <c r="Q2577" s="21" t="n"/>
      <c r="R2577" s="21" t="n"/>
      <c r="S2577" s="24" t="n"/>
      <c r="T2577" s="24" t="n"/>
      <c r="V2577">
        <f>IF(A2577="","",MONTH(A2577))</f>
        <v/>
      </c>
      <c r="W2577">
        <f>N(W2576)+IF(AND(C2577&lt;&gt;"",T2577&lt;&gt;""),IF(C2577=WOCHE!$B$3,1,0),0)</f>
        <v/>
      </c>
      <c r="X2577">
        <f>N(X2576)+IF(AND(V2577&lt;&gt;"",T2577&lt;&gt;""),IF(V2577=MONAT!$AZ$3,1,0),0)</f>
        <v/>
      </c>
    </row>
    <row r="2578">
      <c r="A2578" s="19" t="n"/>
      <c r="B2578" s="20">
        <f>IF(A2578="","",CHOOSE(WEEKDAY(A2578,2),"Mo","Di","Mi","Do","Fr","Sa","So"))</f>
        <v/>
      </c>
      <c r="C2578" s="20">
        <f>IF(A2578="","",INT((A2578-DATE(YEAR(A2578-WEEKDAY(A2578-1)+4),1,3)+WEEKDAY(DATE(YEAR(A2578-WEEKDAY(A2578-1)+4),1,3))+5)/7))</f>
        <v/>
      </c>
      <c r="D2578" s="21" t="n"/>
      <c r="E2578" s="22" t="n"/>
      <c r="F2578" s="23" t="n"/>
      <c r="G2578" s="23" t="n"/>
      <c r="H2578" s="23" t="n"/>
      <c r="I2578" s="20">
        <f>IF(COUNT(F2578:H2578)=0,"",SUM(F2578:H2578))</f>
        <v/>
      </c>
      <c r="J2578" s="23" t="n"/>
      <c r="K2578" s="23" t="n"/>
      <c r="L2578" s="23" t="n"/>
      <c r="M2578" s="23" t="n"/>
      <c r="N2578" s="23" t="n"/>
      <c r="O2578" s="20">
        <f>IF(OR(I2578="",COUNT(J2578:N2578)=0),"",IF(SUM(J2578:N2578)=I2578,"✓","⚠ "&amp;SUM(J2578:N2578)&amp;" statt "&amp;I2578))</f>
        <v/>
      </c>
      <c r="P2578" s="21" t="n"/>
      <c r="Q2578" s="21" t="n"/>
      <c r="R2578" s="21" t="n"/>
      <c r="S2578" s="24" t="n"/>
      <c r="T2578" s="24" t="n"/>
      <c r="V2578">
        <f>IF(A2578="","",MONTH(A2578))</f>
        <v/>
      </c>
      <c r="W2578">
        <f>N(W2577)+IF(AND(C2578&lt;&gt;"",T2578&lt;&gt;""),IF(C2578=WOCHE!$B$3,1,0),0)</f>
        <v/>
      </c>
      <c r="X2578">
        <f>N(X2577)+IF(AND(V2578&lt;&gt;"",T2578&lt;&gt;""),IF(V2578=MONAT!$AZ$3,1,0),0)</f>
        <v/>
      </c>
    </row>
    <row r="2579">
      <c r="A2579" s="19" t="n"/>
      <c r="B2579" s="20">
        <f>IF(A2579="","",CHOOSE(WEEKDAY(A2579,2),"Mo","Di","Mi","Do","Fr","Sa","So"))</f>
        <v/>
      </c>
      <c r="C2579" s="20">
        <f>IF(A2579="","",INT((A2579-DATE(YEAR(A2579-WEEKDAY(A2579-1)+4),1,3)+WEEKDAY(DATE(YEAR(A2579-WEEKDAY(A2579-1)+4),1,3))+5)/7))</f>
        <v/>
      </c>
      <c r="D2579" s="21" t="n"/>
      <c r="E2579" s="22" t="n"/>
      <c r="F2579" s="23" t="n"/>
      <c r="G2579" s="23" t="n"/>
      <c r="H2579" s="23" t="n"/>
      <c r="I2579" s="20">
        <f>IF(COUNT(F2579:H2579)=0,"",SUM(F2579:H2579))</f>
        <v/>
      </c>
      <c r="J2579" s="23" t="n"/>
      <c r="K2579" s="23" t="n"/>
      <c r="L2579" s="23" t="n"/>
      <c r="M2579" s="23" t="n"/>
      <c r="N2579" s="23" t="n"/>
      <c r="O2579" s="20">
        <f>IF(OR(I2579="",COUNT(J2579:N2579)=0),"",IF(SUM(J2579:N2579)=I2579,"✓","⚠ "&amp;SUM(J2579:N2579)&amp;" statt "&amp;I2579))</f>
        <v/>
      </c>
      <c r="P2579" s="21" t="n"/>
      <c r="Q2579" s="21" t="n"/>
      <c r="R2579" s="21" t="n"/>
      <c r="S2579" s="24" t="n"/>
      <c r="T2579" s="24" t="n"/>
      <c r="V2579">
        <f>IF(A2579="","",MONTH(A2579))</f>
        <v/>
      </c>
      <c r="W2579">
        <f>N(W2578)+IF(AND(C2579&lt;&gt;"",T2579&lt;&gt;""),IF(C2579=WOCHE!$B$3,1,0),0)</f>
        <v/>
      </c>
      <c r="X2579">
        <f>N(X2578)+IF(AND(V2579&lt;&gt;"",T2579&lt;&gt;""),IF(V2579=MONAT!$AZ$3,1,0),0)</f>
        <v/>
      </c>
    </row>
    <row r="2580">
      <c r="A2580" s="19" t="n"/>
      <c r="B2580" s="20">
        <f>IF(A2580="","",CHOOSE(WEEKDAY(A2580,2),"Mo","Di","Mi","Do","Fr","Sa","So"))</f>
        <v/>
      </c>
      <c r="C2580" s="20">
        <f>IF(A2580="","",INT((A2580-DATE(YEAR(A2580-WEEKDAY(A2580-1)+4),1,3)+WEEKDAY(DATE(YEAR(A2580-WEEKDAY(A2580-1)+4),1,3))+5)/7))</f>
        <v/>
      </c>
      <c r="D2580" s="21" t="n"/>
      <c r="E2580" s="22" t="n"/>
      <c r="F2580" s="23" t="n"/>
      <c r="G2580" s="23" t="n"/>
      <c r="H2580" s="23" t="n"/>
      <c r="I2580" s="20">
        <f>IF(COUNT(F2580:H2580)=0,"",SUM(F2580:H2580))</f>
        <v/>
      </c>
      <c r="J2580" s="23" t="n"/>
      <c r="K2580" s="23" t="n"/>
      <c r="L2580" s="23" t="n"/>
      <c r="M2580" s="23" t="n"/>
      <c r="N2580" s="23" t="n"/>
      <c r="O2580" s="20">
        <f>IF(OR(I2580="",COUNT(J2580:N2580)=0),"",IF(SUM(J2580:N2580)=I2580,"✓","⚠ "&amp;SUM(J2580:N2580)&amp;" statt "&amp;I2580))</f>
        <v/>
      </c>
      <c r="P2580" s="21" t="n"/>
      <c r="Q2580" s="21" t="n"/>
      <c r="R2580" s="21" t="n"/>
      <c r="S2580" s="24" t="n"/>
      <c r="T2580" s="24" t="n"/>
      <c r="V2580">
        <f>IF(A2580="","",MONTH(A2580))</f>
        <v/>
      </c>
      <c r="W2580">
        <f>N(W2579)+IF(AND(C2580&lt;&gt;"",T2580&lt;&gt;""),IF(C2580=WOCHE!$B$3,1,0),0)</f>
        <v/>
      </c>
      <c r="X2580">
        <f>N(X2579)+IF(AND(V2580&lt;&gt;"",T2580&lt;&gt;""),IF(V2580=MONAT!$AZ$3,1,0),0)</f>
        <v/>
      </c>
    </row>
    <row r="2581">
      <c r="A2581" s="19" t="n"/>
      <c r="B2581" s="20">
        <f>IF(A2581="","",CHOOSE(WEEKDAY(A2581,2),"Mo","Di","Mi","Do","Fr","Sa","So"))</f>
        <v/>
      </c>
      <c r="C2581" s="20">
        <f>IF(A2581="","",INT((A2581-DATE(YEAR(A2581-WEEKDAY(A2581-1)+4),1,3)+WEEKDAY(DATE(YEAR(A2581-WEEKDAY(A2581-1)+4),1,3))+5)/7))</f>
        <v/>
      </c>
      <c r="D2581" s="21" t="n"/>
      <c r="E2581" s="22" t="n"/>
      <c r="F2581" s="23" t="n"/>
      <c r="G2581" s="23" t="n"/>
      <c r="H2581" s="23" t="n"/>
      <c r="I2581" s="20">
        <f>IF(COUNT(F2581:H2581)=0,"",SUM(F2581:H2581))</f>
        <v/>
      </c>
      <c r="J2581" s="23" t="n"/>
      <c r="K2581" s="23" t="n"/>
      <c r="L2581" s="23" t="n"/>
      <c r="M2581" s="23" t="n"/>
      <c r="N2581" s="23" t="n"/>
      <c r="O2581" s="20">
        <f>IF(OR(I2581="",COUNT(J2581:N2581)=0),"",IF(SUM(J2581:N2581)=I2581,"✓","⚠ "&amp;SUM(J2581:N2581)&amp;" statt "&amp;I2581))</f>
        <v/>
      </c>
      <c r="P2581" s="21" t="n"/>
      <c r="Q2581" s="21" t="n"/>
      <c r="R2581" s="21" t="n"/>
      <c r="S2581" s="24" t="n"/>
      <c r="T2581" s="24" t="n"/>
      <c r="V2581">
        <f>IF(A2581="","",MONTH(A2581))</f>
        <v/>
      </c>
      <c r="W2581">
        <f>N(W2580)+IF(AND(C2581&lt;&gt;"",T2581&lt;&gt;""),IF(C2581=WOCHE!$B$3,1,0),0)</f>
        <v/>
      </c>
      <c r="X2581">
        <f>N(X2580)+IF(AND(V2581&lt;&gt;"",T2581&lt;&gt;""),IF(V2581=MONAT!$AZ$3,1,0),0)</f>
        <v/>
      </c>
    </row>
    <row r="2582">
      <c r="A2582" s="19" t="n"/>
      <c r="B2582" s="20">
        <f>IF(A2582="","",CHOOSE(WEEKDAY(A2582,2),"Mo","Di","Mi","Do","Fr","Sa","So"))</f>
        <v/>
      </c>
      <c r="C2582" s="20">
        <f>IF(A2582="","",INT((A2582-DATE(YEAR(A2582-WEEKDAY(A2582-1)+4),1,3)+WEEKDAY(DATE(YEAR(A2582-WEEKDAY(A2582-1)+4),1,3))+5)/7))</f>
        <v/>
      </c>
      <c r="D2582" s="21" t="n"/>
      <c r="E2582" s="22" t="n"/>
      <c r="F2582" s="23" t="n"/>
      <c r="G2582" s="23" t="n"/>
      <c r="H2582" s="23" t="n"/>
      <c r="I2582" s="20">
        <f>IF(COUNT(F2582:H2582)=0,"",SUM(F2582:H2582))</f>
        <v/>
      </c>
      <c r="J2582" s="23" t="n"/>
      <c r="K2582" s="23" t="n"/>
      <c r="L2582" s="23" t="n"/>
      <c r="M2582" s="23" t="n"/>
      <c r="N2582" s="23" t="n"/>
      <c r="O2582" s="20">
        <f>IF(OR(I2582="",COUNT(J2582:N2582)=0),"",IF(SUM(J2582:N2582)=I2582,"✓","⚠ "&amp;SUM(J2582:N2582)&amp;" statt "&amp;I2582))</f>
        <v/>
      </c>
      <c r="P2582" s="21" t="n"/>
      <c r="Q2582" s="21" t="n"/>
      <c r="R2582" s="21" t="n"/>
      <c r="S2582" s="24" t="n"/>
      <c r="T2582" s="24" t="n"/>
      <c r="V2582">
        <f>IF(A2582="","",MONTH(A2582))</f>
        <v/>
      </c>
      <c r="W2582">
        <f>N(W2581)+IF(AND(C2582&lt;&gt;"",T2582&lt;&gt;""),IF(C2582=WOCHE!$B$3,1,0),0)</f>
        <v/>
      </c>
      <c r="X2582">
        <f>N(X2581)+IF(AND(V2582&lt;&gt;"",T2582&lt;&gt;""),IF(V2582=MONAT!$AZ$3,1,0),0)</f>
        <v/>
      </c>
    </row>
    <row r="2583">
      <c r="A2583" s="19" t="n"/>
      <c r="B2583" s="20">
        <f>IF(A2583="","",CHOOSE(WEEKDAY(A2583,2),"Mo","Di","Mi","Do","Fr","Sa","So"))</f>
        <v/>
      </c>
      <c r="C2583" s="20">
        <f>IF(A2583="","",INT((A2583-DATE(YEAR(A2583-WEEKDAY(A2583-1)+4),1,3)+WEEKDAY(DATE(YEAR(A2583-WEEKDAY(A2583-1)+4),1,3))+5)/7))</f>
        <v/>
      </c>
      <c r="D2583" s="21" t="n"/>
      <c r="E2583" s="22" t="n"/>
      <c r="F2583" s="23" t="n"/>
      <c r="G2583" s="23" t="n"/>
      <c r="H2583" s="23" t="n"/>
      <c r="I2583" s="20">
        <f>IF(COUNT(F2583:H2583)=0,"",SUM(F2583:H2583))</f>
        <v/>
      </c>
      <c r="J2583" s="23" t="n"/>
      <c r="K2583" s="23" t="n"/>
      <c r="L2583" s="23" t="n"/>
      <c r="M2583" s="23" t="n"/>
      <c r="N2583" s="23" t="n"/>
      <c r="O2583" s="20">
        <f>IF(OR(I2583="",COUNT(J2583:N2583)=0),"",IF(SUM(J2583:N2583)=I2583,"✓","⚠ "&amp;SUM(J2583:N2583)&amp;" statt "&amp;I2583))</f>
        <v/>
      </c>
      <c r="P2583" s="21" t="n"/>
      <c r="Q2583" s="21" t="n"/>
      <c r="R2583" s="21" t="n"/>
      <c r="S2583" s="24" t="n"/>
      <c r="T2583" s="24" t="n"/>
      <c r="V2583">
        <f>IF(A2583="","",MONTH(A2583))</f>
        <v/>
      </c>
      <c r="W2583">
        <f>N(W2582)+IF(AND(C2583&lt;&gt;"",T2583&lt;&gt;""),IF(C2583=WOCHE!$B$3,1,0),0)</f>
        <v/>
      </c>
      <c r="X2583">
        <f>N(X2582)+IF(AND(V2583&lt;&gt;"",T2583&lt;&gt;""),IF(V2583=MONAT!$AZ$3,1,0),0)</f>
        <v/>
      </c>
    </row>
    <row r="2584">
      <c r="A2584" s="19" t="n"/>
      <c r="B2584" s="20">
        <f>IF(A2584="","",CHOOSE(WEEKDAY(A2584,2),"Mo","Di","Mi","Do","Fr","Sa","So"))</f>
        <v/>
      </c>
      <c r="C2584" s="20">
        <f>IF(A2584="","",INT((A2584-DATE(YEAR(A2584-WEEKDAY(A2584-1)+4),1,3)+WEEKDAY(DATE(YEAR(A2584-WEEKDAY(A2584-1)+4),1,3))+5)/7))</f>
        <v/>
      </c>
      <c r="D2584" s="21" t="n"/>
      <c r="E2584" s="22" t="n"/>
      <c r="F2584" s="23" t="n"/>
      <c r="G2584" s="23" t="n"/>
      <c r="H2584" s="23" t="n"/>
      <c r="I2584" s="20">
        <f>IF(COUNT(F2584:H2584)=0,"",SUM(F2584:H2584))</f>
        <v/>
      </c>
      <c r="J2584" s="23" t="n"/>
      <c r="K2584" s="23" t="n"/>
      <c r="L2584" s="23" t="n"/>
      <c r="M2584" s="23" t="n"/>
      <c r="N2584" s="23" t="n"/>
      <c r="O2584" s="20">
        <f>IF(OR(I2584="",COUNT(J2584:N2584)=0),"",IF(SUM(J2584:N2584)=I2584,"✓","⚠ "&amp;SUM(J2584:N2584)&amp;" statt "&amp;I2584))</f>
        <v/>
      </c>
      <c r="P2584" s="21" t="n"/>
      <c r="Q2584" s="21" t="n"/>
      <c r="R2584" s="21" t="n"/>
      <c r="S2584" s="24" t="n"/>
      <c r="T2584" s="24" t="n"/>
      <c r="V2584">
        <f>IF(A2584="","",MONTH(A2584))</f>
        <v/>
      </c>
      <c r="W2584">
        <f>N(W2583)+IF(AND(C2584&lt;&gt;"",T2584&lt;&gt;""),IF(C2584=WOCHE!$B$3,1,0),0)</f>
        <v/>
      </c>
      <c r="X2584">
        <f>N(X2583)+IF(AND(V2584&lt;&gt;"",T2584&lt;&gt;""),IF(V2584=MONAT!$AZ$3,1,0),0)</f>
        <v/>
      </c>
    </row>
    <row r="2585">
      <c r="A2585" s="19" t="n"/>
      <c r="B2585" s="20">
        <f>IF(A2585="","",CHOOSE(WEEKDAY(A2585,2),"Mo","Di","Mi","Do","Fr","Sa","So"))</f>
        <v/>
      </c>
      <c r="C2585" s="20">
        <f>IF(A2585="","",INT((A2585-DATE(YEAR(A2585-WEEKDAY(A2585-1)+4),1,3)+WEEKDAY(DATE(YEAR(A2585-WEEKDAY(A2585-1)+4),1,3))+5)/7))</f>
        <v/>
      </c>
      <c r="D2585" s="21" t="n"/>
      <c r="E2585" s="22" t="n"/>
      <c r="F2585" s="23" t="n"/>
      <c r="G2585" s="23" t="n"/>
      <c r="H2585" s="23" t="n"/>
      <c r="I2585" s="20">
        <f>IF(COUNT(F2585:H2585)=0,"",SUM(F2585:H2585))</f>
        <v/>
      </c>
      <c r="J2585" s="23" t="n"/>
      <c r="K2585" s="23" t="n"/>
      <c r="L2585" s="23" t="n"/>
      <c r="M2585" s="23" t="n"/>
      <c r="N2585" s="23" t="n"/>
      <c r="O2585" s="20">
        <f>IF(OR(I2585="",COUNT(J2585:N2585)=0),"",IF(SUM(J2585:N2585)=I2585,"✓","⚠ "&amp;SUM(J2585:N2585)&amp;" statt "&amp;I2585))</f>
        <v/>
      </c>
      <c r="P2585" s="21" t="n"/>
      <c r="Q2585" s="21" t="n"/>
      <c r="R2585" s="21" t="n"/>
      <c r="S2585" s="24" t="n"/>
      <c r="T2585" s="24" t="n"/>
      <c r="V2585">
        <f>IF(A2585="","",MONTH(A2585))</f>
        <v/>
      </c>
      <c r="W2585">
        <f>N(W2584)+IF(AND(C2585&lt;&gt;"",T2585&lt;&gt;""),IF(C2585=WOCHE!$B$3,1,0),0)</f>
        <v/>
      </c>
      <c r="X2585">
        <f>N(X2584)+IF(AND(V2585&lt;&gt;"",T2585&lt;&gt;""),IF(V2585=MONAT!$AZ$3,1,0),0)</f>
        <v/>
      </c>
    </row>
    <row r="2586">
      <c r="A2586" s="19" t="n"/>
      <c r="B2586" s="20">
        <f>IF(A2586="","",CHOOSE(WEEKDAY(A2586,2),"Mo","Di","Mi","Do","Fr","Sa","So"))</f>
        <v/>
      </c>
      <c r="C2586" s="20">
        <f>IF(A2586="","",INT((A2586-DATE(YEAR(A2586-WEEKDAY(A2586-1)+4),1,3)+WEEKDAY(DATE(YEAR(A2586-WEEKDAY(A2586-1)+4),1,3))+5)/7))</f>
        <v/>
      </c>
      <c r="D2586" s="21" t="n"/>
      <c r="E2586" s="22" t="n"/>
      <c r="F2586" s="23" t="n"/>
      <c r="G2586" s="23" t="n"/>
      <c r="H2586" s="23" t="n"/>
      <c r="I2586" s="20">
        <f>IF(COUNT(F2586:H2586)=0,"",SUM(F2586:H2586))</f>
        <v/>
      </c>
      <c r="J2586" s="23" t="n"/>
      <c r="K2586" s="23" t="n"/>
      <c r="L2586" s="23" t="n"/>
      <c r="M2586" s="23" t="n"/>
      <c r="N2586" s="23" t="n"/>
      <c r="O2586" s="20">
        <f>IF(OR(I2586="",COUNT(J2586:N2586)=0),"",IF(SUM(J2586:N2586)=I2586,"✓","⚠ "&amp;SUM(J2586:N2586)&amp;" statt "&amp;I2586))</f>
        <v/>
      </c>
      <c r="P2586" s="21" t="n"/>
      <c r="Q2586" s="21" t="n"/>
      <c r="R2586" s="21" t="n"/>
      <c r="S2586" s="24" t="n"/>
      <c r="T2586" s="24" t="n"/>
      <c r="V2586">
        <f>IF(A2586="","",MONTH(A2586))</f>
        <v/>
      </c>
      <c r="W2586">
        <f>N(W2585)+IF(AND(C2586&lt;&gt;"",T2586&lt;&gt;""),IF(C2586=WOCHE!$B$3,1,0),0)</f>
        <v/>
      </c>
      <c r="X2586">
        <f>N(X2585)+IF(AND(V2586&lt;&gt;"",T2586&lt;&gt;""),IF(V2586=MONAT!$AZ$3,1,0),0)</f>
        <v/>
      </c>
    </row>
    <row r="2587">
      <c r="A2587" s="19" t="n"/>
      <c r="B2587" s="20">
        <f>IF(A2587="","",CHOOSE(WEEKDAY(A2587,2),"Mo","Di","Mi","Do","Fr","Sa","So"))</f>
        <v/>
      </c>
      <c r="C2587" s="20">
        <f>IF(A2587="","",INT((A2587-DATE(YEAR(A2587-WEEKDAY(A2587-1)+4),1,3)+WEEKDAY(DATE(YEAR(A2587-WEEKDAY(A2587-1)+4),1,3))+5)/7))</f>
        <v/>
      </c>
      <c r="D2587" s="21" t="n"/>
      <c r="E2587" s="22" t="n"/>
      <c r="F2587" s="23" t="n"/>
      <c r="G2587" s="23" t="n"/>
      <c r="H2587" s="23" t="n"/>
      <c r="I2587" s="20">
        <f>IF(COUNT(F2587:H2587)=0,"",SUM(F2587:H2587))</f>
        <v/>
      </c>
      <c r="J2587" s="23" t="n"/>
      <c r="K2587" s="23" t="n"/>
      <c r="L2587" s="23" t="n"/>
      <c r="M2587" s="23" t="n"/>
      <c r="N2587" s="23" t="n"/>
      <c r="O2587" s="20">
        <f>IF(OR(I2587="",COUNT(J2587:N2587)=0),"",IF(SUM(J2587:N2587)=I2587,"✓","⚠ "&amp;SUM(J2587:N2587)&amp;" statt "&amp;I2587))</f>
        <v/>
      </c>
      <c r="P2587" s="21" t="n"/>
      <c r="Q2587" s="21" t="n"/>
      <c r="R2587" s="21" t="n"/>
      <c r="S2587" s="24" t="n"/>
      <c r="T2587" s="24" t="n"/>
      <c r="V2587">
        <f>IF(A2587="","",MONTH(A2587))</f>
        <v/>
      </c>
      <c r="W2587">
        <f>N(W2586)+IF(AND(C2587&lt;&gt;"",T2587&lt;&gt;""),IF(C2587=WOCHE!$B$3,1,0),0)</f>
        <v/>
      </c>
      <c r="X2587">
        <f>N(X2586)+IF(AND(V2587&lt;&gt;"",T2587&lt;&gt;""),IF(V2587=MONAT!$AZ$3,1,0),0)</f>
        <v/>
      </c>
    </row>
    <row r="2588">
      <c r="A2588" s="19" t="n"/>
      <c r="B2588" s="20">
        <f>IF(A2588="","",CHOOSE(WEEKDAY(A2588,2),"Mo","Di","Mi","Do","Fr","Sa","So"))</f>
        <v/>
      </c>
      <c r="C2588" s="20">
        <f>IF(A2588="","",INT((A2588-DATE(YEAR(A2588-WEEKDAY(A2588-1)+4),1,3)+WEEKDAY(DATE(YEAR(A2588-WEEKDAY(A2588-1)+4),1,3))+5)/7))</f>
        <v/>
      </c>
      <c r="D2588" s="21" t="n"/>
      <c r="E2588" s="22" t="n"/>
      <c r="F2588" s="23" t="n"/>
      <c r="G2588" s="23" t="n"/>
      <c r="H2588" s="23" t="n"/>
      <c r="I2588" s="20">
        <f>IF(COUNT(F2588:H2588)=0,"",SUM(F2588:H2588))</f>
        <v/>
      </c>
      <c r="J2588" s="23" t="n"/>
      <c r="K2588" s="23" t="n"/>
      <c r="L2588" s="23" t="n"/>
      <c r="M2588" s="23" t="n"/>
      <c r="N2588" s="23" t="n"/>
      <c r="O2588" s="20">
        <f>IF(OR(I2588="",COUNT(J2588:N2588)=0),"",IF(SUM(J2588:N2588)=I2588,"✓","⚠ "&amp;SUM(J2588:N2588)&amp;" statt "&amp;I2588))</f>
        <v/>
      </c>
      <c r="P2588" s="21" t="n"/>
      <c r="Q2588" s="21" t="n"/>
      <c r="R2588" s="21" t="n"/>
      <c r="S2588" s="24" t="n"/>
      <c r="T2588" s="24" t="n"/>
      <c r="V2588">
        <f>IF(A2588="","",MONTH(A2588))</f>
        <v/>
      </c>
      <c r="W2588">
        <f>N(W2587)+IF(AND(C2588&lt;&gt;"",T2588&lt;&gt;""),IF(C2588=WOCHE!$B$3,1,0),0)</f>
        <v/>
      </c>
      <c r="X2588">
        <f>N(X2587)+IF(AND(V2588&lt;&gt;"",T2588&lt;&gt;""),IF(V2588=MONAT!$AZ$3,1,0),0)</f>
        <v/>
      </c>
    </row>
    <row r="2589">
      <c r="A2589" s="19" t="n"/>
      <c r="B2589" s="20">
        <f>IF(A2589="","",CHOOSE(WEEKDAY(A2589,2),"Mo","Di","Mi","Do","Fr","Sa","So"))</f>
        <v/>
      </c>
      <c r="C2589" s="20">
        <f>IF(A2589="","",INT((A2589-DATE(YEAR(A2589-WEEKDAY(A2589-1)+4),1,3)+WEEKDAY(DATE(YEAR(A2589-WEEKDAY(A2589-1)+4),1,3))+5)/7))</f>
        <v/>
      </c>
      <c r="D2589" s="21" t="n"/>
      <c r="E2589" s="22" t="n"/>
      <c r="F2589" s="23" t="n"/>
      <c r="G2589" s="23" t="n"/>
      <c r="H2589" s="23" t="n"/>
      <c r="I2589" s="20">
        <f>IF(COUNT(F2589:H2589)=0,"",SUM(F2589:H2589))</f>
        <v/>
      </c>
      <c r="J2589" s="23" t="n"/>
      <c r="K2589" s="23" t="n"/>
      <c r="L2589" s="23" t="n"/>
      <c r="M2589" s="23" t="n"/>
      <c r="N2589" s="23" t="n"/>
      <c r="O2589" s="20">
        <f>IF(OR(I2589="",COUNT(J2589:N2589)=0),"",IF(SUM(J2589:N2589)=I2589,"✓","⚠ "&amp;SUM(J2589:N2589)&amp;" statt "&amp;I2589))</f>
        <v/>
      </c>
      <c r="P2589" s="21" t="n"/>
      <c r="Q2589" s="21" t="n"/>
      <c r="R2589" s="21" t="n"/>
      <c r="S2589" s="24" t="n"/>
      <c r="T2589" s="24" t="n"/>
      <c r="V2589">
        <f>IF(A2589="","",MONTH(A2589))</f>
        <v/>
      </c>
      <c r="W2589">
        <f>N(W2588)+IF(AND(C2589&lt;&gt;"",T2589&lt;&gt;""),IF(C2589=WOCHE!$B$3,1,0),0)</f>
        <v/>
      </c>
      <c r="X2589">
        <f>N(X2588)+IF(AND(V2589&lt;&gt;"",T2589&lt;&gt;""),IF(V2589=MONAT!$AZ$3,1,0),0)</f>
        <v/>
      </c>
    </row>
    <row r="2590">
      <c r="A2590" s="19" t="n"/>
      <c r="B2590" s="20">
        <f>IF(A2590="","",CHOOSE(WEEKDAY(A2590,2),"Mo","Di","Mi","Do","Fr","Sa","So"))</f>
        <v/>
      </c>
      <c r="C2590" s="20">
        <f>IF(A2590="","",INT((A2590-DATE(YEAR(A2590-WEEKDAY(A2590-1)+4),1,3)+WEEKDAY(DATE(YEAR(A2590-WEEKDAY(A2590-1)+4),1,3))+5)/7))</f>
        <v/>
      </c>
      <c r="D2590" s="21" t="n"/>
      <c r="E2590" s="22" t="n"/>
      <c r="F2590" s="23" t="n"/>
      <c r="G2590" s="23" t="n"/>
      <c r="H2590" s="23" t="n"/>
      <c r="I2590" s="20">
        <f>IF(COUNT(F2590:H2590)=0,"",SUM(F2590:H2590))</f>
        <v/>
      </c>
      <c r="J2590" s="23" t="n"/>
      <c r="K2590" s="23" t="n"/>
      <c r="L2590" s="23" t="n"/>
      <c r="M2590" s="23" t="n"/>
      <c r="N2590" s="23" t="n"/>
      <c r="O2590" s="20">
        <f>IF(OR(I2590="",COUNT(J2590:N2590)=0),"",IF(SUM(J2590:N2590)=I2590,"✓","⚠ "&amp;SUM(J2590:N2590)&amp;" statt "&amp;I2590))</f>
        <v/>
      </c>
      <c r="P2590" s="21" t="n"/>
      <c r="Q2590" s="21" t="n"/>
      <c r="R2590" s="21" t="n"/>
      <c r="S2590" s="24" t="n"/>
      <c r="T2590" s="24" t="n"/>
      <c r="V2590">
        <f>IF(A2590="","",MONTH(A2590))</f>
        <v/>
      </c>
      <c r="W2590">
        <f>N(W2589)+IF(AND(C2590&lt;&gt;"",T2590&lt;&gt;""),IF(C2590=WOCHE!$B$3,1,0),0)</f>
        <v/>
      </c>
      <c r="X2590">
        <f>N(X2589)+IF(AND(V2590&lt;&gt;"",T2590&lt;&gt;""),IF(V2590=MONAT!$AZ$3,1,0),0)</f>
        <v/>
      </c>
    </row>
    <row r="2591">
      <c r="A2591" s="19" t="n"/>
      <c r="B2591" s="20">
        <f>IF(A2591="","",CHOOSE(WEEKDAY(A2591,2),"Mo","Di","Mi","Do","Fr","Sa","So"))</f>
        <v/>
      </c>
      <c r="C2591" s="20">
        <f>IF(A2591="","",INT((A2591-DATE(YEAR(A2591-WEEKDAY(A2591-1)+4),1,3)+WEEKDAY(DATE(YEAR(A2591-WEEKDAY(A2591-1)+4),1,3))+5)/7))</f>
        <v/>
      </c>
      <c r="D2591" s="21" t="n"/>
      <c r="E2591" s="22" t="n"/>
      <c r="F2591" s="23" t="n"/>
      <c r="G2591" s="23" t="n"/>
      <c r="H2591" s="23" t="n"/>
      <c r="I2591" s="20">
        <f>IF(COUNT(F2591:H2591)=0,"",SUM(F2591:H2591))</f>
        <v/>
      </c>
      <c r="J2591" s="23" t="n"/>
      <c r="K2591" s="23" t="n"/>
      <c r="L2591" s="23" t="n"/>
      <c r="M2591" s="23" t="n"/>
      <c r="N2591" s="23" t="n"/>
      <c r="O2591" s="20">
        <f>IF(OR(I2591="",COUNT(J2591:N2591)=0),"",IF(SUM(J2591:N2591)=I2591,"✓","⚠ "&amp;SUM(J2591:N2591)&amp;" statt "&amp;I2591))</f>
        <v/>
      </c>
      <c r="P2591" s="21" t="n"/>
      <c r="Q2591" s="21" t="n"/>
      <c r="R2591" s="21" t="n"/>
      <c r="S2591" s="24" t="n"/>
      <c r="T2591" s="24" t="n"/>
      <c r="V2591">
        <f>IF(A2591="","",MONTH(A2591))</f>
        <v/>
      </c>
      <c r="W2591">
        <f>N(W2590)+IF(AND(C2591&lt;&gt;"",T2591&lt;&gt;""),IF(C2591=WOCHE!$B$3,1,0),0)</f>
        <v/>
      </c>
      <c r="X2591">
        <f>N(X2590)+IF(AND(V2591&lt;&gt;"",T2591&lt;&gt;""),IF(V2591=MONAT!$AZ$3,1,0),0)</f>
        <v/>
      </c>
    </row>
    <row r="2592">
      <c r="A2592" s="19" t="n"/>
      <c r="B2592" s="20">
        <f>IF(A2592="","",CHOOSE(WEEKDAY(A2592,2),"Mo","Di","Mi","Do","Fr","Sa","So"))</f>
        <v/>
      </c>
      <c r="C2592" s="20">
        <f>IF(A2592="","",INT((A2592-DATE(YEAR(A2592-WEEKDAY(A2592-1)+4),1,3)+WEEKDAY(DATE(YEAR(A2592-WEEKDAY(A2592-1)+4),1,3))+5)/7))</f>
        <v/>
      </c>
      <c r="D2592" s="21" t="n"/>
      <c r="E2592" s="22" t="n"/>
      <c r="F2592" s="23" t="n"/>
      <c r="G2592" s="23" t="n"/>
      <c r="H2592" s="23" t="n"/>
      <c r="I2592" s="20">
        <f>IF(COUNT(F2592:H2592)=0,"",SUM(F2592:H2592))</f>
        <v/>
      </c>
      <c r="J2592" s="23" t="n"/>
      <c r="K2592" s="23" t="n"/>
      <c r="L2592" s="23" t="n"/>
      <c r="M2592" s="23" t="n"/>
      <c r="N2592" s="23" t="n"/>
      <c r="O2592" s="20">
        <f>IF(OR(I2592="",COUNT(J2592:N2592)=0),"",IF(SUM(J2592:N2592)=I2592,"✓","⚠ "&amp;SUM(J2592:N2592)&amp;" statt "&amp;I2592))</f>
        <v/>
      </c>
      <c r="P2592" s="21" t="n"/>
      <c r="Q2592" s="21" t="n"/>
      <c r="R2592" s="21" t="n"/>
      <c r="S2592" s="24" t="n"/>
      <c r="T2592" s="24" t="n"/>
      <c r="V2592">
        <f>IF(A2592="","",MONTH(A2592))</f>
        <v/>
      </c>
      <c r="W2592">
        <f>N(W2591)+IF(AND(C2592&lt;&gt;"",T2592&lt;&gt;""),IF(C2592=WOCHE!$B$3,1,0),0)</f>
        <v/>
      </c>
      <c r="X2592">
        <f>N(X2591)+IF(AND(V2592&lt;&gt;"",T2592&lt;&gt;""),IF(V2592=MONAT!$AZ$3,1,0),0)</f>
        <v/>
      </c>
    </row>
    <row r="2593">
      <c r="A2593" s="19" t="n"/>
      <c r="B2593" s="20">
        <f>IF(A2593="","",CHOOSE(WEEKDAY(A2593,2),"Mo","Di","Mi","Do","Fr","Sa","So"))</f>
        <v/>
      </c>
      <c r="C2593" s="20">
        <f>IF(A2593="","",INT((A2593-DATE(YEAR(A2593-WEEKDAY(A2593-1)+4),1,3)+WEEKDAY(DATE(YEAR(A2593-WEEKDAY(A2593-1)+4),1,3))+5)/7))</f>
        <v/>
      </c>
      <c r="D2593" s="21" t="n"/>
      <c r="E2593" s="22" t="n"/>
      <c r="F2593" s="23" t="n"/>
      <c r="G2593" s="23" t="n"/>
      <c r="H2593" s="23" t="n"/>
      <c r="I2593" s="20">
        <f>IF(COUNT(F2593:H2593)=0,"",SUM(F2593:H2593))</f>
        <v/>
      </c>
      <c r="J2593" s="23" t="n"/>
      <c r="K2593" s="23" t="n"/>
      <c r="L2593" s="23" t="n"/>
      <c r="M2593" s="23" t="n"/>
      <c r="N2593" s="23" t="n"/>
      <c r="O2593" s="20">
        <f>IF(OR(I2593="",COUNT(J2593:N2593)=0),"",IF(SUM(J2593:N2593)=I2593,"✓","⚠ "&amp;SUM(J2593:N2593)&amp;" statt "&amp;I2593))</f>
        <v/>
      </c>
      <c r="P2593" s="21" t="n"/>
      <c r="Q2593" s="21" t="n"/>
      <c r="R2593" s="21" t="n"/>
      <c r="S2593" s="24" t="n"/>
      <c r="T2593" s="24" t="n"/>
      <c r="V2593">
        <f>IF(A2593="","",MONTH(A2593))</f>
        <v/>
      </c>
      <c r="W2593">
        <f>N(W2592)+IF(AND(C2593&lt;&gt;"",T2593&lt;&gt;""),IF(C2593=WOCHE!$B$3,1,0),0)</f>
        <v/>
      </c>
      <c r="X2593">
        <f>N(X2592)+IF(AND(V2593&lt;&gt;"",T2593&lt;&gt;""),IF(V2593=MONAT!$AZ$3,1,0),0)</f>
        <v/>
      </c>
    </row>
    <row r="2594">
      <c r="A2594" s="19" t="n"/>
      <c r="B2594" s="20">
        <f>IF(A2594="","",CHOOSE(WEEKDAY(A2594,2),"Mo","Di","Mi","Do","Fr","Sa","So"))</f>
        <v/>
      </c>
      <c r="C2594" s="20">
        <f>IF(A2594="","",INT((A2594-DATE(YEAR(A2594-WEEKDAY(A2594-1)+4),1,3)+WEEKDAY(DATE(YEAR(A2594-WEEKDAY(A2594-1)+4),1,3))+5)/7))</f>
        <v/>
      </c>
      <c r="D2594" s="21" t="n"/>
      <c r="E2594" s="22" t="n"/>
      <c r="F2594" s="23" t="n"/>
      <c r="G2594" s="23" t="n"/>
      <c r="H2594" s="23" t="n"/>
      <c r="I2594" s="20">
        <f>IF(COUNT(F2594:H2594)=0,"",SUM(F2594:H2594))</f>
        <v/>
      </c>
      <c r="J2594" s="23" t="n"/>
      <c r="K2594" s="23" t="n"/>
      <c r="L2594" s="23" t="n"/>
      <c r="M2594" s="23" t="n"/>
      <c r="N2594" s="23" t="n"/>
      <c r="O2594" s="20">
        <f>IF(OR(I2594="",COUNT(J2594:N2594)=0),"",IF(SUM(J2594:N2594)=I2594,"✓","⚠ "&amp;SUM(J2594:N2594)&amp;" statt "&amp;I2594))</f>
        <v/>
      </c>
      <c r="P2594" s="21" t="n"/>
      <c r="Q2594" s="21" t="n"/>
      <c r="R2594" s="21" t="n"/>
      <c r="S2594" s="24" t="n"/>
      <c r="T2594" s="24" t="n"/>
      <c r="V2594">
        <f>IF(A2594="","",MONTH(A2594))</f>
        <v/>
      </c>
      <c r="W2594">
        <f>N(W2593)+IF(AND(C2594&lt;&gt;"",T2594&lt;&gt;""),IF(C2594=WOCHE!$B$3,1,0),0)</f>
        <v/>
      </c>
      <c r="X2594">
        <f>N(X2593)+IF(AND(V2594&lt;&gt;"",T2594&lt;&gt;""),IF(V2594=MONAT!$AZ$3,1,0),0)</f>
        <v/>
      </c>
    </row>
    <row r="2595">
      <c r="A2595" s="19" t="n"/>
      <c r="B2595" s="20">
        <f>IF(A2595="","",CHOOSE(WEEKDAY(A2595,2),"Mo","Di","Mi","Do","Fr","Sa","So"))</f>
        <v/>
      </c>
      <c r="C2595" s="20">
        <f>IF(A2595="","",INT((A2595-DATE(YEAR(A2595-WEEKDAY(A2595-1)+4),1,3)+WEEKDAY(DATE(YEAR(A2595-WEEKDAY(A2595-1)+4),1,3))+5)/7))</f>
        <v/>
      </c>
      <c r="D2595" s="21" t="n"/>
      <c r="E2595" s="22" t="n"/>
      <c r="F2595" s="23" t="n"/>
      <c r="G2595" s="23" t="n"/>
      <c r="H2595" s="23" t="n"/>
      <c r="I2595" s="20">
        <f>IF(COUNT(F2595:H2595)=0,"",SUM(F2595:H2595))</f>
        <v/>
      </c>
      <c r="J2595" s="23" t="n"/>
      <c r="K2595" s="23" t="n"/>
      <c r="L2595" s="23" t="n"/>
      <c r="M2595" s="23" t="n"/>
      <c r="N2595" s="23" t="n"/>
      <c r="O2595" s="20">
        <f>IF(OR(I2595="",COUNT(J2595:N2595)=0),"",IF(SUM(J2595:N2595)=I2595,"✓","⚠ "&amp;SUM(J2595:N2595)&amp;" statt "&amp;I2595))</f>
        <v/>
      </c>
      <c r="P2595" s="21" t="n"/>
      <c r="Q2595" s="21" t="n"/>
      <c r="R2595" s="21" t="n"/>
      <c r="S2595" s="24" t="n"/>
      <c r="T2595" s="24" t="n"/>
      <c r="V2595">
        <f>IF(A2595="","",MONTH(A2595))</f>
        <v/>
      </c>
      <c r="W2595">
        <f>N(W2594)+IF(AND(C2595&lt;&gt;"",T2595&lt;&gt;""),IF(C2595=WOCHE!$B$3,1,0),0)</f>
        <v/>
      </c>
      <c r="X2595">
        <f>N(X2594)+IF(AND(V2595&lt;&gt;"",T2595&lt;&gt;""),IF(V2595=MONAT!$AZ$3,1,0),0)</f>
        <v/>
      </c>
    </row>
    <row r="2596">
      <c r="A2596" s="19" t="n"/>
      <c r="B2596" s="20">
        <f>IF(A2596="","",CHOOSE(WEEKDAY(A2596,2),"Mo","Di","Mi","Do","Fr","Sa","So"))</f>
        <v/>
      </c>
      <c r="C2596" s="20">
        <f>IF(A2596="","",INT((A2596-DATE(YEAR(A2596-WEEKDAY(A2596-1)+4),1,3)+WEEKDAY(DATE(YEAR(A2596-WEEKDAY(A2596-1)+4),1,3))+5)/7))</f>
        <v/>
      </c>
      <c r="D2596" s="21" t="n"/>
      <c r="E2596" s="22" t="n"/>
      <c r="F2596" s="23" t="n"/>
      <c r="G2596" s="23" t="n"/>
      <c r="H2596" s="23" t="n"/>
      <c r="I2596" s="20">
        <f>IF(COUNT(F2596:H2596)=0,"",SUM(F2596:H2596))</f>
        <v/>
      </c>
      <c r="J2596" s="23" t="n"/>
      <c r="K2596" s="23" t="n"/>
      <c r="L2596" s="23" t="n"/>
      <c r="M2596" s="23" t="n"/>
      <c r="N2596" s="23" t="n"/>
      <c r="O2596" s="20">
        <f>IF(OR(I2596="",COUNT(J2596:N2596)=0),"",IF(SUM(J2596:N2596)=I2596,"✓","⚠ "&amp;SUM(J2596:N2596)&amp;" statt "&amp;I2596))</f>
        <v/>
      </c>
      <c r="P2596" s="21" t="n"/>
      <c r="Q2596" s="21" t="n"/>
      <c r="R2596" s="21" t="n"/>
      <c r="S2596" s="24" t="n"/>
      <c r="T2596" s="24" t="n"/>
      <c r="V2596">
        <f>IF(A2596="","",MONTH(A2596))</f>
        <v/>
      </c>
      <c r="W2596">
        <f>N(W2595)+IF(AND(C2596&lt;&gt;"",T2596&lt;&gt;""),IF(C2596=WOCHE!$B$3,1,0),0)</f>
        <v/>
      </c>
      <c r="X2596">
        <f>N(X2595)+IF(AND(V2596&lt;&gt;"",T2596&lt;&gt;""),IF(V2596=MONAT!$AZ$3,1,0),0)</f>
        <v/>
      </c>
    </row>
    <row r="2597">
      <c r="A2597" s="19" t="n"/>
      <c r="B2597" s="20">
        <f>IF(A2597="","",CHOOSE(WEEKDAY(A2597,2),"Mo","Di","Mi","Do","Fr","Sa","So"))</f>
        <v/>
      </c>
      <c r="C2597" s="20">
        <f>IF(A2597="","",INT((A2597-DATE(YEAR(A2597-WEEKDAY(A2597-1)+4),1,3)+WEEKDAY(DATE(YEAR(A2597-WEEKDAY(A2597-1)+4),1,3))+5)/7))</f>
        <v/>
      </c>
      <c r="D2597" s="21" t="n"/>
      <c r="E2597" s="22" t="n"/>
      <c r="F2597" s="23" t="n"/>
      <c r="G2597" s="23" t="n"/>
      <c r="H2597" s="23" t="n"/>
      <c r="I2597" s="20">
        <f>IF(COUNT(F2597:H2597)=0,"",SUM(F2597:H2597))</f>
        <v/>
      </c>
      <c r="J2597" s="23" t="n"/>
      <c r="K2597" s="23" t="n"/>
      <c r="L2597" s="23" t="n"/>
      <c r="M2597" s="23" t="n"/>
      <c r="N2597" s="23" t="n"/>
      <c r="O2597" s="20">
        <f>IF(OR(I2597="",COUNT(J2597:N2597)=0),"",IF(SUM(J2597:N2597)=I2597,"✓","⚠ "&amp;SUM(J2597:N2597)&amp;" statt "&amp;I2597))</f>
        <v/>
      </c>
      <c r="P2597" s="21" t="n"/>
      <c r="Q2597" s="21" t="n"/>
      <c r="R2597" s="21" t="n"/>
      <c r="S2597" s="24" t="n"/>
      <c r="T2597" s="24" t="n"/>
      <c r="V2597">
        <f>IF(A2597="","",MONTH(A2597))</f>
        <v/>
      </c>
      <c r="W2597">
        <f>N(W2596)+IF(AND(C2597&lt;&gt;"",T2597&lt;&gt;""),IF(C2597=WOCHE!$B$3,1,0),0)</f>
        <v/>
      </c>
      <c r="X2597">
        <f>N(X2596)+IF(AND(V2597&lt;&gt;"",T2597&lt;&gt;""),IF(V2597=MONAT!$AZ$3,1,0),0)</f>
        <v/>
      </c>
    </row>
    <row r="2598">
      <c r="A2598" s="19" t="n"/>
      <c r="B2598" s="20">
        <f>IF(A2598="","",CHOOSE(WEEKDAY(A2598,2),"Mo","Di","Mi","Do","Fr","Sa","So"))</f>
        <v/>
      </c>
      <c r="C2598" s="20">
        <f>IF(A2598="","",INT((A2598-DATE(YEAR(A2598-WEEKDAY(A2598-1)+4),1,3)+WEEKDAY(DATE(YEAR(A2598-WEEKDAY(A2598-1)+4),1,3))+5)/7))</f>
        <v/>
      </c>
      <c r="D2598" s="21" t="n"/>
      <c r="E2598" s="22" t="n"/>
      <c r="F2598" s="23" t="n"/>
      <c r="G2598" s="23" t="n"/>
      <c r="H2598" s="23" t="n"/>
      <c r="I2598" s="20">
        <f>IF(COUNT(F2598:H2598)=0,"",SUM(F2598:H2598))</f>
        <v/>
      </c>
      <c r="J2598" s="23" t="n"/>
      <c r="K2598" s="23" t="n"/>
      <c r="L2598" s="23" t="n"/>
      <c r="M2598" s="23" t="n"/>
      <c r="N2598" s="23" t="n"/>
      <c r="O2598" s="20">
        <f>IF(OR(I2598="",COUNT(J2598:N2598)=0),"",IF(SUM(J2598:N2598)=I2598,"✓","⚠ "&amp;SUM(J2598:N2598)&amp;" statt "&amp;I2598))</f>
        <v/>
      </c>
      <c r="P2598" s="21" t="n"/>
      <c r="Q2598" s="21" t="n"/>
      <c r="R2598" s="21" t="n"/>
      <c r="S2598" s="24" t="n"/>
      <c r="T2598" s="24" t="n"/>
      <c r="V2598">
        <f>IF(A2598="","",MONTH(A2598))</f>
        <v/>
      </c>
      <c r="W2598">
        <f>N(W2597)+IF(AND(C2598&lt;&gt;"",T2598&lt;&gt;""),IF(C2598=WOCHE!$B$3,1,0),0)</f>
        <v/>
      </c>
      <c r="X2598">
        <f>N(X2597)+IF(AND(V2598&lt;&gt;"",T2598&lt;&gt;""),IF(V2598=MONAT!$AZ$3,1,0),0)</f>
        <v/>
      </c>
    </row>
    <row r="2599">
      <c r="A2599" s="19" t="n"/>
      <c r="B2599" s="20">
        <f>IF(A2599="","",CHOOSE(WEEKDAY(A2599,2),"Mo","Di","Mi","Do","Fr","Sa","So"))</f>
        <v/>
      </c>
      <c r="C2599" s="20">
        <f>IF(A2599="","",INT((A2599-DATE(YEAR(A2599-WEEKDAY(A2599-1)+4),1,3)+WEEKDAY(DATE(YEAR(A2599-WEEKDAY(A2599-1)+4),1,3))+5)/7))</f>
        <v/>
      </c>
      <c r="D2599" s="21" t="n"/>
      <c r="E2599" s="22" t="n"/>
      <c r="F2599" s="23" t="n"/>
      <c r="G2599" s="23" t="n"/>
      <c r="H2599" s="23" t="n"/>
      <c r="I2599" s="20">
        <f>IF(COUNT(F2599:H2599)=0,"",SUM(F2599:H2599))</f>
        <v/>
      </c>
      <c r="J2599" s="23" t="n"/>
      <c r="K2599" s="23" t="n"/>
      <c r="L2599" s="23" t="n"/>
      <c r="M2599" s="23" t="n"/>
      <c r="N2599" s="23" t="n"/>
      <c r="O2599" s="20">
        <f>IF(OR(I2599="",COUNT(J2599:N2599)=0),"",IF(SUM(J2599:N2599)=I2599,"✓","⚠ "&amp;SUM(J2599:N2599)&amp;" statt "&amp;I2599))</f>
        <v/>
      </c>
      <c r="P2599" s="21" t="n"/>
      <c r="Q2599" s="21" t="n"/>
      <c r="R2599" s="21" t="n"/>
      <c r="S2599" s="24" t="n"/>
      <c r="T2599" s="24" t="n"/>
      <c r="V2599">
        <f>IF(A2599="","",MONTH(A2599))</f>
        <v/>
      </c>
      <c r="W2599">
        <f>N(W2598)+IF(AND(C2599&lt;&gt;"",T2599&lt;&gt;""),IF(C2599=WOCHE!$B$3,1,0),0)</f>
        <v/>
      </c>
      <c r="X2599">
        <f>N(X2598)+IF(AND(V2599&lt;&gt;"",T2599&lt;&gt;""),IF(V2599=MONAT!$AZ$3,1,0),0)</f>
        <v/>
      </c>
    </row>
    <row r="2600">
      <c r="A2600" s="19" t="n"/>
      <c r="B2600" s="20">
        <f>IF(A2600="","",CHOOSE(WEEKDAY(A2600,2),"Mo","Di","Mi","Do","Fr","Sa","So"))</f>
        <v/>
      </c>
      <c r="C2600" s="20">
        <f>IF(A2600="","",INT((A2600-DATE(YEAR(A2600-WEEKDAY(A2600-1)+4),1,3)+WEEKDAY(DATE(YEAR(A2600-WEEKDAY(A2600-1)+4),1,3))+5)/7))</f>
        <v/>
      </c>
      <c r="D2600" s="21" t="n"/>
      <c r="E2600" s="22" t="n"/>
      <c r="F2600" s="23" t="n"/>
      <c r="G2600" s="23" t="n"/>
      <c r="H2600" s="23" t="n"/>
      <c r="I2600" s="20">
        <f>IF(COUNT(F2600:H2600)=0,"",SUM(F2600:H2600))</f>
        <v/>
      </c>
      <c r="J2600" s="23" t="n"/>
      <c r="K2600" s="23" t="n"/>
      <c r="L2600" s="23" t="n"/>
      <c r="M2600" s="23" t="n"/>
      <c r="N2600" s="23" t="n"/>
      <c r="O2600" s="20">
        <f>IF(OR(I2600="",COUNT(J2600:N2600)=0),"",IF(SUM(J2600:N2600)=I2600,"✓","⚠ "&amp;SUM(J2600:N2600)&amp;" statt "&amp;I2600))</f>
        <v/>
      </c>
      <c r="P2600" s="21" t="n"/>
      <c r="Q2600" s="21" t="n"/>
      <c r="R2600" s="21" t="n"/>
      <c r="S2600" s="24" t="n"/>
      <c r="T2600" s="24" t="n"/>
      <c r="V2600">
        <f>IF(A2600="","",MONTH(A2600))</f>
        <v/>
      </c>
      <c r="W2600">
        <f>N(W2599)+IF(AND(C2600&lt;&gt;"",T2600&lt;&gt;""),IF(C2600=WOCHE!$B$3,1,0),0)</f>
        <v/>
      </c>
      <c r="X2600">
        <f>N(X2599)+IF(AND(V2600&lt;&gt;"",T2600&lt;&gt;""),IF(V2600=MONAT!$AZ$3,1,0),0)</f>
        <v/>
      </c>
    </row>
    <row r="2601">
      <c r="A2601" s="19" t="n"/>
      <c r="B2601" s="20">
        <f>IF(A2601="","",CHOOSE(WEEKDAY(A2601,2),"Mo","Di","Mi","Do","Fr","Sa","So"))</f>
        <v/>
      </c>
      <c r="C2601" s="20">
        <f>IF(A2601="","",INT((A2601-DATE(YEAR(A2601-WEEKDAY(A2601-1)+4),1,3)+WEEKDAY(DATE(YEAR(A2601-WEEKDAY(A2601-1)+4),1,3))+5)/7))</f>
        <v/>
      </c>
      <c r="D2601" s="21" t="n"/>
      <c r="E2601" s="22" t="n"/>
      <c r="F2601" s="23" t="n"/>
      <c r="G2601" s="23" t="n"/>
      <c r="H2601" s="23" t="n"/>
      <c r="I2601" s="20">
        <f>IF(COUNT(F2601:H2601)=0,"",SUM(F2601:H2601))</f>
        <v/>
      </c>
      <c r="J2601" s="23" t="n"/>
      <c r="K2601" s="23" t="n"/>
      <c r="L2601" s="23" t="n"/>
      <c r="M2601" s="23" t="n"/>
      <c r="N2601" s="23" t="n"/>
      <c r="O2601" s="20">
        <f>IF(OR(I2601="",COUNT(J2601:N2601)=0),"",IF(SUM(J2601:N2601)=I2601,"✓","⚠ "&amp;SUM(J2601:N2601)&amp;" statt "&amp;I2601))</f>
        <v/>
      </c>
      <c r="P2601" s="21" t="n"/>
      <c r="Q2601" s="21" t="n"/>
      <c r="R2601" s="21" t="n"/>
      <c r="S2601" s="24" t="n"/>
      <c r="T2601" s="24" t="n"/>
      <c r="V2601">
        <f>IF(A2601="","",MONTH(A2601))</f>
        <v/>
      </c>
      <c r="W2601">
        <f>N(W2600)+IF(AND(C2601&lt;&gt;"",T2601&lt;&gt;""),IF(C2601=WOCHE!$B$3,1,0),0)</f>
        <v/>
      </c>
      <c r="X2601">
        <f>N(X2600)+IF(AND(V2601&lt;&gt;"",T2601&lt;&gt;""),IF(V2601=MONAT!$AZ$3,1,0),0)</f>
        <v/>
      </c>
    </row>
    <row r="2602">
      <c r="A2602" s="19" t="n"/>
      <c r="B2602" s="20">
        <f>IF(A2602="","",CHOOSE(WEEKDAY(A2602,2),"Mo","Di","Mi","Do","Fr","Sa","So"))</f>
        <v/>
      </c>
      <c r="C2602" s="20">
        <f>IF(A2602="","",INT((A2602-DATE(YEAR(A2602-WEEKDAY(A2602-1)+4),1,3)+WEEKDAY(DATE(YEAR(A2602-WEEKDAY(A2602-1)+4),1,3))+5)/7))</f>
        <v/>
      </c>
      <c r="D2602" s="21" t="n"/>
      <c r="E2602" s="22" t="n"/>
      <c r="F2602" s="23" t="n"/>
      <c r="G2602" s="23" t="n"/>
      <c r="H2602" s="23" t="n"/>
      <c r="I2602" s="20">
        <f>IF(COUNT(F2602:H2602)=0,"",SUM(F2602:H2602))</f>
        <v/>
      </c>
      <c r="J2602" s="23" t="n"/>
      <c r="K2602" s="23" t="n"/>
      <c r="L2602" s="23" t="n"/>
      <c r="M2602" s="23" t="n"/>
      <c r="N2602" s="23" t="n"/>
      <c r="O2602" s="20">
        <f>IF(OR(I2602="",COUNT(J2602:N2602)=0),"",IF(SUM(J2602:N2602)=I2602,"✓","⚠ "&amp;SUM(J2602:N2602)&amp;" statt "&amp;I2602))</f>
        <v/>
      </c>
      <c r="P2602" s="21" t="n"/>
      <c r="Q2602" s="21" t="n"/>
      <c r="R2602" s="21" t="n"/>
      <c r="S2602" s="24" t="n"/>
      <c r="T2602" s="24" t="n"/>
      <c r="V2602">
        <f>IF(A2602="","",MONTH(A2602))</f>
        <v/>
      </c>
      <c r="W2602">
        <f>N(W2601)+IF(AND(C2602&lt;&gt;"",T2602&lt;&gt;""),IF(C2602=WOCHE!$B$3,1,0),0)</f>
        <v/>
      </c>
      <c r="X2602">
        <f>N(X2601)+IF(AND(V2602&lt;&gt;"",T2602&lt;&gt;""),IF(V2602=MONAT!$AZ$3,1,0),0)</f>
        <v/>
      </c>
    </row>
    <row r="2603">
      <c r="A2603" s="19" t="n"/>
      <c r="B2603" s="20">
        <f>IF(A2603="","",CHOOSE(WEEKDAY(A2603,2),"Mo","Di","Mi","Do","Fr","Sa","So"))</f>
        <v/>
      </c>
      <c r="C2603" s="20">
        <f>IF(A2603="","",INT((A2603-DATE(YEAR(A2603-WEEKDAY(A2603-1)+4),1,3)+WEEKDAY(DATE(YEAR(A2603-WEEKDAY(A2603-1)+4),1,3))+5)/7))</f>
        <v/>
      </c>
      <c r="D2603" s="21" t="n"/>
      <c r="E2603" s="22" t="n"/>
      <c r="F2603" s="23" t="n"/>
      <c r="G2603" s="23" t="n"/>
      <c r="H2603" s="23" t="n"/>
      <c r="I2603" s="20">
        <f>IF(COUNT(F2603:H2603)=0,"",SUM(F2603:H2603))</f>
        <v/>
      </c>
      <c r="J2603" s="23" t="n"/>
      <c r="K2603" s="23" t="n"/>
      <c r="L2603" s="23" t="n"/>
      <c r="M2603" s="23" t="n"/>
      <c r="N2603" s="23" t="n"/>
      <c r="O2603" s="20">
        <f>IF(OR(I2603="",COUNT(J2603:N2603)=0),"",IF(SUM(J2603:N2603)=I2603,"✓","⚠ "&amp;SUM(J2603:N2603)&amp;" statt "&amp;I2603))</f>
        <v/>
      </c>
      <c r="P2603" s="21" t="n"/>
      <c r="Q2603" s="21" t="n"/>
      <c r="R2603" s="21" t="n"/>
      <c r="S2603" s="24" t="n"/>
      <c r="T2603" s="24" t="n"/>
      <c r="V2603">
        <f>IF(A2603="","",MONTH(A2603))</f>
        <v/>
      </c>
      <c r="W2603">
        <f>N(W2602)+IF(AND(C2603&lt;&gt;"",T2603&lt;&gt;""),IF(C2603=WOCHE!$B$3,1,0),0)</f>
        <v/>
      </c>
      <c r="X2603">
        <f>N(X2602)+IF(AND(V2603&lt;&gt;"",T2603&lt;&gt;""),IF(V2603=MONAT!$AZ$3,1,0),0)</f>
        <v/>
      </c>
    </row>
    <row r="2604">
      <c r="A2604" s="19" t="n"/>
      <c r="B2604" s="20">
        <f>IF(A2604="","",CHOOSE(WEEKDAY(A2604,2),"Mo","Di","Mi","Do","Fr","Sa","So"))</f>
        <v/>
      </c>
      <c r="C2604" s="20">
        <f>IF(A2604="","",INT((A2604-DATE(YEAR(A2604-WEEKDAY(A2604-1)+4),1,3)+WEEKDAY(DATE(YEAR(A2604-WEEKDAY(A2604-1)+4),1,3))+5)/7))</f>
        <v/>
      </c>
      <c r="D2604" s="21" t="n"/>
      <c r="E2604" s="22" t="n"/>
      <c r="F2604" s="23" t="n"/>
      <c r="G2604" s="23" t="n"/>
      <c r="H2604" s="23" t="n"/>
      <c r="I2604" s="20">
        <f>IF(COUNT(F2604:H2604)=0,"",SUM(F2604:H2604))</f>
        <v/>
      </c>
      <c r="J2604" s="23" t="n"/>
      <c r="K2604" s="23" t="n"/>
      <c r="L2604" s="23" t="n"/>
      <c r="M2604" s="23" t="n"/>
      <c r="N2604" s="23" t="n"/>
      <c r="O2604" s="20">
        <f>IF(OR(I2604="",COUNT(J2604:N2604)=0),"",IF(SUM(J2604:N2604)=I2604,"✓","⚠ "&amp;SUM(J2604:N2604)&amp;" statt "&amp;I2604))</f>
        <v/>
      </c>
      <c r="P2604" s="21" t="n"/>
      <c r="Q2604" s="21" t="n"/>
      <c r="R2604" s="21" t="n"/>
      <c r="S2604" s="24" t="n"/>
      <c r="T2604" s="24" t="n"/>
      <c r="V2604">
        <f>IF(A2604="","",MONTH(A2604))</f>
        <v/>
      </c>
      <c r="W2604">
        <f>N(W2603)+IF(AND(C2604&lt;&gt;"",T2604&lt;&gt;""),IF(C2604=WOCHE!$B$3,1,0),0)</f>
        <v/>
      </c>
      <c r="X2604">
        <f>N(X2603)+IF(AND(V2604&lt;&gt;"",T2604&lt;&gt;""),IF(V2604=MONAT!$AZ$3,1,0),0)</f>
        <v/>
      </c>
    </row>
    <row r="2605">
      <c r="A2605" s="19" t="n"/>
      <c r="B2605" s="20">
        <f>IF(A2605="","",CHOOSE(WEEKDAY(A2605,2),"Mo","Di","Mi","Do","Fr","Sa","So"))</f>
        <v/>
      </c>
      <c r="C2605" s="20">
        <f>IF(A2605="","",INT((A2605-DATE(YEAR(A2605-WEEKDAY(A2605-1)+4),1,3)+WEEKDAY(DATE(YEAR(A2605-WEEKDAY(A2605-1)+4),1,3))+5)/7))</f>
        <v/>
      </c>
      <c r="D2605" s="21" t="n"/>
      <c r="E2605" s="22" t="n"/>
      <c r="F2605" s="23" t="n"/>
      <c r="G2605" s="23" t="n"/>
      <c r="H2605" s="23" t="n"/>
      <c r="I2605" s="20">
        <f>IF(COUNT(F2605:H2605)=0,"",SUM(F2605:H2605))</f>
        <v/>
      </c>
      <c r="J2605" s="23" t="n"/>
      <c r="K2605" s="23" t="n"/>
      <c r="L2605" s="23" t="n"/>
      <c r="M2605" s="23" t="n"/>
      <c r="N2605" s="23" t="n"/>
      <c r="O2605" s="20">
        <f>IF(OR(I2605="",COUNT(J2605:N2605)=0),"",IF(SUM(J2605:N2605)=I2605,"✓","⚠ "&amp;SUM(J2605:N2605)&amp;" statt "&amp;I2605))</f>
        <v/>
      </c>
      <c r="P2605" s="21" t="n"/>
      <c r="Q2605" s="21" t="n"/>
      <c r="R2605" s="21" t="n"/>
      <c r="S2605" s="24" t="n"/>
      <c r="T2605" s="24" t="n"/>
      <c r="V2605">
        <f>IF(A2605="","",MONTH(A2605))</f>
        <v/>
      </c>
      <c r="W2605">
        <f>N(W2604)+IF(AND(C2605&lt;&gt;"",T2605&lt;&gt;""),IF(C2605=WOCHE!$B$3,1,0),0)</f>
        <v/>
      </c>
      <c r="X2605">
        <f>N(X2604)+IF(AND(V2605&lt;&gt;"",T2605&lt;&gt;""),IF(V2605=MONAT!$AZ$3,1,0),0)</f>
        <v/>
      </c>
    </row>
    <row r="2606">
      <c r="A2606" s="19" t="n"/>
      <c r="B2606" s="20">
        <f>IF(A2606="","",CHOOSE(WEEKDAY(A2606,2),"Mo","Di","Mi","Do","Fr","Sa","So"))</f>
        <v/>
      </c>
      <c r="C2606" s="20">
        <f>IF(A2606="","",INT((A2606-DATE(YEAR(A2606-WEEKDAY(A2606-1)+4),1,3)+WEEKDAY(DATE(YEAR(A2606-WEEKDAY(A2606-1)+4),1,3))+5)/7))</f>
        <v/>
      </c>
      <c r="D2606" s="21" t="n"/>
      <c r="E2606" s="22" t="n"/>
      <c r="F2606" s="23" t="n"/>
      <c r="G2606" s="23" t="n"/>
      <c r="H2606" s="23" t="n"/>
      <c r="I2606" s="20">
        <f>IF(COUNT(F2606:H2606)=0,"",SUM(F2606:H2606))</f>
        <v/>
      </c>
      <c r="J2606" s="23" t="n"/>
      <c r="K2606" s="23" t="n"/>
      <c r="L2606" s="23" t="n"/>
      <c r="M2606" s="23" t="n"/>
      <c r="N2606" s="23" t="n"/>
      <c r="O2606" s="20">
        <f>IF(OR(I2606="",COUNT(J2606:N2606)=0),"",IF(SUM(J2606:N2606)=I2606,"✓","⚠ "&amp;SUM(J2606:N2606)&amp;" statt "&amp;I2606))</f>
        <v/>
      </c>
      <c r="P2606" s="21" t="n"/>
      <c r="Q2606" s="21" t="n"/>
      <c r="R2606" s="21" t="n"/>
      <c r="S2606" s="24" t="n"/>
      <c r="T2606" s="24" t="n"/>
      <c r="V2606">
        <f>IF(A2606="","",MONTH(A2606))</f>
        <v/>
      </c>
      <c r="W2606">
        <f>N(W2605)+IF(AND(C2606&lt;&gt;"",T2606&lt;&gt;""),IF(C2606=WOCHE!$B$3,1,0),0)</f>
        <v/>
      </c>
      <c r="X2606">
        <f>N(X2605)+IF(AND(V2606&lt;&gt;"",T2606&lt;&gt;""),IF(V2606=MONAT!$AZ$3,1,0),0)</f>
        <v/>
      </c>
    </row>
    <row r="2607">
      <c r="A2607" s="19" t="n"/>
      <c r="B2607" s="20">
        <f>IF(A2607="","",CHOOSE(WEEKDAY(A2607,2),"Mo","Di","Mi","Do","Fr","Sa","So"))</f>
        <v/>
      </c>
      <c r="C2607" s="20">
        <f>IF(A2607="","",INT((A2607-DATE(YEAR(A2607-WEEKDAY(A2607-1)+4),1,3)+WEEKDAY(DATE(YEAR(A2607-WEEKDAY(A2607-1)+4),1,3))+5)/7))</f>
        <v/>
      </c>
      <c r="D2607" s="21" t="n"/>
      <c r="E2607" s="22" t="n"/>
      <c r="F2607" s="23" t="n"/>
      <c r="G2607" s="23" t="n"/>
      <c r="H2607" s="23" t="n"/>
      <c r="I2607" s="20">
        <f>IF(COUNT(F2607:H2607)=0,"",SUM(F2607:H2607))</f>
        <v/>
      </c>
      <c r="J2607" s="23" t="n"/>
      <c r="K2607" s="23" t="n"/>
      <c r="L2607" s="23" t="n"/>
      <c r="M2607" s="23" t="n"/>
      <c r="N2607" s="23" t="n"/>
      <c r="O2607" s="20">
        <f>IF(OR(I2607="",COUNT(J2607:N2607)=0),"",IF(SUM(J2607:N2607)=I2607,"✓","⚠ "&amp;SUM(J2607:N2607)&amp;" statt "&amp;I2607))</f>
        <v/>
      </c>
      <c r="P2607" s="21" t="n"/>
      <c r="Q2607" s="21" t="n"/>
      <c r="R2607" s="21" t="n"/>
      <c r="S2607" s="24" t="n"/>
      <c r="T2607" s="24" t="n"/>
      <c r="V2607">
        <f>IF(A2607="","",MONTH(A2607))</f>
        <v/>
      </c>
      <c r="W2607">
        <f>N(W2606)+IF(AND(C2607&lt;&gt;"",T2607&lt;&gt;""),IF(C2607=WOCHE!$B$3,1,0),0)</f>
        <v/>
      </c>
      <c r="X2607">
        <f>N(X2606)+IF(AND(V2607&lt;&gt;"",T2607&lt;&gt;""),IF(V2607=MONAT!$AZ$3,1,0),0)</f>
        <v/>
      </c>
    </row>
    <row r="2608">
      <c r="A2608" s="19" t="n"/>
      <c r="B2608" s="20">
        <f>IF(A2608="","",CHOOSE(WEEKDAY(A2608,2),"Mo","Di","Mi","Do","Fr","Sa","So"))</f>
        <v/>
      </c>
      <c r="C2608" s="20">
        <f>IF(A2608="","",INT((A2608-DATE(YEAR(A2608-WEEKDAY(A2608-1)+4),1,3)+WEEKDAY(DATE(YEAR(A2608-WEEKDAY(A2608-1)+4),1,3))+5)/7))</f>
        <v/>
      </c>
      <c r="D2608" s="21" t="n"/>
      <c r="E2608" s="22" t="n"/>
      <c r="F2608" s="23" t="n"/>
      <c r="G2608" s="23" t="n"/>
      <c r="H2608" s="23" t="n"/>
      <c r="I2608" s="20">
        <f>IF(COUNT(F2608:H2608)=0,"",SUM(F2608:H2608))</f>
        <v/>
      </c>
      <c r="J2608" s="23" t="n"/>
      <c r="K2608" s="23" t="n"/>
      <c r="L2608" s="23" t="n"/>
      <c r="M2608" s="23" t="n"/>
      <c r="N2608" s="23" t="n"/>
      <c r="O2608" s="20">
        <f>IF(OR(I2608="",COUNT(J2608:N2608)=0),"",IF(SUM(J2608:N2608)=I2608,"✓","⚠ "&amp;SUM(J2608:N2608)&amp;" statt "&amp;I2608))</f>
        <v/>
      </c>
      <c r="P2608" s="21" t="n"/>
      <c r="Q2608" s="21" t="n"/>
      <c r="R2608" s="21" t="n"/>
      <c r="S2608" s="24" t="n"/>
      <c r="T2608" s="24" t="n"/>
      <c r="V2608">
        <f>IF(A2608="","",MONTH(A2608))</f>
        <v/>
      </c>
      <c r="W2608">
        <f>N(W2607)+IF(AND(C2608&lt;&gt;"",T2608&lt;&gt;""),IF(C2608=WOCHE!$B$3,1,0),0)</f>
        <v/>
      </c>
      <c r="X2608">
        <f>N(X2607)+IF(AND(V2608&lt;&gt;"",T2608&lt;&gt;""),IF(V2608=MONAT!$AZ$3,1,0),0)</f>
        <v/>
      </c>
    </row>
    <row r="2609">
      <c r="A2609" s="19" t="n"/>
      <c r="B2609" s="20">
        <f>IF(A2609="","",CHOOSE(WEEKDAY(A2609,2),"Mo","Di","Mi","Do","Fr","Sa","So"))</f>
        <v/>
      </c>
      <c r="C2609" s="20">
        <f>IF(A2609="","",INT((A2609-DATE(YEAR(A2609-WEEKDAY(A2609-1)+4),1,3)+WEEKDAY(DATE(YEAR(A2609-WEEKDAY(A2609-1)+4),1,3))+5)/7))</f>
        <v/>
      </c>
      <c r="D2609" s="21" t="n"/>
      <c r="E2609" s="22" t="n"/>
      <c r="F2609" s="23" t="n"/>
      <c r="G2609" s="23" t="n"/>
      <c r="H2609" s="23" t="n"/>
      <c r="I2609" s="20">
        <f>IF(COUNT(F2609:H2609)=0,"",SUM(F2609:H2609))</f>
        <v/>
      </c>
      <c r="J2609" s="23" t="n"/>
      <c r="K2609" s="23" t="n"/>
      <c r="L2609" s="23" t="n"/>
      <c r="M2609" s="23" t="n"/>
      <c r="N2609" s="23" t="n"/>
      <c r="O2609" s="20">
        <f>IF(OR(I2609="",COUNT(J2609:N2609)=0),"",IF(SUM(J2609:N2609)=I2609,"✓","⚠ "&amp;SUM(J2609:N2609)&amp;" statt "&amp;I2609))</f>
        <v/>
      </c>
      <c r="P2609" s="21" t="n"/>
      <c r="Q2609" s="21" t="n"/>
      <c r="R2609" s="21" t="n"/>
      <c r="S2609" s="24" t="n"/>
      <c r="T2609" s="24" t="n"/>
      <c r="V2609">
        <f>IF(A2609="","",MONTH(A2609))</f>
        <v/>
      </c>
      <c r="W2609">
        <f>N(W2608)+IF(AND(C2609&lt;&gt;"",T2609&lt;&gt;""),IF(C2609=WOCHE!$B$3,1,0),0)</f>
        <v/>
      </c>
      <c r="X2609">
        <f>N(X2608)+IF(AND(V2609&lt;&gt;"",T2609&lt;&gt;""),IF(V2609=MONAT!$AZ$3,1,0),0)</f>
        <v/>
      </c>
    </row>
    <row r="2610">
      <c r="A2610" s="19" t="n"/>
      <c r="B2610" s="20">
        <f>IF(A2610="","",CHOOSE(WEEKDAY(A2610,2),"Mo","Di","Mi","Do","Fr","Sa","So"))</f>
        <v/>
      </c>
      <c r="C2610" s="20">
        <f>IF(A2610="","",INT((A2610-DATE(YEAR(A2610-WEEKDAY(A2610-1)+4),1,3)+WEEKDAY(DATE(YEAR(A2610-WEEKDAY(A2610-1)+4),1,3))+5)/7))</f>
        <v/>
      </c>
      <c r="D2610" s="21" t="n"/>
      <c r="E2610" s="22" t="n"/>
      <c r="F2610" s="23" t="n"/>
      <c r="G2610" s="23" t="n"/>
      <c r="H2610" s="23" t="n"/>
      <c r="I2610" s="20">
        <f>IF(COUNT(F2610:H2610)=0,"",SUM(F2610:H2610))</f>
        <v/>
      </c>
      <c r="J2610" s="23" t="n"/>
      <c r="K2610" s="23" t="n"/>
      <c r="L2610" s="23" t="n"/>
      <c r="M2610" s="23" t="n"/>
      <c r="N2610" s="23" t="n"/>
      <c r="O2610" s="20">
        <f>IF(OR(I2610="",COUNT(J2610:N2610)=0),"",IF(SUM(J2610:N2610)=I2610,"✓","⚠ "&amp;SUM(J2610:N2610)&amp;" statt "&amp;I2610))</f>
        <v/>
      </c>
      <c r="P2610" s="21" t="n"/>
      <c r="Q2610" s="21" t="n"/>
      <c r="R2610" s="21" t="n"/>
      <c r="S2610" s="24" t="n"/>
      <c r="T2610" s="24" t="n"/>
      <c r="V2610">
        <f>IF(A2610="","",MONTH(A2610))</f>
        <v/>
      </c>
      <c r="W2610">
        <f>N(W2609)+IF(AND(C2610&lt;&gt;"",T2610&lt;&gt;""),IF(C2610=WOCHE!$B$3,1,0),0)</f>
        <v/>
      </c>
      <c r="X2610">
        <f>N(X2609)+IF(AND(V2610&lt;&gt;"",T2610&lt;&gt;""),IF(V2610=MONAT!$AZ$3,1,0),0)</f>
        <v/>
      </c>
    </row>
    <row r="2611">
      <c r="A2611" s="19" t="n"/>
      <c r="B2611" s="20">
        <f>IF(A2611="","",CHOOSE(WEEKDAY(A2611,2),"Mo","Di","Mi","Do","Fr","Sa","So"))</f>
        <v/>
      </c>
      <c r="C2611" s="20">
        <f>IF(A2611="","",INT((A2611-DATE(YEAR(A2611-WEEKDAY(A2611-1)+4),1,3)+WEEKDAY(DATE(YEAR(A2611-WEEKDAY(A2611-1)+4),1,3))+5)/7))</f>
        <v/>
      </c>
      <c r="D2611" s="21" t="n"/>
      <c r="E2611" s="22" t="n"/>
      <c r="F2611" s="23" t="n"/>
      <c r="G2611" s="23" t="n"/>
      <c r="H2611" s="23" t="n"/>
      <c r="I2611" s="20">
        <f>IF(COUNT(F2611:H2611)=0,"",SUM(F2611:H2611))</f>
        <v/>
      </c>
      <c r="J2611" s="23" t="n"/>
      <c r="K2611" s="23" t="n"/>
      <c r="L2611" s="23" t="n"/>
      <c r="M2611" s="23" t="n"/>
      <c r="N2611" s="23" t="n"/>
      <c r="O2611" s="20">
        <f>IF(OR(I2611="",COUNT(J2611:N2611)=0),"",IF(SUM(J2611:N2611)=I2611,"✓","⚠ "&amp;SUM(J2611:N2611)&amp;" statt "&amp;I2611))</f>
        <v/>
      </c>
      <c r="P2611" s="21" t="n"/>
      <c r="Q2611" s="21" t="n"/>
      <c r="R2611" s="21" t="n"/>
      <c r="S2611" s="24" t="n"/>
      <c r="T2611" s="24" t="n"/>
      <c r="V2611">
        <f>IF(A2611="","",MONTH(A2611))</f>
        <v/>
      </c>
      <c r="W2611">
        <f>N(W2610)+IF(AND(C2611&lt;&gt;"",T2611&lt;&gt;""),IF(C2611=WOCHE!$B$3,1,0),0)</f>
        <v/>
      </c>
      <c r="X2611">
        <f>N(X2610)+IF(AND(V2611&lt;&gt;"",T2611&lt;&gt;""),IF(V2611=MONAT!$AZ$3,1,0),0)</f>
        <v/>
      </c>
    </row>
    <row r="2612">
      <c r="A2612" s="19" t="n"/>
      <c r="B2612" s="20">
        <f>IF(A2612="","",CHOOSE(WEEKDAY(A2612,2),"Mo","Di","Mi","Do","Fr","Sa","So"))</f>
        <v/>
      </c>
      <c r="C2612" s="20">
        <f>IF(A2612="","",INT((A2612-DATE(YEAR(A2612-WEEKDAY(A2612-1)+4),1,3)+WEEKDAY(DATE(YEAR(A2612-WEEKDAY(A2612-1)+4),1,3))+5)/7))</f>
        <v/>
      </c>
      <c r="D2612" s="21" t="n"/>
      <c r="E2612" s="22" t="n"/>
      <c r="F2612" s="23" t="n"/>
      <c r="G2612" s="23" t="n"/>
      <c r="H2612" s="23" t="n"/>
      <c r="I2612" s="20">
        <f>IF(COUNT(F2612:H2612)=0,"",SUM(F2612:H2612))</f>
        <v/>
      </c>
      <c r="J2612" s="23" t="n"/>
      <c r="K2612" s="23" t="n"/>
      <c r="L2612" s="23" t="n"/>
      <c r="M2612" s="23" t="n"/>
      <c r="N2612" s="23" t="n"/>
      <c r="O2612" s="20">
        <f>IF(OR(I2612="",COUNT(J2612:N2612)=0),"",IF(SUM(J2612:N2612)=I2612,"✓","⚠ "&amp;SUM(J2612:N2612)&amp;" statt "&amp;I2612))</f>
        <v/>
      </c>
      <c r="P2612" s="21" t="n"/>
      <c r="Q2612" s="21" t="n"/>
      <c r="R2612" s="21" t="n"/>
      <c r="S2612" s="24" t="n"/>
      <c r="T2612" s="24" t="n"/>
      <c r="V2612">
        <f>IF(A2612="","",MONTH(A2612))</f>
        <v/>
      </c>
      <c r="W2612">
        <f>N(W2611)+IF(AND(C2612&lt;&gt;"",T2612&lt;&gt;""),IF(C2612=WOCHE!$B$3,1,0),0)</f>
        <v/>
      </c>
      <c r="X2612">
        <f>N(X2611)+IF(AND(V2612&lt;&gt;"",T2612&lt;&gt;""),IF(V2612=MONAT!$AZ$3,1,0),0)</f>
        <v/>
      </c>
    </row>
    <row r="2613">
      <c r="A2613" s="19" t="n"/>
      <c r="B2613" s="20">
        <f>IF(A2613="","",CHOOSE(WEEKDAY(A2613,2),"Mo","Di","Mi","Do","Fr","Sa","So"))</f>
        <v/>
      </c>
      <c r="C2613" s="20">
        <f>IF(A2613="","",INT((A2613-DATE(YEAR(A2613-WEEKDAY(A2613-1)+4),1,3)+WEEKDAY(DATE(YEAR(A2613-WEEKDAY(A2613-1)+4),1,3))+5)/7))</f>
        <v/>
      </c>
      <c r="D2613" s="21" t="n"/>
      <c r="E2613" s="22" t="n"/>
      <c r="F2613" s="23" t="n"/>
      <c r="G2613" s="23" t="n"/>
      <c r="H2613" s="23" t="n"/>
      <c r="I2613" s="20">
        <f>IF(COUNT(F2613:H2613)=0,"",SUM(F2613:H2613))</f>
        <v/>
      </c>
      <c r="J2613" s="23" t="n"/>
      <c r="K2613" s="23" t="n"/>
      <c r="L2613" s="23" t="n"/>
      <c r="M2613" s="23" t="n"/>
      <c r="N2613" s="23" t="n"/>
      <c r="O2613" s="20">
        <f>IF(OR(I2613="",COUNT(J2613:N2613)=0),"",IF(SUM(J2613:N2613)=I2613,"✓","⚠ "&amp;SUM(J2613:N2613)&amp;" statt "&amp;I2613))</f>
        <v/>
      </c>
      <c r="P2613" s="21" t="n"/>
      <c r="Q2613" s="21" t="n"/>
      <c r="R2613" s="21" t="n"/>
      <c r="S2613" s="24" t="n"/>
      <c r="T2613" s="24" t="n"/>
      <c r="V2613">
        <f>IF(A2613="","",MONTH(A2613))</f>
        <v/>
      </c>
      <c r="W2613">
        <f>N(W2612)+IF(AND(C2613&lt;&gt;"",T2613&lt;&gt;""),IF(C2613=WOCHE!$B$3,1,0),0)</f>
        <v/>
      </c>
      <c r="X2613">
        <f>N(X2612)+IF(AND(V2613&lt;&gt;"",T2613&lt;&gt;""),IF(V2613=MONAT!$AZ$3,1,0),0)</f>
        <v/>
      </c>
    </row>
    <row r="2614">
      <c r="A2614" s="19" t="n"/>
      <c r="B2614" s="20">
        <f>IF(A2614="","",CHOOSE(WEEKDAY(A2614,2),"Mo","Di","Mi","Do","Fr","Sa","So"))</f>
        <v/>
      </c>
      <c r="C2614" s="20">
        <f>IF(A2614="","",INT((A2614-DATE(YEAR(A2614-WEEKDAY(A2614-1)+4),1,3)+WEEKDAY(DATE(YEAR(A2614-WEEKDAY(A2614-1)+4),1,3))+5)/7))</f>
        <v/>
      </c>
      <c r="D2614" s="21" t="n"/>
      <c r="E2614" s="22" t="n"/>
      <c r="F2614" s="23" t="n"/>
      <c r="G2614" s="23" t="n"/>
      <c r="H2614" s="23" t="n"/>
      <c r="I2614" s="20">
        <f>IF(COUNT(F2614:H2614)=0,"",SUM(F2614:H2614))</f>
        <v/>
      </c>
      <c r="J2614" s="23" t="n"/>
      <c r="K2614" s="23" t="n"/>
      <c r="L2614" s="23" t="n"/>
      <c r="M2614" s="23" t="n"/>
      <c r="N2614" s="23" t="n"/>
      <c r="O2614" s="20">
        <f>IF(OR(I2614="",COUNT(J2614:N2614)=0),"",IF(SUM(J2614:N2614)=I2614,"✓","⚠ "&amp;SUM(J2614:N2614)&amp;" statt "&amp;I2614))</f>
        <v/>
      </c>
      <c r="P2614" s="21" t="n"/>
      <c r="Q2614" s="21" t="n"/>
      <c r="R2614" s="21" t="n"/>
      <c r="S2614" s="24" t="n"/>
      <c r="T2614" s="24" t="n"/>
      <c r="V2614">
        <f>IF(A2614="","",MONTH(A2614))</f>
        <v/>
      </c>
      <c r="W2614">
        <f>N(W2613)+IF(AND(C2614&lt;&gt;"",T2614&lt;&gt;""),IF(C2614=WOCHE!$B$3,1,0),0)</f>
        <v/>
      </c>
      <c r="X2614">
        <f>N(X2613)+IF(AND(V2614&lt;&gt;"",T2614&lt;&gt;""),IF(V2614=MONAT!$AZ$3,1,0),0)</f>
        <v/>
      </c>
    </row>
    <row r="2615">
      <c r="A2615" s="19" t="n"/>
      <c r="B2615" s="20">
        <f>IF(A2615="","",CHOOSE(WEEKDAY(A2615,2),"Mo","Di","Mi","Do","Fr","Sa","So"))</f>
        <v/>
      </c>
      <c r="C2615" s="20">
        <f>IF(A2615="","",INT((A2615-DATE(YEAR(A2615-WEEKDAY(A2615-1)+4),1,3)+WEEKDAY(DATE(YEAR(A2615-WEEKDAY(A2615-1)+4),1,3))+5)/7))</f>
        <v/>
      </c>
      <c r="D2615" s="21" t="n"/>
      <c r="E2615" s="22" t="n"/>
      <c r="F2615" s="23" t="n"/>
      <c r="G2615" s="23" t="n"/>
      <c r="H2615" s="23" t="n"/>
      <c r="I2615" s="20">
        <f>IF(COUNT(F2615:H2615)=0,"",SUM(F2615:H2615))</f>
        <v/>
      </c>
      <c r="J2615" s="23" t="n"/>
      <c r="K2615" s="23" t="n"/>
      <c r="L2615" s="23" t="n"/>
      <c r="M2615" s="23" t="n"/>
      <c r="N2615" s="23" t="n"/>
      <c r="O2615" s="20">
        <f>IF(OR(I2615="",COUNT(J2615:N2615)=0),"",IF(SUM(J2615:N2615)=I2615,"✓","⚠ "&amp;SUM(J2615:N2615)&amp;" statt "&amp;I2615))</f>
        <v/>
      </c>
      <c r="P2615" s="21" t="n"/>
      <c r="Q2615" s="21" t="n"/>
      <c r="R2615" s="21" t="n"/>
      <c r="S2615" s="24" t="n"/>
      <c r="T2615" s="24" t="n"/>
      <c r="V2615">
        <f>IF(A2615="","",MONTH(A2615))</f>
        <v/>
      </c>
      <c r="W2615">
        <f>N(W2614)+IF(AND(C2615&lt;&gt;"",T2615&lt;&gt;""),IF(C2615=WOCHE!$B$3,1,0),0)</f>
        <v/>
      </c>
      <c r="X2615">
        <f>N(X2614)+IF(AND(V2615&lt;&gt;"",T2615&lt;&gt;""),IF(V2615=MONAT!$AZ$3,1,0),0)</f>
        <v/>
      </c>
    </row>
    <row r="2616">
      <c r="A2616" s="19" t="n"/>
      <c r="B2616" s="20">
        <f>IF(A2616="","",CHOOSE(WEEKDAY(A2616,2),"Mo","Di","Mi","Do","Fr","Sa","So"))</f>
        <v/>
      </c>
      <c r="C2616" s="20">
        <f>IF(A2616="","",INT((A2616-DATE(YEAR(A2616-WEEKDAY(A2616-1)+4),1,3)+WEEKDAY(DATE(YEAR(A2616-WEEKDAY(A2616-1)+4),1,3))+5)/7))</f>
        <v/>
      </c>
      <c r="D2616" s="21" t="n"/>
      <c r="E2616" s="22" t="n"/>
      <c r="F2616" s="23" t="n"/>
      <c r="G2616" s="23" t="n"/>
      <c r="H2616" s="23" t="n"/>
      <c r="I2616" s="20">
        <f>IF(COUNT(F2616:H2616)=0,"",SUM(F2616:H2616))</f>
        <v/>
      </c>
      <c r="J2616" s="23" t="n"/>
      <c r="K2616" s="23" t="n"/>
      <c r="L2616" s="23" t="n"/>
      <c r="M2616" s="23" t="n"/>
      <c r="N2616" s="23" t="n"/>
      <c r="O2616" s="20">
        <f>IF(OR(I2616="",COUNT(J2616:N2616)=0),"",IF(SUM(J2616:N2616)=I2616,"✓","⚠ "&amp;SUM(J2616:N2616)&amp;" statt "&amp;I2616))</f>
        <v/>
      </c>
      <c r="P2616" s="21" t="n"/>
      <c r="Q2616" s="21" t="n"/>
      <c r="R2616" s="21" t="n"/>
      <c r="S2616" s="24" t="n"/>
      <c r="T2616" s="24" t="n"/>
      <c r="V2616">
        <f>IF(A2616="","",MONTH(A2616))</f>
        <v/>
      </c>
      <c r="W2616">
        <f>N(W2615)+IF(AND(C2616&lt;&gt;"",T2616&lt;&gt;""),IF(C2616=WOCHE!$B$3,1,0),0)</f>
        <v/>
      </c>
      <c r="X2616">
        <f>N(X2615)+IF(AND(V2616&lt;&gt;"",T2616&lt;&gt;""),IF(V2616=MONAT!$AZ$3,1,0),0)</f>
        <v/>
      </c>
    </row>
    <row r="2617">
      <c r="A2617" s="19" t="n"/>
      <c r="B2617" s="20">
        <f>IF(A2617="","",CHOOSE(WEEKDAY(A2617,2),"Mo","Di","Mi","Do","Fr","Sa","So"))</f>
        <v/>
      </c>
      <c r="C2617" s="20">
        <f>IF(A2617="","",INT((A2617-DATE(YEAR(A2617-WEEKDAY(A2617-1)+4),1,3)+WEEKDAY(DATE(YEAR(A2617-WEEKDAY(A2617-1)+4),1,3))+5)/7))</f>
        <v/>
      </c>
      <c r="D2617" s="21" t="n"/>
      <c r="E2617" s="22" t="n"/>
      <c r="F2617" s="23" t="n"/>
      <c r="G2617" s="23" t="n"/>
      <c r="H2617" s="23" t="n"/>
      <c r="I2617" s="20">
        <f>IF(COUNT(F2617:H2617)=0,"",SUM(F2617:H2617))</f>
        <v/>
      </c>
      <c r="J2617" s="23" t="n"/>
      <c r="K2617" s="23" t="n"/>
      <c r="L2617" s="23" t="n"/>
      <c r="M2617" s="23" t="n"/>
      <c r="N2617" s="23" t="n"/>
      <c r="O2617" s="20">
        <f>IF(OR(I2617="",COUNT(J2617:N2617)=0),"",IF(SUM(J2617:N2617)=I2617,"✓","⚠ "&amp;SUM(J2617:N2617)&amp;" statt "&amp;I2617))</f>
        <v/>
      </c>
      <c r="P2617" s="21" t="n"/>
      <c r="Q2617" s="21" t="n"/>
      <c r="R2617" s="21" t="n"/>
      <c r="S2617" s="24" t="n"/>
      <c r="T2617" s="24" t="n"/>
      <c r="V2617">
        <f>IF(A2617="","",MONTH(A2617))</f>
        <v/>
      </c>
      <c r="W2617">
        <f>N(W2616)+IF(AND(C2617&lt;&gt;"",T2617&lt;&gt;""),IF(C2617=WOCHE!$B$3,1,0),0)</f>
        <v/>
      </c>
      <c r="X2617">
        <f>N(X2616)+IF(AND(V2617&lt;&gt;"",T2617&lt;&gt;""),IF(V2617=MONAT!$AZ$3,1,0),0)</f>
        <v/>
      </c>
    </row>
    <row r="2618">
      <c r="A2618" s="19" t="n"/>
      <c r="B2618" s="20">
        <f>IF(A2618="","",CHOOSE(WEEKDAY(A2618,2),"Mo","Di","Mi","Do","Fr","Sa","So"))</f>
        <v/>
      </c>
      <c r="C2618" s="20">
        <f>IF(A2618="","",INT((A2618-DATE(YEAR(A2618-WEEKDAY(A2618-1)+4),1,3)+WEEKDAY(DATE(YEAR(A2618-WEEKDAY(A2618-1)+4),1,3))+5)/7))</f>
        <v/>
      </c>
      <c r="D2618" s="21" t="n"/>
      <c r="E2618" s="22" t="n"/>
      <c r="F2618" s="23" t="n"/>
      <c r="G2618" s="23" t="n"/>
      <c r="H2618" s="23" t="n"/>
      <c r="I2618" s="20">
        <f>IF(COUNT(F2618:H2618)=0,"",SUM(F2618:H2618))</f>
        <v/>
      </c>
      <c r="J2618" s="23" t="n"/>
      <c r="K2618" s="23" t="n"/>
      <c r="L2618" s="23" t="n"/>
      <c r="M2618" s="23" t="n"/>
      <c r="N2618" s="23" t="n"/>
      <c r="O2618" s="20">
        <f>IF(OR(I2618="",COUNT(J2618:N2618)=0),"",IF(SUM(J2618:N2618)=I2618,"✓","⚠ "&amp;SUM(J2618:N2618)&amp;" statt "&amp;I2618))</f>
        <v/>
      </c>
      <c r="P2618" s="21" t="n"/>
      <c r="Q2618" s="21" t="n"/>
      <c r="R2618" s="21" t="n"/>
      <c r="S2618" s="24" t="n"/>
      <c r="T2618" s="24" t="n"/>
      <c r="V2618">
        <f>IF(A2618="","",MONTH(A2618))</f>
        <v/>
      </c>
      <c r="W2618">
        <f>N(W2617)+IF(AND(C2618&lt;&gt;"",T2618&lt;&gt;""),IF(C2618=WOCHE!$B$3,1,0),0)</f>
        <v/>
      </c>
      <c r="X2618">
        <f>N(X2617)+IF(AND(V2618&lt;&gt;"",T2618&lt;&gt;""),IF(V2618=MONAT!$AZ$3,1,0),0)</f>
        <v/>
      </c>
    </row>
    <row r="2619">
      <c r="A2619" s="19" t="n"/>
      <c r="B2619" s="20">
        <f>IF(A2619="","",CHOOSE(WEEKDAY(A2619,2),"Mo","Di","Mi","Do","Fr","Sa","So"))</f>
        <v/>
      </c>
      <c r="C2619" s="20">
        <f>IF(A2619="","",INT((A2619-DATE(YEAR(A2619-WEEKDAY(A2619-1)+4),1,3)+WEEKDAY(DATE(YEAR(A2619-WEEKDAY(A2619-1)+4),1,3))+5)/7))</f>
        <v/>
      </c>
      <c r="D2619" s="21" t="n"/>
      <c r="E2619" s="22" t="n"/>
      <c r="F2619" s="23" t="n"/>
      <c r="G2619" s="23" t="n"/>
      <c r="H2619" s="23" t="n"/>
      <c r="I2619" s="20">
        <f>IF(COUNT(F2619:H2619)=0,"",SUM(F2619:H2619))</f>
        <v/>
      </c>
      <c r="J2619" s="23" t="n"/>
      <c r="K2619" s="23" t="n"/>
      <c r="L2619" s="23" t="n"/>
      <c r="M2619" s="23" t="n"/>
      <c r="N2619" s="23" t="n"/>
      <c r="O2619" s="20">
        <f>IF(OR(I2619="",COUNT(J2619:N2619)=0),"",IF(SUM(J2619:N2619)=I2619,"✓","⚠ "&amp;SUM(J2619:N2619)&amp;" statt "&amp;I2619))</f>
        <v/>
      </c>
      <c r="P2619" s="21" t="n"/>
      <c r="Q2619" s="21" t="n"/>
      <c r="R2619" s="21" t="n"/>
      <c r="S2619" s="24" t="n"/>
      <c r="T2619" s="24" t="n"/>
      <c r="V2619">
        <f>IF(A2619="","",MONTH(A2619))</f>
        <v/>
      </c>
      <c r="W2619">
        <f>N(W2618)+IF(AND(C2619&lt;&gt;"",T2619&lt;&gt;""),IF(C2619=WOCHE!$B$3,1,0),0)</f>
        <v/>
      </c>
      <c r="X2619">
        <f>N(X2618)+IF(AND(V2619&lt;&gt;"",T2619&lt;&gt;""),IF(V2619=MONAT!$AZ$3,1,0),0)</f>
        <v/>
      </c>
    </row>
    <row r="2620">
      <c r="A2620" s="19" t="n"/>
      <c r="B2620" s="20">
        <f>IF(A2620="","",CHOOSE(WEEKDAY(A2620,2),"Mo","Di","Mi","Do","Fr","Sa","So"))</f>
        <v/>
      </c>
      <c r="C2620" s="20">
        <f>IF(A2620="","",INT((A2620-DATE(YEAR(A2620-WEEKDAY(A2620-1)+4),1,3)+WEEKDAY(DATE(YEAR(A2620-WEEKDAY(A2620-1)+4),1,3))+5)/7))</f>
        <v/>
      </c>
      <c r="D2620" s="21" t="n"/>
      <c r="E2620" s="22" t="n"/>
      <c r="F2620" s="23" t="n"/>
      <c r="G2620" s="23" t="n"/>
      <c r="H2620" s="23" t="n"/>
      <c r="I2620" s="20">
        <f>IF(COUNT(F2620:H2620)=0,"",SUM(F2620:H2620))</f>
        <v/>
      </c>
      <c r="J2620" s="23" t="n"/>
      <c r="K2620" s="23" t="n"/>
      <c r="L2620" s="23" t="n"/>
      <c r="M2620" s="23" t="n"/>
      <c r="N2620" s="23" t="n"/>
      <c r="O2620" s="20">
        <f>IF(OR(I2620="",COUNT(J2620:N2620)=0),"",IF(SUM(J2620:N2620)=I2620,"✓","⚠ "&amp;SUM(J2620:N2620)&amp;" statt "&amp;I2620))</f>
        <v/>
      </c>
      <c r="P2620" s="21" t="n"/>
      <c r="Q2620" s="21" t="n"/>
      <c r="R2620" s="21" t="n"/>
      <c r="S2620" s="24" t="n"/>
      <c r="T2620" s="24" t="n"/>
      <c r="V2620">
        <f>IF(A2620="","",MONTH(A2620))</f>
        <v/>
      </c>
      <c r="W2620">
        <f>N(W2619)+IF(AND(C2620&lt;&gt;"",T2620&lt;&gt;""),IF(C2620=WOCHE!$B$3,1,0),0)</f>
        <v/>
      </c>
      <c r="X2620">
        <f>N(X2619)+IF(AND(V2620&lt;&gt;"",T2620&lt;&gt;""),IF(V2620=MONAT!$AZ$3,1,0),0)</f>
        <v/>
      </c>
    </row>
    <row r="2621">
      <c r="A2621" s="19" t="n"/>
      <c r="B2621" s="20">
        <f>IF(A2621="","",CHOOSE(WEEKDAY(A2621,2),"Mo","Di","Mi","Do","Fr","Sa","So"))</f>
        <v/>
      </c>
      <c r="C2621" s="20">
        <f>IF(A2621="","",INT((A2621-DATE(YEAR(A2621-WEEKDAY(A2621-1)+4),1,3)+WEEKDAY(DATE(YEAR(A2621-WEEKDAY(A2621-1)+4),1,3))+5)/7))</f>
        <v/>
      </c>
      <c r="D2621" s="21" t="n"/>
      <c r="E2621" s="22" t="n"/>
      <c r="F2621" s="23" t="n"/>
      <c r="G2621" s="23" t="n"/>
      <c r="H2621" s="23" t="n"/>
      <c r="I2621" s="20">
        <f>IF(COUNT(F2621:H2621)=0,"",SUM(F2621:H2621))</f>
        <v/>
      </c>
      <c r="J2621" s="23" t="n"/>
      <c r="K2621" s="23" t="n"/>
      <c r="L2621" s="23" t="n"/>
      <c r="M2621" s="23" t="n"/>
      <c r="N2621" s="23" t="n"/>
      <c r="O2621" s="20">
        <f>IF(OR(I2621="",COUNT(J2621:N2621)=0),"",IF(SUM(J2621:N2621)=I2621,"✓","⚠ "&amp;SUM(J2621:N2621)&amp;" statt "&amp;I2621))</f>
        <v/>
      </c>
      <c r="P2621" s="21" t="n"/>
      <c r="Q2621" s="21" t="n"/>
      <c r="R2621" s="21" t="n"/>
      <c r="S2621" s="24" t="n"/>
      <c r="T2621" s="24" t="n"/>
      <c r="V2621">
        <f>IF(A2621="","",MONTH(A2621))</f>
        <v/>
      </c>
      <c r="W2621">
        <f>N(W2620)+IF(AND(C2621&lt;&gt;"",T2621&lt;&gt;""),IF(C2621=WOCHE!$B$3,1,0),0)</f>
        <v/>
      </c>
      <c r="X2621">
        <f>N(X2620)+IF(AND(V2621&lt;&gt;"",T2621&lt;&gt;""),IF(V2621=MONAT!$AZ$3,1,0),0)</f>
        <v/>
      </c>
    </row>
    <row r="2622">
      <c r="A2622" s="19" t="n"/>
      <c r="B2622" s="20">
        <f>IF(A2622="","",CHOOSE(WEEKDAY(A2622,2),"Mo","Di","Mi","Do","Fr","Sa","So"))</f>
        <v/>
      </c>
      <c r="C2622" s="20">
        <f>IF(A2622="","",INT((A2622-DATE(YEAR(A2622-WEEKDAY(A2622-1)+4),1,3)+WEEKDAY(DATE(YEAR(A2622-WEEKDAY(A2622-1)+4),1,3))+5)/7))</f>
        <v/>
      </c>
      <c r="D2622" s="21" t="n"/>
      <c r="E2622" s="22" t="n"/>
      <c r="F2622" s="23" t="n"/>
      <c r="G2622" s="23" t="n"/>
      <c r="H2622" s="23" t="n"/>
      <c r="I2622" s="20">
        <f>IF(COUNT(F2622:H2622)=0,"",SUM(F2622:H2622))</f>
        <v/>
      </c>
      <c r="J2622" s="23" t="n"/>
      <c r="K2622" s="23" t="n"/>
      <c r="L2622" s="23" t="n"/>
      <c r="M2622" s="23" t="n"/>
      <c r="N2622" s="23" t="n"/>
      <c r="O2622" s="20">
        <f>IF(OR(I2622="",COUNT(J2622:N2622)=0),"",IF(SUM(J2622:N2622)=I2622,"✓","⚠ "&amp;SUM(J2622:N2622)&amp;" statt "&amp;I2622))</f>
        <v/>
      </c>
      <c r="P2622" s="21" t="n"/>
      <c r="Q2622" s="21" t="n"/>
      <c r="R2622" s="21" t="n"/>
      <c r="S2622" s="24" t="n"/>
      <c r="T2622" s="24" t="n"/>
      <c r="V2622">
        <f>IF(A2622="","",MONTH(A2622))</f>
        <v/>
      </c>
      <c r="W2622">
        <f>N(W2621)+IF(AND(C2622&lt;&gt;"",T2622&lt;&gt;""),IF(C2622=WOCHE!$B$3,1,0),0)</f>
        <v/>
      </c>
      <c r="X2622">
        <f>N(X2621)+IF(AND(V2622&lt;&gt;"",T2622&lt;&gt;""),IF(V2622=MONAT!$AZ$3,1,0),0)</f>
        <v/>
      </c>
    </row>
    <row r="2623">
      <c r="A2623" s="19" t="n"/>
      <c r="B2623" s="20">
        <f>IF(A2623="","",CHOOSE(WEEKDAY(A2623,2),"Mo","Di","Mi","Do","Fr","Sa","So"))</f>
        <v/>
      </c>
      <c r="C2623" s="20">
        <f>IF(A2623="","",INT((A2623-DATE(YEAR(A2623-WEEKDAY(A2623-1)+4),1,3)+WEEKDAY(DATE(YEAR(A2623-WEEKDAY(A2623-1)+4),1,3))+5)/7))</f>
        <v/>
      </c>
      <c r="D2623" s="21" t="n"/>
      <c r="E2623" s="22" t="n"/>
      <c r="F2623" s="23" t="n"/>
      <c r="G2623" s="23" t="n"/>
      <c r="H2623" s="23" t="n"/>
      <c r="I2623" s="20">
        <f>IF(COUNT(F2623:H2623)=0,"",SUM(F2623:H2623))</f>
        <v/>
      </c>
      <c r="J2623" s="23" t="n"/>
      <c r="K2623" s="23" t="n"/>
      <c r="L2623" s="23" t="n"/>
      <c r="M2623" s="23" t="n"/>
      <c r="N2623" s="23" t="n"/>
      <c r="O2623" s="20">
        <f>IF(OR(I2623="",COUNT(J2623:N2623)=0),"",IF(SUM(J2623:N2623)=I2623,"✓","⚠ "&amp;SUM(J2623:N2623)&amp;" statt "&amp;I2623))</f>
        <v/>
      </c>
      <c r="P2623" s="21" t="n"/>
      <c r="Q2623" s="21" t="n"/>
      <c r="R2623" s="21" t="n"/>
      <c r="S2623" s="24" t="n"/>
      <c r="T2623" s="24" t="n"/>
      <c r="V2623">
        <f>IF(A2623="","",MONTH(A2623))</f>
        <v/>
      </c>
      <c r="W2623">
        <f>N(W2622)+IF(AND(C2623&lt;&gt;"",T2623&lt;&gt;""),IF(C2623=WOCHE!$B$3,1,0),0)</f>
        <v/>
      </c>
      <c r="X2623">
        <f>N(X2622)+IF(AND(V2623&lt;&gt;"",T2623&lt;&gt;""),IF(V2623=MONAT!$AZ$3,1,0),0)</f>
        <v/>
      </c>
    </row>
    <row r="2624">
      <c r="A2624" s="19" t="n"/>
      <c r="B2624" s="20">
        <f>IF(A2624="","",CHOOSE(WEEKDAY(A2624,2),"Mo","Di","Mi","Do","Fr","Sa","So"))</f>
        <v/>
      </c>
      <c r="C2624" s="20">
        <f>IF(A2624="","",INT((A2624-DATE(YEAR(A2624-WEEKDAY(A2624-1)+4),1,3)+WEEKDAY(DATE(YEAR(A2624-WEEKDAY(A2624-1)+4),1,3))+5)/7))</f>
        <v/>
      </c>
      <c r="D2624" s="21" t="n"/>
      <c r="E2624" s="22" t="n"/>
      <c r="F2624" s="23" t="n"/>
      <c r="G2624" s="23" t="n"/>
      <c r="H2624" s="23" t="n"/>
      <c r="I2624" s="20">
        <f>IF(COUNT(F2624:H2624)=0,"",SUM(F2624:H2624))</f>
        <v/>
      </c>
      <c r="J2624" s="23" t="n"/>
      <c r="K2624" s="23" t="n"/>
      <c r="L2624" s="23" t="n"/>
      <c r="M2624" s="23" t="n"/>
      <c r="N2624" s="23" t="n"/>
      <c r="O2624" s="20">
        <f>IF(OR(I2624="",COUNT(J2624:N2624)=0),"",IF(SUM(J2624:N2624)=I2624,"✓","⚠ "&amp;SUM(J2624:N2624)&amp;" statt "&amp;I2624))</f>
        <v/>
      </c>
      <c r="P2624" s="21" t="n"/>
      <c r="Q2624" s="21" t="n"/>
      <c r="R2624" s="21" t="n"/>
      <c r="S2624" s="24" t="n"/>
      <c r="T2624" s="24" t="n"/>
      <c r="V2624">
        <f>IF(A2624="","",MONTH(A2624))</f>
        <v/>
      </c>
      <c r="W2624">
        <f>N(W2623)+IF(AND(C2624&lt;&gt;"",T2624&lt;&gt;""),IF(C2624=WOCHE!$B$3,1,0),0)</f>
        <v/>
      </c>
      <c r="X2624">
        <f>N(X2623)+IF(AND(V2624&lt;&gt;"",T2624&lt;&gt;""),IF(V2624=MONAT!$AZ$3,1,0),0)</f>
        <v/>
      </c>
    </row>
    <row r="2625">
      <c r="A2625" s="19" t="n"/>
      <c r="B2625" s="20">
        <f>IF(A2625="","",CHOOSE(WEEKDAY(A2625,2),"Mo","Di","Mi","Do","Fr","Sa","So"))</f>
        <v/>
      </c>
      <c r="C2625" s="20">
        <f>IF(A2625="","",INT((A2625-DATE(YEAR(A2625-WEEKDAY(A2625-1)+4),1,3)+WEEKDAY(DATE(YEAR(A2625-WEEKDAY(A2625-1)+4),1,3))+5)/7))</f>
        <v/>
      </c>
      <c r="D2625" s="21" t="n"/>
      <c r="E2625" s="22" t="n"/>
      <c r="F2625" s="23" t="n"/>
      <c r="G2625" s="23" t="n"/>
      <c r="H2625" s="23" t="n"/>
      <c r="I2625" s="20">
        <f>IF(COUNT(F2625:H2625)=0,"",SUM(F2625:H2625))</f>
        <v/>
      </c>
      <c r="J2625" s="23" t="n"/>
      <c r="K2625" s="23" t="n"/>
      <c r="L2625" s="23" t="n"/>
      <c r="M2625" s="23" t="n"/>
      <c r="N2625" s="23" t="n"/>
      <c r="O2625" s="20">
        <f>IF(OR(I2625="",COUNT(J2625:N2625)=0),"",IF(SUM(J2625:N2625)=I2625,"✓","⚠ "&amp;SUM(J2625:N2625)&amp;" statt "&amp;I2625))</f>
        <v/>
      </c>
      <c r="P2625" s="21" t="n"/>
      <c r="Q2625" s="21" t="n"/>
      <c r="R2625" s="21" t="n"/>
      <c r="S2625" s="24" t="n"/>
      <c r="T2625" s="24" t="n"/>
      <c r="V2625">
        <f>IF(A2625="","",MONTH(A2625))</f>
        <v/>
      </c>
      <c r="W2625">
        <f>N(W2624)+IF(AND(C2625&lt;&gt;"",T2625&lt;&gt;""),IF(C2625=WOCHE!$B$3,1,0),0)</f>
        <v/>
      </c>
      <c r="X2625">
        <f>N(X2624)+IF(AND(V2625&lt;&gt;"",T2625&lt;&gt;""),IF(V2625=MONAT!$AZ$3,1,0),0)</f>
        <v/>
      </c>
    </row>
    <row r="2626">
      <c r="A2626" s="19" t="n"/>
      <c r="B2626" s="20">
        <f>IF(A2626="","",CHOOSE(WEEKDAY(A2626,2),"Mo","Di","Mi","Do","Fr","Sa","So"))</f>
        <v/>
      </c>
      <c r="C2626" s="20">
        <f>IF(A2626="","",INT((A2626-DATE(YEAR(A2626-WEEKDAY(A2626-1)+4),1,3)+WEEKDAY(DATE(YEAR(A2626-WEEKDAY(A2626-1)+4),1,3))+5)/7))</f>
        <v/>
      </c>
      <c r="D2626" s="21" t="n"/>
      <c r="E2626" s="22" t="n"/>
      <c r="F2626" s="23" t="n"/>
      <c r="G2626" s="23" t="n"/>
      <c r="H2626" s="23" t="n"/>
      <c r="I2626" s="20">
        <f>IF(COUNT(F2626:H2626)=0,"",SUM(F2626:H2626))</f>
        <v/>
      </c>
      <c r="J2626" s="23" t="n"/>
      <c r="K2626" s="23" t="n"/>
      <c r="L2626" s="23" t="n"/>
      <c r="M2626" s="23" t="n"/>
      <c r="N2626" s="23" t="n"/>
      <c r="O2626" s="20">
        <f>IF(OR(I2626="",COUNT(J2626:N2626)=0),"",IF(SUM(J2626:N2626)=I2626,"✓","⚠ "&amp;SUM(J2626:N2626)&amp;" statt "&amp;I2626))</f>
        <v/>
      </c>
      <c r="P2626" s="21" t="n"/>
      <c r="Q2626" s="21" t="n"/>
      <c r="R2626" s="21" t="n"/>
      <c r="S2626" s="24" t="n"/>
      <c r="T2626" s="24" t="n"/>
      <c r="V2626">
        <f>IF(A2626="","",MONTH(A2626))</f>
        <v/>
      </c>
      <c r="W2626">
        <f>N(W2625)+IF(AND(C2626&lt;&gt;"",T2626&lt;&gt;""),IF(C2626=WOCHE!$B$3,1,0),0)</f>
        <v/>
      </c>
      <c r="X2626">
        <f>N(X2625)+IF(AND(V2626&lt;&gt;"",T2626&lt;&gt;""),IF(V2626=MONAT!$AZ$3,1,0),0)</f>
        <v/>
      </c>
    </row>
    <row r="2627">
      <c r="A2627" s="19" t="n"/>
      <c r="B2627" s="20">
        <f>IF(A2627="","",CHOOSE(WEEKDAY(A2627,2),"Mo","Di","Mi","Do","Fr","Sa","So"))</f>
        <v/>
      </c>
      <c r="C2627" s="20">
        <f>IF(A2627="","",INT((A2627-DATE(YEAR(A2627-WEEKDAY(A2627-1)+4),1,3)+WEEKDAY(DATE(YEAR(A2627-WEEKDAY(A2627-1)+4),1,3))+5)/7))</f>
        <v/>
      </c>
      <c r="D2627" s="21" t="n"/>
      <c r="E2627" s="22" t="n"/>
      <c r="F2627" s="23" t="n"/>
      <c r="G2627" s="23" t="n"/>
      <c r="H2627" s="23" t="n"/>
      <c r="I2627" s="20">
        <f>IF(COUNT(F2627:H2627)=0,"",SUM(F2627:H2627))</f>
        <v/>
      </c>
      <c r="J2627" s="23" t="n"/>
      <c r="K2627" s="23" t="n"/>
      <c r="L2627" s="23" t="n"/>
      <c r="M2627" s="23" t="n"/>
      <c r="N2627" s="23" t="n"/>
      <c r="O2627" s="20">
        <f>IF(OR(I2627="",COUNT(J2627:N2627)=0),"",IF(SUM(J2627:N2627)=I2627,"✓","⚠ "&amp;SUM(J2627:N2627)&amp;" statt "&amp;I2627))</f>
        <v/>
      </c>
      <c r="P2627" s="21" t="n"/>
      <c r="Q2627" s="21" t="n"/>
      <c r="R2627" s="21" t="n"/>
      <c r="S2627" s="24" t="n"/>
      <c r="T2627" s="24" t="n"/>
      <c r="V2627">
        <f>IF(A2627="","",MONTH(A2627))</f>
        <v/>
      </c>
      <c r="W2627">
        <f>N(W2626)+IF(AND(C2627&lt;&gt;"",T2627&lt;&gt;""),IF(C2627=WOCHE!$B$3,1,0),0)</f>
        <v/>
      </c>
      <c r="X2627">
        <f>N(X2626)+IF(AND(V2627&lt;&gt;"",T2627&lt;&gt;""),IF(V2627=MONAT!$AZ$3,1,0),0)</f>
        <v/>
      </c>
    </row>
    <row r="2628">
      <c r="A2628" s="19" t="n"/>
      <c r="B2628" s="20">
        <f>IF(A2628="","",CHOOSE(WEEKDAY(A2628,2),"Mo","Di","Mi","Do","Fr","Sa","So"))</f>
        <v/>
      </c>
      <c r="C2628" s="20">
        <f>IF(A2628="","",INT((A2628-DATE(YEAR(A2628-WEEKDAY(A2628-1)+4),1,3)+WEEKDAY(DATE(YEAR(A2628-WEEKDAY(A2628-1)+4),1,3))+5)/7))</f>
        <v/>
      </c>
      <c r="D2628" s="21" t="n"/>
      <c r="E2628" s="22" t="n"/>
      <c r="F2628" s="23" t="n"/>
      <c r="G2628" s="23" t="n"/>
      <c r="H2628" s="23" t="n"/>
      <c r="I2628" s="20">
        <f>IF(COUNT(F2628:H2628)=0,"",SUM(F2628:H2628))</f>
        <v/>
      </c>
      <c r="J2628" s="23" t="n"/>
      <c r="K2628" s="23" t="n"/>
      <c r="L2628" s="23" t="n"/>
      <c r="M2628" s="23" t="n"/>
      <c r="N2628" s="23" t="n"/>
      <c r="O2628" s="20">
        <f>IF(OR(I2628="",COUNT(J2628:N2628)=0),"",IF(SUM(J2628:N2628)=I2628,"✓","⚠ "&amp;SUM(J2628:N2628)&amp;" statt "&amp;I2628))</f>
        <v/>
      </c>
      <c r="P2628" s="21" t="n"/>
      <c r="Q2628" s="21" t="n"/>
      <c r="R2628" s="21" t="n"/>
      <c r="S2628" s="24" t="n"/>
      <c r="T2628" s="24" t="n"/>
      <c r="V2628">
        <f>IF(A2628="","",MONTH(A2628))</f>
        <v/>
      </c>
      <c r="W2628">
        <f>N(W2627)+IF(AND(C2628&lt;&gt;"",T2628&lt;&gt;""),IF(C2628=WOCHE!$B$3,1,0),0)</f>
        <v/>
      </c>
      <c r="X2628">
        <f>N(X2627)+IF(AND(V2628&lt;&gt;"",T2628&lt;&gt;""),IF(V2628=MONAT!$AZ$3,1,0),0)</f>
        <v/>
      </c>
    </row>
    <row r="2629">
      <c r="A2629" s="19" t="n"/>
      <c r="B2629" s="20">
        <f>IF(A2629="","",CHOOSE(WEEKDAY(A2629,2),"Mo","Di","Mi","Do","Fr","Sa","So"))</f>
        <v/>
      </c>
      <c r="C2629" s="20">
        <f>IF(A2629="","",INT((A2629-DATE(YEAR(A2629-WEEKDAY(A2629-1)+4),1,3)+WEEKDAY(DATE(YEAR(A2629-WEEKDAY(A2629-1)+4),1,3))+5)/7))</f>
        <v/>
      </c>
      <c r="D2629" s="21" t="n"/>
      <c r="E2629" s="22" t="n"/>
      <c r="F2629" s="23" t="n"/>
      <c r="G2629" s="23" t="n"/>
      <c r="H2629" s="23" t="n"/>
      <c r="I2629" s="20">
        <f>IF(COUNT(F2629:H2629)=0,"",SUM(F2629:H2629))</f>
        <v/>
      </c>
      <c r="J2629" s="23" t="n"/>
      <c r="K2629" s="23" t="n"/>
      <c r="L2629" s="23" t="n"/>
      <c r="M2629" s="23" t="n"/>
      <c r="N2629" s="23" t="n"/>
      <c r="O2629" s="20">
        <f>IF(OR(I2629="",COUNT(J2629:N2629)=0),"",IF(SUM(J2629:N2629)=I2629,"✓","⚠ "&amp;SUM(J2629:N2629)&amp;" statt "&amp;I2629))</f>
        <v/>
      </c>
      <c r="P2629" s="21" t="n"/>
      <c r="Q2629" s="21" t="n"/>
      <c r="R2629" s="21" t="n"/>
      <c r="S2629" s="24" t="n"/>
      <c r="T2629" s="24" t="n"/>
      <c r="V2629">
        <f>IF(A2629="","",MONTH(A2629))</f>
        <v/>
      </c>
      <c r="W2629">
        <f>N(W2628)+IF(AND(C2629&lt;&gt;"",T2629&lt;&gt;""),IF(C2629=WOCHE!$B$3,1,0),0)</f>
        <v/>
      </c>
      <c r="X2629">
        <f>N(X2628)+IF(AND(V2629&lt;&gt;"",T2629&lt;&gt;""),IF(V2629=MONAT!$AZ$3,1,0),0)</f>
        <v/>
      </c>
    </row>
    <row r="2630">
      <c r="A2630" s="19" t="n"/>
      <c r="B2630" s="20">
        <f>IF(A2630="","",CHOOSE(WEEKDAY(A2630,2),"Mo","Di","Mi","Do","Fr","Sa","So"))</f>
        <v/>
      </c>
      <c r="C2630" s="20">
        <f>IF(A2630="","",INT((A2630-DATE(YEAR(A2630-WEEKDAY(A2630-1)+4),1,3)+WEEKDAY(DATE(YEAR(A2630-WEEKDAY(A2630-1)+4),1,3))+5)/7))</f>
        <v/>
      </c>
      <c r="D2630" s="21" t="n"/>
      <c r="E2630" s="22" t="n"/>
      <c r="F2630" s="23" t="n"/>
      <c r="G2630" s="23" t="n"/>
      <c r="H2630" s="23" t="n"/>
      <c r="I2630" s="20">
        <f>IF(COUNT(F2630:H2630)=0,"",SUM(F2630:H2630))</f>
        <v/>
      </c>
      <c r="J2630" s="23" t="n"/>
      <c r="K2630" s="23" t="n"/>
      <c r="L2630" s="23" t="n"/>
      <c r="M2630" s="23" t="n"/>
      <c r="N2630" s="23" t="n"/>
      <c r="O2630" s="20">
        <f>IF(OR(I2630="",COUNT(J2630:N2630)=0),"",IF(SUM(J2630:N2630)=I2630,"✓","⚠ "&amp;SUM(J2630:N2630)&amp;" statt "&amp;I2630))</f>
        <v/>
      </c>
      <c r="P2630" s="21" t="n"/>
      <c r="Q2630" s="21" t="n"/>
      <c r="R2630" s="21" t="n"/>
      <c r="S2630" s="24" t="n"/>
      <c r="T2630" s="24" t="n"/>
      <c r="V2630">
        <f>IF(A2630="","",MONTH(A2630))</f>
        <v/>
      </c>
      <c r="W2630">
        <f>N(W2629)+IF(AND(C2630&lt;&gt;"",T2630&lt;&gt;""),IF(C2630=WOCHE!$B$3,1,0),0)</f>
        <v/>
      </c>
      <c r="X2630">
        <f>N(X2629)+IF(AND(V2630&lt;&gt;"",T2630&lt;&gt;""),IF(V2630=MONAT!$AZ$3,1,0),0)</f>
        <v/>
      </c>
    </row>
    <row r="2631">
      <c r="A2631" s="19" t="n"/>
      <c r="B2631" s="20">
        <f>IF(A2631="","",CHOOSE(WEEKDAY(A2631,2),"Mo","Di","Mi","Do","Fr","Sa","So"))</f>
        <v/>
      </c>
      <c r="C2631" s="20">
        <f>IF(A2631="","",INT((A2631-DATE(YEAR(A2631-WEEKDAY(A2631-1)+4),1,3)+WEEKDAY(DATE(YEAR(A2631-WEEKDAY(A2631-1)+4),1,3))+5)/7))</f>
        <v/>
      </c>
      <c r="D2631" s="21" t="n"/>
      <c r="E2631" s="22" t="n"/>
      <c r="F2631" s="23" t="n"/>
      <c r="G2631" s="23" t="n"/>
      <c r="H2631" s="23" t="n"/>
      <c r="I2631" s="20">
        <f>IF(COUNT(F2631:H2631)=0,"",SUM(F2631:H2631))</f>
        <v/>
      </c>
      <c r="J2631" s="23" t="n"/>
      <c r="K2631" s="23" t="n"/>
      <c r="L2631" s="23" t="n"/>
      <c r="M2631" s="23" t="n"/>
      <c r="N2631" s="23" t="n"/>
      <c r="O2631" s="20">
        <f>IF(OR(I2631="",COUNT(J2631:N2631)=0),"",IF(SUM(J2631:N2631)=I2631,"✓","⚠ "&amp;SUM(J2631:N2631)&amp;" statt "&amp;I2631))</f>
        <v/>
      </c>
      <c r="P2631" s="21" t="n"/>
      <c r="Q2631" s="21" t="n"/>
      <c r="R2631" s="21" t="n"/>
      <c r="S2631" s="24" t="n"/>
      <c r="T2631" s="24" t="n"/>
      <c r="V2631">
        <f>IF(A2631="","",MONTH(A2631))</f>
        <v/>
      </c>
      <c r="W2631">
        <f>N(W2630)+IF(AND(C2631&lt;&gt;"",T2631&lt;&gt;""),IF(C2631=WOCHE!$B$3,1,0),0)</f>
        <v/>
      </c>
      <c r="X2631">
        <f>N(X2630)+IF(AND(V2631&lt;&gt;"",T2631&lt;&gt;""),IF(V2631=MONAT!$AZ$3,1,0),0)</f>
        <v/>
      </c>
    </row>
    <row r="2632">
      <c r="A2632" s="19" t="n"/>
      <c r="B2632" s="20">
        <f>IF(A2632="","",CHOOSE(WEEKDAY(A2632,2),"Mo","Di","Mi","Do","Fr","Sa","So"))</f>
        <v/>
      </c>
      <c r="C2632" s="20">
        <f>IF(A2632="","",INT((A2632-DATE(YEAR(A2632-WEEKDAY(A2632-1)+4),1,3)+WEEKDAY(DATE(YEAR(A2632-WEEKDAY(A2632-1)+4),1,3))+5)/7))</f>
        <v/>
      </c>
      <c r="D2632" s="21" t="n"/>
      <c r="E2632" s="22" t="n"/>
      <c r="F2632" s="23" t="n"/>
      <c r="G2632" s="23" t="n"/>
      <c r="H2632" s="23" t="n"/>
      <c r="I2632" s="20">
        <f>IF(COUNT(F2632:H2632)=0,"",SUM(F2632:H2632))</f>
        <v/>
      </c>
      <c r="J2632" s="23" t="n"/>
      <c r="K2632" s="23" t="n"/>
      <c r="L2632" s="23" t="n"/>
      <c r="M2632" s="23" t="n"/>
      <c r="N2632" s="23" t="n"/>
      <c r="O2632" s="20">
        <f>IF(OR(I2632="",COUNT(J2632:N2632)=0),"",IF(SUM(J2632:N2632)=I2632,"✓","⚠ "&amp;SUM(J2632:N2632)&amp;" statt "&amp;I2632))</f>
        <v/>
      </c>
      <c r="P2632" s="21" t="n"/>
      <c r="Q2632" s="21" t="n"/>
      <c r="R2632" s="21" t="n"/>
      <c r="S2632" s="24" t="n"/>
      <c r="T2632" s="24" t="n"/>
      <c r="V2632">
        <f>IF(A2632="","",MONTH(A2632))</f>
        <v/>
      </c>
      <c r="W2632">
        <f>N(W2631)+IF(AND(C2632&lt;&gt;"",T2632&lt;&gt;""),IF(C2632=WOCHE!$B$3,1,0),0)</f>
        <v/>
      </c>
      <c r="X2632">
        <f>N(X2631)+IF(AND(V2632&lt;&gt;"",T2632&lt;&gt;""),IF(V2632=MONAT!$AZ$3,1,0),0)</f>
        <v/>
      </c>
    </row>
    <row r="2633">
      <c r="A2633" s="19" t="n"/>
      <c r="B2633" s="20">
        <f>IF(A2633="","",CHOOSE(WEEKDAY(A2633,2),"Mo","Di","Mi","Do","Fr","Sa","So"))</f>
        <v/>
      </c>
      <c r="C2633" s="20">
        <f>IF(A2633="","",INT((A2633-DATE(YEAR(A2633-WEEKDAY(A2633-1)+4),1,3)+WEEKDAY(DATE(YEAR(A2633-WEEKDAY(A2633-1)+4),1,3))+5)/7))</f>
        <v/>
      </c>
      <c r="D2633" s="21" t="n"/>
      <c r="E2633" s="22" t="n"/>
      <c r="F2633" s="23" t="n"/>
      <c r="G2633" s="23" t="n"/>
      <c r="H2633" s="23" t="n"/>
      <c r="I2633" s="20">
        <f>IF(COUNT(F2633:H2633)=0,"",SUM(F2633:H2633))</f>
        <v/>
      </c>
      <c r="J2633" s="23" t="n"/>
      <c r="K2633" s="23" t="n"/>
      <c r="L2633" s="23" t="n"/>
      <c r="M2633" s="23" t="n"/>
      <c r="N2633" s="23" t="n"/>
      <c r="O2633" s="20">
        <f>IF(OR(I2633="",COUNT(J2633:N2633)=0),"",IF(SUM(J2633:N2633)=I2633,"✓","⚠ "&amp;SUM(J2633:N2633)&amp;" statt "&amp;I2633))</f>
        <v/>
      </c>
      <c r="P2633" s="21" t="n"/>
      <c r="Q2633" s="21" t="n"/>
      <c r="R2633" s="21" t="n"/>
      <c r="S2633" s="24" t="n"/>
      <c r="T2633" s="24" t="n"/>
      <c r="V2633">
        <f>IF(A2633="","",MONTH(A2633))</f>
        <v/>
      </c>
      <c r="W2633">
        <f>N(W2632)+IF(AND(C2633&lt;&gt;"",T2633&lt;&gt;""),IF(C2633=WOCHE!$B$3,1,0),0)</f>
        <v/>
      </c>
      <c r="X2633">
        <f>N(X2632)+IF(AND(V2633&lt;&gt;"",T2633&lt;&gt;""),IF(V2633=MONAT!$AZ$3,1,0),0)</f>
        <v/>
      </c>
    </row>
    <row r="2634">
      <c r="A2634" s="19" t="n"/>
      <c r="B2634" s="20">
        <f>IF(A2634="","",CHOOSE(WEEKDAY(A2634,2),"Mo","Di","Mi","Do","Fr","Sa","So"))</f>
        <v/>
      </c>
      <c r="C2634" s="20">
        <f>IF(A2634="","",INT((A2634-DATE(YEAR(A2634-WEEKDAY(A2634-1)+4),1,3)+WEEKDAY(DATE(YEAR(A2634-WEEKDAY(A2634-1)+4),1,3))+5)/7))</f>
        <v/>
      </c>
      <c r="D2634" s="21" t="n"/>
      <c r="E2634" s="22" t="n"/>
      <c r="F2634" s="23" t="n"/>
      <c r="G2634" s="23" t="n"/>
      <c r="H2634" s="23" t="n"/>
      <c r="I2634" s="20">
        <f>IF(COUNT(F2634:H2634)=0,"",SUM(F2634:H2634))</f>
        <v/>
      </c>
      <c r="J2634" s="23" t="n"/>
      <c r="K2634" s="23" t="n"/>
      <c r="L2634" s="23" t="n"/>
      <c r="M2634" s="23" t="n"/>
      <c r="N2634" s="23" t="n"/>
      <c r="O2634" s="20">
        <f>IF(OR(I2634="",COUNT(J2634:N2634)=0),"",IF(SUM(J2634:N2634)=I2634,"✓","⚠ "&amp;SUM(J2634:N2634)&amp;" statt "&amp;I2634))</f>
        <v/>
      </c>
      <c r="P2634" s="21" t="n"/>
      <c r="Q2634" s="21" t="n"/>
      <c r="R2634" s="21" t="n"/>
      <c r="S2634" s="24" t="n"/>
      <c r="T2634" s="24" t="n"/>
      <c r="V2634">
        <f>IF(A2634="","",MONTH(A2634))</f>
        <v/>
      </c>
      <c r="W2634">
        <f>N(W2633)+IF(AND(C2634&lt;&gt;"",T2634&lt;&gt;""),IF(C2634=WOCHE!$B$3,1,0),0)</f>
        <v/>
      </c>
      <c r="X2634">
        <f>N(X2633)+IF(AND(V2634&lt;&gt;"",T2634&lt;&gt;""),IF(V2634=MONAT!$AZ$3,1,0),0)</f>
        <v/>
      </c>
    </row>
    <row r="2635">
      <c r="A2635" s="19" t="n"/>
      <c r="B2635" s="20">
        <f>IF(A2635="","",CHOOSE(WEEKDAY(A2635,2),"Mo","Di","Mi","Do","Fr","Sa","So"))</f>
        <v/>
      </c>
      <c r="C2635" s="20">
        <f>IF(A2635="","",INT((A2635-DATE(YEAR(A2635-WEEKDAY(A2635-1)+4),1,3)+WEEKDAY(DATE(YEAR(A2635-WEEKDAY(A2635-1)+4),1,3))+5)/7))</f>
        <v/>
      </c>
      <c r="D2635" s="21" t="n"/>
      <c r="E2635" s="22" t="n"/>
      <c r="F2635" s="23" t="n"/>
      <c r="G2635" s="23" t="n"/>
      <c r="H2635" s="23" t="n"/>
      <c r="I2635" s="20">
        <f>IF(COUNT(F2635:H2635)=0,"",SUM(F2635:H2635))</f>
        <v/>
      </c>
      <c r="J2635" s="23" t="n"/>
      <c r="K2635" s="23" t="n"/>
      <c r="L2635" s="23" t="n"/>
      <c r="M2635" s="23" t="n"/>
      <c r="N2635" s="23" t="n"/>
      <c r="O2635" s="20">
        <f>IF(OR(I2635="",COUNT(J2635:N2635)=0),"",IF(SUM(J2635:N2635)=I2635,"✓","⚠ "&amp;SUM(J2635:N2635)&amp;" statt "&amp;I2635))</f>
        <v/>
      </c>
      <c r="P2635" s="21" t="n"/>
      <c r="Q2635" s="21" t="n"/>
      <c r="R2635" s="21" t="n"/>
      <c r="S2635" s="24" t="n"/>
      <c r="T2635" s="24" t="n"/>
      <c r="V2635">
        <f>IF(A2635="","",MONTH(A2635))</f>
        <v/>
      </c>
      <c r="W2635">
        <f>N(W2634)+IF(AND(C2635&lt;&gt;"",T2635&lt;&gt;""),IF(C2635=WOCHE!$B$3,1,0),0)</f>
        <v/>
      </c>
      <c r="X2635">
        <f>N(X2634)+IF(AND(V2635&lt;&gt;"",T2635&lt;&gt;""),IF(V2635=MONAT!$AZ$3,1,0),0)</f>
        <v/>
      </c>
    </row>
    <row r="2636">
      <c r="A2636" s="19" t="n"/>
      <c r="B2636" s="20">
        <f>IF(A2636="","",CHOOSE(WEEKDAY(A2636,2),"Mo","Di","Mi","Do","Fr","Sa","So"))</f>
        <v/>
      </c>
      <c r="C2636" s="20">
        <f>IF(A2636="","",INT((A2636-DATE(YEAR(A2636-WEEKDAY(A2636-1)+4),1,3)+WEEKDAY(DATE(YEAR(A2636-WEEKDAY(A2636-1)+4),1,3))+5)/7))</f>
        <v/>
      </c>
      <c r="D2636" s="21" t="n"/>
      <c r="E2636" s="22" t="n"/>
      <c r="F2636" s="23" t="n"/>
      <c r="G2636" s="23" t="n"/>
      <c r="H2636" s="23" t="n"/>
      <c r="I2636" s="20">
        <f>IF(COUNT(F2636:H2636)=0,"",SUM(F2636:H2636))</f>
        <v/>
      </c>
      <c r="J2636" s="23" t="n"/>
      <c r="K2636" s="23" t="n"/>
      <c r="L2636" s="23" t="n"/>
      <c r="M2636" s="23" t="n"/>
      <c r="N2636" s="23" t="n"/>
      <c r="O2636" s="20">
        <f>IF(OR(I2636="",COUNT(J2636:N2636)=0),"",IF(SUM(J2636:N2636)=I2636,"✓","⚠ "&amp;SUM(J2636:N2636)&amp;" statt "&amp;I2636))</f>
        <v/>
      </c>
      <c r="P2636" s="21" t="n"/>
      <c r="Q2636" s="21" t="n"/>
      <c r="R2636" s="21" t="n"/>
      <c r="S2636" s="24" t="n"/>
      <c r="T2636" s="24" t="n"/>
      <c r="V2636">
        <f>IF(A2636="","",MONTH(A2636))</f>
        <v/>
      </c>
      <c r="W2636">
        <f>N(W2635)+IF(AND(C2636&lt;&gt;"",T2636&lt;&gt;""),IF(C2636=WOCHE!$B$3,1,0),0)</f>
        <v/>
      </c>
      <c r="X2636">
        <f>N(X2635)+IF(AND(V2636&lt;&gt;"",T2636&lt;&gt;""),IF(V2636=MONAT!$AZ$3,1,0),0)</f>
        <v/>
      </c>
    </row>
    <row r="2637">
      <c r="A2637" s="19" t="n"/>
      <c r="B2637" s="20">
        <f>IF(A2637="","",CHOOSE(WEEKDAY(A2637,2),"Mo","Di","Mi","Do","Fr","Sa","So"))</f>
        <v/>
      </c>
      <c r="C2637" s="20">
        <f>IF(A2637="","",INT((A2637-DATE(YEAR(A2637-WEEKDAY(A2637-1)+4),1,3)+WEEKDAY(DATE(YEAR(A2637-WEEKDAY(A2637-1)+4),1,3))+5)/7))</f>
        <v/>
      </c>
      <c r="D2637" s="21" t="n"/>
      <c r="E2637" s="22" t="n"/>
      <c r="F2637" s="23" t="n"/>
      <c r="G2637" s="23" t="n"/>
      <c r="H2637" s="23" t="n"/>
      <c r="I2637" s="20">
        <f>IF(COUNT(F2637:H2637)=0,"",SUM(F2637:H2637))</f>
        <v/>
      </c>
      <c r="J2637" s="23" t="n"/>
      <c r="K2637" s="23" t="n"/>
      <c r="L2637" s="23" t="n"/>
      <c r="M2637" s="23" t="n"/>
      <c r="N2637" s="23" t="n"/>
      <c r="O2637" s="20">
        <f>IF(OR(I2637="",COUNT(J2637:N2637)=0),"",IF(SUM(J2637:N2637)=I2637,"✓","⚠ "&amp;SUM(J2637:N2637)&amp;" statt "&amp;I2637))</f>
        <v/>
      </c>
      <c r="P2637" s="21" t="n"/>
      <c r="Q2637" s="21" t="n"/>
      <c r="R2637" s="21" t="n"/>
      <c r="S2637" s="24" t="n"/>
      <c r="T2637" s="24" t="n"/>
      <c r="V2637">
        <f>IF(A2637="","",MONTH(A2637))</f>
        <v/>
      </c>
      <c r="W2637">
        <f>N(W2636)+IF(AND(C2637&lt;&gt;"",T2637&lt;&gt;""),IF(C2637=WOCHE!$B$3,1,0),0)</f>
        <v/>
      </c>
      <c r="X2637">
        <f>N(X2636)+IF(AND(V2637&lt;&gt;"",T2637&lt;&gt;""),IF(V2637=MONAT!$AZ$3,1,0),0)</f>
        <v/>
      </c>
    </row>
    <row r="2638">
      <c r="A2638" s="19" t="n"/>
      <c r="B2638" s="20">
        <f>IF(A2638="","",CHOOSE(WEEKDAY(A2638,2),"Mo","Di","Mi","Do","Fr","Sa","So"))</f>
        <v/>
      </c>
      <c r="C2638" s="20">
        <f>IF(A2638="","",INT((A2638-DATE(YEAR(A2638-WEEKDAY(A2638-1)+4),1,3)+WEEKDAY(DATE(YEAR(A2638-WEEKDAY(A2638-1)+4),1,3))+5)/7))</f>
        <v/>
      </c>
      <c r="D2638" s="21" t="n"/>
      <c r="E2638" s="22" t="n"/>
      <c r="F2638" s="23" t="n"/>
      <c r="G2638" s="23" t="n"/>
      <c r="H2638" s="23" t="n"/>
      <c r="I2638" s="20">
        <f>IF(COUNT(F2638:H2638)=0,"",SUM(F2638:H2638))</f>
        <v/>
      </c>
      <c r="J2638" s="23" t="n"/>
      <c r="K2638" s="23" t="n"/>
      <c r="L2638" s="23" t="n"/>
      <c r="M2638" s="23" t="n"/>
      <c r="N2638" s="23" t="n"/>
      <c r="O2638" s="20">
        <f>IF(OR(I2638="",COUNT(J2638:N2638)=0),"",IF(SUM(J2638:N2638)=I2638,"✓","⚠ "&amp;SUM(J2638:N2638)&amp;" statt "&amp;I2638))</f>
        <v/>
      </c>
      <c r="P2638" s="21" t="n"/>
      <c r="Q2638" s="21" t="n"/>
      <c r="R2638" s="21" t="n"/>
      <c r="S2638" s="24" t="n"/>
      <c r="T2638" s="24" t="n"/>
      <c r="V2638">
        <f>IF(A2638="","",MONTH(A2638))</f>
        <v/>
      </c>
      <c r="W2638">
        <f>N(W2637)+IF(AND(C2638&lt;&gt;"",T2638&lt;&gt;""),IF(C2638=WOCHE!$B$3,1,0),0)</f>
        <v/>
      </c>
      <c r="X2638">
        <f>N(X2637)+IF(AND(V2638&lt;&gt;"",T2638&lt;&gt;""),IF(V2638=MONAT!$AZ$3,1,0),0)</f>
        <v/>
      </c>
    </row>
    <row r="2639">
      <c r="A2639" s="19" t="n"/>
      <c r="B2639" s="20">
        <f>IF(A2639="","",CHOOSE(WEEKDAY(A2639,2),"Mo","Di","Mi","Do","Fr","Sa","So"))</f>
        <v/>
      </c>
      <c r="C2639" s="20">
        <f>IF(A2639="","",INT((A2639-DATE(YEAR(A2639-WEEKDAY(A2639-1)+4),1,3)+WEEKDAY(DATE(YEAR(A2639-WEEKDAY(A2639-1)+4),1,3))+5)/7))</f>
        <v/>
      </c>
      <c r="D2639" s="21" t="n"/>
      <c r="E2639" s="22" t="n"/>
      <c r="F2639" s="23" t="n"/>
      <c r="G2639" s="23" t="n"/>
      <c r="H2639" s="23" t="n"/>
      <c r="I2639" s="20">
        <f>IF(COUNT(F2639:H2639)=0,"",SUM(F2639:H2639))</f>
        <v/>
      </c>
      <c r="J2639" s="23" t="n"/>
      <c r="K2639" s="23" t="n"/>
      <c r="L2639" s="23" t="n"/>
      <c r="M2639" s="23" t="n"/>
      <c r="N2639" s="23" t="n"/>
      <c r="O2639" s="20">
        <f>IF(OR(I2639="",COUNT(J2639:N2639)=0),"",IF(SUM(J2639:N2639)=I2639,"✓","⚠ "&amp;SUM(J2639:N2639)&amp;" statt "&amp;I2639))</f>
        <v/>
      </c>
      <c r="P2639" s="21" t="n"/>
      <c r="Q2639" s="21" t="n"/>
      <c r="R2639" s="21" t="n"/>
      <c r="S2639" s="24" t="n"/>
      <c r="T2639" s="24" t="n"/>
      <c r="V2639">
        <f>IF(A2639="","",MONTH(A2639))</f>
        <v/>
      </c>
      <c r="W2639">
        <f>N(W2638)+IF(AND(C2639&lt;&gt;"",T2639&lt;&gt;""),IF(C2639=WOCHE!$B$3,1,0),0)</f>
        <v/>
      </c>
      <c r="X2639">
        <f>N(X2638)+IF(AND(V2639&lt;&gt;"",T2639&lt;&gt;""),IF(V2639=MONAT!$AZ$3,1,0),0)</f>
        <v/>
      </c>
    </row>
    <row r="2640">
      <c r="A2640" s="19" t="n"/>
      <c r="B2640" s="20">
        <f>IF(A2640="","",CHOOSE(WEEKDAY(A2640,2),"Mo","Di","Mi","Do","Fr","Sa","So"))</f>
        <v/>
      </c>
      <c r="C2640" s="20">
        <f>IF(A2640="","",INT((A2640-DATE(YEAR(A2640-WEEKDAY(A2640-1)+4),1,3)+WEEKDAY(DATE(YEAR(A2640-WEEKDAY(A2640-1)+4),1,3))+5)/7))</f>
        <v/>
      </c>
      <c r="D2640" s="21" t="n"/>
      <c r="E2640" s="22" t="n"/>
      <c r="F2640" s="23" t="n"/>
      <c r="G2640" s="23" t="n"/>
      <c r="H2640" s="23" t="n"/>
      <c r="I2640" s="20">
        <f>IF(COUNT(F2640:H2640)=0,"",SUM(F2640:H2640))</f>
        <v/>
      </c>
      <c r="J2640" s="23" t="n"/>
      <c r="K2640" s="23" t="n"/>
      <c r="L2640" s="23" t="n"/>
      <c r="M2640" s="23" t="n"/>
      <c r="N2640" s="23" t="n"/>
      <c r="O2640" s="20">
        <f>IF(OR(I2640="",COUNT(J2640:N2640)=0),"",IF(SUM(J2640:N2640)=I2640,"✓","⚠ "&amp;SUM(J2640:N2640)&amp;" statt "&amp;I2640))</f>
        <v/>
      </c>
      <c r="P2640" s="21" t="n"/>
      <c r="Q2640" s="21" t="n"/>
      <c r="R2640" s="21" t="n"/>
      <c r="S2640" s="24" t="n"/>
      <c r="T2640" s="24" t="n"/>
      <c r="V2640">
        <f>IF(A2640="","",MONTH(A2640))</f>
        <v/>
      </c>
      <c r="W2640">
        <f>N(W2639)+IF(AND(C2640&lt;&gt;"",T2640&lt;&gt;""),IF(C2640=WOCHE!$B$3,1,0),0)</f>
        <v/>
      </c>
      <c r="X2640">
        <f>N(X2639)+IF(AND(V2640&lt;&gt;"",T2640&lt;&gt;""),IF(V2640=MONAT!$AZ$3,1,0),0)</f>
        <v/>
      </c>
    </row>
    <row r="2641">
      <c r="A2641" s="19" t="n"/>
      <c r="B2641" s="20">
        <f>IF(A2641="","",CHOOSE(WEEKDAY(A2641,2),"Mo","Di","Mi","Do","Fr","Sa","So"))</f>
        <v/>
      </c>
      <c r="C2641" s="20">
        <f>IF(A2641="","",INT((A2641-DATE(YEAR(A2641-WEEKDAY(A2641-1)+4),1,3)+WEEKDAY(DATE(YEAR(A2641-WEEKDAY(A2641-1)+4),1,3))+5)/7))</f>
        <v/>
      </c>
      <c r="D2641" s="21" t="n"/>
      <c r="E2641" s="22" t="n"/>
      <c r="F2641" s="23" t="n"/>
      <c r="G2641" s="23" t="n"/>
      <c r="H2641" s="23" t="n"/>
      <c r="I2641" s="20">
        <f>IF(COUNT(F2641:H2641)=0,"",SUM(F2641:H2641))</f>
        <v/>
      </c>
      <c r="J2641" s="23" t="n"/>
      <c r="K2641" s="23" t="n"/>
      <c r="L2641" s="23" t="n"/>
      <c r="M2641" s="23" t="n"/>
      <c r="N2641" s="23" t="n"/>
      <c r="O2641" s="20">
        <f>IF(OR(I2641="",COUNT(J2641:N2641)=0),"",IF(SUM(J2641:N2641)=I2641,"✓","⚠ "&amp;SUM(J2641:N2641)&amp;" statt "&amp;I2641))</f>
        <v/>
      </c>
      <c r="P2641" s="21" t="n"/>
      <c r="Q2641" s="21" t="n"/>
      <c r="R2641" s="21" t="n"/>
      <c r="S2641" s="24" t="n"/>
      <c r="T2641" s="24" t="n"/>
      <c r="V2641">
        <f>IF(A2641="","",MONTH(A2641))</f>
        <v/>
      </c>
      <c r="W2641">
        <f>N(W2640)+IF(AND(C2641&lt;&gt;"",T2641&lt;&gt;""),IF(C2641=WOCHE!$B$3,1,0),0)</f>
        <v/>
      </c>
      <c r="X2641">
        <f>N(X2640)+IF(AND(V2641&lt;&gt;"",T2641&lt;&gt;""),IF(V2641=MONAT!$AZ$3,1,0),0)</f>
        <v/>
      </c>
    </row>
    <row r="2642">
      <c r="A2642" s="19" t="n"/>
      <c r="B2642" s="20">
        <f>IF(A2642="","",CHOOSE(WEEKDAY(A2642,2),"Mo","Di","Mi","Do","Fr","Sa","So"))</f>
        <v/>
      </c>
      <c r="C2642" s="20">
        <f>IF(A2642="","",INT((A2642-DATE(YEAR(A2642-WEEKDAY(A2642-1)+4),1,3)+WEEKDAY(DATE(YEAR(A2642-WEEKDAY(A2642-1)+4),1,3))+5)/7))</f>
        <v/>
      </c>
      <c r="D2642" s="21" t="n"/>
      <c r="E2642" s="22" t="n"/>
      <c r="F2642" s="23" t="n"/>
      <c r="G2642" s="23" t="n"/>
      <c r="H2642" s="23" t="n"/>
      <c r="I2642" s="20">
        <f>IF(COUNT(F2642:H2642)=0,"",SUM(F2642:H2642))</f>
        <v/>
      </c>
      <c r="J2642" s="23" t="n"/>
      <c r="K2642" s="23" t="n"/>
      <c r="L2642" s="23" t="n"/>
      <c r="M2642" s="23" t="n"/>
      <c r="N2642" s="23" t="n"/>
      <c r="O2642" s="20">
        <f>IF(OR(I2642="",COUNT(J2642:N2642)=0),"",IF(SUM(J2642:N2642)=I2642,"✓","⚠ "&amp;SUM(J2642:N2642)&amp;" statt "&amp;I2642))</f>
        <v/>
      </c>
      <c r="P2642" s="21" t="n"/>
      <c r="Q2642" s="21" t="n"/>
      <c r="R2642" s="21" t="n"/>
      <c r="S2642" s="24" t="n"/>
      <c r="T2642" s="24" t="n"/>
      <c r="V2642">
        <f>IF(A2642="","",MONTH(A2642))</f>
        <v/>
      </c>
      <c r="W2642">
        <f>N(W2641)+IF(AND(C2642&lt;&gt;"",T2642&lt;&gt;""),IF(C2642=WOCHE!$B$3,1,0),0)</f>
        <v/>
      </c>
      <c r="X2642">
        <f>N(X2641)+IF(AND(V2642&lt;&gt;"",T2642&lt;&gt;""),IF(V2642=MONAT!$AZ$3,1,0),0)</f>
        <v/>
      </c>
    </row>
    <row r="2643">
      <c r="A2643" s="19" t="n"/>
      <c r="B2643" s="20">
        <f>IF(A2643="","",CHOOSE(WEEKDAY(A2643,2),"Mo","Di","Mi","Do","Fr","Sa","So"))</f>
        <v/>
      </c>
      <c r="C2643" s="20">
        <f>IF(A2643="","",INT((A2643-DATE(YEAR(A2643-WEEKDAY(A2643-1)+4),1,3)+WEEKDAY(DATE(YEAR(A2643-WEEKDAY(A2643-1)+4),1,3))+5)/7))</f>
        <v/>
      </c>
      <c r="D2643" s="21" t="n"/>
      <c r="E2643" s="22" t="n"/>
      <c r="F2643" s="23" t="n"/>
      <c r="G2643" s="23" t="n"/>
      <c r="H2643" s="23" t="n"/>
      <c r="I2643" s="20">
        <f>IF(COUNT(F2643:H2643)=0,"",SUM(F2643:H2643))</f>
        <v/>
      </c>
      <c r="J2643" s="23" t="n"/>
      <c r="K2643" s="23" t="n"/>
      <c r="L2643" s="23" t="n"/>
      <c r="M2643" s="23" t="n"/>
      <c r="N2643" s="23" t="n"/>
      <c r="O2643" s="20">
        <f>IF(OR(I2643="",COUNT(J2643:N2643)=0),"",IF(SUM(J2643:N2643)=I2643,"✓","⚠ "&amp;SUM(J2643:N2643)&amp;" statt "&amp;I2643))</f>
        <v/>
      </c>
      <c r="P2643" s="21" t="n"/>
      <c r="Q2643" s="21" t="n"/>
      <c r="R2643" s="21" t="n"/>
      <c r="S2643" s="24" t="n"/>
      <c r="T2643" s="24" t="n"/>
      <c r="V2643">
        <f>IF(A2643="","",MONTH(A2643))</f>
        <v/>
      </c>
      <c r="W2643">
        <f>N(W2642)+IF(AND(C2643&lt;&gt;"",T2643&lt;&gt;""),IF(C2643=WOCHE!$B$3,1,0),0)</f>
        <v/>
      </c>
      <c r="X2643">
        <f>N(X2642)+IF(AND(V2643&lt;&gt;"",T2643&lt;&gt;""),IF(V2643=MONAT!$AZ$3,1,0),0)</f>
        <v/>
      </c>
    </row>
    <row r="2644">
      <c r="A2644" s="19" t="n"/>
      <c r="B2644" s="20">
        <f>IF(A2644="","",CHOOSE(WEEKDAY(A2644,2),"Mo","Di","Mi","Do","Fr","Sa","So"))</f>
        <v/>
      </c>
      <c r="C2644" s="20">
        <f>IF(A2644="","",INT((A2644-DATE(YEAR(A2644-WEEKDAY(A2644-1)+4),1,3)+WEEKDAY(DATE(YEAR(A2644-WEEKDAY(A2644-1)+4),1,3))+5)/7))</f>
        <v/>
      </c>
      <c r="D2644" s="21" t="n"/>
      <c r="E2644" s="22" t="n"/>
      <c r="F2644" s="23" t="n"/>
      <c r="G2644" s="23" t="n"/>
      <c r="H2644" s="23" t="n"/>
      <c r="I2644" s="20">
        <f>IF(COUNT(F2644:H2644)=0,"",SUM(F2644:H2644))</f>
        <v/>
      </c>
      <c r="J2644" s="23" t="n"/>
      <c r="K2644" s="23" t="n"/>
      <c r="L2644" s="23" t="n"/>
      <c r="M2644" s="23" t="n"/>
      <c r="N2644" s="23" t="n"/>
      <c r="O2644" s="20">
        <f>IF(OR(I2644="",COUNT(J2644:N2644)=0),"",IF(SUM(J2644:N2644)=I2644,"✓","⚠ "&amp;SUM(J2644:N2644)&amp;" statt "&amp;I2644))</f>
        <v/>
      </c>
      <c r="P2644" s="21" t="n"/>
      <c r="Q2644" s="21" t="n"/>
      <c r="R2644" s="21" t="n"/>
      <c r="S2644" s="24" t="n"/>
      <c r="T2644" s="24" t="n"/>
      <c r="V2644">
        <f>IF(A2644="","",MONTH(A2644))</f>
        <v/>
      </c>
      <c r="W2644">
        <f>N(W2643)+IF(AND(C2644&lt;&gt;"",T2644&lt;&gt;""),IF(C2644=WOCHE!$B$3,1,0),0)</f>
        <v/>
      </c>
      <c r="X2644">
        <f>N(X2643)+IF(AND(V2644&lt;&gt;"",T2644&lt;&gt;""),IF(V2644=MONAT!$AZ$3,1,0),0)</f>
        <v/>
      </c>
    </row>
    <row r="2645">
      <c r="A2645" s="19" t="n"/>
      <c r="B2645" s="20">
        <f>IF(A2645="","",CHOOSE(WEEKDAY(A2645,2),"Mo","Di","Mi","Do","Fr","Sa","So"))</f>
        <v/>
      </c>
      <c r="C2645" s="20">
        <f>IF(A2645="","",INT((A2645-DATE(YEAR(A2645-WEEKDAY(A2645-1)+4),1,3)+WEEKDAY(DATE(YEAR(A2645-WEEKDAY(A2645-1)+4),1,3))+5)/7))</f>
        <v/>
      </c>
      <c r="D2645" s="21" t="n"/>
      <c r="E2645" s="22" t="n"/>
      <c r="F2645" s="23" t="n"/>
      <c r="G2645" s="23" t="n"/>
      <c r="H2645" s="23" t="n"/>
      <c r="I2645" s="20">
        <f>IF(COUNT(F2645:H2645)=0,"",SUM(F2645:H2645))</f>
        <v/>
      </c>
      <c r="J2645" s="23" t="n"/>
      <c r="K2645" s="23" t="n"/>
      <c r="L2645" s="23" t="n"/>
      <c r="M2645" s="23" t="n"/>
      <c r="N2645" s="23" t="n"/>
      <c r="O2645" s="20">
        <f>IF(OR(I2645="",COUNT(J2645:N2645)=0),"",IF(SUM(J2645:N2645)=I2645,"✓","⚠ "&amp;SUM(J2645:N2645)&amp;" statt "&amp;I2645))</f>
        <v/>
      </c>
      <c r="P2645" s="21" t="n"/>
      <c r="Q2645" s="21" t="n"/>
      <c r="R2645" s="21" t="n"/>
      <c r="S2645" s="24" t="n"/>
      <c r="T2645" s="24" t="n"/>
      <c r="V2645">
        <f>IF(A2645="","",MONTH(A2645))</f>
        <v/>
      </c>
      <c r="W2645">
        <f>N(W2644)+IF(AND(C2645&lt;&gt;"",T2645&lt;&gt;""),IF(C2645=WOCHE!$B$3,1,0),0)</f>
        <v/>
      </c>
      <c r="X2645">
        <f>N(X2644)+IF(AND(V2645&lt;&gt;"",T2645&lt;&gt;""),IF(V2645=MONAT!$AZ$3,1,0),0)</f>
        <v/>
      </c>
    </row>
    <row r="2646">
      <c r="A2646" s="19" t="n"/>
      <c r="B2646" s="20">
        <f>IF(A2646="","",CHOOSE(WEEKDAY(A2646,2),"Mo","Di","Mi","Do","Fr","Sa","So"))</f>
        <v/>
      </c>
      <c r="C2646" s="20">
        <f>IF(A2646="","",INT((A2646-DATE(YEAR(A2646-WEEKDAY(A2646-1)+4),1,3)+WEEKDAY(DATE(YEAR(A2646-WEEKDAY(A2646-1)+4),1,3))+5)/7))</f>
        <v/>
      </c>
      <c r="D2646" s="21" t="n"/>
      <c r="E2646" s="22" t="n"/>
      <c r="F2646" s="23" t="n"/>
      <c r="G2646" s="23" t="n"/>
      <c r="H2646" s="23" t="n"/>
      <c r="I2646" s="20">
        <f>IF(COUNT(F2646:H2646)=0,"",SUM(F2646:H2646))</f>
        <v/>
      </c>
      <c r="J2646" s="23" t="n"/>
      <c r="K2646" s="23" t="n"/>
      <c r="L2646" s="23" t="n"/>
      <c r="M2646" s="23" t="n"/>
      <c r="N2646" s="23" t="n"/>
      <c r="O2646" s="20">
        <f>IF(OR(I2646="",COUNT(J2646:N2646)=0),"",IF(SUM(J2646:N2646)=I2646,"✓","⚠ "&amp;SUM(J2646:N2646)&amp;" statt "&amp;I2646))</f>
        <v/>
      </c>
      <c r="P2646" s="21" t="n"/>
      <c r="Q2646" s="21" t="n"/>
      <c r="R2646" s="21" t="n"/>
      <c r="S2646" s="24" t="n"/>
      <c r="T2646" s="24" t="n"/>
      <c r="V2646">
        <f>IF(A2646="","",MONTH(A2646))</f>
        <v/>
      </c>
      <c r="W2646">
        <f>N(W2645)+IF(AND(C2646&lt;&gt;"",T2646&lt;&gt;""),IF(C2646=WOCHE!$B$3,1,0),0)</f>
        <v/>
      </c>
      <c r="X2646">
        <f>N(X2645)+IF(AND(V2646&lt;&gt;"",T2646&lt;&gt;""),IF(V2646=MONAT!$AZ$3,1,0),0)</f>
        <v/>
      </c>
    </row>
    <row r="2647">
      <c r="A2647" s="19" t="n"/>
      <c r="B2647" s="20">
        <f>IF(A2647="","",CHOOSE(WEEKDAY(A2647,2),"Mo","Di","Mi","Do","Fr","Sa","So"))</f>
        <v/>
      </c>
      <c r="C2647" s="20">
        <f>IF(A2647="","",INT((A2647-DATE(YEAR(A2647-WEEKDAY(A2647-1)+4),1,3)+WEEKDAY(DATE(YEAR(A2647-WEEKDAY(A2647-1)+4),1,3))+5)/7))</f>
        <v/>
      </c>
      <c r="D2647" s="21" t="n"/>
      <c r="E2647" s="22" t="n"/>
      <c r="F2647" s="23" t="n"/>
      <c r="G2647" s="23" t="n"/>
      <c r="H2647" s="23" t="n"/>
      <c r="I2647" s="20">
        <f>IF(COUNT(F2647:H2647)=0,"",SUM(F2647:H2647))</f>
        <v/>
      </c>
      <c r="J2647" s="23" t="n"/>
      <c r="K2647" s="23" t="n"/>
      <c r="L2647" s="23" t="n"/>
      <c r="M2647" s="23" t="n"/>
      <c r="N2647" s="23" t="n"/>
      <c r="O2647" s="20">
        <f>IF(OR(I2647="",COUNT(J2647:N2647)=0),"",IF(SUM(J2647:N2647)=I2647,"✓","⚠ "&amp;SUM(J2647:N2647)&amp;" statt "&amp;I2647))</f>
        <v/>
      </c>
      <c r="P2647" s="21" t="n"/>
      <c r="Q2647" s="21" t="n"/>
      <c r="R2647" s="21" t="n"/>
      <c r="S2647" s="24" t="n"/>
      <c r="T2647" s="24" t="n"/>
      <c r="V2647">
        <f>IF(A2647="","",MONTH(A2647))</f>
        <v/>
      </c>
      <c r="W2647">
        <f>N(W2646)+IF(AND(C2647&lt;&gt;"",T2647&lt;&gt;""),IF(C2647=WOCHE!$B$3,1,0),0)</f>
        <v/>
      </c>
      <c r="X2647">
        <f>N(X2646)+IF(AND(V2647&lt;&gt;"",T2647&lt;&gt;""),IF(V2647=MONAT!$AZ$3,1,0),0)</f>
        <v/>
      </c>
    </row>
    <row r="2648">
      <c r="A2648" s="19" t="n"/>
      <c r="B2648" s="20">
        <f>IF(A2648="","",CHOOSE(WEEKDAY(A2648,2),"Mo","Di","Mi","Do","Fr","Sa","So"))</f>
        <v/>
      </c>
      <c r="C2648" s="20">
        <f>IF(A2648="","",INT((A2648-DATE(YEAR(A2648-WEEKDAY(A2648-1)+4),1,3)+WEEKDAY(DATE(YEAR(A2648-WEEKDAY(A2648-1)+4),1,3))+5)/7))</f>
        <v/>
      </c>
      <c r="D2648" s="21" t="n"/>
      <c r="E2648" s="22" t="n"/>
      <c r="F2648" s="23" t="n"/>
      <c r="G2648" s="23" t="n"/>
      <c r="H2648" s="23" t="n"/>
      <c r="I2648" s="20">
        <f>IF(COUNT(F2648:H2648)=0,"",SUM(F2648:H2648))</f>
        <v/>
      </c>
      <c r="J2648" s="23" t="n"/>
      <c r="K2648" s="23" t="n"/>
      <c r="L2648" s="23" t="n"/>
      <c r="M2648" s="23" t="n"/>
      <c r="N2648" s="23" t="n"/>
      <c r="O2648" s="20">
        <f>IF(OR(I2648="",COUNT(J2648:N2648)=0),"",IF(SUM(J2648:N2648)=I2648,"✓","⚠ "&amp;SUM(J2648:N2648)&amp;" statt "&amp;I2648))</f>
        <v/>
      </c>
      <c r="P2648" s="21" t="n"/>
      <c r="Q2648" s="21" t="n"/>
      <c r="R2648" s="21" t="n"/>
      <c r="S2648" s="24" t="n"/>
      <c r="T2648" s="24" t="n"/>
      <c r="V2648">
        <f>IF(A2648="","",MONTH(A2648))</f>
        <v/>
      </c>
      <c r="W2648">
        <f>N(W2647)+IF(AND(C2648&lt;&gt;"",T2648&lt;&gt;""),IF(C2648=WOCHE!$B$3,1,0),0)</f>
        <v/>
      </c>
      <c r="X2648">
        <f>N(X2647)+IF(AND(V2648&lt;&gt;"",T2648&lt;&gt;""),IF(V2648=MONAT!$AZ$3,1,0),0)</f>
        <v/>
      </c>
    </row>
    <row r="2649">
      <c r="A2649" s="19" t="n"/>
      <c r="B2649" s="20">
        <f>IF(A2649="","",CHOOSE(WEEKDAY(A2649,2),"Mo","Di","Mi","Do","Fr","Sa","So"))</f>
        <v/>
      </c>
      <c r="C2649" s="20">
        <f>IF(A2649="","",INT((A2649-DATE(YEAR(A2649-WEEKDAY(A2649-1)+4),1,3)+WEEKDAY(DATE(YEAR(A2649-WEEKDAY(A2649-1)+4),1,3))+5)/7))</f>
        <v/>
      </c>
      <c r="D2649" s="21" t="n"/>
      <c r="E2649" s="22" t="n"/>
      <c r="F2649" s="23" t="n"/>
      <c r="G2649" s="23" t="n"/>
      <c r="H2649" s="23" t="n"/>
      <c r="I2649" s="20">
        <f>IF(COUNT(F2649:H2649)=0,"",SUM(F2649:H2649))</f>
        <v/>
      </c>
      <c r="J2649" s="23" t="n"/>
      <c r="K2649" s="23" t="n"/>
      <c r="L2649" s="23" t="n"/>
      <c r="M2649" s="23" t="n"/>
      <c r="N2649" s="23" t="n"/>
      <c r="O2649" s="20">
        <f>IF(OR(I2649="",COUNT(J2649:N2649)=0),"",IF(SUM(J2649:N2649)=I2649,"✓","⚠ "&amp;SUM(J2649:N2649)&amp;" statt "&amp;I2649))</f>
        <v/>
      </c>
      <c r="P2649" s="21" t="n"/>
      <c r="Q2649" s="21" t="n"/>
      <c r="R2649" s="21" t="n"/>
      <c r="S2649" s="24" t="n"/>
      <c r="T2649" s="24" t="n"/>
      <c r="V2649">
        <f>IF(A2649="","",MONTH(A2649))</f>
        <v/>
      </c>
      <c r="W2649">
        <f>N(W2648)+IF(AND(C2649&lt;&gt;"",T2649&lt;&gt;""),IF(C2649=WOCHE!$B$3,1,0),0)</f>
        <v/>
      </c>
      <c r="X2649">
        <f>N(X2648)+IF(AND(V2649&lt;&gt;"",T2649&lt;&gt;""),IF(V2649=MONAT!$AZ$3,1,0),0)</f>
        <v/>
      </c>
    </row>
    <row r="2650">
      <c r="A2650" s="19" t="n"/>
      <c r="B2650" s="20">
        <f>IF(A2650="","",CHOOSE(WEEKDAY(A2650,2),"Mo","Di","Mi","Do","Fr","Sa","So"))</f>
        <v/>
      </c>
      <c r="C2650" s="20">
        <f>IF(A2650="","",INT((A2650-DATE(YEAR(A2650-WEEKDAY(A2650-1)+4),1,3)+WEEKDAY(DATE(YEAR(A2650-WEEKDAY(A2650-1)+4),1,3))+5)/7))</f>
        <v/>
      </c>
      <c r="D2650" s="21" t="n"/>
      <c r="E2650" s="22" t="n"/>
      <c r="F2650" s="23" t="n"/>
      <c r="G2650" s="23" t="n"/>
      <c r="H2650" s="23" t="n"/>
      <c r="I2650" s="20">
        <f>IF(COUNT(F2650:H2650)=0,"",SUM(F2650:H2650))</f>
        <v/>
      </c>
      <c r="J2650" s="23" t="n"/>
      <c r="K2650" s="23" t="n"/>
      <c r="L2650" s="23" t="n"/>
      <c r="M2650" s="23" t="n"/>
      <c r="N2650" s="23" t="n"/>
      <c r="O2650" s="20">
        <f>IF(OR(I2650="",COUNT(J2650:N2650)=0),"",IF(SUM(J2650:N2650)=I2650,"✓","⚠ "&amp;SUM(J2650:N2650)&amp;" statt "&amp;I2650))</f>
        <v/>
      </c>
      <c r="P2650" s="21" t="n"/>
      <c r="Q2650" s="21" t="n"/>
      <c r="R2650" s="21" t="n"/>
      <c r="S2650" s="24" t="n"/>
      <c r="T2650" s="24" t="n"/>
      <c r="V2650">
        <f>IF(A2650="","",MONTH(A2650))</f>
        <v/>
      </c>
      <c r="W2650">
        <f>N(W2649)+IF(AND(C2650&lt;&gt;"",T2650&lt;&gt;""),IF(C2650=WOCHE!$B$3,1,0),0)</f>
        <v/>
      </c>
      <c r="X2650">
        <f>N(X2649)+IF(AND(V2650&lt;&gt;"",T2650&lt;&gt;""),IF(V2650=MONAT!$AZ$3,1,0),0)</f>
        <v/>
      </c>
    </row>
    <row r="2651">
      <c r="A2651" s="19" t="n"/>
      <c r="B2651" s="20">
        <f>IF(A2651="","",CHOOSE(WEEKDAY(A2651,2),"Mo","Di","Mi","Do","Fr","Sa","So"))</f>
        <v/>
      </c>
      <c r="C2651" s="20">
        <f>IF(A2651="","",INT((A2651-DATE(YEAR(A2651-WEEKDAY(A2651-1)+4),1,3)+WEEKDAY(DATE(YEAR(A2651-WEEKDAY(A2651-1)+4),1,3))+5)/7))</f>
        <v/>
      </c>
      <c r="D2651" s="21" t="n"/>
      <c r="E2651" s="22" t="n"/>
      <c r="F2651" s="23" t="n"/>
      <c r="G2651" s="23" t="n"/>
      <c r="H2651" s="23" t="n"/>
      <c r="I2651" s="20">
        <f>IF(COUNT(F2651:H2651)=0,"",SUM(F2651:H2651))</f>
        <v/>
      </c>
      <c r="J2651" s="23" t="n"/>
      <c r="K2651" s="23" t="n"/>
      <c r="L2651" s="23" t="n"/>
      <c r="M2651" s="23" t="n"/>
      <c r="N2651" s="23" t="n"/>
      <c r="O2651" s="20">
        <f>IF(OR(I2651="",COUNT(J2651:N2651)=0),"",IF(SUM(J2651:N2651)=I2651,"✓","⚠ "&amp;SUM(J2651:N2651)&amp;" statt "&amp;I2651))</f>
        <v/>
      </c>
      <c r="P2651" s="21" t="n"/>
      <c r="Q2651" s="21" t="n"/>
      <c r="R2651" s="21" t="n"/>
      <c r="S2651" s="24" t="n"/>
      <c r="T2651" s="24" t="n"/>
      <c r="V2651">
        <f>IF(A2651="","",MONTH(A2651))</f>
        <v/>
      </c>
      <c r="W2651">
        <f>N(W2650)+IF(AND(C2651&lt;&gt;"",T2651&lt;&gt;""),IF(C2651=WOCHE!$B$3,1,0),0)</f>
        <v/>
      </c>
      <c r="X2651">
        <f>N(X2650)+IF(AND(V2651&lt;&gt;"",T2651&lt;&gt;""),IF(V2651=MONAT!$AZ$3,1,0),0)</f>
        <v/>
      </c>
    </row>
    <row r="2652">
      <c r="A2652" s="19" t="n"/>
      <c r="B2652" s="20">
        <f>IF(A2652="","",CHOOSE(WEEKDAY(A2652,2),"Mo","Di","Mi","Do","Fr","Sa","So"))</f>
        <v/>
      </c>
      <c r="C2652" s="20">
        <f>IF(A2652="","",INT((A2652-DATE(YEAR(A2652-WEEKDAY(A2652-1)+4),1,3)+WEEKDAY(DATE(YEAR(A2652-WEEKDAY(A2652-1)+4),1,3))+5)/7))</f>
        <v/>
      </c>
      <c r="D2652" s="21" t="n"/>
      <c r="E2652" s="22" t="n"/>
      <c r="F2652" s="23" t="n"/>
      <c r="G2652" s="23" t="n"/>
      <c r="H2652" s="23" t="n"/>
      <c r="I2652" s="20">
        <f>IF(COUNT(F2652:H2652)=0,"",SUM(F2652:H2652))</f>
        <v/>
      </c>
      <c r="J2652" s="23" t="n"/>
      <c r="K2652" s="23" t="n"/>
      <c r="L2652" s="23" t="n"/>
      <c r="M2652" s="23" t="n"/>
      <c r="N2652" s="23" t="n"/>
      <c r="O2652" s="20">
        <f>IF(OR(I2652="",COUNT(J2652:N2652)=0),"",IF(SUM(J2652:N2652)=I2652,"✓","⚠ "&amp;SUM(J2652:N2652)&amp;" statt "&amp;I2652))</f>
        <v/>
      </c>
      <c r="P2652" s="21" t="n"/>
      <c r="Q2652" s="21" t="n"/>
      <c r="R2652" s="21" t="n"/>
      <c r="S2652" s="24" t="n"/>
      <c r="T2652" s="24" t="n"/>
      <c r="V2652">
        <f>IF(A2652="","",MONTH(A2652))</f>
        <v/>
      </c>
      <c r="W2652">
        <f>N(W2651)+IF(AND(C2652&lt;&gt;"",T2652&lt;&gt;""),IF(C2652=WOCHE!$B$3,1,0),0)</f>
        <v/>
      </c>
      <c r="X2652">
        <f>N(X2651)+IF(AND(V2652&lt;&gt;"",T2652&lt;&gt;""),IF(V2652=MONAT!$AZ$3,1,0),0)</f>
        <v/>
      </c>
    </row>
    <row r="2653">
      <c r="A2653" s="19" t="n"/>
      <c r="B2653" s="20">
        <f>IF(A2653="","",CHOOSE(WEEKDAY(A2653,2),"Mo","Di","Mi","Do","Fr","Sa","So"))</f>
        <v/>
      </c>
      <c r="C2653" s="20">
        <f>IF(A2653="","",INT((A2653-DATE(YEAR(A2653-WEEKDAY(A2653-1)+4),1,3)+WEEKDAY(DATE(YEAR(A2653-WEEKDAY(A2653-1)+4),1,3))+5)/7))</f>
        <v/>
      </c>
      <c r="D2653" s="21" t="n"/>
      <c r="E2653" s="22" t="n"/>
      <c r="F2653" s="23" t="n"/>
      <c r="G2653" s="23" t="n"/>
      <c r="H2653" s="23" t="n"/>
      <c r="I2653" s="20">
        <f>IF(COUNT(F2653:H2653)=0,"",SUM(F2653:H2653))</f>
        <v/>
      </c>
      <c r="J2653" s="23" t="n"/>
      <c r="K2653" s="23" t="n"/>
      <c r="L2653" s="23" t="n"/>
      <c r="M2653" s="23" t="n"/>
      <c r="N2653" s="23" t="n"/>
      <c r="O2653" s="20">
        <f>IF(OR(I2653="",COUNT(J2653:N2653)=0),"",IF(SUM(J2653:N2653)=I2653,"✓","⚠ "&amp;SUM(J2653:N2653)&amp;" statt "&amp;I2653))</f>
        <v/>
      </c>
      <c r="P2653" s="21" t="n"/>
      <c r="Q2653" s="21" t="n"/>
      <c r="R2653" s="21" t="n"/>
      <c r="S2653" s="24" t="n"/>
      <c r="T2653" s="24" t="n"/>
      <c r="V2653">
        <f>IF(A2653="","",MONTH(A2653))</f>
        <v/>
      </c>
      <c r="W2653">
        <f>N(W2652)+IF(AND(C2653&lt;&gt;"",T2653&lt;&gt;""),IF(C2653=WOCHE!$B$3,1,0),0)</f>
        <v/>
      </c>
      <c r="X2653">
        <f>N(X2652)+IF(AND(V2653&lt;&gt;"",T2653&lt;&gt;""),IF(V2653=MONAT!$AZ$3,1,0),0)</f>
        <v/>
      </c>
    </row>
    <row r="2654">
      <c r="A2654" s="19" t="n"/>
      <c r="B2654" s="20">
        <f>IF(A2654="","",CHOOSE(WEEKDAY(A2654,2),"Mo","Di","Mi","Do","Fr","Sa","So"))</f>
        <v/>
      </c>
      <c r="C2654" s="20">
        <f>IF(A2654="","",INT((A2654-DATE(YEAR(A2654-WEEKDAY(A2654-1)+4),1,3)+WEEKDAY(DATE(YEAR(A2654-WEEKDAY(A2654-1)+4),1,3))+5)/7))</f>
        <v/>
      </c>
      <c r="D2654" s="21" t="n"/>
      <c r="E2654" s="22" t="n"/>
      <c r="F2654" s="23" t="n"/>
      <c r="G2654" s="23" t="n"/>
      <c r="H2654" s="23" t="n"/>
      <c r="I2654" s="20">
        <f>IF(COUNT(F2654:H2654)=0,"",SUM(F2654:H2654))</f>
        <v/>
      </c>
      <c r="J2654" s="23" t="n"/>
      <c r="K2654" s="23" t="n"/>
      <c r="L2654" s="23" t="n"/>
      <c r="M2654" s="23" t="n"/>
      <c r="N2654" s="23" t="n"/>
      <c r="O2654" s="20">
        <f>IF(OR(I2654="",COUNT(J2654:N2654)=0),"",IF(SUM(J2654:N2654)=I2654,"✓","⚠ "&amp;SUM(J2654:N2654)&amp;" statt "&amp;I2654))</f>
        <v/>
      </c>
      <c r="P2654" s="21" t="n"/>
      <c r="Q2654" s="21" t="n"/>
      <c r="R2654" s="21" t="n"/>
      <c r="S2654" s="24" t="n"/>
      <c r="T2654" s="24" t="n"/>
      <c r="V2654">
        <f>IF(A2654="","",MONTH(A2654))</f>
        <v/>
      </c>
      <c r="W2654">
        <f>N(W2653)+IF(AND(C2654&lt;&gt;"",T2654&lt;&gt;""),IF(C2654=WOCHE!$B$3,1,0),0)</f>
        <v/>
      </c>
      <c r="X2654">
        <f>N(X2653)+IF(AND(V2654&lt;&gt;"",T2654&lt;&gt;""),IF(V2654=MONAT!$AZ$3,1,0),0)</f>
        <v/>
      </c>
    </row>
    <row r="2655">
      <c r="A2655" s="19" t="n"/>
      <c r="B2655" s="20">
        <f>IF(A2655="","",CHOOSE(WEEKDAY(A2655,2),"Mo","Di","Mi","Do","Fr","Sa","So"))</f>
        <v/>
      </c>
      <c r="C2655" s="20">
        <f>IF(A2655="","",INT((A2655-DATE(YEAR(A2655-WEEKDAY(A2655-1)+4),1,3)+WEEKDAY(DATE(YEAR(A2655-WEEKDAY(A2655-1)+4),1,3))+5)/7))</f>
        <v/>
      </c>
      <c r="D2655" s="21" t="n"/>
      <c r="E2655" s="22" t="n"/>
      <c r="F2655" s="23" t="n"/>
      <c r="G2655" s="23" t="n"/>
      <c r="H2655" s="23" t="n"/>
      <c r="I2655" s="20">
        <f>IF(COUNT(F2655:H2655)=0,"",SUM(F2655:H2655))</f>
        <v/>
      </c>
      <c r="J2655" s="23" t="n"/>
      <c r="K2655" s="23" t="n"/>
      <c r="L2655" s="23" t="n"/>
      <c r="M2655" s="23" t="n"/>
      <c r="N2655" s="23" t="n"/>
      <c r="O2655" s="20">
        <f>IF(OR(I2655="",COUNT(J2655:N2655)=0),"",IF(SUM(J2655:N2655)=I2655,"✓","⚠ "&amp;SUM(J2655:N2655)&amp;" statt "&amp;I2655))</f>
        <v/>
      </c>
      <c r="P2655" s="21" t="n"/>
      <c r="Q2655" s="21" t="n"/>
      <c r="R2655" s="21" t="n"/>
      <c r="S2655" s="24" t="n"/>
      <c r="T2655" s="24" t="n"/>
      <c r="V2655">
        <f>IF(A2655="","",MONTH(A2655))</f>
        <v/>
      </c>
      <c r="W2655">
        <f>N(W2654)+IF(AND(C2655&lt;&gt;"",T2655&lt;&gt;""),IF(C2655=WOCHE!$B$3,1,0),0)</f>
        <v/>
      </c>
      <c r="X2655">
        <f>N(X2654)+IF(AND(V2655&lt;&gt;"",T2655&lt;&gt;""),IF(V2655=MONAT!$AZ$3,1,0),0)</f>
        <v/>
      </c>
    </row>
    <row r="2656">
      <c r="A2656" s="19" t="n"/>
      <c r="B2656" s="20">
        <f>IF(A2656="","",CHOOSE(WEEKDAY(A2656,2),"Mo","Di","Mi","Do","Fr","Sa","So"))</f>
        <v/>
      </c>
      <c r="C2656" s="20">
        <f>IF(A2656="","",INT((A2656-DATE(YEAR(A2656-WEEKDAY(A2656-1)+4),1,3)+WEEKDAY(DATE(YEAR(A2656-WEEKDAY(A2656-1)+4),1,3))+5)/7))</f>
        <v/>
      </c>
      <c r="D2656" s="21" t="n"/>
      <c r="E2656" s="22" t="n"/>
      <c r="F2656" s="23" t="n"/>
      <c r="G2656" s="23" t="n"/>
      <c r="H2656" s="23" t="n"/>
      <c r="I2656" s="20">
        <f>IF(COUNT(F2656:H2656)=0,"",SUM(F2656:H2656))</f>
        <v/>
      </c>
      <c r="J2656" s="23" t="n"/>
      <c r="K2656" s="23" t="n"/>
      <c r="L2656" s="23" t="n"/>
      <c r="M2656" s="23" t="n"/>
      <c r="N2656" s="23" t="n"/>
      <c r="O2656" s="20">
        <f>IF(OR(I2656="",COUNT(J2656:N2656)=0),"",IF(SUM(J2656:N2656)=I2656,"✓","⚠ "&amp;SUM(J2656:N2656)&amp;" statt "&amp;I2656))</f>
        <v/>
      </c>
      <c r="P2656" s="21" t="n"/>
      <c r="Q2656" s="21" t="n"/>
      <c r="R2656" s="21" t="n"/>
      <c r="S2656" s="24" t="n"/>
      <c r="T2656" s="24" t="n"/>
      <c r="V2656">
        <f>IF(A2656="","",MONTH(A2656))</f>
        <v/>
      </c>
      <c r="W2656">
        <f>N(W2655)+IF(AND(C2656&lt;&gt;"",T2656&lt;&gt;""),IF(C2656=WOCHE!$B$3,1,0),0)</f>
        <v/>
      </c>
      <c r="X2656">
        <f>N(X2655)+IF(AND(V2656&lt;&gt;"",T2656&lt;&gt;""),IF(V2656=MONAT!$AZ$3,1,0),0)</f>
        <v/>
      </c>
    </row>
    <row r="2657">
      <c r="A2657" s="19" t="n"/>
      <c r="B2657" s="20">
        <f>IF(A2657="","",CHOOSE(WEEKDAY(A2657,2),"Mo","Di","Mi","Do","Fr","Sa","So"))</f>
        <v/>
      </c>
      <c r="C2657" s="20">
        <f>IF(A2657="","",INT((A2657-DATE(YEAR(A2657-WEEKDAY(A2657-1)+4),1,3)+WEEKDAY(DATE(YEAR(A2657-WEEKDAY(A2657-1)+4),1,3))+5)/7))</f>
        <v/>
      </c>
      <c r="D2657" s="21" t="n"/>
      <c r="E2657" s="22" t="n"/>
      <c r="F2657" s="23" t="n"/>
      <c r="G2657" s="23" t="n"/>
      <c r="H2657" s="23" t="n"/>
      <c r="I2657" s="20">
        <f>IF(COUNT(F2657:H2657)=0,"",SUM(F2657:H2657))</f>
        <v/>
      </c>
      <c r="J2657" s="23" t="n"/>
      <c r="K2657" s="23" t="n"/>
      <c r="L2657" s="23" t="n"/>
      <c r="M2657" s="23" t="n"/>
      <c r="N2657" s="23" t="n"/>
      <c r="O2657" s="20">
        <f>IF(OR(I2657="",COUNT(J2657:N2657)=0),"",IF(SUM(J2657:N2657)=I2657,"✓","⚠ "&amp;SUM(J2657:N2657)&amp;" statt "&amp;I2657))</f>
        <v/>
      </c>
      <c r="P2657" s="21" t="n"/>
      <c r="Q2657" s="21" t="n"/>
      <c r="R2657" s="21" t="n"/>
      <c r="S2657" s="24" t="n"/>
      <c r="T2657" s="24" t="n"/>
      <c r="V2657">
        <f>IF(A2657="","",MONTH(A2657))</f>
        <v/>
      </c>
      <c r="W2657">
        <f>N(W2656)+IF(AND(C2657&lt;&gt;"",T2657&lt;&gt;""),IF(C2657=WOCHE!$B$3,1,0),0)</f>
        <v/>
      </c>
      <c r="X2657">
        <f>N(X2656)+IF(AND(V2657&lt;&gt;"",T2657&lt;&gt;""),IF(V2657=MONAT!$AZ$3,1,0),0)</f>
        <v/>
      </c>
    </row>
    <row r="2658">
      <c r="A2658" s="19" t="n"/>
      <c r="B2658" s="20">
        <f>IF(A2658="","",CHOOSE(WEEKDAY(A2658,2),"Mo","Di","Mi","Do","Fr","Sa","So"))</f>
        <v/>
      </c>
      <c r="C2658" s="20">
        <f>IF(A2658="","",INT((A2658-DATE(YEAR(A2658-WEEKDAY(A2658-1)+4),1,3)+WEEKDAY(DATE(YEAR(A2658-WEEKDAY(A2658-1)+4),1,3))+5)/7))</f>
        <v/>
      </c>
      <c r="D2658" s="21" t="n"/>
      <c r="E2658" s="22" t="n"/>
      <c r="F2658" s="23" t="n"/>
      <c r="G2658" s="23" t="n"/>
      <c r="H2658" s="23" t="n"/>
      <c r="I2658" s="20">
        <f>IF(COUNT(F2658:H2658)=0,"",SUM(F2658:H2658))</f>
        <v/>
      </c>
      <c r="J2658" s="23" t="n"/>
      <c r="K2658" s="23" t="n"/>
      <c r="L2658" s="23" t="n"/>
      <c r="M2658" s="23" t="n"/>
      <c r="N2658" s="23" t="n"/>
      <c r="O2658" s="20">
        <f>IF(OR(I2658="",COUNT(J2658:N2658)=0),"",IF(SUM(J2658:N2658)=I2658,"✓","⚠ "&amp;SUM(J2658:N2658)&amp;" statt "&amp;I2658))</f>
        <v/>
      </c>
      <c r="P2658" s="21" t="n"/>
      <c r="Q2658" s="21" t="n"/>
      <c r="R2658" s="21" t="n"/>
      <c r="S2658" s="24" t="n"/>
      <c r="T2658" s="24" t="n"/>
      <c r="V2658">
        <f>IF(A2658="","",MONTH(A2658))</f>
        <v/>
      </c>
      <c r="W2658">
        <f>N(W2657)+IF(AND(C2658&lt;&gt;"",T2658&lt;&gt;""),IF(C2658=WOCHE!$B$3,1,0),0)</f>
        <v/>
      </c>
      <c r="X2658">
        <f>N(X2657)+IF(AND(V2658&lt;&gt;"",T2658&lt;&gt;""),IF(V2658=MONAT!$AZ$3,1,0),0)</f>
        <v/>
      </c>
    </row>
    <row r="2659">
      <c r="A2659" s="19" t="n"/>
      <c r="B2659" s="20">
        <f>IF(A2659="","",CHOOSE(WEEKDAY(A2659,2),"Mo","Di","Mi","Do","Fr","Sa","So"))</f>
        <v/>
      </c>
      <c r="C2659" s="20">
        <f>IF(A2659="","",INT((A2659-DATE(YEAR(A2659-WEEKDAY(A2659-1)+4),1,3)+WEEKDAY(DATE(YEAR(A2659-WEEKDAY(A2659-1)+4),1,3))+5)/7))</f>
        <v/>
      </c>
      <c r="D2659" s="21" t="n"/>
      <c r="E2659" s="22" t="n"/>
      <c r="F2659" s="23" t="n"/>
      <c r="G2659" s="23" t="n"/>
      <c r="H2659" s="23" t="n"/>
      <c r="I2659" s="20">
        <f>IF(COUNT(F2659:H2659)=0,"",SUM(F2659:H2659))</f>
        <v/>
      </c>
      <c r="J2659" s="23" t="n"/>
      <c r="K2659" s="23" t="n"/>
      <c r="L2659" s="23" t="n"/>
      <c r="M2659" s="23" t="n"/>
      <c r="N2659" s="23" t="n"/>
      <c r="O2659" s="20">
        <f>IF(OR(I2659="",COUNT(J2659:N2659)=0),"",IF(SUM(J2659:N2659)=I2659,"✓","⚠ "&amp;SUM(J2659:N2659)&amp;" statt "&amp;I2659))</f>
        <v/>
      </c>
      <c r="P2659" s="21" t="n"/>
      <c r="Q2659" s="21" t="n"/>
      <c r="R2659" s="21" t="n"/>
      <c r="S2659" s="24" t="n"/>
      <c r="T2659" s="24" t="n"/>
      <c r="V2659">
        <f>IF(A2659="","",MONTH(A2659))</f>
        <v/>
      </c>
      <c r="W2659">
        <f>N(W2658)+IF(AND(C2659&lt;&gt;"",T2659&lt;&gt;""),IF(C2659=WOCHE!$B$3,1,0),0)</f>
        <v/>
      </c>
      <c r="X2659">
        <f>N(X2658)+IF(AND(V2659&lt;&gt;"",T2659&lt;&gt;""),IF(V2659=MONAT!$AZ$3,1,0),0)</f>
        <v/>
      </c>
    </row>
    <row r="2660">
      <c r="A2660" s="19" t="n"/>
      <c r="B2660" s="20">
        <f>IF(A2660="","",CHOOSE(WEEKDAY(A2660,2),"Mo","Di","Mi","Do","Fr","Sa","So"))</f>
        <v/>
      </c>
      <c r="C2660" s="20">
        <f>IF(A2660="","",INT((A2660-DATE(YEAR(A2660-WEEKDAY(A2660-1)+4),1,3)+WEEKDAY(DATE(YEAR(A2660-WEEKDAY(A2660-1)+4),1,3))+5)/7))</f>
        <v/>
      </c>
      <c r="D2660" s="21" t="n"/>
      <c r="E2660" s="22" t="n"/>
      <c r="F2660" s="23" t="n"/>
      <c r="G2660" s="23" t="n"/>
      <c r="H2660" s="23" t="n"/>
      <c r="I2660" s="20">
        <f>IF(COUNT(F2660:H2660)=0,"",SUM(F2660:H2660))</f>
        <v/>
      </c>
      <c r="J2660" s="23" t="n"/>
      <c r="K2660" s="23" t="n"/>
      <c r="L2660" s="23" t="n"/>
      <c r="M2660" s="23" t="n"/>
      <c r="N2660" s="23" t="n"/>
      <c r="O2660" s="20">
        <f>IF(OR(I2660="",COUNT(J2660:N2660)=0),"",IF(SUM(J2660:N2660)=I2660,"✓","⚠ "&amp;SUM(J2660:N2660)&amp;" statt "&amp;I2660))</f>
        <v/>
      </c>
      <c r="P2660" s="21" t="n"/>
      <c r="Q2660" s="21" t="n"/>
      <c r="R2660" s="21" t="n"/>
      <c r="S2660" s="24" t="n"/>
      <c r="T2660" s="24" t="n"/>
      <c r="V2660">
        <f>IF(A2660="","",MONTH(A2660))</f>
        <v/>
      </c>
      <c r="W2660">
        <f>N(W2659)+IF(AND(C2660&lt;&gt;"",T2660&lt;&gt;""),IF(C2660=WOCHE!$B$3,1,0),0)</f>
        <v/>
      </c>
      <c r="X2660">
        <f>N(X2659)+IF(AND(V2660&lt;&gt;"",T2660&lt;&gt;""),IF(V2660=MONAT!$AZ$3,1,0),0)</f>
        <v/>
      </c>
    </row>
    <row r="2661">
      <c r="A2661" s="19" t="n"/>
      <c r="B2661" s="20">
        <f>IF(A2661="","",CHOOSE(WEEKDAY(A2661,2),"Mo","Di","Mi","Do","Fr","Sa","So"))</f>
        <v/>
      </c>
      <c r="C2661" s="20">
        <f>IF(A2661="","",INT((A2661-DATE(YEAR(A2661-WEEKDAY(A2661-1)+4),1,3)+WEEKDAY(DATE(YEAR(A2661-WEEKDAY(A2661-1)+4),1,3))+5)/7))</f>
        <v/>
      </c>
      <c r="D2661" s="21" t="n"/>
      <c r="E2661" s="22" t="n"/>
      <c r="F2661" s="23" t="n"/>
      <c r="G2661" s="23" t="n"/>
      <c r="H2661" s="23" t="n"/>
      <c r="I2661" s="20">
        <f>IF(COUNT(F2661:H2661)=0,"",SUM(F2661:H2661))</f>
        <v/>
      </c>
      <c r="J2661" s="23" t="n"/>
      <c r="K2661" s="23" t="n"/>
      <c r="L2661" s="23" t="n"/>
      <c r="M2661" s="23" t="n"/>
      <c r="N2661" s="23" t="n"/>
      <c r="O2661" s="20">
        <f>IF(OR(I2661="",COUNT(J2661:N2661)=0),"",IF(SUM(J2661:N2661)=I2661,"✓","⚠ "&amp;SUM(J2661:N2661)&amp;" statt "&amp;I2661))</f>
        <v/>
      </c>
      <c r="P2661" s="21" t="n"/>
      <c r="Q2661" s="21" t="n"/>
      <c r="R2661" s="21" t="n"/>
      <c r="S2661" s="24" t="n"/>
      <c r="T2661" s="24" t="n"/>
      <c r="V2661">
        <f>IF(A2661="","",MONTH(A2661))</f>
        <v/>
      </c>
      <c r="W2661">
        <f>N(W2660)+IF(AND(C2661&lt;&gt;"",T2661&lt;&gt;""),IF(C2661=WOCHE!$B$3,1,0),0)</f>
        <v/>
      </c>
      <c r="X2661">
        <f>N(X2660)+IF(AND(V2661&lt;&gt;"",T2661&lt;&gt;""),IF(V2661=MONAT!$AZ$3,1,0),0)</f>
        <v/>
      </c>
    </row>
    <row r="2662">
      <c r="A2662" s="19" t="n"/>
      <c r="B2662" s="20">
        <f>IF(A2662="","",CHOOSE(WEEKDAY(A2662,2),"Mo","Di","Mi","Do","Fr","Sa","So"))</f>
        <v/>
      </c>
      <c r="C2662" s="20">
        <f>IF(A2662="","",INT((A2662-DATE(YEAR(A2662-WEEKDAY(A2662-1)+4),1,3)+WEEKDAY(DATE(YEAR(A2662-WEEKDAY(A2662-1)+4),1,3))+5)/7))</f>
        <v/>
      </c>
      <c r="D2662" s="21" t="n"/>
      <c r="E2662" s="22" t="n"/>
      <c r="F2662" s="23" t="n"/>
      <c r="G2662" s="23" t="n"/>
      <c r="H2662" s="23" t="n"/>
      <c r="I2662" s="20">
        <f>IF(COUNT(F2662:H2662)=0,"",SUM(F2662:H2662))</f>
        <v/>
      </c>
      <c r="J2662" s="23" t="n"/>
      <c r="K2662" s="23" t="n"/>
      <c r="L2662" s="23" t="n"/>
      <c r="M2662" s="23" t="n"/>
      <c r="N2662" s="23" t="n"/>
      <c r="O2662" s="20">
        <f>IF(OR(I2662="",COUNT(J2662:N2662)=0),"",IF(SUM(J2662:N2662)=I2662,"✓","⚠ "&amp;SUM(J2662:N2662)&amp;" statt "&amp;I2662))</f>
        <v/>
      </c>
      <c r="P2662" s="21" t="n"/>
      <c r="Q2662" s="21" t="n"/>
      <c r="R2662" s="21" t="n"/>
      <c r="S2662" s="24" t="n"/>
      <c r="T2662" s="24" t="n"/>
      <c r="V2662">
        <f>IF(A2662="","",MONTH(A2662))</f>
        <v/>
      </c>
      <c r="W2662">
        <f>N(W2661)+IF(AND(C2662&lt;&gt;"",T2662&lt;&gt;""),IF(C2662=WOCHE!$B$3,1,0),0)</f>
        <v/>
      </c>
      <c r="X2662">
        <f>N(X2661)+IF(AND(V2662&lt;&gt;"",T2662&lt;&gt;""),IF(V2662=MONAT!$AZ$3,1,0),0)</f>
        <v/>
      </c>
    </row>
    <row r="2663">
      <c r="A2663" s="19" t="n"/>
      <c r="B2663" s="20">
        <f>IF(A2663="","",CHOOSE(WEEKDAY(A2663,2),"Mo","Di","Mi","Do","Fr","Sa","So"))</f>
        <v/>
      </c>
      <c r="C2663" s="20">
        <f>IF(A2663="","",INT((A2663-DATE(YEAR(A2663-WEEKDAY(A2663-1)+4),1,3)+WEEKDAY(DATE(YEAR(A2663-WEEKDAY(A2663-1)+4),1,3))+5)/7))</f>
        <v/>
      </c>
      <c r="D2663" s="21" t="n"/>
      <c r="E2663" s="22" t="n"/>
      <c r="F2663" s="23" t="n"/>
      <c r="G2663" s="23" t="n"/>
      <c r="H2663" s="23" t="n"/>
      <c r="I2663" s="20">
        <f>IF(COUNT(F2663:H2663)=0,"",SUM(F2663:H2663))</f>
        <v/>
      </c>
      <c r="J2663" s="23" t="n"/>
      <c r="K2663" s="23" t="n"/>
      <c r="L2663" s="23" t="n"/>
      <c r="M2663" s="23" t="n"/>
      <c r="N2663" s="23" t="n"/>
      <c r="O2663" s="20">
        <f>IF(OR(I2663="",COUNT(J2663:N2663)=0),"",IF(SUM(J2663:N2663)=I2663,"✓","⚠ "&amp;SUM(J2663:N2663)&amp;" statt "&amp;I2663))</f>
        <v/>
      </c>
      <c r="P2663" s="21" t="n"/>
      <c r="Q2663" s="21" t="n"/>
      <c r="R2663" s="21" t="n"/>
      <c r="S2663" s="24" t="n"/>
      <c r="T2663" s="24" t="n"/>
      <c r="V2663">
        <f>IF(A2663="","",MONTH(A2663))</f>
        <v/>
      </c>
      <c r="W2663">
        <f>N(W2662)+IF(AND(C2663&lt;&gt;"",T2663&lt;&gt;""),IF(C2663=WOCHE!$B$3,1,0),0)</f>
        <v/>
      </c>
      <c r="X2663">
        <f>N(X2662)+IF(AND(V2663&lt;&gt;"",T2663&lt;&gt;""),IF(V2663=MONAT!$AZ$3,1,0),0)</f>
        <v/>
      </c>
    </row>
    <row r="2664">
      <c r="A2664" s="19" t="n"/>
      <c r="B2664" s="20">
        <f>IF(A2664="","",CHOOSE(WEEKDAY(A2664,2),"Mo","Di","Mi","Do","Fr","Sa","So"))</f>
        <v/>
      </c>
      <c r="C2664" s="20">
        <f>IF(A2664="","",INT((A2664-DATE(YEAR(A2664-WEEKDAY(A2664-1)+4),1,3)+WEEKDAY(DATE(YEAR(A2664-WEEKDAY(A2664-1)+4),1,3))+5)/7))</f>
        <v/>
      </c>
      <c r="D2664" s="21" t="n"/>
      <c r="E2664" s="22" t="n"/>
      <c r="F2664" s="23" t="n"/>
      <c r="G2664" s="23" t="n"/>
      <c r="H2664" s="23" t="n"/>
      <c r="I2664" s="20">
        <f>IF(COUNT(F2664:H2664)=0,"",SUM(F2664:H2664))</f>
        <v/>
      </c>
      <c r="J2664" s="23" t="n"/>
      <c r="K2664" s="23" t="n"/>
      <c r="L2664" s="23" t="n"/>
      <c r="M2664" s="23" t="n"/>
      <c r="N2664" s="23" t="n"/>
      <c r="O2664" s="20">
        <f>IF(OR(I2664="",COUNT(J2664:N2664)=0),"",IF(SUM(J2664:N2664)=I2664,"✓","⚠ "&amp;SUM(J2664:N2664)&amp;" statt "&amp;I2664))</f>
        <v/>
      </c>
      <c r="P2664" s="21" t="n"/>
      <c r="Q2664" s="21" t="n"/>
      <c r="R2664" s="21" t="n"/>
      <c r="S2664" s="24" t="n"/>
      <c r="T2664" s="24" t="n"/>
      <c r="V2664">
        <f>IF(A2664="","",MONTH(A2664))</f>
        <v/>
      </c>
      <c r="W2664">
        <f>N(W2663)+IF(AND(C2664&lt;&gt;"",T2664&lt;&gt;""),IF(C2664=WOCHE!$B$3,1,0),0)</f>
        <v/>
      </c>
      <c r="X2664">
        <f>N(X2663)+IF(AND(V2664&lt;&gt;"",T2664&lt;&gt;""),IF(V2664=MONAT!$AZ$3,1,0),0)</f>
        <v/>
      </c>
    </row>
    <row r="2665">
      <c r="A2665" s="19" t="n"/>
      <c r="B2665" s="20">
        <f>IF(A2665="","",CHOOSE(WEEKDAY(A2665,2),"Mo","Di","Mi","Do","Fr","Sa","So"))</f>
        <v/>
      </c>
      <c r="C2665" s="20">
        <f>IF(A2665="","",INT((A2665-DATE(YEAR(A2665-WEEKDAY(A2665-1)+4),1,3)+WEEKDAY(DATE(YEAR(A2665-WEEKDAY(A2665-1)+4),1,3))+5)/7))</f>
        <v/>
      </c>
      <c r="D2665" s="21" t="n"/>
      <c r="E2665" s="22" t="n"/>
      <c r="F2665" s="23" t="n"/>
      <c r="G2665" s="23" t="n"/>
      <c r="H2665" s="23" t="n"/>
      <c r="I2665" s="20">
        <f>IF(COUNT(F2665:H2665)=0,"",SUM(F2665:H2665))</f>
        <v/>
      </c>
      <c r="J2665" s="23" t="n"/>
      <c r="K2665" s="23" t="n"/>
      <c r="L2665" s="23" t="n"/>
      <c r="M2665" s="23" t="n"/>
      <c r="N2665" s="23" t="n"/>
      <c r="O2665" s="20">
        <f>IF(OR(I2665="",COUNT(J2665:N2665)=0),"",IF(SUM(J2665:N2665)=I2665,"✓","⚠ "&amp;SUM(J2665:N2665)&amp;" statt "&amp;I2665))</f>
        <v/>
      </c>
      <c r="P2665" s="21" t="n"/>
      <c r="Q2665" s="21" t="n"/>
      <c r="R2665" s="21" t="n"/>
      <c r="S2665" s="24" t="n"/>
      <c r="T2665" s="24" t="n"/>
      <c r="V2665">
        <f>IF(A2665="","",MONTH(A2665))</f>
        <v/>
      </c>
      <c r="W2665">
        <f>N(W2664)+IF(AND(C2665&lt;&gt;"",T2665&lt;&gt;""),IF(C2665=WOCHE!$B$3,1,0),0)</f>
        <v/>
      </c>
      <c r="X2665">
        <f>N(X2664)+IF(AND(V2665&lt;&gt;"",T2665&lt;&gt;""),IF(V2665=MONAT!$AZ$3,1,0),0)</f>
        <v/>
      </c>
    </row>
    <row r="2666">
      <c r="A2666" s="19" t="n"/>
      <c r="B2666" s="20">
        <f>IF(A2666="","",CHOOSE(WEEKDAY(A2666,2),"Mo","Di","Mi","Do","Fr","Sa","So"))</f>
        <v/>
      </c>
      <c r="C2666" s="20">
        <f>IF(A2666="","",INT((A2666-DATE(YEAR(A2666-WEEKDAY(A2666-1)+4),1,3)+WEEKDAY(DATE(YEAR(A2666-WEEKDAY(A2666-1)+4),1,3))+5)/7))</f>
        <v/>
      </c>
      <c r="D2666" s="21" t="n"/>
      <c r="E2666" s="22" t="n"/>
      <c r="F2666" s="23" t="n"/>
      <c r="G2666" s="23" t="n"/>
      <c r="H2666" s="23" t="n"/>
      <c r="I2666" s="20">
        <f>IF(COUNT(F2666:H2666)=0,"",SUM(F2666:H2666))</f>
        <v/>
      </c>
      <c r="J2666" s="23" t="n"/>
      <c r="K2666" s="23" t="n"/>
      <c r="L2666" s="23" t="n"/>
      <c r="M2666" s="23" t="n"/>
      <c r="N2666" s="23" t="n"/>
      <c r="O2666" s="20">
        <f>IF(OR(I2666="",COUNT(J2666:N2666)=0),"",IF(SUM(J2666:N2666)=I2666,"✓","⚠ "&amp;SUM(J2666:N2666)&amp;" statt "&amp;I2666))</f>
        <v/>
      </c>
      <c r="P2666" s="21" t="n"/>
      <c r="Q2666" s="21" t="n"/>
      <c r="R2666" s="21" t="n"/>
      <c r="S2666" s="24" t="n"/>
      <c r="T2666" s="24" t="n"/>
      <c r="V2666">
        <f>IF(A2666="","",MONTH(A2666))</f>
        <v/>
      </c>
      <c r="W2666">
        <f>N(W2665)+IF(AND(C2666&lt;&gt;"",T2666&lt;&gt;""),IF(C2666=WOCHE!$B$3,1,0),0)</f>
        <v/>
      </c>
      <c r="X2666">
        <f>N(X2665)+IF(AND(V2666&lt;&gt;"",T2666&lt;&gt;""),IF(V2666=MONAT!$AZ$3,1,0),0)</f>
        <v/>
      </c>
    </row>
    <row r="2667">
      <c r="A2667" s="19" t="n"/>
      <c r="B2667" s="20">
        <f>IF(A2667="","",CHOOSE(WEEKDAY(A2667,2),"Mo","Di","Mi","Do","Fr","Sa","So"))</f>
        <v/>
      </c>
      <c r="C2667" s="20">
        <f>IF(A2667="","",INT((A2667-DATE(YEAR(A2667-WEEKDAY(A2667-1)+4),1,3)+WEEKDAY(DATE(YEAR(A2667-WEEKDAY(A2667-1)+4),1,3))+5)/7))</f>
        <v/>
      </c>
      <c r="D2667" s="21" t="n"/>
      <c r="E2667" s="22" t="n"/>
      <c r="F2667" s="23" t="n"/>
      <c r="G2667" s="23" t="n"/>
      <c r="H2667" s="23" t="n"/>
      <c r="I2667" s="20">
        <f>IF(COUNT(F2667:H2667)=0,"",SUM(F2667:H2667))</f>
        <v/>
      </c>
      <c r="J2667" s="23" t="n"/>
      <c r="K2667" s="23" t="n"/>
      <c r="L2667" s="23" t="n"/>
      <c r="M2667" s="23" t="n"/>
      <c r="N2667" s="23" t="n"/>
      <c r="O2667" s="20">
        <f>IF(OR(I2667="",COUNT(J2667:N2667)=0),"",IF(SUM(J2667:N2667)=I2667,"✓","⚠ "&amp;SUM(J2667:N2667)&amp;" statt "&amp;I2667))</f>
        <v/>
      </c>
      <c r="P2667" s="21" t="n"/>
      <c r="Q2667" s="21" t="n"/>
      <c r="R2667" s="21" t="n"/>
      <c r="S2667" s="24" t="n"/>
      <c r="T2667" s="24" t="n"/>
      <c r="V2667">
        <f>IF(A2667="","",MONTH(A2667))</f>
        <v/>
      </c>
      <c r="W2667">
        <f>N(W2666)+IF(AND(C2667&lt;&gt;"",T2667&lt;&gt;""),IF(C2667=WOCHE!$B$3,1,0),0)</f>
        <v/>
      </c>
      <c r="X2667">
        <f>N(X2666)+IF(AND(V2667&lt;&gt;"",T2667&lt;&gt;""),IF(V2667=MONAT!$AZ$3,1,0),0)</f>
        <v/>
      </c>
    </row>
    <row r="2668">
      <c r="A2668" s="19" t="n"/>
      <c r="B2668" s="20">
        <f>IF(A2668="","",CHOOSE(WEEKDAY(A2668,2),"Mo","Di","Mi","Do","Fr","Sa","So"))</f>
        <v/>
      </c>
      <c r="C2668" s="20">
        <f>IF(A2668="","",INT((A2668-DATE(YEAR(A2668-WEEKDAY(A2668-1)+4),1,3)+WEEKDAY(DATE(YEAR(A2668-WEEKDAY(A2668-1)+4),1,3))+5)/7))</f>
        <v/>
      </c>
      <c r="D2668" s="21" t="n"/>
      <c r="E2668" s="22" t="n"/>
      <c r="F2668" s="23" t="n"/>
      <c r="G2668" s="23" t="n"/>
      <c r="H2668" s="23" t="n"/>
      <c r="I2668" s="20">
        <f>IF(COUNT(F2668:H2668)=0,"",SUM(F2668:H2668))</f>
        <v/>
      </c>
      <c r="J2668" s="23" t="n"/>
      <c r="K2668" s="23" t="n"/>
      <c r="L2668" s="23" t="n"/>
      <c r="M2668" s="23" t="n"/>
      <c r="N2668" s="23" t="n"/>
      <c r="O2668" s="20">
        <f>IF(OR(I2668="",COUNT(J2668:N2668)=0),"",IF(SUM(J2668:N2668)=I2668,"✓","⚠ "&amp;SUM(J2668:N2668)&amp;" statt "&amp;I2668))</f>
        <v/>
      </c>
      <c r="P2668" s="21" t="n"/>
      <c r="Q2668" s="21" t="n"/>
      <c r="R2668" s="21" t="n"/>
      <c r="S2668" s="24" t="n"/>
      <c r="T2668" s="24" t="n"/>
      <c r="V2668">
        <f>IF(A2668="","",MONTH(A2668))</f>
        <v/>
      </c>
      <c r="W2668">
        <f>N(W2667)+IF(AND(C2668&lt;&gt;"",T2668&lt;&gt;""),IF(C2668=WOCHE!$B$3,1,0),0)</f>
        <v/>
      </c>
      <c r="X2668">
        <f>N(X2667)+IF(AND(V2668&lt;&gt;"",T2668&lt;&gt;""),IF(V2668=MONAT!$AZ$3,1,0),0)</f>
        <v/>
      </c>
    </row>
    <row r="2669">
      <c r="A2669" s="19" t="n"/>
      <c r="B2669" s="20">
        <f>IF(A2669="","",CHOOSE(WEEKDAY(A2669,2),"Mo","Di","Mi","Do","Fr","Sa","So"))</f>
        <v/>
      </c>
      <c r="C2669" s="20">
        <f>IF(A2669="","",INT((A2669-DATE(YEAR(A2669-WEEKDAY(A2669-1)+4),1,3)+WEEKDAY(DATE(YEAR(A2669-WEEKDAY(A2669-1)+4),1,3))+5)/7))</f>
        <v/>
      </c>
      <c r="D2669" s="21" t="n"/>
      <c r="E2669" s="22" t="n"/>
      <c r="F2669" s="23" t="n"/>
      <c r="G2669" s="23" t="n"/>
      <c r="H2669" s="23" t="n"/>
      <c r="I2669" s="20">
        <f>IF(COUNT(F2669:H2669)=0,"",SUM(F2669:H2669))</f>
        <v/>
      </c>
      <c r="J2669" s="23" t="n"/>
      <c r="K2669" s="23" t="n"/>
      <c r="L2669" s="23" t="n"/>
      <c r="M2669" s="23" t="n"/>
      <c r="N2669" s="23" t="n"/>
      <c r="O2669" s="20">
        <f>IF(OR(I2669="",COUNT(J2669:N2669)=0),"",IF(SUM(J2669:N2669)=I2669,"✓","⚠ "&amp;SUM(J2669:N2669)&amp;" statt "&amp;I2669))</f>
        <v/>
      </c>
      <c r="P2669" s="21" t="n"/>
      <c r="Q2669" s="21" t="n"/>
      <c r="R2669" s="21" t="n"/>
      <c r="S2669" s="24" t="n"/>
      <c r="T2669" s="24" t="n"/>
      <c r="V2669">
        <f>IF(A2669="","",MONTH(A2669))</f>
        <v/>
      </c>
      <c r="W2669">
        <f>N(W2668)+IF(AND(C2669&lt;&gt;"",T2669&lt;&gt;""),IF(C2669=WOCHE!$B$3,1,0),0)</f>
        <v/>
      </c>
      <c r="X2669">
        <f>N(X2668)+IF(AND(V2669&lt;&gt;"",T2669&lt;&gt;""),IF(V2669=MONAT!$AZ$3,1,0),0)</f>
        <v/>
      </c>
    </row>
    <row r="2670">
      <c r="A2670" s="19" t="n"/>
      <c r="B2670" s="20">
        <f>IF(A2670="","",CHOOSE(WEEKDAY(A2670,2),"Mo","Di","Mi","Do","Fr","Sa","So"))</f>
        <v/>
      </c>
      <c r="C2670" s="20">
        <f>IF(A2670="","",INT((A2670-DATE(YEAR(A2670-WEEKDAY(A2670-1)+4),1,3)+WEEKDAY(DATE(YEAR(A2670-WEEKDAY(A2670-1)+4),1,3))+5)/7))</f>
        <v/>
      </c>
      <c r="D2670" s="21" t="n"/>
      <c r="E2670" s="22" t="n"/>
      <c r="F2670" s="23" t="n"/>
      <c r="G2670" s="23" t="n"/>
      <c r="H2670" s="23" t="n"/>
      <c r="I2670" s="20">
        <f>IF(COUNT(F2670:H2670)=0,"",SUM(F2670:H2670))</f>
        <v/>
      </c>
      <c r="J2670" s="23" t="n"/>
      <c r="K2670" s="23" t="n"/>
      <c r="L2670" s="23" t="n"/>
      <c r="M2670" s="23" t="n"/>
      <c r="N2670" s="23" t="n"/>
      <c r="O2670" s="20">
        <f>IF(OR(I2670="",COUNT(J2670:N2670)=0),"",IF(SUM(J2670:N2670)=I2670,"✓","⚠ "&amp;SUM(J2670:N2670)&amp;" statt "&amp;I2670))</f>
        <v/>
      </c>
      <c r="P2670" s="21" t="n"/>
      <c r="Q2670" s="21" t="n"/>
      <c r="R2670" s="21" t="n"/>
      <c r="S2670" s="24" t="n"/>
      <c r="T2670" s="24" t="n"/>
      <c r="V2670">
        <f>IF(A2670="","",MONTH(A2670))</f>
        <v/>
      </c>
      <c r="W2670">
        <f>N(W2669)+IF(AND(C2670&lt;&gt;"",T2670&lt;&gt;""),IF(C2670=WOCHE!$B$3,1,0),0)</f>
        <v/>
      </c>
      <c r="X2670">
        <f>N(X2669)+IF(AND(V2670&lt;&gt;"",T2670&lt;&gt;""),IF(V2670=MONAT!$AZ$3,1,0),0)</f>
        <v/>
      </c>
    </row>
    <row r="2671">
      <c r="A2671" s="19" t="n"/>
      <c r="B2671" s="20">
        <f>IF(A2671="","",CHOOSE(WEEKDAY(A2671,2),"Mo","Di","Mi","Do","Fr","Sa","So"))</f>
        <v/>
      </c>
      <c r="C2671" s="20">
        <f>IF(A2671="","",INT((A2671-DATE(YEAR(A2671-WEEKDAY(A2671-1)+4),1,3)+WEEKDAY(DATE(YEAR(A2671-WEEKDAY(A2671-1)+4),1,3))+5)/7))</f>
        <v/>
      </c>
      <c r="D2671" s="21" t="n"/>
      <c r="E2671" s="22" t="n"/>
      <c r="F2671" s="23" t="n"/>
      <c r="G2671" s="23" t="n"/>
      <c r="H2671" s="23" t="n"/>
      <c r="I2671" s="20">
        <f>IF(COUNT(F2671:H2671)=0,"",SUM(F2671:H2671))</f>
        <v/>
      </c>
      <c r="J2671" s="23" t="n"/>
      <c r="K2671" s="23" t="n"/>
      <c r="L2671" s="23" t="n"/>
      <c r="M2671" s="23" t="n"/>
      <c r="N2671" s="23" t="n"/>
      <c r="O2671" s="20">
        <f>IF(OR(I2671="",COUNT(J2671:N2671)=0),"",IF(SUM(J2671:N2671)=I2671,"✓","⚠ "&amp;SUM(J2671:N2671)&amp;" statt "&amp;I2671))</f>
        <v/>
      </c>
      <c r="P2671" s="21" t="n"/>
      <c r="Q2671" s="21" t="n"/>
      <c r="R2671" s="21" t="n"/>
      <c r="S2671" s="24" t="n"/>
      <c r="T2671" s="24" t="n"/>
      <c r="V2671">
        <f>IF(A2671="","",MONTH(A2671))</f>
        <v/>
      </c>
      <c r="W2671">
        <f>N(W2670)+IF(AND(C2671&lt;&gt;"",T2671&lt;&gt;""),IF(C2671=WOCHE!$B$3,1,0),0)</f>
        <v/>
      </c>
      <c r="X2671">
        <f>N(X2670)+IF(AND(V2671&lt;&gt;"",T2671&lt;&gt;""),IF(V2671=MONAT!$AZ$3,1,0),0)</f>
        <v/>
      </c>
    </row>
    <row r="2672">
      <c r="A2672" s="19" t="n"/>
      <c r="B2672" s="20">
        <f>IF(A2672="","",CHOOSE(WEEKDAY(A2672,2),"Mo","Di","Mi","Do","Fr","Sa","So"))</f>
        <v/>
      </c>
      <c r="C2672" s="20">
        <f>IF(A2672="","",INT((A2672-DATE(YEAR(A2672-WEEKDAY(A2672-1)+4),1,3)+WEEKDAY(DATE(YEAR(A2672-WEEKDAY(A2672-1)+4),1,3))+5)/7))</f>
        <v/>
      </c>
      <c r="D2672" s="21" t="n"/>
      <c r="E2672" s="22" t="n"/>
      <c r="F2672" s="23" t="n"/>
      <c r="G2672" s="23" t="n"/>
      <c r="H2672" s="23" t="n"/>
      <c r="I2672" s="20">
        <f>IF(COUNT(F2672:H2672)=0,"",SUM(F2672:H2672))</f>
        <v/>
      </c>
      <c r="J2672" s="23" t="n"/>
      <c r="K2672" s="23" t="n"/>
      <c r="L2672" s="23" t="n"/>
      <c r="M2672" s="23" t="n"/>
      <c r="N2672" s="23" t="n"/>
      <c r="O2672" s="20">
        <f>IF(OR(I2672="",COUNT(J2672:N2672)=0),"",IF(SUM(J2672:N2672)=I2672,"✓","⚠ "&amp;SUM(J2672:N2672)&amp;" statt "&amp;I2672))</f>
        <v/>
      </c>
      <c r="P2672" s="21" t="n"/>
      <c r="Q2672" s="21" t="n"/>
      <c r="R2672" s="21" t="n"/>
      <c r="S2672" s="24" t="n"/>
      <c r="T2672" s="24" t="n"/>
      <c r="V2672">
        <f>IF(A2672="","",MONTH(A2672))</f>
        <v/>
      </c>
      <c r="W2672">
        <f>N(W2671)+IF(AND(C2672&lt;&gt;"",T2672&lt;&gt;""),IF(C2672=WOCHE!$B$3,1,0),0)</f>
        <v/>
      </c>
      <c r="X2672">
        <f>N(X2671)+IF(AND(V2672&lt;&gt;"",T2672&lt;&gt;""),IF(V2672=MONAT!$AZ$3,1,0),0)</f>
        <v/>
      </c>
    </row>
    <row r="2673">
      <c r="A2673" s="19" t="n"/>
      <c r="B2673" s="20">
        <f>IF(A2673="","",CHOOSE(WEEKDAY(A2673,2),"Mo","Di","Mi","Do","Fr","Sa","So"))</f>
        <v/>
      </c>
      <c r="C2673" s="20">
        <f>IF(A2673="","",INT((A2673-DATE(YEAR(A2673-WEEKDAY(A2673-1)+4),1,3)+WEEKDAY(DATE(YEAR(A2673-WEEKDAY(A2673-1)+4),1,3))+5)/7))</f>
        <v/>
      </c>
      <c r="D2673" s="21" t="n"/>
      <c r="E2673" s="22" t="n"/>
      <c r="F2673" s="23" t="n"/>
      <c r="G2673" s="23" t="n"/>
      <c r="H2673" s="23" t="n"/>
      <c r="I2673" s="20">
        <f>IF(COUNT(F2673:H2673)=0,"",SUM(F2673:H2673))</f>
        <v/>
      </c>
      <c r="J2673" s="23" t="n"/>
      <c r="K2673" s="23" t="n"/>
      <c r="L2673" s="23" t="n"/>
      <c r="M2673" s="23" t="n"/>
      <c r="N2673" s="23" t="n"/>
      <c r="O2673" s="20">
        <f>IF(OR(I2673="",COUNT(J2673:N2673)=0),"",IF(SUM(J2673:N2673)=I2673,"✓","⚠ "&amp;SUM(J2673:N2673)&amp;" statt "&amp;I2673))</f>
        <v/>
      </c>
      <c r="P2673" s="21" t="n"/>
      <c r="Q2673" s="21" t="n"/>
      <c r="R2673" s="21" t="n"/>
      <c r="S2673" s="24" t="n"/>
      <c r="T2673" s="24" t="n"/>
      <c r="V2673">
        <f>IF(A2673="","",MONTH(A2673))</f>
        <v/>
      </c>
      <c r="W2673">
        <f>N(W2672)+IF(AND(C2673&lt;&gt;"",T2673&lt;&gt;""),IF(C2673=WOCHE!$B$3,1,0),0)</f>
        <v/>
      </c>
      <c r="X2673">
        <f>N(X2672)+IF(AND(V2673&lt;&gt;"",T2673&lt;&gt;""),IF(V2673=MONAT!$AZ$3,1,0),0)</f>
        <v/>
      </c>
    </row>
    <row r="2674">
      <c r="A2674" s="19" t="n"/>
      <c r="B2674" s="20">
        <f>IF(A2674="","",CHOOSE(WEEKDAY(A2674,2),"Mo","Di","Mi","Do","Fr","Sa","So"))</f>
        <v/>
      </c>
      <c r="C2674" s="20">
        <f>IF(A2674="","",INT((A2674-DATE(YEAR(A2674-WEEKDAY(A2674-1)+4),1,3)+WEEKDAY(DATE(YEAR(A2674-WEEKDAY(A2674-1)+4),1,3))+5)/7))</f>
        <v/>
      </c>
      <c r="D2674" s="21" t="n"/>
      <c r="E2674" s="22" t="n"/>
      <c r="F2674" s="23" t="n"/>
      <c r="G2674" s="23" t="n"/>
      <c r="H2674" s="23" t="n"/>
      <c r="I2674" s="20">
        <f>IF(COUNT(F2674:H2674)=0,"",SUM(F2674:H2674))</f>
        <v/>
      </c>
      <c r="J2674" s="23" t="n"/>
      <c r="K2674" s="23" t="n"/>
      <c r="L2674" s="23" t="n"/>
      <c r="M2674" s="23" t="n"/>
      <c r="N2674" s="23" t="n"/>
      <c r="O2674" s="20">
        <f>IF(OR(I2674="",COUNT(J2674:N2674)=0),"",IF(SUM(J2674:N2674)=I2674,"✓","⚠ "&amp;SUM(J2674:N2674)&amp;" statt "&amp;I2674))</f>
        <v/>
      </c>
      <c r="P2674" s="21" t="n"/>
      <c r="Q2674" s="21" t="n"/>
      <c r="R2674" s="21" t="n"/>
      <c r="S2674" s="24" t="n"/>
      <c r="T2674" s="24" t="n"/>
      <c r="V2674">
        <f>IF(A2674="","",MONTH(A2674))</f>
        <v/>
      </c>
      <c r="W2674">
        <f>N(W2673)+IF(AND(C2674&lt;&gt;"",T2674&lt;&gt;""),IF(C2674=WOCHE!$B$3,1,0),0)</f>
        <v/>
      </c>
      <c r="X2674">
        <f>N(X2673)+IF(AND(V2674&lt;&gt;"",T2674&lt;&gt;""),IF(V2674=MONAT!$AZ$3,1,0),0)</f>
        <v/>
      </c>
    </row>
    <row r="2675">
      <c r="A2675" s="19" t="n"/>
      <c r="B2675" s="20">
        <f>IF(A2675="","",CHOOSE(WEEKDAY(A2675,2),"Mo","Di","Mi","Do","Fr","Sa","So"))</f>
        <v/>
      </c>
      <c r="C2675" s="20">
        <f>IF(A2675="","",INT((A2675-DATE(YEAR(A2675-WEEKDAY(A2675-1)+4),1,3)+WEEKDAY(DATE(YEAR(A2675-WEEKDAY(A2675-1)+4),1,3))+5)/7))</f>
        <v/>
      </c>
      <c r="D2675" s="21" t="n"/>
      <c r="E2675" s="22" t="n"/>
      <c r="F2675" s="23" t="n"/>
      <c r="G2675" s="23" t="n"/>
      <c r="H2675" s="23" t="n"/>
      <c r="I2675" s="20">
        <f>IF(COUNT(F2675:H2675)=0,"",SUM(F2675:H2675))</f>
        <v/>
      </c>
      <c r="J2675" s="23" t="n"/>
      <c r="K2675" s="23" t="n"/>
      <c r="L2675" s="23" t="n"/>
      <c r="M2675" s="23" t="n"/>
      <c r="N2675" s="23" t="n"/>
      <c r="O2675" s="20">
        <f>IF(OR(I2675="",COUNT(J2675:N2675)=0),"",IF(SUM(J2675:N2675)=I2675,"✓","⚠ "&amp;SUM(J2675:N2675)&amp;" statt "&amp;I2675))</f>
        <v/>
      </c>
      <c r="P2675" s="21" t="n"/>
      <c r="Q2675" s="21" t="n"/>
      <c r="R2675" s="21" t="n"/>
      <c r="S2675" s="24" t="n"/>
      <c r="T2675" s="24" t="n"/>
      <c r="V2675">
        <f>IF(A2675="","",MONTH(A2675))</f>
        <v/>
      </c>
      <c r="W2675">
        <f>N(W2674)+IF(AND(C2675&lt;&gt;"",T2675&lt;&gt;""),IF(C2675=WOCHE!$B$3,1,0),0)</f>
        <v/>
      </c>
      <c r="X2675">
        <f>N(X2674)+IF(AND(V2675&lt;&gt;"",T2675&lt;&gt;""),IF(V2675=MONAT!$AZ$3,1,0),0)</f>
        <v/>
      </c>
    </row>
    <row r="2676">
      <c r="A2676" s="19" t="n"/>
      <c r="B2676" s="20">
        <f>IF(A2676="","",CHOOSE(WEEKDAY(A2676,2),"Mo","Di","Mi","Do","Fr","Sa","So"))</f>
        <v/>
      </c>
      <c r="C2676" s="20">
        <f>IF(A2676="","",INT((A2676-DATE(YEAR(A2676-WEEKDAY(A2676-1)+4),1,3)+WEEKDAY(DATE(YEAR(A2676-WEEKDAY(A2676-1)+4),1,3))+5)/7))</f>
        <v/>
      </c>
      <c r="D2676" s="21" t="n"/>
      <c r="E2676" s="22" t="n"/>
      <c r="F2676" s="23" t="n"/>
      <c r="G2676" s="23" t="n"/>
      <c r="H2676" s="23" t="n"/>
      <c r="I2676" s="20">
        <f>IF(COUNT(F2676:H2676)=0,"",SUM(F2676:H2676))</f>
        <v/>
      </c>
      <c r="J2676" s="23" t="n"/>
      <c r="K2676" s="23" t="n"/>
      <c r="L2676" s="23" t="n"/>
      <c r="M2676" s="23" t="n"/>
      <c r="N2676" s="23" t="n"/>
      <c r="O2676" s="20">
        <f>IF(OR(I2676="",COUNT(J2676:N2676)=0),"",IF(SUM(J2676:N2676)=I2676,"✓","⚠ "&amp;SUM(J2676:N2676)&amp;" statt "&amp;I2676))</f>
        <v/>
      </c>
      <c r="P2676" s="21" t="n"/>
      <c r="Q2676" s="21" t="n"/>
      <c r="R2676" s="21" t="n"/>
      <c r="S2676" s="24" t="n"/>
      <c r="T2676" s="24" t="n"/>
      <c r="V2676">
        <f>IF(A2676="","",MONTH(A2676))</f>
        <v/>
      </c>
      <c r="W2676">
        <f>N(W2675)+IF(AND(C2676&lt;&gt;"",T2676&lt;&gt;""),IF(C2676=WOCHE!$B$3,1,0),0)</f>
        <v/>
      </c>
      <c r="X2676">
        <f>N(X2675)+IF(AND(V2676&lt;&gt;"",T2676&lt;&gt;""),IF(V2676=MONAT!$AZ$3,1,0),0)</f>
        <v/>
      </c>
    </row>
    <row r="2677">
      <c r="A2677" s="19" t="n"/>
      <c r="B2677" s="20">
        <f>IF(A2677="","",CHOOSE(WEEKDAY(A2677,2),"Mo","Di","Mi","Do","Fr","Sa","So"))</f>
        <v/>
      </c>
      <c r="C2677" s="20">
        <f>IF(A2677="","",INT((A2677-DATE(YEAR(A2677-WEEKDAY(A2677-1)+4),1,3)+WEEKDAY(DATE(YEAR(A2677-WEEKDAY(A2677-1)+4),1,3))+5)/7))</f>
        <v/>
      </c>
      <c r="D2677" s="21" t="n"/>
      <c r="E2677" s="22" t="n"/>
      <c r="F2677" s="23" t="n"/>
      <c r="G2677" s="23" t="n"/>
      <c r="H2677" s="23" t="n"/>
      <c r="I2677" s="20">
        <f>IF(COUNT(F2677:H2677)=0,"",SUM(F2677:H2677))</f>
        <v/>
      </c>
      <c r="J2677" s="23" t="n"/>
      <c r="K2677" s="23" t="n"/>
      <c r="L2677" s="23" t="n"/>
      <c r="M2677" s="23" t="n"/>
      <c r="N2677" s="23" t="n"/>
      <c r="O2677" s="20">
        <f>IF(OR(I2677="",COUNT(J2677:N2677)=0),"",IF(SUM(J2677:N2677)=I2677,"✓","⚠ "&amp;SUM(J2677:N2677)&amp;" statt "&amp;I2677))</f>
        <v/>
      </c>
      <c r="P2677" s="21" t="n"/>
      <c r="Q2677" s="21" t="n"/>
      <c r="R2677" s="21" t="n"/>
      <c r="S2677" s="24" t="n"/>
      <c r="T2677" s="24" t="n"/>
      <c r="V2677">
        <f>IF(A2677="","",MONTH(A2677))</f>
        <v/>
      </c>
      <c r="W2677">
        <f>N(W2676)+IF(AND(C2677&lt;&gt;"",T2677&lt;&gt;""),IF(C2677=WOCHE!$B$3,1,0),0)</f>
        <v/>
      </c>
      <c r="X2677">
        <f>N(X2676)+IF(AND(V2677&lt;&gt;"",T2677&lt;&gt;""),IF(V2677=MONAT!$AZ$3,1,0),0)</f>
        <v/>
      </c>
    </row>
    <row r="2678">
      <c r="A2678" s="19" t="n"/>
      <c r="B2678" s="20">
        <f>IF(A2678="","",CHOOSE(WEEKDAY(A2678,2),"Mo","Di","Mi","Do","Fr","Sa","So"))</f>
        <v/>
      </c>
      <c r="C2678" s="20">
        <f>IF(A2678="","",INT((A2678-DATE(YEAR(A2678-WEEKDAY(A2678-1)+4),1,3)+WEEKDAY(DATE(YEAR(A2678-WEEKDAY(A2678-1)+4),1,3))+5)/7))</f>
        <v/>
      </c>
      <c r="D2678" s="21" t="n"/>
      <c r="E2678" s="22" t="n"/>
      <c r="F2678" s="23" t="n"/>
      <c r="G2678" s="23" t="n"/>
      <c r="H2678" s="23" t="n"/>
      <c r="I2678" s="20">
        <f>IF(COUNT(F2678:H2678)=0,"",SUM(F2678:H2678))</f>
        <v/>
      </c>
      <c r="J2678" s="23" t="n"/>
      <c r="K2678" s="23" t="n"/>
      <c r="L2678" s="23" t="n"/>
      <c r="M2678" s="23" t="n"/>
      <c r="N2678" s="23" t="n"/>
      <c r="O2678" s="20">
        <f>IF(OR(I2678="",COUNT(J2678:N2678)=0),"",IF(SUM(J2678:N2678)=I2678,"✓","⚠ "&amp;SUM(J2678:N2678)&amp;" statt "&amp;I2678))</f>
        <v/>
      </c>
      <c r="P2678" s="21" t="n"/>
      <c r="Q2678" s="21" t="n"/>
      <c r="R2678" s="21" t="n"/>
      <c r="S2678" s="24" t="n"/>
      <c r="T2678" s="24" t="n"/>
      <c r="V2678">
        <f>IF(A2678="","",MONTH(A2678))</f>
        <v/>
      </c>
      <c r="W2678">
        <f>N(W2677)+IF(AND(C2678&lt;&gt;"",T2678&lt;&gt;""),IF(C2678=WOCHE!$B$3,1,0),0)</f>
        <v/>
      </c>
      <c r="X2678">
        <f>N(X2677)+IF(AND(V2678&lt;&gt;"",T2678&lt;&gt;""),IF(V2678=MONAT!$AZ$3,1,0),0)</f>
        <v/>
      </c>
    </row>
    <row r="2679">
      <c r="A2679" s="19" t="n"/>
      <c r="B2679" s="20">
        <f>IF(A2679="","",CHOOSE(WEEKDAY(A2679,2),"Mo","Di","Mi","Do","Fr","Sa","So"))</f>
        <v/>
      </c>
      <c r="C2679" s="20">
        <f>IF(A2679="","",INT((A2679-DATE(YEAR(A2679-WEEKDAY(A2679-1)+4),1,3)+WEEKDAY(DATE(YEAR(A2679-WEEKDAY(A2679-1)+4),1,3))+5)/7))</f>
        <v/>
      </c>
      <c r="D2679" s="21" t="n"/>
      <c r="E2679" s="22" t="n"/>
      <c r="F2679" s="23" t="n"/>
      <c r="G2679" s="23" t="n"/>
      <c r="H2679" s="23" t="n"/>
      <c r="I2679" s="20">
        <f>IF(COUNT(F2679:H2679)=0,"",SUM(F2679:H2679))</f>
        <v/>
      </c>
      <c r="J2679" s="23" t="n"/>
      <c r="K2679" s="23" t="n"/>
      <c r="L2679" s="23" t="n"/>
      <c r="M2679" s="23" t="n"/>
      <c r="N2679" s="23" t="n"/>
      <c r="O2679" s="20">
        <f>IF(OR(I2679="",COUNT(J2679:N2679)=0),"",IF(SUM(J2679:N2679)=I2679,"✓","⚠ "&amp;SUM(J2679:N2679)&amp;" statt "&amp;I2679))</f>
        <v/>
      </c>
      <c r="P2679" s="21" t="n"/>
      <c r="Q2679" s="21" t="n"/>
      <c r="R2679" s="21" t="n"/>
      <c r="S2679" s="24" t="n"/>
      <c r="T2679" s="24" t="n"/>
      <c r="V2679">
        <f>IF(A2679="","",MONTH(A2679))</f>
        <v/>
      </c>
      <c r="W2679">
        <f>N(W2678)+IF(AND(C2679&lt;&gt;"",T2679&lt;&gt;""),IF(C2679=WOCHE!$B$3,1,0),0)</f>
        <v/>
      </c>
      <c r="X2679">
        <f>N(X2678)+IF(AND(V2679&lt;&gt;"",T2679&lt;&gt;""),IF(V2679=MONAT!$AZ$3,1,0),0)</f>
        <v/>
      </c>
    </row>
    <row r="2680">
      <c r="A2680" s="19" t="n"/>
      <c r="B2680" s="20">
        <f>IF(A2680="","",CHOOSE(WEEKDAY(A2680,2),"Mo","Di","Mi","Do","Fr","Sa","So"))</f>
        <v/>
      </c>
      <c r="C2680" s="20">
        <f>IF(A2680="","",INT((A2680-DATE(YEAR(A2680-WEEKDAY(A2680-1)+4),1,3)+WEEKDAY(DATE(YEAR(A2680-WEEKDAY(A2680-1)+4),1,3))+5)/7))</f>
        <v/>
      </c>
      <c r="D2680" s="21" t="n"/>
      <c r="E2680" s="22" t="n"/>
      <c r="F2680" s="23" t="n"/>
      <c r="G2680" s="23" t="n"/>
      <c r="H2680" s="23" t="n"/>
      <c r="I2680" s="20">
        <f>IF(COUNT(F2680:H2680)=0,"",SUM(F2680:H2680))</f>
        <v/>
      </c>
      <c r="J2680" s="23" t="n"/>
      <c r="K2680" s="23" t="n"/>
      <c r="L2680" s="23" t="n"/>
      <c r="M2680" s="23" t="n"/>
      <c r="N2680" s="23" t="n"/>
      <c r="O2680" s="20">
        <f>IF(OR(I2680="",COUNT(J2680:N2680)=0),"",IF(SUM(J2680:N2680)=I2680,"✓","⚠ "&amp;SUM(J2680:N2680)&amp;" statt "&amp;I2680))</f>
        <v/>
      </c>
      <c r="P2680" s="21" t="n"/>
      <c r="Q2680" s="21" t="n"/>
      <c r="R2680" s="21" t="n"/>
      <c r="S2680" s="24" t="n"/>
      <c r="T2680" s="24" t="n"/>
      <c r="V2680">
        <f>IF(A2680="","",MONTH(A2680))</f>
        <v/>
      </c>
      <c r="W2680">
        <f>N(W2679)+IF(AND(C2680&lt;&gt;"",T2680&lt;&gt;""),IF(C2680=WOCHE!$B$3,1,0),0)</f>
        <v/>
      </c>
      <c r="X2680">
        <f>N(X2679)+IF(AND(V2680&lt;&gt;"",T2680&lt;&gt;""),IF(V2680=MONAT!$AZ$3,1,0),0)</f>
        <v/>
      </c>
    </row>
    <row r="2681">
      <c r="A2681" s="19" t="n"/>
      <c r="B2681" s="20">
        <f>IF(A2681="","",CHOOSE(WEEKDAY(A2681,2),"Mo","Di","Mi","Do","Fr","Sa","So"))</f>
        <v/>
      </c>
      <c r="C2681" s="20">
        <f>IF(A2681="","",INT((A2681-DATE(YEAR(A2681-WEEKDAY(A2681-1)+4),1,3)+WEEKDAY(DATE(YEAR(A2681-WEEKDAY(A2681-1)+4),1,3))+5)/7))</f>
        <v/>
      </c>
      <c r="D2681" s="21" t="n"/>
      <c r="E2681" s="22" t="n"/>
      <c r="F2681" s="23" t="n"/>
      <c r="G2681" s="23" t="n"/>
      <c r="H2681" s="23" t="n"/>
      <c r="I2681" s="20">
        <f>IF(COUNT(F2681:H2681)=0,"",SUM(F2681:H2681))</f>
        <v/>
      </c>
      <c r="J2681" s="23" t="n"/>
      <c r="K2681" s="23" t="n"/>
      <c r="L2681" s="23" t="n"/>
      <c r="M2681" s="23" t="n"/>
      <c r="N2681" s="23" t="n"/>
      <c r="O2681" s="20">
        <f>IF(OR(I2681="",COUNT(J2681:N2681)=0),"",IF(SUM(J2681:N2681)=I2681,"✓","⚠ "&amp;SUM(J2681:N2681)&amp;" statt "&amp;I2681))</f>
        <v/>
      </c>
      <c r="P2681" s="21" t="n"/>
      <c r="Q2681" s="21" t="n"/>
      <c r="R2681" s="21" t="n"/>
      <c r="S2681" s="24" t="n"/>
      <c r="T2681" s="24" t="n"/>
      <c r="V2681">
        <f>IF(A2681="","",MONTH(A2681))</f>
        <v/>
      </c>
      <c r="W2681">
        <f>N(W2680)+IF(AND(C2681&lt;&gt;"",T2681&lt;&gt;""),IF(C2681=WOCHE!$B$3,1,0),0)</f>
        <v/>
      </c>
      <c r="X2681">
        <f>N(X2680)+IF(AND(V2681&lt;&gt;"",T2681&lt;&gt;""),IF(V2681=MONAT!$AZ$3,1,0),0)</f>
        <v/>
      </c>
    </row>
    <row r="2682">
      <c r="A2682" s="19" t="n"/>
      <c r="B2682" s="20">
        <f>IF(A2682="","",CHOOSE(WEEKDAY(A2682,2),"Mo","Di","Mi","Do","Fr","Sa","So"))</f>
        <v/>
      </c>
      <c r="C2682" s="20">
        <f>IF(A2682="","",INT((A2682-DATE(YEAR(A2682-WEEKDAY(A2682-1)+4),1,3)+WEEKDAY(DATE(YEAR(A2682-WEEKDAY(A2682-1)+4),1,3))+5)/7))</f>
        <v/>
      </c>
      <c r="D2682" s="21" t="n"/>
      <c r="E2682" s="22" t="n"/>
      <c r="F2682" s="23" t="n"/>
      <c r="G2682" s="23" t="n"/>
      <c r="H2682" s="23" t="n"/>
      <c r="I2682" s="20">
        <f>IF(COUNT(F2682:H2682)=0,"",SUM(F2682:H2682))</f>
        <v/>
      </c>
      <c r="J2682" s="23" t="n"/>
      <c r="K2682" s="23" t="n"/>
      <c r="L2682" s="23" t="n"/>
      <c r="M2682" s="23" t="n"/>
      <c r="N2682" s="23" t="n"/>
      <c r="O2682" s="20">
        <f>IF(OR(I2682="",COUNT(J2682:N2682)=0),"",IF(SUM(J2682:N2682)=I2682,"✓","⚠ "&amp;SUM(J2682:N2682)&amp;" statt "&amp;I2682))</f>
        <v/>
      </c>
      <c r="P2682" s="21" t="n"/>
      <c r="Q2682" s="21" t="n"/>
      <c r="R2682" s="21" t="n"/>
      <c r="S2682" s="24" t="n"/>
      <c r="T2682" s="24" t="n"/>
      <c r="V2682">
        <f>IF(A2682="","",MONTH(A2682))</f>
        <v/>
      </c>
      <c r="W2682">
        <f>N(W2681)+IF(AND(C2682&lt;&gt;"",T2682&lt;&gt;""),IF(C2682=WOCHE!$B$3,1,0),0)</f>
        <v/>
      </c>
      <c r="X2682">
        <f>N(X2681)+IF(AND(V2682&lt;&gt;"",T2682&lt;&gt;""),IF(V2682=MONAT!$AZ$3,1,0),0)</f>
        <v/>
      </c>
    </row>
    <row r="2683">
      <c r="A2683" s="19" t="n"/>
      <c r="B2683" s="20">
        <f>IF(A2683="","",CHOOSE(WEEKDAY(A2683,2),"Mo","Di","Mi","Do","Fr","Sa","So"))</f>
        <v/>
      </c>
      <c r="C2683" s="20">
        <f>IF(A2683="","",INT((A2683-DATE(YEAR(A2683-WEEKDAY(A2683-1)+4),1,3)+WEEKDAY(DATE(YEAR(A2683-WEEKDAY(A2683-1)+4),1,3))+5)/7))</f>
        <v/>
      </c>
      <c r="D2683" s="21" t="n"/>
      <c r="E2683" s="22" t="n"/>
      <c r="F2683" s="23" t="n"/>
      <c r="G2683" s="23" t="n"/>
      <c r="H2683" s="23" t="n"/>
      <c r="I2683" s="20">
        <f>IF(COUNT(F2683:H2683)=0,"",SUM(F2683:H2683))</f>
        <v/>
      </c>
      <c r="J2683" s="23" t="n"/>
      <c r="K2683" s="23" t="n"/>
      <c r="L2683" s="23" t="n"/>
      <c r="M2683" s="23" t="n"/>
      <c r="N2683" s="23" t="n"/>
      <c r="O2683" s="20">
        <f>IF(OR(I2683="",COUNT(J2683:N2683)=0),"",IF(SUM(J2683:N2683)=I2683,"✓","⚠ "&amp;SUM(J2683:N2683)&amp;" statt "&amp;I2683))</f>
        <v/>
      </c>
      <c r="P2683" s="21" t="n"/>
      <c r="Q2683" s="21" t="n"/>
      <c r="R2683" s="21" t="n"/>
      <c r="S2683" s="24" t="n"/>
      <c r="T2683" s="24" t="n"/>
      <c r="V2683">
        <f>IF(A2683="","",MONTH(A2683))</f>
        <v/>
      </c>
      <c r="W2683">
        <f>N(W2682)+IF(AND(C2683&lt;&gt;"",T2683&lt;&gt;""),IF(C2683=WOCHE!$B$3,1,0),0)</f>
        <v/>
      </c>
      <c r="X2683">
        <f>N(X2682)+IF(AND(V2683&lt;&gt;"",T2683&lt;&gt;""),IF(V2683=MONAT!$AZ$3,1,0),0)</f>
        <v/>
      </c>
    </row>
    <row r="2684">
      <c r="A2684" s="19" t="n"/>
      <c r="B2684" s="20">
        <f>IF(A2684="","",CHOOSE(WEEKDAY(A2684,2),"Mo","Di","Mi","Do","Fr","Sa","So"))</f>
        <v/>
      </c>
      <c r="C2684" s="20">
        <f>IF(A2684="","",INT((A2684-DATE(YEAR(A2684-WEEKDAY(A2684-1)+4),1,3)+WEEKDAY(DATE(YEAR(A2684-WEEKDAY(A2684-1)+4),1,3))+5)/7))</f>
        <v/>
      </c>
      <c r="D2684" s="21" t="n"/>
      <c r="E2684" s="22" t="n"/>
      <c r="F2684" s="23" t="n"/>
      <c r="G2684" s="23" t="n"/>
      <c r="H2684" s="23" t="n"/>
      <c r="I2684" s="20">
        <f>IF(COUNT(F2684:H2684)=0,"",SUM(F2684:H2684))</f>
        <v/>
      </c>
      <c r="J2684" s="23" t="n"/>
      <c r="K2684" s="23" t="n"/>
      <c r="L2684" s="23" t="n"/>
      <c r="M2684" s="23" t="n"/>
      <c r="N2684" s="23" t="n"/>
      <c r="O2684" s="20">
        <f>IF(OR(I2684="",COUNT(J2684:N2684)=0),"",IF(SUM(J2684:N2684)=I2684,"✓","⚠ "&amp;SUM(J2684:N2684)&amp;" statt "&amp;I2684))</f>
        <v/>
      </c>
      <c r="P2684" s="21" t="n"/>
      <c r="Q2684" s="21" t="n"/>
      <c r="R2684" s="21" t="n"/>
      <c r="S2684" s="24" t="n"/>
      <c r="T2684" s="24" t="n"/>
      <c r="V2684">
        <f>IF(A2684="","",MONTH(A2684))</f>
        <v/>
      </c>
      <c r="W2684">
        <f>N(W2683)+IF(AND(C2684&lt;&gt;"",T2684&lt;&gt;""),IF(C2684=WOCHE!$B$3,1,0),0)</f>
        <v/>
      </c>
      <c r="X2684">
        <f>N(X2683)+IF(AND(V2684&lt;&gt;"",T2684&lt;&gt;""),IF(V2684=MONAT!$AZ$3,1,0),0)</f>
        <v/>
      </c>
    </row>
    <row r="2685">
      <c r="A2685" s="19" t="n"/>
      <c r="B2685" s="20">
        <f>IF(A2685="","",CHOOSE(WEEKDAY(A2685,2),"Mo","Di","Mi","Do","Fr","Sa","So"))</f>
        <v/>
      </c>
      <c r="C2685" s="20">
        <f>IF(A2685="","",INT((A2685-DATE(YEAR(A2685-WEEKDAY(A2685-1)+4),1,3)+WEEKDAY(DATE(YEAR(A2685-WEEKDAY(A2685-1)+4),1,3))+5)/7))</f>
        <v/>
      </c>
      <c r="D2685" s="21" t="n"/>
      <c r="E2685" s="22" t="n"/>
      <c r="F2685" s="23" t="n"/>
      <c r="G2685" s="23" t="n"/>
      <c r="H2685" s="23" t="n"/>
      <c r="I2685" s="20">
        <f>IF(COUNT(F2685:H2685)=0,"",SUM(F2685:H2685))</f>
        <v/>
      </c>
      <c r="J2685" s="23" t="n"/>
      <c r="K2685" s="23" t="n"/>
      <c r="L2685" s="23" t="n"/>
      <c r="M2685" s="23" t="n"/>
      <c r="N2685" s="23" t="n"/>
      <c r="O2685" s="20">
        <f>IF(OR(I2685="",COUNT(J2685:N2685)=0),"",IF(SUM(J2685:N2685)=I2685,"✓","⚠ "&amp;SUM(J2685:N2685)&amp;" statt "&amp;I2685))</f>
        <v/>
      </c>
      <c r="P2685" s="21" t="n"/>
      <c r="Q2685" s="21" t="n"/>
      <c r="R2685" s="21" t="n"/>
      <c r="S2685" s="24" t="n"/>
      <c r="T2685" s="24" t="n"/>
      <c r="V2685">
        <f>IF(A2685="","",MONTH(A2685))</f>
        <v/>
      </c>
      <c r="W2685">
        <f>N(W2684)+IF(AND(C2685&lt;&gt;"",T2685&lt;&gt;""),IF(C2685=WOCHE!$B$3,1,0),0)</f>
        <v/>
      </c>
      <c r="X2685">
        <f>N(X2684)+IF(AND(V2685&lt;&gt;"",T2685&lt;&gt;""),IF(V2685=MONAT!$AZ$3,1,0),0)</f>
        <v/>
      </c>
    </row>
    <row r="2686">
      <c r="A2686" s="19" t="n"/>
      <c r="B2686" s="20">
        <f>IF(A2686="","",CHOOSE(WEEKDAY(A2686,2),"Mo","Di","Mi","Do","Fr","Sa","So"))</f>
        <v/>
      </c>
      <c r="C2686" s="20">
        <f>IF(A2686="","",INT((A2686-DATE(YEAR(A2686-WEEKDAY(A2686-1)+4),1,3)+WEEKDAY(DATE(YEAR(A2686-WEEKDAY(A2686-1)+4),1,3))+5)/7))</f>
        <v/>
      </c>
      <c r="D2686" s="21" t="n"/>
      <c r="E2686" s="22" t="n"/>
      <c r="F2686" s="23" t="n"/>
      <c r="G2686" s="23" t="n"/>
      <c r="H2686" s="23" t="n"/>
      <c r="I2686" s="20">
        <f>IF(COUNT(F2686:H2686)=0,"",SUM(F2686:H2686))</f>
        <v/>
      </c>
      <c r="J2686" s="23" t="n"/>
      <c r="K2686" s="23" t="n"/>
      <c r="L2686" s="23" t="n"/>
      <c r="M2686" s="23" t="n"/>
      <c r="N2686" s="23" t="n"/>
      <c r="O2686" s="20">
        <f>IF(OR(I2686="",COUNT(J2686:N2686)=0),"",IF(SUM(J2686:N2686)=I2686,"✓","⚠ "&amp;SUM(J2686:N2686)&amp;" statt "&amp;I2686))</f>
        <v/>
      </c>
      <c r="P2686" s="21" t="n"/>
      <c r="Q2686" s="21" t="n"/>
      <c r="R2686" s="21" t="n"/>
      <c r="S2686" s="24" t="n"/>
      <c r="T2686" s="24" t="n"/>
      <c r="V2686">
        <f>IF(A2686="","",MONTH(A2686))</f>
        <v/>
      </c>
      <c r="W2686">
        <f>N(W2685)+IF(AND(C2686&lt;&gt;"",T2686&lt;&gt;""),IF(C2686=WOCHE!$B$3,1,0),0)</f>
        <v/>
      </c>
      <c r="X2686">
        <f>N(X2685)+IF(AND(V2686&lt;&gt;"",T2686&lt;&gt;""),IF(V2686=MONAT!$AZ$3,1,0),0)</f>
        <v/>
      </c>
    </row>
    <row r="2687">
      <c r="A2687" s="19" t="n"/>
      <c r="B2687" s="20">
        <f>IF(A2687="","",CHOOSE(WEEKDAY(A2687,2),"Mo","Di","Mi","Do","Fr","Sa","So"))</f>
        <v/>
      </c>
      <c r="C2687" s="20">
        <f>IF(A2687="","",INT((A2687-DATE(YEAR(A2687-WEEKDAY(A2687-1)+4),1,3)+WEEKDAY(DATE(YEAR(A2687-WEEKDAY(A2687-1)+4),1,3))+5)/7))</f>
        <v/>
      </c>
      <c r="D2687" s="21" t="n"/>
      <c r="E2687" s="22" t="n"/>
      <c r="F2687" s="23" t="n"/>
      <c r="G2687" s="23" t="n"/>
      <c r="H2687" s="23" t="n"/>
      <c r="I2687" s="20">
        <f>IF(COUNT(F2687:H2687)=0,"",SUM(F2687:H2687))</f>
        <v/>
      </c>
      <c r="J2687" s="23" t="n"/>
      <c r="K2687" s="23" t="n"/>
      <c r="L2687" s="23" t="n"/>
      <c r="M2687" s="23" t="n"/>
      <c r="N2687" s="23" t="n"/>
      <c r="O2687" s="20">
        <f>IF(OR(I2687="",COUNT(J2687:N2687)=0),"",IF(SUM(J2687:N2687)=I2687,"✓","⚠ "&amp;SUM(J2687:N2687)&amp;" statt "&amp;I2687))</f>
        <v/>
      </c>
      <c r="P2687" s="21" t="n"/>
      <c r="Q2687" s="21" t="n"/>
      <c r="R2687" s="21" t="n"/>
      <c r="S2687" s="24" t="n"/>
      <c r="T2687" s="24" t="n"/>
      <c r="V2687">
        <f>IF(A2687="","",MONTH(A2687))</f>
        <v/>
      </c>
      <c r="W2687">
        <f>N(W2686)+IF(AND(C2687&lt;&gt;"",T2687&lt;&gt;""),IF(C2687=WOCHE!$B$3,1,0),0)</f>
        <v/>
      </c>
      <c r="X2687">
        <f>N(X2686)+IF(AND(V2687&lt;&gt;"",T2687&lt;&gt;""),IF(V2687=MONAT!$AZ$3,1,0),0)</f>
        <v/>
      </c>
    </row>
    <row r="2688">
      <c r="A2688" s="19" t="n"/>
      <c r="B2688" s="20">
        <f>IF(A2688="","",CHOOSE(WEEKDAY(A2688,2),"Mo","Di","Mi","Do","Fr","Sa","So"))</f>
        <v/>
      </c>
      <c r="C2688" s="20">
        <f>IF(A2688="","",INT((A2688-DATE(YEAR(A2688-WEEKDAY(A2688-1)+4),1,3)+WEEKDAY(DATE(YEAR(A2688-WEEKDAY(A2688-1)+4),1,3))+5)/7))</f>
        <v/>
      </c>
      <c r="D2688" s="21" t="n"/>
      <c r="E2688" s="22" t="n"/>
      <c r="F2688" s="23" t="n"/>
      <c r="G2688" s="23" t="n"/>
      <c r="H2688" s="23" t="n"/>
      <c r="I2688" s="20">
        <f>IF(COUNT(F2688:H2688)=0,"",SUM(F2688:H2688))</f>
        <v/>
      </c>
      <c r="J2688" s="23" t="n"/>
      <c r="K2688" s="23" t="n"/>
      <c r="L2688" s="23" t="n"/>
      <c r="M2688" s="23" t="n"/>
      <c r="N2688" s="23" t="n"/>
      <c r="O2688" s="20">
        <f>IF(OR(I2688="",COUNT(J2688:N2688)=0),"",IF(SUM(J2688:N2688)=I2688,"✓","⚠ "&amp;SUM(J2688:N2688)&amp;" statt "&amp;I2688))</f>
        <v/>
      </c>
      <c r="P2688" s="21" t="n"/>
      <c r="Q2688" s="21" t="n"/>
      <c r="R2688" s="21" t="n"/>
      <c r="S2688" s="24" t="n"/>
      <c r="T2688" s="24" t="n"/>
      <c r="V2688">
        <f>IF(A2688="","",MONTH(A2688))</f>
        <v/>
      </c>
      <c r="W2688">
        <f>N(W2687)+IF(AND(C2688&lt;&gt;"",T2688&lt;&gt;""),IF(C2688=WOCHE!$B$3,1,0),0)</f>
        <v/>
      </c>
      <c r="X2688">
        <f>N(X2687)+IF(AND(V2688&lt;&gt;"",T2688&lt;&gt;""),IF(V2688=MONAT!$AZ$3,1,0),0)</f>
        <v/>
      </c>
    </row>
    <row r="2689">
      <c r="A2689" s="19" t="n"/>
      <c r="B2689" s="20">
        <f>IF(A2689="","",CHOOSE(WEEKDAY(A2689,2),"Mo","Di","Mi","Do","Fr","Sa","So"))</f>
        <v/>
      </c>
      <c r="C2689" s="20">
        <f>IF(A2689="","",INT((A2689-DATE(YEAR(A2689-WEEKDAY(A2689-1)+4),1,3)+WEEKDAY(DATE(YEAR(A2689-WEEKDAY(A2689-1)+4),1,3))+5)/7))</f>
        <v/>
      </c>
      <c r="D2689" s="21" t="n"/>
      <c r="E2689" s="22" t="n"/>
      <c r="F2689" s="23" t="n"/>
      <c r="G2689" s="23" t="n"/>
      <c r="H2689" s="23" t="n"/>
      <c r="I2689" s="20">
        <f>IF(COUNT(F2689:H2689)=0,"",SUM(F2689:H2689))</f>
        <v/>
      </c>
      <c r="J2689" s="23" t="n"/>
      <c r="K2689" s="23" t="n"/>
      <c r="L2689" s="23" t="n"/>
      <c r="M2689" s="23" t="n"/>
      <c r="N2689" s="23" t="n"/>
      <c r="O2689" s="20">
        <f>IF(OR(I2689="",COUNT(J2689:N2689)=0),"",IF(SUM(J2689:N2689)=I2689,"✓","⚠ "&amp;SUM(J2689:N2689)&amp;" statt "&amp;I2689))</f>
        <v/>
      </c>
      <c r="P2689" s="21" t="n"/>
      <c r="Q2689" s="21" t="n"/>
      <c r="R2689" s="21" t="n"/>
      <c r="S2689" s="24" t="n"/>
      <c r="T2689" s="24" t="n"/>
      <c r="V2689">
        <f>IF(A2689="","",MONTH(A2689))</f>
        <v/>
      </c>
      <c r="W2689">
        <f>N(W2688)+IF(AND(C2689&lt;&gt;"",T2689&lt;&gt;""),IF(C2689=WOCHE!$B$3,1,0),0)</f>
        <v/>
      </c>
      <c r="X2689">
        <f>N(X2688)+IF(AND(V2689&lt;&gt;"",T2689&lt;&gt;""),IF(V2689=MONAT!$AZ$3,1,0),0)</f>
        <v/>
      </c>
    </row>
    <row r="2690">
      <c r="A2690" s="19" t="n"/>
      <c r="B2690" s="20">
        <f>IF(A2690="","",CHOOSE(WEEKDAY(A2690,2),"Mo","Di","Mi","Do","Fr","Sa","So"))</f>
        <v/>
      </c>
      <c r="C2690" s="20">
        <f>IF(A2690="","",INT((A2690-DATE(YEAR(A2690-WEEKDAY(A2690-1)+4),1,3)+WEEKDAY(DATE(YEAR(A2690-WEEKDAY(A2690-1)+4),1,3))+5)/7))</f>
        <v/>
      </c>
      <c r="D2690" s="21" t="n"/>
      <c r="E2690" s="22" t="n"/>
      <c r="F2690" s="23" t="n"/>
      <c r="G2690" s="23" t="n"/>
      <c r="H2690" s="23" t="n"/>
      <c r="I2690" s="20">
        <f>IF(COUNT(F2690:H2690)=0,"",SUM(F2690:H2690))</f>
        <v/>
      </c>
      <c r="J2690" s="23" t="n"/>
      <c r="K2690" s="23" t="n"/>
      <c r="L2690" s="23" t="n"/>
      <c r="M2690" s="23" t="n"/>
      <c r="N2690" s="23" t="n"/>
      <c r="O2690" s="20">
        <f>IF(OR(I2690="",COUNT(J2690:N2690)=0),"",IF(SUM(J2690:N2690)=I2690,"✓","⚠ "&amp;SUM(J2690:N2690)&amp;" statt "&amp;I2690))</f>
        <v/>
      </c>
      <c r="P2690" s="21" t="n"/>
      <c r="Q2690" s="21" t="n"/>
      <c r="R2690" s="21" t="n"/>
      <c r="S2690" s="24" t="n"/>
      <c r="T2690" s="24" t="n"/>
      <c r="V2690">
        <f>IF(A2690="","",MONTH(A2690))</f>
        <v/>
      </c>
      <c r="W2690">
        <f>N(W2689)+IF(AND(C2690&lt;&gt;"",T2690&lt;&gt;""),IF(C2690=WOCHE!$B$3,1,0),0)</f>
        <v/>
      </c>
      <c r="X2690">
        <f>N(X2689)+IF(AND(V2690&lt;&gt;"",T2690&lt;&gt;""),IF(V2690=MONAT!$AZ$3,1,0),0)</f>
        <v/>
      </c>
    </row>
    <row r="2691">
      <c r="A2691" s="19" t="n"/>
      <c r="B2691" s="20">
        <f>IF(A2691="","",CHOOSE(WEEKDAY(A2691,2),"Mo","Di","Mi","Do","Fr","Sa","So"))</f>
        <v/>
      </c>
      <c r="C2691" s="20">
        <f>IF(A2691="","",INT((A2691-DATE(YEAR(A2691-WEEKDAY(A2691-1)+4),1,3)+WEEKDAY(DATE(YEAR(A2691-WEEKDAY(A2691-1)+4),1,3))+5)/7))</f>
        <v/>
      </c>
      <c r="D2691" s="21" t="n"/>
      <c r="E2691" s="22" t="n"/>
      <c r="F2691" s="23" t="n"/>
      <c r="G2691" s="23" t="n"/>
      <c r="H2691" s="23" t="n"/>
      <c r="I2691" s="20">
        <f>IF(COUNT(F2691:H2691)=0,"",SUM(F2691:H2691))</f>
        <v/>
      </c>
      <c r="J2691" s="23" t="n"/>
      <c r="K2691" s="23" t="n"/>
      <c r="L2691" s="23" t="n"/>
      <c r="M2691" s="23" t="n"/>
      <c r="N2691" s="23" t="n"/>
      <c r="O2691" s="20">
        <f>IF(OR(I2691="",COUNT(J2691:N2691)=0),"",IF(SUM(J2691:N2691)=I2691,"✓","⚠ "&amp;SUM(J2691:N2691)&amp;" statt "&amp;I2691))</f>
        <v/>
      </c>
      <c r="P2691" s="21" t="n"/>
      <c r="Q2691" s="21" t="n"/>
      <c r="R2691" s="21" t="n"/>
      <c r="S2691" s="24" t="n"/>
      <c r="T2691" s="24" t="n"/>
      <c r="V2691">
        <f>IF(A2691="","",MONTH(A2691))</f>
        <v/>
      </c>
      <c r="W2691">
        <f>N(W2690)+IF(AND(C2691&lt;&gt;"",T2691&lt;&gt;""),IF(C2691=WOCHE!$B$3,1,0),0)</f>
        <v/>
      </c>
      <c r="X2691">
        <f>N(X2690)+IF(AND(V2691&lt;&gt;"",T2691&lt;&gt;""),IF(V2691=MONAT!$AZ$3,1,0),0)</f>
        <v/>
      </c>
    </row>
    <row r="2692">
      <c r="A2692" s="19" t="n"/>
      <c r="B2692" s="20">
        <f>IF(A2692="","",CHOOSE(WEEKDAY(A2692,2),"Mo","Di","Mi","Do","Fr","Sa","So"))</f>
        <v/>
      </c>
      <c r="C2692" s="20">
        <f>IF(A2692="","",INT((A2692-DATE(YEAR(A2692-WEEKDAY(A2692-1)+4),1,3)+WEEKDAY(DATE(YEAR(A2692-WEEKDAY(A2692-1)+4),1,3))+5)/7))</f>
        <v/>
      </c>
      <c r="D2692" s="21" t="n"/>
      <c r="E2692" s="22" t="n"/>
      <c r="F2692" s="23" t="n"/>
      <c r="G2692" s="23" t="n"/>
      <c r="H2692" s="23" t="n"/>
      <c r="I2692" s="20">
        <f>IF(COUNT(F2692:H2692)=0,"",SUM(F2692:H2692))</f>
        <v/>
      </c>
      <c r="J2692" s="23" t="n"/>
      <c r="K2692" s="23" t="n"/>
      <c r="L2692" s="23" t="n"/>
      <c r="M2692" s="23" t="n"/>
      <c r="N2692" s="23" t="n"/>
      <c r="O2692" s="20">
        <f>IF(OR(I2692="",COUNT(J2692:N2692)=0),"",IF(SUM(J2692:N2692)=I2692,"✓","⚠ "&amp;SUM(J2692:N2692)&amp;" statt "&amp;I2692))</f>
        <v/>
      </c>
      <c r="P2692" s="21" t="n"/>
      <c r="Q2692" s="21" t="n"/>
      <c r="R2692" s="21" t="n"/>
      <c r="S2692" s="24" t="n"/>
      <c r="T2692" s="24" t="n"/>
      <c r="V2692">
        <f>IF(A2692="","",MONTH(A2692))</f>
        <v/>
      </c>
      <c r="W2692">
        <f>N(W2691)+IF(AND(C2692&lt;&gt;"",T2692&lt;&gt;""),IF(C2692=WOCHE!$B$3,1,0),0)</f>
        <v/>
      </c>
      <c r="X2692">
        <f>N(X2691)+IF(AND(V2692&lt;&gt;"",T2692&lt;&gt;""),IF(V2692=MONAT!$AZ$3,1,0),0)</f>
        <v/>
      </c>
    </row>
    <row r="2693">
      <c r="A2693" s="19" t="n"/>
      <c r="B2693" s="20">
        <f>IF(A2693="","",CHOOSE(WEEKDAY(A2693,2),"Mo","Di","Mi","Do","Fr","Sa","So"))</f>
        <v/>
      </c>
      <c r="C2693" s="20">
        <f>IF(A2693="","",INT((A2693-DATE(YEAR(A2693-WEEKDAY(A2693-1)+4),1,3)+WEEKDAY(DATE(YEAR(A2693-WEEKDAY(A2693-1)+4),1,3))+5)/7))</f>
        <v/>
      </c>
      <c r="D2693" s="21" t="n"/>
      <c r="E2693" s="22" t="n"/>
      <c r="F2693" s="23" t="n"/>
      <c r="G2693" s="23" t="n"/>
      <c r="H2693" s="23" t="n"/>
      <c r="I2693" s="20">
        <f>IF(COUNT(F2693:H2693)=0,"",SUM(F2693:H2693))</f>
        <v/>
      </c>
      <c r="J2693" s="23" t="n"/>
      <c r="K2693" s="23" t="n"/>
      <c r="L2693" s="23" t="n"/>
      <c r="M2693" s="23" t="n"/>
      <c r="N2693" s="23" t="n"/>
      <c r="O2693" s="20">
        <f>IF(OR(I2693="",COUNT(J2693:N2693)=0),"",IF(SUM(J2693:N2693)=I2693,"✓","⚠ "&amp;SUM(J2693:N2693)&amp;" statt "&amp;I2693))</f>
        <v/>
      </c>
      <c r="P2693" s="21" t="n"/>
      <c r="Q2693" s="21" t="n"/>
      <c r="R2693" s="21" t="n"/>
      <c r="S2693" s="24" t="n"/>
      <c r="T2693" s="24" t="n"/>
      <c r="V2693">
        <f>IF(A2693="","",MONTH(A2693))</f>
        <v/>
      </c>
      <c r="W2693">
        <f>N(W2692)+IF(AND(C2693&lt;&gt;"",T2693&lt;&gt;""),IF(C2693=WOCHE!$B$3,1,0),0)</f>
        <v/>
      </c>
      <c r="X2693">
        <f>N(X2692)+IF(AND(V2693&lt;&gt;"",T2693&lt;&gt;""),IF(V2693=MONAT!$AZ$3,1,0),0)</f>
        <v/>
      </c>
    </row>
    <row r="2694">
      <c r="A2694" s="19" t="n"/>
      <c r="B2694" s="20">
        <f>IF(A2694="","",CHOOSE(WEEKDAY(A2694,2),"Mo","Di","Mi","Do","Fr","Sa","So"))</f>
        <v/>
      </c>
      <c r="C2694" s="20">
        <f>IF(A2694="","",INT((A2694-DATE(YEAR(A2694-WEEKDAY(A2694-1)+4),1,3)+WEEKDAY(DATE(YEAR(A2694-WEEKDAY(A2694-1)+4),1,3))+5)/7))</f>
        <v/>
      </c>
      <c r="D2694" s="21" t="n"/>
      <c r="E2694" s="22" t="n"/>
      <c r="F2694" s="23" t="n"/>
      <c r="G2694" s="23" t="n"/>
      <c r="H2694" s="23" t="n"/>
      <c r="I2694" s="20">
        <f>IF(COUNT(F2694:H2694)=0,"",SUM(F2694:H2694))</f>
        <v/>
      </c>
      <c r="J2694" s="23" t="n"/>
      <c r="K2694" s="23" t="n"/>
      <c r="L2694" s="23" t="n"/>
      <c r="M2694" s="23" t="n"/>
      <c r="N2694" s="23" t="n"/>
      <c r="O2694" s="20">
        <f>IF(OR(I2694="",COUNT(J2694:N2694)=0),"",IF(SUM(J2694:N2694)=I2694,"✓","⚠ "&amp;SUM(J2694:N2694)&amp;" statt "&amp;I2694))</f>
        <v/>
      </c>
      <c r="P2694" s="21" t="n"/>
      <c r="Q2694" s="21" t="n"/>
      <c r="R2694" s="21" t="n"/>
      <c r="S2694" s="24" t="n"/>
      <c r="T2694" s="24" t="n"/>
      <c r="V2694">
        <f>IF(A2694="","",MONTH(A2694))</f>
        <v/>
      </c>
      <c r="W2694">
        <f>N(W2693)+IF(AND(C2694&lt;&gt;"",T2694&lt;&gt;""),IF(C2694=WOCHE!$B$3,1,0),0)</f>
        <v/>
      </c>
      <c r="X2694">
        <f>N(X2693)+IF(AND(V2694&lt;&gt;"",T2694&lt;&gt;""),IF(V2694=MONAT!$AZ$3,1,0),0)</f>
        <v/>
      </c>
    </row>
    <row r="2695">
      <c r="A2695" s="19" t="n"/>
      <c r="B2695" s="20">
        <f>IF(A2695="","",CHOOSE(WEEKDAY(A2695,2),"Mo","Di","Mi","Do","Fr","Sa","So"))</f>
        <v/>
      </c>
      <c r="C2695" s="20">
        <f>IF(A2695="","",INT((A2695-DATE(YEAR(A2695-WEEKDAY(A2695-1)+4),1,3)+WEEKDAY(DATE(YEAR(A2695-WEEKDAY(A2695-1)+4),1,3))+5)/7))</f>
        <v/>
      </c>
      <c r="D2695" s="21" t="n"/>
      <c r="E2695" s="22" t="n"/>
      <c r="F2695" s="23" t="n"/>
      <c r="G2695" s="23" t="n"/>
      <c r="H2695" s="23" t="n"/>
      <c r="I2695" s="20">
        <f>IF(COUNT(F2695:H2695)=0,"",SUM(F2695:H2695))</f>
        <v/>
      </c>
      <c r="J2695" s="23" t="n"/>
      <c r="K2695" s="23" t="n"/>
      <c r="L2695" s="23" t="n"/>
      <c r="M2695" s="23" t="n"/>
      <c r="N2695" s="23" t="n"/>
      <c r="O2695" s="20">
        <f>IF(OR(I2695="",COUNT(J2695:N2695)=0),"",IF(SUM(J2695:N2695)=I2695,"✓","⚠ "&amp;SUM(J2695:N2695)&amp;" statt "&amp;I2695))</f>
        <v/>
      </c>
      <c r="P2695" s="21" t="n"/>
      <c r="Q2695" s="21" t="n"/>
      <c r="R2695" s="21" t="n"/>
      <c r="S2695" s="24" t="n"/>
      <c r="T2695" s="24" t="n"/>
      <c r="V2695">
        <f>IF(A2695="","",MONTH(A2695))</f>
        <v/>
      </c>
      <c r="W2695">
        <f>N(W2694)+IF(AND(C2695&lt;&gt;"",T2695&lt;&gt;""),IF(C2695=WOCHE!$B$3,1,0),0)</f>
        <v/>
      </c>
      <c r="X2695">
        <f>N(X2694)+IF(AND(V2695&lt;&gt;"",T2695&lt;&gt;""),IF(V2695=MONAT!$AZ$3,1,0),0)</f>
        <v/>
      </c>
    </row>
    <row r="2696">
      <c r="A2696" s="19" t="n"/>
      <c r="B2696" s="20">
        <f>IF(A2696="","",CHOOSE(WEEKDAY(A2696,2),"Mo","Di","Mi","Do","Fr","Sa","So"))</f>
        <v/>
      </c>
      <c r="C2696" s="20">
        <f>IF(A2696="","",INT((A2696-DATE(YEAR(A2696-WEEKDAY(A2696-1)+4),1,3)+WEEKDAY(DATE(YEAR(A2696-WEEKDAY(A2696-1)+4),1,3))+5)/7))</f>
        <v/>
      </c>
      <c r="D2696" s="21" t="n"/>
      <c r="E2696" s="22" t="n"/>
      <c r="F2696" s="23" t="n"/>
      <c r="G2696" s="23" t="n"/>
      <c r="H2696" s="23" t="n"/>
      <c r="I2696" s="20">
        <f>IF(COUNT(F2696:H2696)=0,"",SUM(F2696:H2696))</f>
        <v/>
      </c>
      <c r="J2696" s="23" t="n"/>
      <c r="K2696" s="23" t="n"/>
      <c r="L2696" s="23" t="n"/>
      <c r="M2696" s="23" t="n"/>
      <c r="N2696" s="23" t="n"/>
      <c r="O2696" s="20">
        <f>IF(OR(I2696="",COUNT(J2696:N2696)=0),"",IF(SUM(J2696:N2696)=I2696,"✓","⚠ "&amp;SUM(J2696:N2696)&amp;" statt "&amp;I2696))</f>
        <v/>
      </c>
      <c r="P2696" s="21" t="n"/>
      <c r="Q2696" s="21" t="n"/>
      <c r="R2696" s="21" t="n"/>
      <c r="S2696" s="24" t="n"/>
      <c r="T2696" s="24" t="n"/>
      <c r="V2696">
        <f>IF(A2696="","",MONTH(A2696))</f>
        <v/>
      </c>
      <c r="W2696">
        <f>N(W2695)+IF(AND(C2696&lt;&gt;"",T2696&lt;&gt;""),IF(C2696=WOCHE!$B$3,1,0),0)</f>
        <v/>
      </c>
      <c r="X2696">
        <f>N(X2695)+IF(AND(V2696&lt;&gt;"",T2696&lt;&gt;""),IF(V2696=MONAT!$AZ$3,1,0),0)</f>
        <v/>
      </c>
    </row>
    <row r="2697">
      <c r="A2697" s="19" t="n"/>
      <c r="B2697" s="20">
        <f>IF(A2697="","",CHOOSE(WEEKDAY(A2697,2),"Mo","Di","Mi","Do","Fr","Sa","So"))</f>
        <v/>
      </c>
      <c r="C2697" s="20">
        <f>IF(A2697="","",INT((A2697-DATE(YEAR(A2697-WEEKDAY(A2697-1)+4),1,3)+WEEKDAY(DATE(YEAR(A2697-WEEKDAY(A2697-1)+4),1,3))+5)/7))</f>
        <v/>
      </c>
      <c r="D2697" s="21" t="n"/>
      <c r="E2697" s="22" t="n"/>
      <c r="F2697" s="23" t="n"/>
      <c r="G2697" s="23" t="n"/>
      <c r="H2697" s="23" t="n"/>
      <c r="I2697" s="20">
        <f>IF(COUNT(F2697:H2697)=0,"",SUM(F2697:H2697))</f>
        <v/>
      </c>
      <c r="J2697" s="23" t="n"/>
      <c r="K2697" s="23" t="n"/>
      <c r="L2697" s="23" t="n"/>
      <c r="M2697" s="23" t="n"/>
      <c r="N2697" s="23" t="n"/>
      <c r="O2697" s="20">
        <f>IF(OR(I2697="",COUNT(J2697:N2697)=0),"",IF(SUM(J2697:N2697)=I2697,"✓","⚠ "&amp;SUM(J2697:N2697)&amp;" statt "&amp;I2697))</f>
        <v/>
      </c>
      <c r="P2697" s="21" t="n"/>
      <c r="Q2697" s="21" t="n"/>
      <c r="R2697" s="21" t="n"/>
      <c r="S2697" s="24" t="n"/>
      <c r="T2697" s="24" t="n"/>
      <c r="V2697">
        <f>IF(A2697="","",MONTH(A2697))</f>
        <v/>
      </c>
      <c r="W2697">
        <f>N(W2696)+IF(AND(C2697&lt;&gt;"",T2697&lt;&gt;""),IF(C2697=WOCHE!$B$3,1,0),0)</f>
        <v/>
      </c>
      <c r="X2697">
        <f>N(X2696)+IF(AND(V2697&lt;&gt;"",T2697&lt;&gt;""),IF(V2697=MONAT!$AZ$3,1,0),0)</f>
        <v/>
      </c>
    </row>
    <row r="2698">
      <c r="A2698" s="19" t="n"/>
      <c r="B2698" s="20">
        <f>IF(A2698="","",CHOOSE(WEEKDAY(A2698,2),"Mo","Di","Mi","Do","Fr","Sa","So"))</f>
        <v/>
      </c>
      <c r="C2698" s="20">
        <f>IF(A2698="","",INT((A2698-DATE(YEAR(A2698-WEEKDAY(A2698-1)+4),1,3)+WEEKDAY(DATE(YEAR(A2698-WEEKDAY(A2698-1)+4),1,3))+5)/7))</f>
        <v/>
      </c>
      <c r="D2698" s="21" t="n"/>
      <c r="E2698" s="22" t="n"/>
      <c r="F2698" s="23" t="n"/>
      <c r="G2698" s="23" t="n"/>
      <c r="H2698" s="23" t="n"/>
      <c r="I2698" s="20">
        <f>IF(COUNT(F2698:H2698)=0,"",SUM(F2698:H2698))</f>
        <v/>
      </c>
      <c r="J2698" s="23" t="n"/>
      <c r="K2698" s="23" t="n"/>
      <c r="L2698" s="23" t="n"/>
      <c r="M2698" s="23" t="n"/>
      <c r="N2698" s="23" t="n"/>
      <c r="O2698" s="20">
        <f>IF(OR(I2698="",COUNT(J2698:N2698)=0),"",IF(SUM(J2698:N2698)=I2698,"✓","⚠ "&amp;SUM(J2698:N2698)&amp;" statt "&amp;I2698))</f>
        <v/>
      </c>
      <c r="P2698" s="21" t="n"/>
      <c r="Q2698" s="21" t="n"/>
      <c r="R2698" s="21" t="n"/>
      <c r="S2698" s="24" t="n"/>
      <c r="T2698" s="24" t="n"/>
      <c r="V2698">
        <f>IF(A2698="","",MONTH(A2698))</f>
        <v/>
      </c>
      <c r="W2698">
        <f>N(W2697)+IF(AND(C2698&lt;&gt;"",T2698&lt;&gt;""),IF(C2698=WOCHE!$B$3,1,0),0)</f>
        <v/>
      </c>
      <c r="X2698">
        <f>N(X2697)+IF(AND(V2698&lt;&gt;"",T2698&lt;&gt;""),IF(V2698=MONAT!$AZ$3,1,0),0)</f>
        <v/>
      </c>
    </row>
    <row r="2699">
      <c r="A2699" s="19" t="n"/>
      <c r="B2699" s="20">
        <f>IF(A2699="","",CHOOSE(WEEKDAY(A2699,2),"Mo","Di","Mi","Do","Fr","Sa","So"))</f>
        <v/>
      </c>
      <c r="C2699" s="20">
        <f>IF(A2699="","",INT((A2699-DATE(YEAR(A2699-WEEKDAY(A2699-1)+4),1,3)+WEEKDAY(DATE(YEAR(A2699-WEEKDAY(A2699-1)+4),1,3))+5)/7))</f>
        <v/>
      </c>
      <c r="D2699" s="21" t="n"/>
      <c r="E2699" s="22" t="n"/>
      <c r="F2699" s="23" t="n"/>
      <c r="G2699" s="23" t="n"/>
      <c r="H2699" s="23" t="n"/>
      <c r="I2699" s="20">
        <f>IF(COUNT(F2699:H2699)=0,"",SUM(F2699:H2699))</f>
        <v/>
      </c>
      <c r="J2699" s="23" t="n"/>
      <c r="K2699" s="23" t="n"/>
      <c r="L2699" s="23" t="n"/>
      <c r="M2699" s="23" t="n"/>
      <c r="N2699" s="23" t="n"/>
      <c r="O2699" s="20">
        <f>IF(OR(I2699="",COUNT(J2699:N2699)=0),"",IF(SUM(J2699:N2699)=I2699,"✓","⚠ "&amp;SUM(J2699:N2699)&amp;" statt "&amp;I2699))</f>
        <v/>
      </c>
      <c r="P2699" s="21" t="n"/>
      <c r="Q2699" s="21" t="n"/>
      <c r="R2699" s="21" t="n"/>
      <c r="S2699" s="24" t="n"/>
      <c r="T2699" s="24" t="n"/>
      <c r="V2699">
        <f>IF(A2699="","",MONTH(A2699))</f>
        <v/>
      </c>
      <c r="W2699">
        <f>N(W2698)+IF(AND(C2699&lt;&gt;"",T2699&lt;&gt;""),IF(C2699=WOCHE!$B$3,1,0),0)</f>
        <v/>
      </c>
      <c r="X2699">
        <f>N(X2698)+IF(AND(V2699&lt;&gt;"",T2699&lt;&gt;""),IF(V2699=MONAT!$AZ$3,1,0),0)</f>
        <v/>
      </c>
    </row>
    <row r="2700">
      <c r="A2700" s="19" t="n"/>
      <c r="B2700" s="20">
        <f>IF(A2700="","",CHOOSE(WEEKDAY(A2700,2),"Mo","Di","Mi","Do","Fr","Sa","So"))</f>
        <v/>
      </c>
      <c r="C2700" s="20">
        <f>IF(A2700="","",INT((A2700-DATE(YEAR(A2700-WEEKDAY(A2700-1)+4),1,3)+WEEKDAY(DATE(YEAR(A2700-WEEKDAY(A2700-1)+4),1,3))+5)/7))</f>
        <v/>
      </c>
      <c r="D2700" s="21" t="n"/>
      <c r="E2700" s="22" t="n"/>
      <c r="F2700" s="23" t="n"/>
      <c r="G2700" s="23" t="n"/>
      <c r="H2700" s="23" t="n"/>
      <c r="I2700" s="20">
        <f>IF(COUNT(F2700:H2700)=0,"",SUM(F2700:H2700))</f>
        <v/>
      </c>
      <c r="J2700" s="23" t="n"/>
      <c r="K2700" s="23" t="n"/>
      <c r="L2700" s="23" t="n"/>
      <c r="M2700" s="23" t="n"/>
      <c r="N2700" s="23" t="n"/>
      <c r="O2700" s="20">
        <f>IF(OR(I2700="",COUNT(J2700:N2700)=0),"",IF(SUM(J2700:N2700)=I2700,"✓","⚠ "&amp;SUM(J2700:N2700)&amp;" statt "&amp;I2700))</f>
        <v/>
      </c>
      <c r="P2700" s="21" t="n"/>
      <c r="Q2700" s="21" t="n"/>
      <c r="R2700" s="21" t="n"/>
      <c r="S2700" s="24" t="n"/>
      <c r="T2700" s="24" t="n"/>
      <c r="V2700">
        <f>IF(A2700="","",MONTH(A2700))</f>
        <v/>
      </c>
      <c r="W2700">
        <f>N(W2699)+IF(AND(C2700&lt;&gt;"",T2700&lt;&gt;""),IF(C2700=WOCHE!$B$3,1,0),0)</f>
        <v/>
      </c>
      <c r="X2700">
        <f>N(X2699)+IF(AND(V2700&lt;&gt;"",T2700&lt;&gt;""),IF(V2700=MONAT!$AZ$3,1,0),0)</f>
        <v/>
      </c>
    </row>
    <row r="2701">
      <c r="A2701" s="19" t="n"/>
      <c r="B2701" s="20">
        <f>IF(A2701="","",CHOOSE(WEEKDAY(A2701,2),"Mo","Di","Mi","Do","Fr","Sa","So"))</f>
        <v/>
      </c>
      <c r="C2701" s="20">
        <f>IF(A2701="","",INT((A2701-DATE(YEAR(A2701-WEEKDAY(A2701-1)+4),1,3)+WEEKDAY(DATE(YEAR(A2701-WEEKDAY(A2701-1)+4),1,3))+5)/7))</f>
        <v/>
      </c>
      <c r="D2701" s="21" t="n"/>
      <c r="E2701" s="22" t="n"/>
      <c r="F2701" s="23" t="n"/>
      <c r="G2701" s="23" t="n"/>
      <c r="H2701" s="23" t="n"/>
      <c r="I2701" s="20">
        <f>IF(COUNT(F2701:H2701)=0,"",SUM(F2701:H2701))</f>
        <v/>
      </c>
      <c r="J2701" s="23" t="n"/>
      <c r="K2701" s="23" t="n"/>
      <c r="L2701" s="23" t="n"/>
      <c r="M2701" s="23" t="n"/>
      <c r="N2701" s="23" t="n"/>
      <c r="O2701" s="20">
        <f>IF(OR(I2701="",COUNT(J2701:N2701)=0),"",IF(SUM(J2701:N2701)=I2701,"✓","⚠ "&amp;SUM(J2701:N2701)&amp;" statt "&amp;I2701))</f>
        <v/>
      </c>
      <c r="P2701" s="21" t="n"/>
      <c r="Q2701" s="21" t="n"/>
      <c r="R2701" s="21" t="n"/>
      <c r="S2701" s="24" t="n"/>
      <c r="T2701" s="24" t="n"/>
      <c r="V2701">
        <f>IF(A2701="","",MONTH(A2701))</f>
        <v/>
      </c>
      <c r="W2701">
        <f>N(W2700)+IF(AND(C2701&lt;&gt;"",T2701&lt;&gt;""),IF(C2701=WOCHE!$B$3,1,0),0)</f>
        <v/>
      </c>
      <c r="X2701">
        <f>N(X2700)+IF(AND(V2701&lt;&gt;"",T2701&lt;&gt;""),IF(V2701=MONAT!$AZ$3,1,0),0)</f>
        <v/>
      </c>
    </row>
    <row r="2702">
      <c r="A2702" s="19" t="n"/>
      <c r="B2702" s="20">
        <f>IF(A2702="","",CHOOSE(WEEKDAY(A2702,2),"Mo","Di","Mi","Do","Fr","Sa","So"))</f>
        <v/>
      </c>
      <c r="C2702" s="20">
        <f>IF(A2702="","",INT((A2702-DATE(YEAR(A2702-WEEKDAY(A2702-1)+4),1,3)+WEEKDAY(DATE(YEAR(A2702-WEEKDAY(A2702-1)+4),1,3))+5)/7))</f>
        <v/>
      </c>
      <c r="D2702" s="21" t="n"/>
      <c r="E2702" s="22" t="n"/>
      <c r="F2702" s="23" t="n"/>
      <c r="G2702" s="23" t="n"/>
      <c r="H2702" s="23" t="n"/>
      <c r="I2702" s="20">
        <f>IF(COUNT(F2702:H2702)=0,"",SUM(F2702:H2702))</f>
        <v/>
      </c>
      <c r="J2702" s="23" t="n"/>
      <c r="K2702" s="23" t="n"/>
      <c r="L2702" s="23" t="n"/>
      <c r="M2702" s="23" t="n"/>
      <c r="N2702" s="23" t="n"/>
      <c r="O2702" s="20">
        <f>IF(OR(I2702="",COUNT(J2702:N2702)=0),"",IF(SUM(J2702:N2702)=I2702,"✓","⚠ "&amp;SUM(J2702:N2702)&amp;" statt "&amp;I2702))</f>
        <v/>
      </c>
      <c r="P2702" s="21" t="n"/>
      <c r="Q2702" s="21" t="n"/>
      <c r="R2702" s="21" t="n"/>
      <c r="S2702" s="24" t="n"/>
      <c r="T2702" s="24" t="n"/>
      <c r="V2702">
        <f>IF(A2702="","",MONTH(A2702))</f>
        <v/>
      </c>
      <c r="W2702">
        <f>N(W2701)+IF(AND(C2702&lt;&gt;"",T2702&lt;&gt;""),IF(C2702=WOCHE!$B$3,1,0),0)</f>
        <v/>
      </c>
      <c r="X2702">
        <f>N(X2701)+IF(AND(V2702&lt;&gt;"",T2702&lt;&gt;""),IF(V2702=MONAT!$AZ$3,1,0),0)</f>
        <v/>
      </c>
    </row>
    <row r="2703">
      <c r="A2703" s="19" t="n"/>
      <c r="B2703" s="20">
        <f>IF(A2703="","",CHOOSE(WEEKDAY(A2703,2),"Mo","Di","Mi","Do","Fr","Sa","So"))</f>
        <v/>
      </c>
      <c r="C2703" s="20">
        <f>IF(A2703="","",INT((A2703-DATE(YEAR(A2703-WEEKDAY(A2703-1)+4),1,3)+WEEKDAY(DATE(YEAR(A2703-WEEKDAY(A2703-1)+4),1,3))+5)/7))</f>
        <v/>
      </c>
      <c r="D2703" s="21" t="n"/>
      <c r="E2703" s="22" t="n"/>
      <c r="F2703" s="23" t="n"/>
      <c r="G2703" s="23" t="n"/>
      <c r="H2703" s="23" t="n"/>
      <c r="I2703" s="20">
        <f>IF(COUNT(F2703:H2703)=0,"",SUM(F2703:H2703))</f>
        <v/>
      </c>
      <c r="J2703" s="23" t="n"/>
      <c r="K2703" s="23" t="n"/>
      <c r="L2703" s="23" t="n"/>
      <c r="M2703" s="23" t="n"/>
      <c r="N2703" s="23" t="n"/>
      <c r="O2703" s="20">
        <f>IF(OR(I2703="",COUNT(J2703:N2703)=0),"",IF(SUM(J2703:N2703)=I2703,"✓","⚠ "&amp;SUM(J2703:N2703)&amp;" statt "&amp;I2703))</f>
        <v/>
      </c>
      <c r="P2703" s="21" t="n"/>
      <c r="Q2703" s="21" t="n"/>
      <c r="R2703" s="21" t="n"/>
      <c r="S2703" s="24" t="n"/>
      <c r="T2703" s="24" t="n"/>
      <c r="V2703">
        <f>IF(A2703="","",MONTH(A2703))</f>
        <v/>
      </c>
      <c r="W2703">
        <f>N(W2702)+IF(AND(C2703&lt;&gt;"",T2703&lt;&gt;""),IF(C2703=WOCHE!$B$3,1,0),0)</f>
        <v/>
      </c>
      <c r="X2703">
        <f>N(X2702)+IF(AND(V2703&lt;&gt;"",T2703&lt;&gt;""),IF(V2703=MONAT!$AZ$3,1,0),0)</f>
        <v/>
      </c>
    </row>
    <row r="2704">
      <c r="A2704" s="19" t="n"/>
      <c r="B2704" s="20">
        <f>IF(A2704="","",CHOOSE(WEEKDAY(A2704,2),"Mo","Di","Mi","Do","Fr","Sa","So"))</f>
        <v/>
      </c>
      <c r="C2704" s="20">
        <f>IF(A2704="","",INT((A2704-DATE(YEAR(A2704-WEEKDAY(A2704-1)+4),1,3)+WEEKDAY(DATE(YEAR(A2704-WEEKDAY(A2704-1)+4),1,3))+5)/7))</f>
        <v/>
      </c>
      <c r="D2704" s="21" t="n"/>
      <c r="E2704" s="22" t="n"/>
      <c r="F2704" s="23" t="n"/>
      <c r="G2704" s="23" t="n"/>
      <c r="H2704" s="23" t="n"/>
      <c r="I2704" s="20">
        <f>IF(COUNT(F2704:H2704)=0,"",SUM(F2704:H2704))</f>
        <v/>
      </c>
      <c r="J2704" s="23" t="n"/>
      <c r="K2704" s="23" t="n"/>
      <c r="L2704" s="23" t="n"/>
      <c r="M2704" s="23" t="n"/>
      <c r="N2704" s="23" t="n"/>
      <c r="O2704" s="20">
        <f>IF(OR(I2704="",COUNT(J2704:N2704)=0),"",IF(SUM(J2704:N2704)=I2704,"✓","⚠ "&amp;SUM(J2704:N2704)&amp;" statt "&amp;I2704))</f>
        <v/>
      </c>
      <c r="P2704" s="21" t="n"/>
      <c r="Q2704" s="21" t="n"/>
      <c r="R2704" s="21" t="n"/>
      <c r="S2704" s="24" t="n"/>
      <c r="T2704" s="24" t="n"/>
      <c r="V2704">
        <f>IF(A2704="","",MONTH(A2704))</f>
        <v/>
      </c>
      <c r="W2704">
        <f>N(W2703)+IF(AND(C2704&lt;&gt;"",T2704&lt;&gt;""),IF(C2704=WOCHE!$B$3,1,0),0)</f>
        <v/>
      </c>
      <c r="X2704">
        <f>N(X2703)+IF(AND(V2704&lt;&gt;"",T2704&lt;&gt;""),IF(V2704=MONAT!$AZ$3,1,0),0)</f>
        <v/>
      </c>
    </row>
    <row r="2705">
      <c r="A2705" s="19" t="n"/>
      <c r="B2705" s="20">
        <f>IF(A2705="","",CHOOSE(WEEKDAY(A2705,2),"Mo","Di","Mi","Do","Fr","Sa","So"))</f>
        <v/>
      </c>
      <c r="C2705" s="20">
        <f>IF(A2705="","",INT((A2705-DATE(YEAR(A2705-WEEKDAY(A2705-1)+4),1,3)+WEEKDAY(DATE(YEAR(A2705-WEEKDAY(A2705-1)+4),1,3))+5)/7))</f>
        <v/>
      </c>
      <c r="D2705" s="21" t="n"/>
      <c r="E2705" s="22" t="n"/>
      <c r="F2705" s="23" t="n"/>
      <c r="G2705" s="23" t="n"/>
      <c r="H2705" s="23" t="n"/>
      <c r="I2705" s="20">
        <f>IF(COUNT(F2705:H2705)=0,"",SUM(F2705:H2705))</f>
        <v/>
      </c>
      <c r="J2705" s="23" t="n"/>
      <c r="K2705" s="23" t="n"/>
      <c r="L2705" s="23" t="n"/>
      <c r="M2705" s="23" t="n"/>
      <c r="N2705" s="23" t="n"/>
      <c r="O2705" s="20">
        <f>IF(OR(I2705="",COUNT(J2705:N2705)=0),"",IF(SUM(J2705:N2705)=I2705,"✓","⚠ "&amp;SUM(J2705:N2705)&amp;" statt "&amp;I2705))</f>
        <v/>
      </c>
      <c r="P2705" s="21" t="n"/>
      <c r="Q2705" s="21" t="n"/>
      <c r="R2705" s="21" t="n"/>
      <c r="S2705" s="24" t="n"/>
      <c r="T2705" s="24" t="n"/>
      <c r="V2705">
        <f>IF(A2705="","",MONTH(A2705))</f>
        <v/>
      </c>
      <c r="W2705">
        <f>N(W2704)+IF(AND(C2705&lt;&gt;"",T2705&lt;&gt;""),IF(C2705=WOCHE!$B$3,1,0),0)</f>
        <v/>
      </c>
      <c r="X2705">
        <f>N(X2704)+IF(AND(V2705&lt;&gt;"",T2705&lt;&gt;""),IF(V2705=MONAT!$AZ$3,1,0),0)</f>
        <v/>
      </c>
    </row>
    <row r="2706">
      <c r="A2706" s="19" t="n"/>
      <c r="B2706" s="20">
        <f>IF(A2706="","",CHOOSE(WEEKDAY(A2706,2),"Mo","Di","Mi","Do","Fr","Sa","So"))</f>
        <v/>
      </c>
      <c r="C2706" s="20">
        <f>IF(A2706="","",INT((A2706-DATE(YEAR(A2706-WEEKDAY(A2706-1)+4),1,3)+WEEKDAY(DATE(YEAR(A2706-WEEKDAY(A2706-1)+4),1,3))+5)/7))</f>
        <v/>
      </c>
      <c r="D2706" s="21" t="n"/>
      <c r="E2706" s="22" t="n"/>
      <c r="F2706" s="23" t="n"/>
      <c r="G2706" s="23" t="n"/>
      <c r="H2706" s="23" t="n"/>
      <c r="I2706" s="20">
        <f>IF(COUNT(F2706:H2706)=0,"",SUM(F2706:H2706))</f>
        <v/>
      </c>
      <c r="J2706" s="23" t="n"/>
      <c r="K2706" s="23" t="n"/>
      <c r="L2706" s="23" t="n"/>
      <c r="M2706" s="23" t="n"/>
      <c r="N2706" s="23" t="n"/>
      <c r="O2706" s="20">
        <f>IF(OR(I2706="",COUNT(J2706:N2706)=0),"",IF(SUM(J2706:N2706)=I2706,"✓","⚠ "&amp;SUM(J2706:N2706)&amp;" statt "&amp;I2706))</f>
        <v/>
      </c>
      <c r="P2706" s="21" t="n"/>
      <c r="Q2706" s="21" t="n"/>
      <c r="R2706" s="21" t="n"/>
      <c r="S2706" s="24" t="n"/>
      <c r="T2706" s="24" t="n"/>
      <c r="V2706">
        <f>IF(A2706="","",MONTH(A2706))</f>
        <v/>
      </c>
      <c r="W2706">
        <f>N(W2705)+IF(AND(C2706&lt;&gt;"",T2706&lt;&gt;""),IF(C2706=WOCHE!$B$3,1,0),0)</f>
        <v/>
      </c>
      <c r="X2706">
        <f>N(X2705)+IF(AND(V2706&lt;&gt;"",T2706&lt;&gt;""),IF(V2706=MONAT!$AZ$3,1,0),0)</f>
        <v/>
      </c>
    </row>
    <row r="2707">
      <c r="A2707" s="19" t="n"/>
      <c r="B2707" s="20">
        <f>IF(A2707="","",CHOOSE(WEEKDAY(A2707,2),"Mo","Di","Mi","Do","Fr","Sa","So"))</f>
        <v/>
      </c>
      <c r="C2707" s="20">
        <f>IF(A2707="","",INT((A2707-DATE(YEAR(A2707-WEEKDAY(A2707-1)+4),1,3)+WEEKDAY(DATE(YEAR(A2707-WEEKDAY(A2707-1)+4),1,3))+5)/7))</f>
        <v/>
      </c>
      <c r="D2707" s="21" t="n"/>
      <c r="E2707" s="22" t="n"/>
      <c r="F2707" s="23" t="n"/>
      <c r="G2707" s="23" t="n"/>
      <c r="H2707" s="23" t="n"/>
      <c r="I2707" s="20">
        <f>IF(COUNT(F2707:H2707)=0,"",SUM(F2707:H2707))</f>
        <v/>
      </c>
      <c r="J2707" s="23" t="n"/>
      <c r="K2707" s="23" t="n"/>
      <c r="L2707" s="23" t="n"/>
      <c r="M2707" s="23" t="n"/>
      <c r="N2707" s="23" t="n"/>
      <c r="O2707" s="20">
        <f>IF(OR(I2707="",COUNT(J2707:N2707)=0),"",IF(SUM(J2707:N2707)=I2707,"✓","⚠ "&amp;SUM(J2707:N2707)&amp;" statt "&amp;I2707))</f>
        <v/>
      </c>
      <c r="P2707" s="21" t="n"/>
      <c r="Q2707" s="21" t="n"/>
      <c r="R2707" s="21" t="n"/>
      <c r="S2707" s="24" t="n"/>
      <c r="T2707" s="24" t="n"/>
      <c r="V2707">
        <f>IF(A2707="","",MONTH(A2707))</f>
        <v/>
      </c>
      <c r="W2707">
        <f>N(W2706)+IF(AND(C2707&lt;&gt;"",T2707&lt;&gt;""),IF(C2707=WOCHE!$B$3,1,0),0)</f>
        <v/>
      </c>
      <c r="X2707">
        <f>N(X2706)+IF(AND(V2707&lt;&gt;"",T2707&lt;&gt;""),IF(V2707=MONAT!$AZ$3,1,0),0)</f>
        <v/>
      </c>
    </row>
    <row r="2708">
      <c r="A2708" s="19" t="n"/>
      <c r="B2708" s="20">
        <f>IF(A2708="","",CHOOSE(WEEKDAY(A2708,2),"Mo","Di","Mi","Do","Fr","Sa","So"))</f>
        <v/>
      </c>
      <c r="C2708" s="20">
        <f>IF(A2708="","",INT((A2708-DATE(YEAR(A2708-WEEKDAY(A2708-1)+4),1,3)+WEEKDAY(DATE(YEAR(A2708-WEEKDAY(A2708-1)+4),1,3))+5)/7))</f>
        <v/>
      </c>
      <c r="D2708" s="21" t="n"/>
      <c r="E2708" s="22" t="n"/>
      <c r="F2708" s="23" t="n"/>
      <c r="G2708" s="23" t="n"/>
      <c r="H2708" s="23" t="n"/>
      <c r="I2708" s="20">
        <f>IF(COUNT(F2708:H2708)=0,"",SUM(F2708:H2708))</f>
        <v/>
      </c>
      <c r="J2708" s="23" t="n"/>
      <c r="K2708" s="23" t="n"/>
      <c r="L2708" s="23" t="n"/>
      <c r="M2708" s="23" t="n"/>
      <c r="N2708" s="23" t="n"/>
      <c r="O2708" s="20">
        <f>IF(OR(I2708="",COUNT(J2708:N2708)=0),"",IF(SUM(J2708:N2708)=I2708,"✓","⚠ "&amp;SUM(J2708:N2708)&amp;" statt "&amp;I2708))</f>
        <v/>
      </c>
      <c r="P2708" s="21" t="n"/>
      <c r="Q2708" s="21" t="n"/>
      <c r="R2708" s="21" t="n"/>
      <c r="S2708" s="24" t="n"/>
      <c r="T2708" s="24" t="n"/>
      <c r="V2708">
        <f>IF(A2708="","",MONTH(A2708))</f>
        <v/>
      </c>
      <c r="W2708">
        <f>N(W2707)+IF(AND(C2708&lt;&gt;"",T2708&lt;&gt;""),IF(C2708=WOCHE!$B$3,1,0),0)</f>
        <v/>
      </c>
      <c r="X2708">
        <f>N(X2707)+IF(AND(V2708&lt;&gt;"",T2708&lt;&gt;""),IF(V2708=MONAT!$AZ$3,1,0),0)</f>
        <v/>
      </c>
    </row>
    <row r="2709">
      <c r="A2709" s="19" t="n"/>
      <c r="B2709" s="20">
        <f>IF(A2709="","",CHOOSE(WEEKDAY(A2709,2),"Mo","Di","Mi","Do","Fr","Sa","So"))</f>
        <v/>
      </c>
      <c r="C2709" s="20">
        <f>IF(A2709="","",INT((A2709-DATE(YEAR(A2709-WEEKDAY(A2709-1)+4),1,3)+WEEKDAY(DATE(YEAR(A2709-WEEKDAY(A2709-1)+4),1,3))+5)/7))</f>
        <v/>
      </c>
      <c r="D2709" s="21" t="n"/>
      <c r="E2709" s="22" t="n"/>
      <c r="F2709" s="23" t="n"/>
      <c r="G2709" s="23" t="n"/>
      <c r="H2709" s="23" t="n"/>
      <c r="I2709" s="20">
        <f>IF(COUNT(F2709:H2709)=0,"",SUM(F2709:H2709))</f>
        <v/>
      </c>
      <c r="J2709" s="23" t="n"/>
      <c r="K2709" s="23" t="n"/>
      <c r="L2709" s="23" t="n"/>
      <c r="M2709" s="23" t="n"/>
      <c r="N2709" s="23" t="n"/>
      <c r="O2709" s="20">
        <f>IF(OR(I2709="",COUNT(J2709:N2709)=0),"",IF(SUM(J2709:N2709)=I2709,"✓","⚠ "&amp;SUM(J2709:N2709)&amp;" statt "&amp;I2709))</f>
        <v/>
      </c>
      <c r="P2709" s="21" t="n"/>
      <c r="Q2709" s="21" t="n"/>
      <c r="R2709" s="21" t="n"/>
      <c r="S2709" s="24" t="n"/>
      <c r="T2709" s="24" t="n"/>
      <c r="V2709">
        <f>IF(A2709="","",MONTH(A2709))</f>
        <v/>
      </c>
      <c r="W2709">
        <f>N(W2708)+IF(AND(C2709&lt;&gt;"",T2709&lt;&gt;""),IF(C2709=WOCHE!$B$3,1,0),0)</f>
        <v/>
      </c>
      <c r="X2709">
        <f>N(X2708)+IF(AND(V2709&lt;&gt;"",T2709&lt;&gt;""),IF(V2709=MONAT!$AZ$3,1,0),0)</f>
        <v/>
      </c>
    </row>
    <row r="2710">
      <c r="A2710" s="19" t="n"/>
      <c r="B2710" s="20">
        <f>IF(A2710="","",CHOOSE(WEEKDAY(A2710,2),"Mo","Di","Mi","Do","Fr","Sa","So"))</f>
        <v/>
      </c>
      <c r="C2710" s="20">
        <f>IF(A2710="","",INT((A2710-DATE(YEAR(A2710-WEEKDAY(A2710-1)+4),1,3)+WEEKDAY(DATE(YEAR(A2710-WEEKDAY(A2710-1)+4),1,3))+5)/7))</f>
        <v/>
      </c>
      <c r="D2710" s="21" t="n"/>
      <c r="E2710" s="22" t="n"/>
      <c r="F2710" s="23" t="n"/>
      <c r="G2710" s="23" t="n"/>
      <c r="H2710" s="23" t="n"/>
      <c r="I2710" s="20">
        <f>IF(COUNT(F2710:H2710)=0,"",SUM(F2710:H2710))</f>
        <v/>
      </c>
      <c r="J2710" s="23" t="n"/>
      <c r="K2710" s="23" t="n"/>
      <c r="L2710" s="23" t="n"/>
      <c r="M2710" s="23" t="n"/>
      <c r="N2710" s="23" t="n"/>
      <c r="O2710" s="20">
        <f>IF(OR(I2710="",COUNT(J2710:N2710)=0),"",IF(SUM(J2710:N2710)=I2710,"✓","⚠ "&amp;SUM(J2710:N2710)&amp;" statt "&amp;I2710))</f>
        <v/>
      </c>
      <c r="P2710" s="21" t="n"/>
      <c r="Q2710" s="21" t="n"/>
      <c r="R2710" s="21" t="n"/>
      <c r="S2710" s="24" t="n"/>
      <c r="T2710" s="24" t="n"/>
      <c r="V2710">
        <f>IF(A2710="","",MONTH(A2710))</f>
        <v/>
      </c>
      <c r="W2710">
        <f>N(W2709)+IF(AND(C2710&lt;&gt;"",T2710&lt;&gt;""),IF(C2710=WOCHE!$B$3,1,0),0)</f>
        <v/>
      </c>
      <c r="X2710">
        <f>N(X2709)+IF(AND(V2710&lt;&gt;"",T2710&lt;&gt;""),IF(V2710=MONAT!$AZ$3,1,0),0)</f>
        <v/>
      </c>
    </row>
    <row r="2711">
      <c r="A2711" s="19" t="n"/>
      <c r="B2711" s="20">
        <f>IF(A2711="","",CHOOSE(WEEKDAY(A2711,2),"Mo","Di","Mi","Do","Fr","Sa","So"))</f>
        <v/>
      </c>
      <c r="C2711" s="20">
        <f>IF(A2711="","",INT((A2711-DATE(YEAR(A2711-WEEKDAY(A2711-1)+4),1,3)+WEEKDAY(DATE(YEAR(A2711-WEEKDAY(A2711-1)+4),1,3))+5)/7))</f>
        <v/>
      </c>
      <c r="D2711" s="21" t="n"/>
      <c r="E2711" s="22" t="n"/>
      <c r="F2711" s="23" t="n"/>
      <c r="G2711" s="23" t="n"/>
      <c r="H2711" s="23" t="n"/>
      <c r="I2711" s="20">
        <f>IF(COUNT(F2711:H2711)=0,"",SUM(F2711:H2711))</f>
        <v/>
      </c>
      <c r="J2711" s="23" t="n"/>
      <c r="K2711" s="23" t="n"/>
      <c r="L2711" s="23" t="n"/>
      <c r="M2711" s="23" t="n"/>
      <c r="N2711" s="23" t="n"/>
      <c r="O2711" s="20">
        <f>IF(OR(I2711="",COUNT(J2711:N2711)=0),"",IF(SUM(J2711:N2711)=I2711,"✓","⚠ "&amp;SUM(J2711:N2711)&amp;" statt "&amp;I2711))</f>
        <v/>
      </c>
      <c r="P2711" s="21" t="n"/>
      <c r="Q2711" s="21" t="n"/>
      <c r="R2711" s="21" t="n"/>
      <c r="S2711" s="24" t="n"/>
      <c r="T2711" s="24" t="n"/>
      <c r="V2711">
        <f>IF(A2711="","",MONTH(A2711))</f>
        <v/>
      </c>
      <c r="W2711">
        <f>N(W2710)+IF(AND(C2711&lt;&gt;"",T2711&lt;&gt;""),IF(C2711=WOCHE!$B$3,1,0),0)</f>
        <v/>
      </c>
      <c r="X2711">
        <f>N(X2710)+IF(AND(V2711&lt;&gt;"",T2711&lt;&gt;""),IF(V2711=MONAT!$AZ$3,1,0),0)</f>
        <v/>
      </c>
    </row>
    <row r="2712">
      <c r="A2712" s="19" t="n"/>
      <c r="B2712" s="20">
        <f>IF(A2712="","",CHOOSE(WEEKDAY(A2712,2),"Mo","Di","Mi","Do","Fr","Sa","So"))</f>
        <v/>
      </c>
      <c r="C2712" s="20">
        <f>IF(A2712="","",INT((A2712-DATE(YEAR(A2712-WEEKDAY(A2712-1)+4),1,3)+WEEKDAY(DATE(YEAR(A2712-WEEKDAY(A2712-1)+4),1,3))+5)/7))</f>
        <v/>
      </c>
      <c r="D2712" s="21" t="n"/>
      <c r="E2712" s="22" t="n"/>
      <c r="F2712" s="23" t="n"/>
      <c r="G2712" s="23" t="n"/>
      <c r="H2712" s="23" t="n"/>
      <c r="I2712" s="20">
        <f>IF(COUNT(F2712:H2712)=0,"",SUM(F2712:H2712))</f>
        <v/>
      </c>
      <c r="J2712" s="23" t="n"/>
      <c r="K2712" s="23" t="n"/>
      <c r="L2712" s="23" t="n"/>
      <c r="M2712" s="23" t="n"/>
      <c r="N2712" s="23" t="n"/>
      <c r="O2712" s="20">
        <f>IF(OR(I2712="",COUNT(J2712:N2712)=0),"",IF(SUM(J2712:N2712)=I2712,"✓","⚠ "&amp;SUM(J2712:N2712)&amp;" statt "&amp;I2712))</f>
        <v/>
      </c>
      <c r="P2712" s="21" t="n"/>
      <c r="Q2712" s="21" t="n"/>
      <c r="R2712" s="21" t="n"/>
      <c r="S2712" s="24" t="n"/>
      <c r="T2712" s="24" t="n"/>
      <c r="V2712">
        <f>IF(A2712="","",MONTH(A2712))</f>
        <v/>
      </c>
      <c r="W2712">
        <f>N(W2711)+IF(AND(C2712&lt;&gt;"",T2712&lt;&gt;""),IF(C2712=WOCHE!$B$3,1,0),0)</f>
        <v/>
      </c>
      <c r="X2712">
        <f>N(X2711)+IF(AND(V2712&lt;&gt;"",T2712&lt;&gt;""),IF(V2712=MONAT!$AZ$3,1,0),0)</f>
        <v/>
      </c>
    </row>
    <row r="2713">
      <c r="A2713" s="19" t="n"/>
      <c r="B2713" s="20">
        <f>IF(A2713="","",CHOOSE(WEEKDAY(A2713,2),"Mo","Di","Mi","Do","Fr","Sa","So"))</f>
        <v/>
      </c>
      <c r="C2713" s="20">
        <f>IF(A2713="","",INT((A2713-DATE(YEAR(A2713-WEEKDAY(A2713-1)+4),1,3)+WEEKDAY(DATE(YEAR(A2713-WEEKDAY(A2713-1)+4),1,3))+5)/7))</f>
        <v/>
      </c>
      <c r="D2713" s="21" t="n"/>
      <c r="E2713" s="22" t="n"/>
      <c r="F2713" s="23" t="n"/>
      <c r="G2713" s="23" t="n"/>
      <c r="H2713" s="23" t="n"/>
      <c r="I2713" s="20">
        <f>IF(COUNT(F2713:H2713)=0,"",SUM(F2713:H2713))</f>
        <v/>
      </c>
      <c r="J2713" s="23" t="n"/>
      <c r="K2713" s="23" t="n"/>
      <c r="L2713" s="23" t="n"/>
      <c r="M2713" s="23" t="n"/>
      <c r="N2713" s="23" t="n"/>
      <c r="O2713" s="20">
        <f>IF(OR(I2713="",COUNT(J2713:N2713)=0),"",IF(SUM(J2713:N2713)=I2713,"✓","⚠ "&amp;SUM(J2713:N2713)&amp;" statt "&amp;I2713))</f>
        <v/>
      </c>
      <c r="P2713" s="21" t="n"/>
      <c r="Q2713" s="21" t="n"/>
      <c r="R2713" s="21" t="n"/>
      <c r="S2713" s="24" t="n"/>
      <c r="T2713" s="24" t="n"/>
      <c r="V2713">
        <f>IF(A2713="","",MONTH(A2713))</f>
        <v/>
      </c>
      <c r="W2713">
        <f>N(W2712)+IF(AND(C2713&lt;&gt;"",T2713&lt;&gt;""),IF(C2713=WOCHE!$B$3,1,0),0)</f>
        <v/>
      </c>
      <c r="X2713">
        <f>N(X2712)+IF(AND(V2713&lt;&gt;"",T2713&lt;&gt;""),IF(V2713=MONAT!$AZ$3,1,0),0)</f>
        <v/>
      </c>
    </row>
    <row r="2714">
      <c r="A2714" s="19" t="n"/>
      <c r="B2714" s="20">
        <f>IF(A2714="","",CHOOSE(WEEKDAY(A2714,2),"Mo","Di","Mi","Do","Fr","Sa","So"))</f>
        <v/>
      </c>
      <c r="C2714" s="20">
        <f>IF(A2714="","",INT((A2714-DATE(YEAR(A2714-WEEKDAY(A2714-1)+4),1,3)+WEEKDAY(DATE(YEAR(A2714-WEEKDAY(A2714-1)+4),1,3))+5)/7))</f>
        <v/>
      </c>
      <c r="D2714" s="21" t="n"/>
      <c r="E2714" s="22" t="n"/>
      <c r="F2714" s="23" t="n"/>
      <c r="G2714" s="23" t="n"/>
      <c r="H2714" s="23" t="n"/>
      <c r="I2714" s="20">
        <f>IF(COUNT(F2714:H2714)=0,"",SUM(F2714:H2714))</f>
        <v/>
      </c>
      <c r="J2714" s="23" t="n"/>
      <c r="K2714" s="23" t="n"/>
      <c r="L2714" s="23" t="n"/>
      <c r="M2714" s="23" t="n"/>
      <c r="N2714" s="23" t="n"/>
      <c r="O2714" s="20">
        <f>IF(OR(I2714="",COUNT(J2714:N2714)=0),"",IF(SUM(J2714:N2714)=I2714,"✓","⚠ "&amp;SUM(J2714:N2714)&amp;" statt "&amp;I2714))</f>
        <v/>
      </c>
      <c r="P2714" s="21" t="n"/>
      <c r="Q2714" s="21" t="n"/>
      <c r="R2714" s="21" t="n"/>
      <c r="S2714" s="24" t="n"/>
      <c r="T2714" s="24" t="n"/>
      <c r="V2714">
        <f>IF(A2714="","",MONTH(A2714))</f>
        <v/>
      </c>
      <c r="W2714">
        <f>N(W2713)+IF(AND(C2714&lt;&gt;"",T2714&lt;&gt;""),IF(C2714=WOCHE!$B$3,1,0),0)</f>
        <v/>
      </c>
      <c r="X2714">
        <f>N(X2713)+IF(AND(V2714&lt;&gt;"",T2714&lt;&gt;""),IF(V2714=MONAT!$AZ$3,1,0),0)</f>
        <v/>
      </c>
    </row>
    <row r="2715">
      <c r="A2715" s="19" t="n"/>
      <c r="B2715" s="20">
        <f>IF(A2715="","",CHOOSE(WEEKDAY(A2715,2),"Mo","Di","Mi","Do","Fr","Sa","So"))</f>
        <v/>
      </c>
      <c r="C2715" s="20">
        <f>IF(A2715="","",INT((A2715-DATE(YEAR(A2715-WEEKDAY(A2715-1)+4),1,3)+WEEKDAY(DATE(YEAR(A2715-WEEKDAY(A2715-1)+4),1,3))+5)/7))</f>
        <v/>
      </c>
      <c r="D2715" s="21" t="n"/>
      <c r="E2715" s="22" t="n"/>
      <c r="F2715" s="23" t="n"/>
      <c r="G2715" s="23" t="n"/>
      <c r="H2715" s="23" t="n"/>
      <c r="I2715" s="20">
        <f>IF(COUNT(F2715:H2715)=0,"",SUM(F2715:H2715))</f>
        <v/>
      </c>
      <c r="J2715" s="23" t="n"/>
      <c r="K2715" s="23" t="n"/>
      <c r="L2715" s="23" t="n"/>
      <c r="M2715" s="23" t="n"/>
      <c r="N2715" s="23" t="n"/>
      <c r="O2715" s="20">
        <f>IF(OR(I2715="",COUNT(J2715:N2715)=0),"",IF(SUM(J2715:N2715)=I2715,"✓","⚠ "&amp;SUM(J2715:N2715)&amp;" statt "&amp;I2715))</f>
        <v/>
      </c>
      <c r="P2715" s="21" t="n"/>
      <c r="Q2715" s="21" t="n"/>
      <c r="R2715" s="21" t="n"/>
      <c r="S2715" s="24" t="n"/>
      <c r="T2715" s="24" t="n"/>
      <c r="V2715">
        <f>IF(A2715="","",MONTH(A2715))</f>
        <v/>
      </c>
      <c r="W2715">
        <f>N(W2714)+IF(AND(C2715&lt;&gt;"",T2715&lt;&gt;""),IF(C2715=WOCHE!$B$3,1,0),0)</f>
        <v/>
      </c>
      <c r="X2715">
        <f>N(X2714)+IF(AND(V2715&lt;&gt;"",T2715&lt;&gt;""),IF(V2715=MONAT!$AZ$3,1,0),0)</f>
        <v/>
      </c>
    </row>
    <row r="2716">
      <c r="A2716" s="19" t="n"/>
      <c r="B2716" s="20">
        <f>IF(A2716="","",CHOOSE(WEEKDAY(A2716,2),"Mo","Di","Mi","Do","Fr","Sa","So"))</f>
        <v/>
      </c>
      <c r="C2716" s="20">
        <f>IF(A2716="","",INT((A2716-DATE(YEAR(A2716-WEEKDAY(A2716-1)+4),1,3)+WEEKDAY(DATE(YEAR(A2716-WEEKDAY(A2716-1)+4),1,3))+5)/7))</f>
        <v/>
      </c>
      <c r="D2716" s="21" t="n"/>
      <c r="E2716" s="22" t="n"/>
      <c r="F2716" s="23" t="n"/>
      <c r="G2716" s="23" t="n"/>
      <c r="H2716" s="23" t="n"/>
      <c r="I2716" s="20">
        <f>IF(COUNT(F2716:H2716)=0,"",SUM(F2716:H2716))</f>
        <v/>
      </c>
      <c r="J2716" s="23" t="n"/>
      <c r="K2716" s="23" t="n"/>
      <c r="L2716" s="23" t="n"/>
      <c r="M2716" s="23" t="n"/>
      <c r="N2716" s="23" t="n"/>
      <c r="O2716" s="20">
        <f>IF(OR(I2716="",COUNT(J2716:N2716)=0),"",IF(SUM(J2716:N2716)=I2716,"✓","⚠ "&amp;SUM(J2716:N2716)&amp;" statt "&amp;I2716))</f>
        <v/>
      </c>
      <c r="P2716" s="21" t="n"/>
      <c r="Q2716" s="21" t="n"/>
      <c r="R2716" s="21" t="n"/>
      <c r="S2716" s="24" t="n"/>
      <c r="T2716" s="24" t="n"/>
      <c r="V2716">
        <f>IF(A2716="","",MONTH(A2716))</f>
        <v/>
      </c>
      <c r="W2716">
        <f>N(W2715)+IF(AND(C2716&lt;&gt;"",T2716&lt;&gt;""),IF(C2716=WOCHE!$B$3,1,0),0)</f>
        <v/>
      </c>
      <c r="X2716">
        <f>N(X2715)+IF(AND(V2716&lt;&gt;"",T2716&lt;&gt;""),IF(V2716=MONAT!$AZ$3,1,0),0)</f>
        <v/>
      </c>
    </row>
    <row r="2717">
      <c r="A2717" s="19" t="n"/>
      <c r="B2717" s="20">
        <f>IF(A2717="","",CHOOSE(WEEKDAY(A2717,2),"Mo","Di","Mi","Do","Fr","Sa","So"))</f>
        <v/>
      </c>
      <c r="C2717" s="20">
        <f>IF(A2717="","",INT((A2717-DATE(YEAR(A2717-WEEKDAY(A2717-1)+4),1,3)+WEEKDAY(DATE(YEAR(A2717-WEEKDAY(A2717-1)+4),1,3))+5)/7))</f>
        <v/>
      </c>
      <c r="D2717" s="21" t="n"/>
      <c r="E2717" s="22" t="n"/>
      <c r="F2717" s="23" t="n"/>
      <c r="G2717" s="23" t="n"/>
      <c r="H2717" s="23" t="n"/>
      <c r="I2717" s="20">
        <f>IF(COUNT(F2717:H2717)=0,"",SUM(F2717:H2717))</f>
        <v/>
      </c>
      <c r="J2717" s="23" t="n"/>
      <c r="K2717" s="23" t="n"/>
      <c r="L2717" s="23" t="n"/>
      <c r="M2717" s="23" t="n"/>
      <c r="N2717" s="23" t="n"/>
      <c r="O2717" s="20">
        <f>IF(OR(I2717="",COUNT(J2717:N2717)=0),"",IF(SUM(J2717:N2717)=I2717,"✓","⚠ "&amp;SUM(J2717:N2717)&amp;" statt "&amp;I2717))</f>
        <v/>
      </c>
      <c r="P2717" s="21" t="n"/>
      <c r="Q2717" s="21" t="n"/>
      <c r="R2717" s="21" t="n"/>
      <c r="S2717" s="24" t="n"/>
      <c r="T2717" s="24" t="n"/>
      <c r="V2717">
        <f>IF(A2717="","",MONTH(A2717))</f>
        <v/>
      </c>
      <c r="W2717">
        <f>N(W2716)+IF(AND(C2717&lt;&gt;"",T2717&lt;&gt;""),IF(C2717=WOCHE!$B$3,1,0),0)</f>
        <v/>
      </c>
      <c r="X2717">
        <f>N(X2716)+IF(AND(V2717&lt;&gt;"",T2717&lt;&gt;""),IF(V2717=MONAT!$AZ$3,1,0),0)</f>
        <v/>
      </c>
    </row>
    <row r="2718">
      <c r="A2718" s="19" t="n"/>
      <c r="B2718" s="20">
        <f>IF(A2718="","",CHOOSE(WEEKDAY(A2718,2),"Mo","Di","Mi","Do","Fr","Sa","So"))</f>
        <v/>
      </c>
      <c r="C2718" s="20">
        <f>IF(A2718="","",INT((A2718-DATE(YEAR(A2718-WEEKDAY(A2718-1)+4),1,3)+WEEKDAY(DATE(YEAR(A2718-WEEKDAY(A2718-1)+4),1,3))+5)/7))</f>
        <v/>
      </c>
      <c r="D2718" s="21" t="n"/>
      <c r="E2718" s="22" t="n"/>
      <c r="F2718" s="23" t="n"/>
      <c r="G2718" s="23" t="n"/>
      <c r="H2718" s="23" t="n"/>
      <c r="I2718" s="20">
        <f>IF(COUNT(F2718:H2718)=0,"",SUM(F2718:H2718))</f>
        <v/>
      </c>
      <c r="J2718" s="23" t="n"/>
      <c r="K2718" s="23" t="n"/>
      <c r="L2718" s="23" t="n"/>
      <c r="M2718" s="23" t="n"/>
      <c r="N2718" s="23" t="n"/>
      <c r="O2718" s="20">
        <f>IF(OR(I2718="",COUNT(J2718:N2718)=0),"",IF(SUM(J2718:N2718)=I2718,"✓","⚠ "&amp;SUM(J2718:N2718)&amp;" statt "&amp;I2718))</f>
        <v/>
      </c>
      <c r="P2718" s="21" t="n"/>
      <c r="Q2718" s="21" t="n"/>
      <c r="R2718" s="21" t="n"/>
      <c r="S2718" s="24" t="n"/>
      <c r="T2718" s="24" t="n"/>
      <c r="V2718">
        <f>IF(A2718="","",MONTH(A2718))</f>
        <v/>
      </c>
      <c r="W2718">
        <f>N(W2717)+IF(AND(C2718&lt;&gt;"",T2718&lt;&gt;""),IF(C2718=WOCHE!$B$3,1,0),0)</f>
        <v/>
      </c>
      <c r="X2718">
        <f>N(X2717)+IF(AND(V2718&lt;&gt;"",T2718&lt;&gt;""),IF(V2718=MONAT!$AZ$3,1,0),0)</f>
        <v/>
      </c>
    </row>
    <row r="2719">
      <c r="A2719" s="19" t="n"/>
      <c r="B2719" s="20">
        <f>IF(A2719="","",CHOOSE(WEEKDAY(A2719,2),"Mo","Di","Mi","Do","Fr","Sa","So"))</f>
        <v/>
      </c>
      <c r="C2719" s="20">
        <f>IF(A2719="","",INT((A2719-DATE(YEAR(A2719-WEEKDAY(A2719-1)+4),1,3)+WEEKDAY(DATE(YEAR(A2719-WEEKDAY(A2719-1)+4),1,3))+5)/7))</f>
        <v/>
      </c>
      <c r="D2719" s="21" t="n"/>
      <c r="E2719" s="22" t="n"/>
      <c r="F2719" s="23" t="n"/>
      <c r="G2719" s="23" t="n"/>
      <c r="H2719" s="23" t="n"/>
      <c r="I2719" s="20">
        <f>IF(COUNT(F2719:H2719)=0,"",SUM(F2719:H2719))</f>
        <v/>
      </c>
      <c r="J2719" s="23" t="n"/>
      <c r="K2719" s="23" t="n"/>
      <c r="L2719" s="23" t="n"/>
      <c r="M2719" s="23" t="n"/>
      <c r="N2719" s="23" t="n"/>
      <c r="O2719" s="20">
        <f>IF(OR(I2719="",COUNT(J2719:N2719)=0),"",IF(SUM(J2719:N2719)=I2719,"✓","⚠ "&amp;SUM(J2719:N2719)&amp;" statt "&amp;I2719))</f>
        <v/>
      </c>
      <c r="P2719" s="21" t="n"/>
      <c r="Q2719" s="21" t="n"/>
      <c r="R2719" s="21" t="n"/>
      <c r="S2719" s="24" t="n"/>
      <c r="T2719" s="24" t="n"/>
      <c r="V2719">
        <f>IF(A2719="","",MONTH(A2719))</f>
        <v/>
      </c>
      <c r="W2719">
        <f>N(W2718)+IF(AND(C2719&lt;&gt;"",T2719&lt;&gt;""),IF(C2719=WOCHE!$B$3,1,0),0)</f>
        <v/>
      </c>
      <c r="X2719">
        <f>N(X2718)+IF(AND(V2719&lt;&gt;"",T2719&lt;&gt;""),IF(V2719=MONAT!$AZ$3,1,0),0)</f>
        <v/>
      </c>
    </row>
    <row r="2720">
      <c r="A2720" s="19" t="n"/>
      <c r="B2720" s="20">
        <f>IF(A2720="","",CHOOSE(WEEKDAY(A2720,2),"Mo","Di","Mi","Do","Fr","Sa","So"))</f>
        <v/>
      </c>
      <c r="C2720" s="20">
        <f>IF(A2720="","",INT((A2720-DATE(YEAR(A2720-WEEKDAY(A2720-1)+4),1,3)+WEEKDAY(DATE(YEAR(A2720-WEEKDAY(A2720-1)+4),1,3))+5)/7))</f>
        <v/>
      </c>
      <c r="D2720" s="21" t="n"/>
      <c r="E2720" s="22" t="n"/>
      <c r="F2720" s="23" t="n"/>
      <c r="G2720" s="23" t="n"/>
      <c r="H2720" s="23" t="n"/>
      <c r="I2720" s="20">
        <f>IF(COUNT(F2720:H2720)=0,"",SUM(F2720:H2720))</f>
        <v/>
      </c>
      <c r="J2720" s="23" t="n"/>
      <c r="K2720" s="23" t="n"/>
      <c r="L2720" s="23" t="n"/>
      <c r="M2720" s="23" t="n"/>
      <c r="N2720" s="23" t="n"/>
      <c r="O2720" s="20">
        <f>IF(OR(I2720="",COUNT(J2720:N2720)=0),"",IF(SUM(J2720:N2720)=I2720,"✓","⚠ "&amp;SUM(J2720:N2720)&amp;" statt "&amp;I2720))</f>
        <v/>
      </c>
      <c r="P2720" s="21" t="n"/>
      <c r="Q2720" s="21" t="n"/>
      <c r="R2720" s="21" t="n"/>
      <c r="S2720" s="24" t="n"/>
      <c r="T2720" s="24" t="n"/>
      <c r="V2720">
        <f>IF(A2720="","",MONTH(A2720))</f>
        <v/>
      </c>
      <c r="W2720">
        <f>N(W2719)+IF(AND(C2720&lt;&gt;"",T2720&lt;&gt;""),IF(C2720=WOCHE!$B$3,1,0),0)</f>
        <v/>
      </c>
      <c r="X2720">
        <f>N(X2719)+IF(AND(V2720&lt;&gt;"",T2720&lt;&gt;""),IF(V2720=MONAT!$AZ$3,1,0),0)</f>
        <v/>
      </c>
    </row>
    <row r="2721">
      <c r="A2721" s="19" t="n"/>
      <c r="B2721" s="20">
        <f>IF(A2721="","",CHOOSE(WEEKDAY(A2721,2),"Mo","Di","Mi","Do","Fr","Sa","So"))</f>
        <v/>
      </c>
      <c r="C2721" s="20">
        <f>IF(A2721="","",INT((A2721-DATE(YEAR(A2721-WEEKDAY(A2721-1)+4),1,3)+WEEKDAY(DATE(YEAR(A2721-WEEKDAY(A2721-1)+4),1,3))+5)/7))</f>
        <v/>
      </c>
      <c r="D2721" s="21" t="n"/>
      <c r="E2721" s="22" t="n"/>
      <c r="F2721" s="23" t="n"/>
      <c r="G2721" s="23" t="n"/>
      <c r="H2721" s="23" t="n"/>
      <c r="I2721" s="20">
        <f>IF(COUNT(F2721:H2721)=0,"",SUM(F2721:H2721))</f>
        <v/>
      </c>
      <c r="J2721" s="23" t="n"/>
      <c r="K2721" s="23" t="n"/>
      <c r="L2721" s="23" t="n"/>
      <c r="M2721" s="23" t="n"/>
      <c r="N2721" s="23" t="n"/>
      <c r="O2721" s="20">
        <f>IF(OR(I2721="",COUNT(J2721:N2721)=0),"",IF(SUM(J2721:N2721)=I2721,"✓","⚠ "&amp;SUM(J2721:N2721)&amp;" statt "&amp;I2721))</f>
        <v/>
      </c>
      <c r="P2721" s="21" t="n"/>
      <c r="Q2721" s="21" t="n"/>
      <c r="R2721" s="21" t="n"/>
      <c r="S2721" s="24" t="n"/>
      <c r="T2721" s="24" t="n"/>
      <c r="V2721">
        <f>IF(A2721="","",MONTH(A2721))</f>
        <v/>
      </c>
      <c r="W2721">
        <f>N(W2720)+IF(AND(C2721&lt;&gt;"",T2721&lt;&gt;""),IF(C2721=WOCHE!$B$3,1,0),0)</f>
        <v/>
      </c>
      <c r="X2721">
        <f>N(X2720)+IF(AND(V2721&lt;&gt;"",T2721&lt;&gt;""),IF(V2721=MONAT!$AZ$3,1,0),0)</f>
        <v/>
      </c>
    </row>
    <row r="2722">
      <c r="A2722" s="19" t="n"/>
      <c r="B2722" s="20">
        <f>IF(A2722="","",CHOOSE(WEEKDAY(A2722,2),"Mo","Di","Mi","Do","Fr","Sa","So"))</f>
        <v/>
      </c>
      <c r="C2722" s="20">
        <f>IF(A2722="","",INT((A2722-DATE(YEAR(A2722-WEEKDAY(A2722-1)+4),1,3)+WEEKDAY(DATE(YEAR(A2722-WEEKDAY(A2722-1)+4),1,3))+5)/7))</f>
        <v/>
      </c>
      <c r="D2722" s="21" t="n"/>
      <c r="E2722" s="22" t="n"/>
      <c r="F2722" s="23" t="n"/>
      <c r="G2722" s="23" t="n"/>
      <c r="H2722" s="23" t="n"/>
      <c r="I2722" s="20">
        <f>IF(COUNT(F2722:H2722)=0,"",SUM(F2722:H2722))</f>
        <v/>
      </c>
      <c r="J2722" s="23" t="n"/>
      <c r="K2722" s="23" t="n"/>
      <c r="L2722" s="23" t="n"/>
      <c r="M2722" s="23" t="n"/>
      <c r="N2722" s="23" t="n"/>
      <c r="O2722" s="20">
        <f>IF(OR(I2722="",COUNT(J2722:N2722)=0),"",IF(SUM(J2722:N2722)=I2722,"✓","⚠ "&amp;SUM(J2722:N2722)&amp;" statt "&amp;I2722))</f>
        <v/>
      </c>
      <c r="P2722" s="21" t="n"/>
      <c r="Q2722" s="21" t="n"/>
      <c r="R2722" s="21" t="n"/>
      <c r="S2722" s="24" t="n"/>
      <c r="T2722" s="24" t="n"/>
      <c r="V2722">
        <f>IF(A2722="","",MONTH(A2722))</f>
        <v/>
      </c>
      <c r="W2722">
        <f>N(W2721)+IF(AND(C2722&lt;&gt;"",T2722&lt;&gt;""),IF(C2722=WOCHE!$B$3,1,0),0)</f>
        <v/>
      </c>
      <c r="X2722">
        <f>N(X2721)+IF(AND(V2722&lt;&gt;"",T2722&lt;&gt;""),IF(V2722=MONAT!$AZ$3,1,0),0)</f>
        <v/>
      </c>
    </row>
    <row r="2723">
      <c r="A2723" s="19" t="n"/>
      <c r="B2723" s="20">
        <f>IF(A2723="","",CHOOSE(WEEKDAY(A2723,2),"Mo","Di","Mi","Do","Fr","Sa","So"))</f>
        <v/>
      </c>
      <c r="C2723" s="20">
        <f>IF(A2723="","",INT((A2723-DATE(YEAR(A2723-WEEKDAY(A2723-1)+4),1,3)+WEEKDAY(DATE(YEAR(A2723-WEEKDAY(A2723-1)+4),1,3))+5)/7))</f>
        <v/>
      </c>
      <c r="D2723" s="21" t="n"/>
      <c r="E2723" s="22" t="n"/>
      <c r="F2723" s="23" t="n"/>
      <c r="G2723" s="23" t="n"/>
      <c r="H2723" s="23" t="n"/>
      <c r="I2723" s="20">
        <f>IF(COUNT(F2723:H2723)=0,"",SUM(F2723:H2723))</f>
        <v/>
      </c>
      <c r="J2723" s="23" t="n"/>
      <c r="K2723" s="23" t="n"/>
      <c r="L2723" s="23" t="n"/>
      <c r="M2723" s="23" t="n"/>
      <c r="N2723" s="23" t="n"/>
      <c r="O2723" s="20">
        <f>IF(OR(I2723="",COUNT(J2723:N2723)=0),"",IF(SUM(J2723:N2723)=I2723,"✓","⚠ "&amp;SUM(J2723:N2723)&amp;" statt "&amp;I2723))</f>
        <v/>
      </c>
      <c r="P2723" s="21" t="n"/>
      <c r="Q2723" s="21" t="n"/>
      <c r="R2723" s="21" t="n"/>
      <c r="S2723" s="24" t="n"/>
      <c r="T2723" s="24" t="n"/>
      <c r="V2723">
        <f>IF(A2723="","",MONTH(A2723))</f>
        <v/>
      </c>
      <c r="W2723">
        <f>N(W2722)+IF(AND(C2723&lt;&gt;"",T2723&lt;&gt;""),IF(C2723=WOCHE!$B$3,1,0),0)</f>
        <v/>
      </c>
      <c r="X2723">
        <f>N(X2722)+IF(AND(V2723&lt;&gt;"",T2723&lt;&gt;""),IF(V2723=MONAT!$AZ$3,1,0),0)</f>
        <v/>
      </c>
    </row>
    <row r="2724">
      <c r="A2724" s="19" t="n"/>
      <c r="B2724" s="20">
        <f>IF(A2724="","",CHOOSE(WEEKDAY(A2724,2),"Mo","Di","Mi","Do","Fr","Sa","So"))</f>
        <v/>
      </c>
      <c r="C2724" s="20">
        <f>IF(A2724="","",INT((A2724-DATE(YEAR(A2724-WEEKDAY(A2724-1)+4),1,3)+WEEKDAY(DATE(YEAR(A2724-WEEKDAY(A2724-1)+4),1,3))+5)/7))</f>
        <v/>
      </c>
      <c r="D2724" s="21" t="n"/>
      <c r="E2724" s="22" t="n"/>
      <c r="F2724" s="23" t="n"/>
      <c r="G2724" s="23" t="n"/>
      <c r="H2724" s="23" t="n"/>
      <c r="I2724" s="20">
        <f>IF(COUNT(F2724:H2724)=0,"",SUM(F2724:H2724))</f>
        <v/>
      </c>
      <c r="J2724" s="23" t="n"/>
      <c r="K2724" s="23" t="n"/>
      <c r="L2724" s="23" t="n"/>
      <c r="M2724" s="23" t="n"/>
      <c r="N2724" s="23" t="n"/>
      <c r="O2724" s="20">
        <f>IF(OR(I2724="",COUNT(J2724:N2724)=0),"",IF(SUM(J2724:N2724)=I2724,"✓","⚠ "&amp;SUM(J2724:N2724)&amp;" statt "&amp;I2724))</f>
        <v/>
      </c>
      <c r="P2724" s="21" t="n"/>
      <c r="Q2724" s="21" t="n"/>
      <c r="R2724" s="21" t="n"/>
      <c r="S2724" s="24" t="n"/>
      <c r="T2724" s="24" t="n"/>
      <c r="V2724">
        <f>IF(A2724="","",MONTH(A2724))</f>
        <v/>
      </c>
      <c r="W2724">
        <f>N(W2723)+IF(AND(C2724&lt;&gt;"",T2724&lt;&gt;""),IF(C2724=WOCHE!$B$3,1,0),0)</f>
        <v/>
      </c>
      <c r="X2724">
        <f>N(X2723)+IF(AND(V2724&lt;&gt;"",T2724&lt;&gt;""),IF(V2724=MONAT!$AZ$3,1,0),0)</f>
        <v/>
      </c>
    </row>
    <row r="2725">
      <c r="A2725" s="19" t="n"/>
      <c r="B2725" s="20">
        <f>IF(A2725="","",CHOOSE(WEEKDAY(A2725,2),"Mo","Di","Mi","Do","Fr","Sa","So"))</f>
        <v/>
      </c>
      <c r="C2725" s="20">
        <f>IF(A2725="","",INT((A2725-DATE(YEAR(A2725-WEEKDAY(A2725-1)+4),1,3)+WEEKDAY(DATE(YEAR(A2725-WEEKDAY(A2725-1)+4),1,3))+5)/7))</f>
        <v/>
      </c>
      <c r="D2725" s="21" t="n"/>
      <c r="E2725" s="22" t="n"/>
      <c r="F2725" s="23" t="n"/>
      <c r="G2725" s="23" t="n"/>
      <c r="H2725" s="23" t="n"/>
      <c r="I2725" s="20">
        <f>IF(COUNT(F2725:H2725)=0,"",SUM(F2725:H2725))</f>
        <v/>
      </c>
      <c r="J2725" s="23" t="n"/>
      <c r="K2725" s="23" t="n"/>
      <c r="L2725" s="23" t="n"/>
      <c r="M2725" s="23" t="n"/>
      <c r="N2725" s="23" t="n"/>
      <c r="O2725" s="20">
        <f>IF(OR(I2725="",COUNT(J2725:N2725)=0),"",IF(SUM(J2725:N2725)=I2725,"✓","⚠ "&amp;SUM(J2725:N2725)&amp;" statt "&amp;I2725))</f>
        <v/>
      </c>
      <c r="P2725" s="21" t="n"/>
      <c r="Q2725" s="21" t="n"/>
      <c r="R2725" s="21" t="n"/>
      <c r="S2725" s="24" t="n"/>
      <c r="T2725" s="24" t="n"/>
      <c r="V2725">
        <f>IF(A2725="","",MONTH(A2725))</f>
        <v/>
      </c>
      <c r="W2725">
        <f>N(W2724)+IF(AND(C2725&lt;&gt;"",T2725&lt;&gt;""),IF(C2725=WOCHE!$B$3,1,0),0)</f>
        <v/>
      </c>
      <c r="X2725">
        <f>N(X2724)+IF(AND(V2725&lt;&gt;"",T2725&lt;&gt;""),IF(V2725=MONAT!$AZ$3,1,0),0)</f>
        <v/>
      </c>
    </row>
    <row r="2726">
      <c r="A2726" s="19" t="n"/>
      <c r="B2726" s="20">
        <f>IF(A2726="","",CHOOSE(WEEKDAY(A2726,2),"Mo","Di","Mi","Do","Fr","Sa","So"))</f>
        <v/>
      </c>
      <c r="C2726" s="20">
        <f>IF(A2726="","",INT((A2726-DATE(YEAR(A2726-WEEKDAY(A2726-1)+4),1,3)+WEEKDAY(DATE(YEAR(A2726-WEEKDAY(A2726-1)+4),1,3))+5)/7))</f>
        <v/>
      </c>
      <c r="D2726" s="21" t="n"/>
      <c r="E2726" s="22" t="n"/>
      <c r="F2726" s="23" t="n"/>
      <c r="G2726" s="23" t="n"/>
      <c r="H2726" s="23" t="n"/>
      <c r="I2726" s="20">
        <f>IF(COUNT(F2726:H2726)=0,"",SUM(F2726:H2726))</f>
        <v/>
      </c>
      <c r="J2726" s="23" t="n"/>
      <c r="K2726" s="23" t="n"/>
      <c r="L2726" s="23" t="n"/>
      <c r="M2726" s="23" t="n"/>
      <c r="N2726" s="23" t="n"/>
      <c r="O2726" s="20">
        <f>IF(OR(I2726="",COUNT(J2726:N2726)=0),"",IF(SUM(J2726:N2726)=I2726,"✓","⚠ "&amp;SUM(J2726:N2726)&amp;" statt "&amp;I2726))</f>
        <v/>
      </c>
      <c r="P2726" s="21" t="n"/>
      <c r="Q2726" s="21" t="n"/>
      <c r="R2726" s="21" t="n"/>
      <c r="S2726" s="24" t="n"/>
      <c r="T2726" s="24" t="n"/>
      <c r="V2726">
        <f>IF(A2726="","",MONTH(A2726))</f>
        <v/>
      </c>
      <c r="W2726">
        <f>N(W2725)+IF(AND(C2726&lt;&gt;"",T2726&lt;&gt;""),IF(C2726=WOCHE!$B$3,1,0),0)</f>
        <v/>
      </c>
      <c r="X2726">
        <f>N(X2725)+IF(AND(V2726&lt;&gt;"",T2726&lt;&gt;""),IF(V2726=MONAT!$AZ$3,1,0),0)</f>
        <v/>
      </c>
    </row>
    <row r="2727">
      <c r="A2727" s="19" t="n"/>
      <c r="B2727" s="20">
        <f>IF(A2727="","",CHOOSE(WEEKDAY(A2727,2),"Mo","Di","Mi","Do","Fr","Sa","So"))</f>
        <v/>
      </c>
      <c r="C2727" s="20">
        <f>IF(A2727="","",INT((A2727-DATE(YEAR(A2727-WEEKDAY(A2727-1)+4),1,3)+WEEKDAY(DATE(YEAR(A2727-WEEKDAY(A2727-1)+4),1,3))+5)/7))</f>
        <v/>
      </c>
      <c r="D2727" s="21" t="n"/>
      <c r="E2727" s="22" t="n"/>
      <c r="F2727" s="23" t="n"/>
      <c r="G2727" s="23" t="n"/>
      <c r="H2727" s="23" t="n"/>
      <c r="I2727" s="20">
        <f>IF(COUNT(F2727:H2727)=0,"",SUM(F2727:H2727))</f>
        <v/>
      </c>
      <c r="J2727" s="23" t="n"/>
      <c r="K2727" s="23" t="n"/>
      <c r="L2727" s="23" t="n"/>
      <c r="M2727" s="23" t="n"/>
      <c r="N2727" s="23" t="n"/>
      <c r="O2727" s="20">
        <f>IF(OR(I2727="",COUNT(J2727:N2727)=0),"",IF(SUM(J2727:N2727)=I2727,"✓","⚠ "&amp;SUM(J2727:N2727)&amp;" statt "&amp;I2727))</f>
        <v/>
      </c>
      <c r="P2727" s="21" t="n"/>
      <c r="Q2727" s="21" t="n"/>
      <c r="R2727" s="21" t="n"/>
      <c r="S2727" s="24" t="n"/>
      <c r="T2727" s="24" t="n"/>
      <c r="V2727">
        <f>IF(A2727="","",MONTH(A2727))</f>
        <v/>
      </c>
      <c r="W2727">
        <f>N(W2726)+IF(AND(C2727&lt;&gt;"",T2727&lt;&gt;""),IF(C2727=WOCHE!$B$3,1,0),0)</f>
        <v/>
      </c>
      <c r="X2727">
        <f>N(X2726)+IF(AND(V2727&lt;&gt;"",T2727&lt;&gt;""),IF(V2727=MONAT!$AZ$3,1,0),0)</f>
        <v/>
      </c>
    </row>
    <row r="2728">
      <c r="A2728" s="19" t="n"/>
      <c r="B2728" s="20">
        <f>IF(A2728="","",CHOOSE(WEEKDAY(A2728,2),"Mo","Di","Mi","Do","Fr","Sa","So"))</f>
        <v/>
      </c>
      <c r="C2728" s="20">
        <f>IF(A2728="","",INT((A2728-DATE(YEAR(A2728-WEEKDAY(A2728-1)+4),1,3)+WEEKDAY(DATE(YEAR(A2728-WEEKDAY(A2728-1)+4),1,3))+5)/7))</f>
        <v/>
      </c>
      <c r="D2728" s="21" t="n"/>
      <c r="E2728" s="22" t="n"/>
      <c r="F2728" s="23" t="n"/>
      <c r="G2728" s="23" t="n"/>
      <c r="H2728" s="23" t="n"/>
      <c r="I2728" s="20">
        <f>IF(COUNT(F2728:H2728)=0,"",SUM(F2728:H2728))</f>
        <v/>
      </c>
      <c r="J2728" s="23" t="n"/>
      <c r="K2728" s="23" t="n"/>
      <c r="L2728" s="23" t="n"/>
      <c r="M2728" s="23" t="n"/>
      <c r="N2728" s="23" t="n"/>
      <c r="O2728" s="20">
        <f>IF(OR(I2728="",COUNT(J2728:N2728)=0),"",IF(SUM(J2728:N2728)=I2728,"✓","⚠ "&amp;SUM(J2728:N2728)&amp;" statt "&amp;I2728))</f>
        <v/>
      </c>
      <c r="P2728" s="21" t="n"/>
      <c r="Q2728" s="21" t="n"/>
      <c r="R2728" s="21" t="n"/>
      <c r="S2728" s="24" t="n"/>
      <c r="T2728" s="24" t="n"/>
      <c r="V2728">
        <f>IF(A2728="","",MONTH(A2728))</f>
        <v/>
      </c>
      <c r="W2728">
        <f>N(W2727)+IF(AND(C2728&lt;&gt;"",T2728&lt;&gt;""),IF(C2728=WOCHE!$B$3,1,0),0)</f>
        <v/>
      </c>
      <c r="X2728">
        <f>N(X2727)+IF(AND(V2728&lt;&gt;"",T2728&lt;&gt;""),IF(V2728=MONAT!$AZ$3,1,0),0)</f>
        <v/>
      </c>
    </row>
    <row r="2729">
      <c r="A2729" s="19" t="n"/>
      <c r="B2729" s="20">
        <f>IF(A2729="","",CHOOSE(WEEKDAY(A2729,2),"Mo","Di","Mi","Do","Fr","Sa","So"))</f>
        <v/>
      </c>
      <c r="C2729" s="20">
        <f>IF(A2729="","",INT((A2729-DATE(YEAR(A2729-WEEKDAY(A2729-1)+4),1,3)+WEEKDAY(DATE(YEAR(A2729-WEEKDAY(A2729-1)+4),1,3))+5)/7))</f>
        <v/>
      </c>
      <c r="D2729" s="21" t="n"/>
      <c r="E2729" s="22" t="n"/>
      <c r="F2729" s="23" t="n"/>
      <c r="G2729" s="23" t="n"/>
      <c r="H2729" s="23" t="n"/>
      <c r="I2729" s="20">
        <f>IF(COUNT(F2729:H2729)=0,"",SUM(F2729:H2729))</f>
        <v/>
      </c>
      <c r="J2729" s="23" t="n"/>
      <c r="K2729" s="23" t="n"/>
      <c r="L2729" s="23" t="n"/>
      <c r="M2729" s="23" t="n"/>
      <c r="N2729" s="23" t="n"/>
      <c r="O2729" s="20">
        <f>IF(OR(I2729="",COUNT(J2729:N2729)=0),"",IF(SUM(J2729:N2729)=I2729,"✓","⚠ "&amp;SUM(J2729:N2729)&amp;" statt "&amp;I2729))</f>
        <v/>
      </c>
      <c r="P2729" s="21" t="n"/>
      <c r="Q2729" s="21" t="n"/>
      <c r="R2729" s="21" t="n"/>
      <c r="S2729" s="24" t="n"/>
      <c r="T2729" s="24" t="n"/>
      <c r="V2729">
        <f>IF(A2729="","",MONTH(A2729))</f>
        <v/>
      </c>
      <c r="W2729">
        <f>N(W2728)+IF(AND(C2729&lt;&gt;"",T2729&lt;&gt;""),IF(C2729=WOCHE!$B$3,1,0),0)</f>
        <v/>
      </c>
      <c r="X2729">
        <f>N(X2728)+IF(AND(V2729&lt;&gt;"",T2729&lt;&gt;""),IF(V2729=MONAT!$AZ$3,1,0),0)</f>
        <v/>
      </c>
    </row>
    <row r="2730">
      <c r="A2730" s="19" t="n"/>
      <c r="B2730" s="20">
        <f>IF(A2730="","",CHOOSE(WEEKDAY(A2730,2),"Mo","Di","Mi","Do","Fr","Sa","So"))</f>
        <v/>
      </c>
      <c r="C2730" s="20">
        <f>IF(A2730="","",INT((A2730-DATE(YEAR(A2730-WEEKDAY(A2730-1)+4),1,3)+WEEKDAY(DATE(YEAR(A2730-WEEKDAY(A2730-1)+4),1,3))+5)/7))</f>
        <v/>
      </c>
      <c r="D2730" s="21" t="n"/>
      <c r="E2730" s="22" t="n"/>
      <c r="F2730" s="23" t="n"/>
      <c r="G2730" s="23" t="n"/>
      <c r="H2730" s="23" t="n"/>
      <c r="I2730" s="20">
        <f>IF(COUNT(F2730:H2730)=0,"",SUM(F2730:H2730))</f>
        <v/>
      </c>
      <c r="J2730" s="23" t="n"/>
      <c r="K2730" s="23" t="n"/>
      <c r="L2730" s="23" t="n"/>
      <c r="M2730" s="23" t="n"/>
      <c r="N2730" s="23" t="n"/>
      <c r="O2730" s="20">
        <f>IF(OR(I2730="",COUNT(J2730:N2730)=0),"",IF(SUM(J2730:N2730)=I2730,"✓","⚠ "&amp;SUM(J2730:N2730)&amp;" statt "&amp;I2730))</f>
        <v/>
      </c>
      <c r="P2730" s="21" t="n"/>
      <c r="Q2730" s="21" t="n"/>
      <c r="R2730" s="21" t="n"/>
      <c r="S2730" s="24" t="n"/>
      <c r="T2730" s="24" t="n"/>
      <c r="V2730">
        <f>IF(A2730="","",MONTH(A2730))</f>
        <v/>
      </c>
      <c r="W2730">
        <f>N(W2729)+IF(AND(C2730&lt;&gt;"",T2730&lt;&gt;""),IF(C2730=WOCHE!$B$3,1,0),0)</f>
        <v/>
      </c>
      <c r="X2730">
        <f>N(X2729)+IF(AND(V2730&lt;&gt;"",T2730&lt;&gt;""),IF(V2730=MONAT!$AZ$3,1,0),0)</f>
        <v/>
      </c>
    </row>
    <row r="2731">
      <c r="A2731" s="19" t="n"/>
      <c r="B2731" s="20">
        <f>IF(A2731="","",CHOOSE(WEEKDAY(A2731,2),"Mo","Di","Mi","Do","Fr","Sa","So"))</f>
        <v/>
      </c>
      <c r="C2731" s="20">
        <f>IF(A2731="","",INT((A2731-DATE(YEAR(A2731-WEEKDAY(A2731-1)+4),1,3)+WEEKDAY(DATE(YEAR(A2731-WEEKDAY(A2731-1)+4),1,3))+5)/7))</f>
        <v/>
      </c>
      <c r="D2731" s="21" t="n"/>
      <c r="E2731" s="22" t="n"/>
      <c r="F2731" s="23" t="n"/>
      <c r="G2731" s="23" t="n"/>
      <c r="H2731" s="23" t="n"/>
      <c r="I2731" s="20">
        <f>IF(COUNT(F2731:H2731)=0,"",SUM(F2731:H2731))</f>
        <v/>
      </c>
      <c r="J2731" s="23" t="n"/>
      <c r="K2731" s="23" t="n"/>
      <c r="L2731" s="23" t="n"/>
      <c r="M2731" s="23" t="n"/>
      <c r="N2731" s="23" t="n"/>
      <c r="O2731" s="20">
        <f>IF(OR(I2731="",COUNT(J2731:N2731)=0),"",IF(SUM(J2731:N2731)=I2731,"✓","⚠ "&amp;SUM(J2731:N2731)&amp;" statt "&amp;I2731))</f>
        <v/>
      </c>
      <c r="P2731" s="21" t="n"/>
      <c r="Q2731" s="21" t="n"/>
      <c r="R2731" s="21" t="n"/>
      <c r="S2731" s="24" t="n"/>
      <c r="T2731" s="24" t="n"/>
      <c r="V2731">
        <f>IF(A2731="","",MONTH(A2731))</f>
        <v/>
      </c>
      <c r="W2731">
        <f>N(W2730)+IF(AND(C2731&lt;&gt;"",T2731&lt;&gt;""),IF(C2731=WOCHE!$B$3,1,0),0)</f>
        <v/>
      </c>
      <c r="X2731">
        <f>N(X2730)+IF(AND(V2731&lt;&gt;"",T2731&lt;&gt;""),IF(V2731=MONAT!$AZ$3,1,0),0)</f>
        <v/>
      </c>
    </row>
    <row r="2732">
      <c r="A2732" s="19" t="n"/>
      <c r="B2732" s="20">
        <f>IF(A2732="","",CHOOSE(WEEKDAY(A2732,2),"Mo","Di","Mi","Do","Fr","Sa","So"))</f>
        <v/>
      </c>
      <c r="C2732" s="20">
        <f>IF(A2732="","",INT((A2732-DATE(YEAR(A2732-WEEKDAY(A2732-1)+4),1,3)+WEEKDAY(DATE(YEAR(A2732-WEEKDAY(A2732-1)+4),1,3))+5)/7))</f>
        <v/>
      </c>
      <c r="D2732" s="21" t="n"/>
      <c r="E2732" s="22" t="n"/>
      <c r="F2732" s="23" t="n"/>
      <c r="G2732" s="23" t="n"/>
      <c r="H2732" s="23" t="n"/>
      <c r="I2732" s="20">
        <f>IF(COUNT(F2732:H2732)=0,"",SUM(F2732:H2732))</f>
        <v/>
      </c>
      <c r="J2732" s="23" t="n"/>
      <c r="K2732" s="23" t="n"/>
      <c r="L2732" s="23" t="n"/>
      <c r="M2732" s="23" t="n"/>
      <c r="N2732" s="23" t="n"/>
      <c r="O2732" s="20">
        <f>IF(OR(I2732="",COUNT(J2732:N2732)=0),"",IF(SUM(J2732:N2732)=I2732,"✓","⚠ "&amp;SUM(J2732:N2732)&amp;" statt "&amp;I2732))</f>
        <v/>
      </c>
      <c r="P2732" s="21" t="n"/>
      <c r="Q2732" s="21" t="n"/>
      <c r="R2732" s="21" t="n"/>
      <c r="S2732" s="24" t="n"/>
      <c r="T2732" s="24" t="n"/>
      <c r="V2732">
        <f>IF(A2732="","",MONTH(A2732))</f>
        <v/>
      </c>
      <c r="W2732">
        <f>N(W2731)+IF(AND(C2732&lt;&gt;"",T2732&lt;&gt;""),IF(C2732=WOCHE!$B$3,1,0),0)</f>
        <v/>
      </c>
      <c r="X2732">
        <f>N(X2731)+IF(AND(V2732&lt;&gt;"",T2732&lt;&gt;""),IF(V2732=MONAT!$AZ$3,1,0),0)</f>
        <v/>
      </c>
    </row>
    <row r="2733">
      <c r="A2733" s="19" t="n"/>
      <c r="B2733" s="20">
        <f>IF(A2733="","",CHOOSE(WEEKDAY(A2733,2),"Mo","Di","Mi","Do","Fr","Sa","So"))</f>
        <v/>
      </c>
      <c r="C2733" s="20">
        <f>IF(A2733="","",INT((A2733-DATE(YEAR(A2733-WEEKDAY(A2733-1)+4),1,3)+WEEKDAY(DATE(YEAR(A2733-WEEKDAY(A2733-1)+4),1,3))+5)/7))</f>
        <v/>
      </c>
      <c r="D2733" s="21" t="n"/>
      <c r="E2733" s="22" t="n"/>
      <c r="F2733" s="23" t="n"/>
      <c r="G2733" s="23" t="n"/>
      <c r="H2733" s="23" t="n"/>
      <c r="I2733" s="20">
        <f>IF(COUNT(F2733:H2733)=0,"",SUM(F2733:H2733))</f>
        <v/>
      </c>
      <c r="J2733" s="23" t="n"/>
      <c r="K2733" s="23" t="n"/>
      <c r="L2733" s="23" t="n"/>
      <c r="M2733" s="23" t="n"/>
      <c r="N2733" s="23" t="n"/>
      <c r="O2733" s="20">
        <f>IF(OR(I2733="",COUNT(J2733:N2733)=0),"",IF(SUM(J2733:N2733)=I2733,"✓","⚠ "&amp;SUM(J2733:N2733)&amp;" statt "&amp;I2733))</f>
        <v/>
      </c>
      <c r="P2733" s="21" t="n"/>
      <c r="Q2733" s="21" t="n"/>
      <c r="R2733" s="21" t="n"/>
      <c r="S2733" s="24" t="n"/>
      <c r="T2733" s="24" t="n"/>
      <c r="V2733">
        <f>IF(A2733="","",MONTH(A2733))</f>
        <v/>
      </c>
      <c r="W2733">
        <f>N(W2732)+IF(AND(C2733&lt;&gt;"",T2733&lt;&gt;""),IF(C2733=WOCHE!$B$3,1,0),0)</f>
        <v/>
      </c>
      <c r="X2733">
        <f>N(X2732)+IF(AND(V2733&lt;&gt;"",T2733&lt;&gt;""),IF(V2733=MONAT!$AZ$3,1,0),0)</f>
        <v/>
      </c>
    </row>
    <row r="2734">
      <c r="A2734" s="19" t="n"/>
      <c r="B2734" s="20">
        <f>IF(A2734="","",CHOOSE(WEEKDAY(A2734,2),"Mo","Di","Mi","Do","Fr","Sa","So"))</f>
        <v/>
      </c>
      <c r="C2734" s="20">
        <f>IF(A2734="","",INT((A2734-DATE(YEAR(A2734-WEEKDAY(A2734-1)+4),1,3)+WEEKDAY(DATE(YEAR(A2734-WEEKDAY(A2734-1)+4),1,3))+5)/7))</f>
        <v/>
      </c>
      <c r="D2734" s="21" t="n"/>
      <c r="E2734" s="22" t="n"/>
      <c r="F2734" s="23" t="n"/>
      <c r="G2734" s="23" t="n"/>
      <c r="H2734" s="23" t="n"/>
      <c r="I2734" s="20">
        <f>IF(COUNT(F2734:H2734)=0,"",SUM(F2734:H2734))</f>
        <v/>
      </c>
      <c r="J2734" s="23" t="n"/>
      <c r="K2734" s="23" t="n"/>
      <c r="L2734" s="23" t="n"/>
      <c r="M2734" s="23" t="n"/>
      <c r="N2734" s="23" t="n"/>
      <c r="O2734" s="20">
        <f>IF(OR(I2734="",COUNT(J2734:N2734)=0),"",IF(SUM(J2734:N2734)=I2734,"✓","⚠ "&amp;SUM(J2734:N2734)&amp;" statt "&amp;I2734))</f>
        <v/>
      </c>
      <c r="P2734" s="21" t="n"/>
      <c r="Q2734" s="21" t="n"/>
      <c r="R2734" s="21" t="n"/>
      <c r="S2734" s="24" t="n"/>
      <c r="T2734" s="24" t="n"/>
      <c r="V2734">
        <f>IF(A2734="","",MONTH(A2734))</f>
        <v/>
      </c>
      <c r="W2734">
        <f>N(W2733)+IF(AND(C2734&lt;&gt;"",T2734&lt;&gt;""),IF(C2734=WOCHE!$B$3,1,0),0)</f>
        <v/>
      </c>
      <c r="X2734">
        <f>N(X2733)+IF(AND(V2734&lt;&gt;"",T2734&lt;&gt;""),IF(V2734=MONAT!$AZ$3,1,0),0)</f>
        <v/>
      </c>
    </row>
    <row r="2735">
      <c r="A2735" s="19" t="n"/>
      <c r="B2735" s="20">
        <f>IF(A2735="","",CHOOSE(WEEKDAY(A2735,2),"Mo","Di","Mi","Do","Fr","Sa","So"))</f>
        <v/>
      </c>
      <c r="C2735" s="20">
        <f>IF(A2735="","",INT((A2735-DATE(YEAR(A2735-WEEKDAY(A2735-1)+4),1,3)+WEEKDAY(DATE(YEAR(A2735-WEEKDAY(A2735-1)+4),1,3))+5)/7))</f>
        <v/>
      </c>
      <c r="D2735" s="21" t="n"/>
      <c r="E2735" s="22" t="n"/>
      <c r="F2735" s="23" t="n"/>
      <c r="G2735" s="23" t="n"/>
      <c r="H2735" s="23" t="n"/>
      <c r="I2735" s="20">
        <f>IF(COUNT(F2735:H2735)=0,"",SUM(F2735:H2735))</f>
        <v/>
      </c>
      <c r="J2735" s="23" t="n"/>
      <c r="K2735" s="23" t="n"/>
      <c r="L2735" s="23" t="n"/>
      <c r="M2735" s="23" t="n"/>
      <c r="N2735" s="23" t="n"/>
      <c r="O2735" s="20">
        <f>IF(OR(I2735="",COUNT(J2735:N2735)=0),"",IF(SUM(J2735:N2735)=I2735,"✓","⚠ "&amp;SUM(J2735:N2735)&amp;" statt "&amp;I2735))</f>
        <v/>
      </c>
      <c r="P2735" s="21" t="n"/>
      <c r="Q2735" s="21" t="n"/>
      <c r="R2735" s="21" t="n"/>
      <c r="S2735" s="24" t="n"/>
      <c r="T2735" s="24" t="n"/>
      <c r="V2735">
        <f>IF(A2735="","",MONTH(A2735))</f>
        <v/>
      </c>
      <c r="W2735">
        <f>N(W2734)+IF(AND(C2735&lt;&gt;"",T2735&lt;&gt;""),IF(C2735=WOCHE!$B$3,1,0),0)</f>
        <v/>
      </c>
      <c r="X2735">
        <f>N(X2734)+IF(AND(V2735&lt;&gt;"",T2735&lt;&gt;""),IF(V2735=MONAT!$AZ$3,1,0),0)</f>
        <v/>
      </c>
    </row>
    <row r="2736">
      <c r="A2736" s="19" t="n"/>
      <c r="B2736" s="20">
        <f>IF(A2736="","",CHOOSE(WEEKDAY(A2736,2),"Mo","Di","Mi","Do","Fr","Sa","So"))</f>
        <v/>
      </c>
      <c r="C2736" s="20">
        <f>IF(A2736="","",INT((A2736-DATE(YEAR(A2736-WEEKDAY(A2736-1)+4),1,3)+WEEKDAY(DATE(YEAR(A2736-WEEKDAY(A2736-1)+4),1,3))+5)/7))</f>
        <v/>
      </c>
      <c r="D2736" s="21" t="n"/>
      <c r="E2736" s="22" t="n"/>
      <c r="F2736" s="23" t="n"/>
      <c r="G2736" s="23" t="n"/>
      <c r="H2736" s="23" t="n"/>
      <c r="I2736" s="20">
        <f>IF(COUNT(F2736:H2736)=0,"",SUM(F2736:H2736))</f>
        <v/>
      </c>
      <c r="J2736" s="23" t="n"/>
      <c r="K2736" s="23" t="n"/>
      <c r="L2736" s="23" t="n"/>
      <c r="M2736" s="23" t="n"/>
      <c r="N2736" s="23" t="n"/>
      <c r="O2736" s="20">
        <f>IF(OR(I2736="",COUNT(J2736:N2736)=0),"",IF(SUM(J2736:N2736)=I2736,"✓","⚠ "&amp;SUM(J2736:N2736)&amp;" statt "&amp;I2736))</f>
        <v/>
      </c>
      <c r="P2736" s="21" t="n"/>
      <c r="Q2736" s="21" t="n"/>
      <c r="R2736" s="21" t="n"/>
      <c r="S2736" s="24" t="n"/>
      <c r="T2736" s="24" t="n"/>
      <c r="V2736">
        <f>IF(A2736="","",MONTH(A2736))</f>
        <v/>
      </c>
      <c r="W2736">
        <f>N(W2735)+IF(AND(C2736&lt;&gt;"",T2736&lt;&gt;""),IF(C2736=WOCHE!$B$3,1,0),0)</f>
        <v/>
      </c>
      <c r="X2736">
        <f>N(X2735)+IF(AND(V2736&lt;&gt;"",T2736&lt;&gt;""),IF(V2736=MONAT!$AZ$3,1,0),0)</f>
        <v/>
      </c>
    </row>
    <row r="2737">
      <c r="A2737" s="19" t="n"/>
      <c r="B2737" s="20">
        <f>IF(A2737="","",CHOOSE(WEEKDAY(A2737,2),"Mo","Di","Mi","Do","Fr","Sa","So"))</f>
        <v/>
      </c>
      <c r="C2737" s="20">
        <f>IF(A2737="","",INT((A2737-DATE(YEAR(A2737-WEEKDAY(A2737-1)+4),1,3)+WEEKDAY(DATE(YEAR(A2737-WEEKDAY(A2737-1)+4),1,3))+5)/7))</f>
        <v/>
      </c>
      <c r="D2737" s="21" t="n"/>
      <c r="E2737" s="22" t="n"/>
      <c r="F2737" s="23" t="n"/>
      <c r="G2737" s="23" t="n"/>
      <c r="H2737" s="23" t="n"/>
      <c r="I2737" s="20">
        <f>IF(COUNT(F2737:H2737)=0,"",SUM(F2737:H2737))</f>
        <v/>
      </c>
      <c r="J2737" s="23" t="n"/>
      <c r="K2737" s="23" t="n"/>
      <c r="L2737" s="23" t="n"/>
      <c r="M2737" s="23" t="n"/>
      <c r="N2737" s="23" t="n"/>
      <c r="O2737" s="20">
        <f>IF(OR(I2737="",COUNT(J2737:N2737)=0),"",IF(SUM(J2737:N2737)=I2737,"✓","⚠ "&amp;SUM(J2737:N2737)&amp;" statt "&amp;I2737))</f>
        <v/>
      </c>
      <c r="P2737" s="21" t="n"/>
      <c r="Q2737" s="21" t="n"/>
      <c r="R2737" s="21" t="n"/>
      <c r="S2737" s="24" t="n"/>
      <c r="T2737" s="24" t="n"/>
      <c r="V2737">
        <f>IF(A2737="","",MONTH(A2737))</f>
        <v/>
      </c>
      <c r="W2737">
        <f>N(W2736)+IF(AND(C2737&lt;&gt;"",T2737&lt;&gt;""),IF(C2737=WOCHE!$B$3,1,0),0)</f>
        <v/>
      </c>
      <c r="X2737">
        <f>N(X2736)+IF(AND(V2737&lt;&gt;"",T2737&lt;&gt;""),IF(V2737=MONAT!$AZ$3,1,0),0)</f>
        <v/>
      </c>
    </row>
    <row r="2738">
      <c r="A2738" s="19" t="n"/>
      <c r="B2738" s="20">
        <f>IF(A2738="","",CHOOSE(WEEKDAY(A2738,2),"Mo","Di","Mi","Do","Fr","Sa","So"))</f>
        <v/>
      </c>
      <c r="C2738" s="20">
        <f>IF(A2738="","",INT((A2738-DATE(YEAR(A2738-WEEKDAY(A2738-1)+4),1,3)+WEEKDAY(DATE(YEAR(A2738-WEEKDAY(A2738-1)+4),1,3))+5)/7))</f>
        <v/>
      </c>
      <c r="D2738" s="21" t="n"/>
      <c r="E2738" s="22" t="n"/>
      <c r="F2738" s="23" t="n"/>
      <c r="G2738" s="23" t="n"/>
      <c r="H2738" s="23" t="n"/>
      <c r="I2738" s="20">
        <f>IF(COUNT(F2738:H2738)=0,"",SUM(F2738:H2738))</f>
        <v/>
      </c>
      <c r="J2738" s="23" t="n"/>
      <c r="K2738" s="23" t="n"/>
      <c r="L2738" s="23" t="n"/>
      <c r="M2738" s="23" t="n"/>
      <c r="N2738" s="23" t="n"/>
      <c r="O2738" s="20">
        <f>IF(OR(I2738="",COUNT(J2738:N2738)=0),"",IF(SUM(J2738:N2738)=I2738,"✓","⚠ "&amp;SUM(J2738:N2738)&amp;" statt "&amp;I2738))</f>
        <v/>
      </c>
      <c r="P2738" s="21" t="n"/>
      <c r="Q2738" s="21" t="n"/>
      <c r="R2738" s="21" t="n"/>
      <c r="S2738" s="24" t="n"/>
      <c r="T2738" s="24" t="n"/>
      <c r="V2738">
        <f>IF(A2738="","",MONTH(A2738))</f>
        <v/>
      </c>
      <c r="W2738">
        <f>N(W2737)+IF(AND(C2738&lt;&gt;"",T2738&lt;&gt;""),IF(C2738=WOCHE!$B$3,1,0),0)</f>
        <v/>
      </c>
      <c r="X2738">
        <f>N(X2737)+IF(AND(V2738&lt;&gt;"",T2738&lt;&gt;""),IF(V2738=MONAT!$AZ$3,1,0),0)</f>
        <v/>
      </c>
    </row>
    <row r="2739">
      <c r="A2739" s="19" t="n"/>
      <c r="B2739" s="20">
        <f>IF(A2739="","",CHOOSE(WEEKDAY(A2739,2),"Mo","Di","Mi","Do","Fr","Sa","So"))</f>
        <v/>
      </c>
      <c r="C2739" s="20">
        <f>IF(A2739="","",INT((A2739-DATE(YEAR(A2739-WEEKDAY(A2739-1)+4),1,3)+WEEKDAY(DATE(YEAR(A2739-WEEKDAY(A2739-1)+4),1,3))+5)/7))</f>
        <v/>
      </c>
      <c r="D2739" s="21" t="n"/>
      <c r="E2739" s="22" t="n"/>
      <c r="F2739" s="23" t="n"/>
      <c r="G2739" s="23" t="n"/>
      <c r="H2739" s="23" t="n"/>
      <c r="I2739" s="20">
        <f>IF(COUNT(F2739:H2739)=0,"",SUM(F2739:H2739))</f>
        <v/>
      </c>
      <c r="J2739" s="23" t="n"/>
      <c r="K2739" s="23" t="n"/>
      <c r="L2739" s="23" t="n"/>
      <c r="M2739" s="23" t="n"/>
      <c r="N2739" s="23" t="n"/>
      <c r="O2739" s="20">
        <f>IF(OR(I2739="",COUNT(J2739:N2739)=0),"",IF(SUM(J2739:N2739)=I2739,"✓","⚠ "&amp;SUM(J2739:N2739)&amp;" statt "&amp;I2739))</f>
        <v/>
      </c>
      <c r="P2739" s="21" t="n"/>
      <c r="Q2739" s="21" t="n"/>
      <c r="R2739" s="21" t="n"/>
      <c r="S2739" s="24" t="n"/>
      <c r="T2739" s="24" t="n"/>
      <c r="V2739">
        <f>IF(A2739="","",MONTH(A2739))</f>
        <v/>
      </c>
      <c r="W2739">
        <f>N(W2738)+IF(AND(C2739&lt;&gt;"",T2739&lt;&gt;""),IF(C2739=WOCHE!$B$3,1,0),0)</f>
        <v/>
      </c>
      <c r="X2739">
        <f>N(X2738)+IF(AND(V2739&lt;&gt;"",T2739&lt;&gt;""),IF(V2739=MONAT!$AZ$3,1,0),0)</f>
        <v/>
      </c>
    </row>
    <row r="2740">
      <c r="A2740" s="19" t="n"/>
      <c r="B2740" s="20">
        <f>IF(A2740="","",CHOOSE(WEEKDAY(A2740,2),"Mo","Di","Mi","Do","Fr","Sa","So"))</f>
        <v/>
      </c>
      <c r="C2740" s="20">
        <f>IF(A2740="","",INT((A2740-DATE(YEAR(A2740-WEEKDAY(A2740-1)+4),1,3)+WEEKDAY(DATE(YEAR(A2740-WEEKDAY(A2740-1)+4),1,3))+5)/7))</f>
        <v/>
      </c>
      <c r="D2740" s="21" t="n"/>
      <c r="E2740" s="22" t="n"/>
      <c r="F2740" s="23" t="n"/>
      <c r="G2740" s="23" t="n"/>
      <c r="H2740" s="23" t="n"/>
      <c r="I2740" s="20">
        <f>IF(COUNT(F2740:H2740)=0,"",SUM(F2740:H2740))</f>
        <v/>
      </c>
      <c r="J2740" s="23" t="n"/>
      <c r="K2740" s="23" t="n"/>
      <c r="L2740" s="23" t="n"/>
      <c r="M2740" s="23" t="n"/>
      <c r="N2740" s="23" t="n"/>
      <c r="O2740" s="20">
        <f>IF(OR(I2740="",COUNT(J2740:N2740)=0),"",IF(SUM(J2740:N2740)=I2740,"✓","⚠ "&amp;SUM(J2740:N2740)&amp;" statt "&amp;I2740))</f>
        <v/>
      </c>
      <c r="P2740" s="21" t="n"/>
      <c r="Q2740" s="21" t="n"/>
      <c r="R2740" s="21" t="n"/>
      <c r="S2740" s="24" t="n"/>
      <c r="T2740" s="24" t="n"/>
      <c r="V2740">
        <f>IF(A2740="","",MONTH(A2740))</f>
        <v/>
      </c>
      <c r="W2740">
        <f>N(W2739)+IF(AND(C2740&lt;&gt;"",T2740&lt;&gt;""),IF(C2740=WOCHE!$B$3,1,0),0)</f>
        <v/>
      </c>
      <c r="X2740">
        <f>N(X2739)+IF(AND(V2740&lt;&gt;"",T2740&lt;&gt;""),IF(V2740=MONAT!$AZ$3,1,0),0)</f>
        <v/>
      </c>
    </row>
    <row r="2741">
      <c r="A2741" s="19" t="n"/>
      <c r="B2741" s="20">
        <f>IF(A2741="","",CHOOSE(WEEKDAY(A2741,2),"Mo","Di","Mi","Do","Fr","Sa","So"))</f>
        <v/>
      </c>
      <c r="C2741" s="20">
        <f>IF(A2741="","",INT((A2741-DATE(YEAR(A2741-WEEKDAY(A2741-1)+4),1,3)+WEEKDAY(DATE(YEAR(A2741-WEEKDAY(A2741-1)+4),1,3))+5)/7))</f>
        <v/>
      </c>
      <c r="D2741" s="21" t="n"/>
      <c r="E2741" s="22" t="n"/>
      <c r="F2741" s="23" t="n"/>
      <c r="G2741" s="23" t="n"/>
      <c r="H2741" s="23" t="n"/>
      <c r="I2741" s="20">
        <f>IF(COUNT(F2741:H2741)=0,"",SUM(F2741:H2741))</f>
        <v/>
      </c>
      <c r="J2741" s="23" t="n"/>
      <c r="K2741" s="23" t="n"/>
      <c r="L2741" s="23" t="n"/>
      <c r="M2741" s="23" t="n"/>
      <c r="N2741" s="23" t="n"/>
      <c r="O2741" s="20">
        <f>IF(OR(I2741="",COUNT(J2741:N2741)=0),"",IF(SUM(J2741:N2741)=I2741,"✓","⚠ "&amp;SUM(J2741:N2741)&amp;" statt "&amp;I2741))</f>
        <v/>
      </c>
      <c r="P2741" s="21" t="n"/>
      <c r="Q2741" s="21" t="n"/>
      <c r="R2741" s="21" t="n"/>
      <c r="S2741" s="24" t="n"/>
      <c r="T2741" s="24" t="n"/>
      <c r="V2741">
        <f>IF(A2741="","",MONTH(A2741))</f>
        <v/>
      </c>
      <c r="W2741">
        <f>N(W2740)+IF(AND(C2741&lt;&gt;"",T2741&lt;&gt;""),IF(C2741=WOCHE!$B$3,1,0),0)</f>
        <v/>
      </c>
      <c r="X2741">
        <f>N(X2740)+IF(AND(V2741&lt;&gt;"",T2741&lt;&gt;""),IF(V2741=MONAT!$AZ$3,1,0),0)</f>
        <v/>
      </c>
    </row>
    <row r="2742">
      <c r="A2742" s="19" t="n"/>
      <c r="B2742" s="20">
        <f>IF(A2742="","",CHOOSE(WEEKDAY(A2742,2),"Mo","Di","Mi","Do","Fr","Sa","So"))</f>
        <v/>
      </c>
      <c r="C2742" s="20">
        <f>IF(A2742="","",INT((A2742-DATE(YEAR(A2742-WEEKDAY(A2742-1)+4),1,3)+WEEKDAY(DATE(YEAR(A2742-WEEKDAY(A2742-1)+4),1,3))+5)/7))</f>
        <v/>
      </c>
      <c r="D2742" s="21" t="n"/>
      <c r="E2742" s="22" t="n"/>
      <c r="F2742" s="23" t="n"/>
      <c r="G2742" s="23" t="n"/>
      <c r="H2742" s="23" t="n"/>
      <c r="I2742" s="20">
        <f>IF(COUNT(F2742:H2742)=0,"",SUM(F2742:H2742))</f>
        <v/>
      </c>
      <c r="J2742" s="23" t="n"/>
      <c r="K2742" s="23" t="n"/>
      <c r="L2742" s="23" t="n"/>
      <c r="M2742" s="23" t="n"/>
      <c r="N2742" s="23" t="n"/>
      <c r="O2742" s="20">
        <f>IF(OR(I2742="",COUNT(J2742:N2742)=0),"",IF(SUM(J2742:N2742)=I2742,"✓","⚠ "&amp;SUM(J2742:N2742)&amp;" statt "&amp;I2742))</f>
        <v/>
      </c>
      <c r="P2742" s="21" t="n"/>
      <c r="Q2742" s="21" t="n"/>
      <c r="R2742" s="21" t="n"/>
      <c r="S2742" s="24" t="n"/>
      <c r="T2742" s="24" t="n"/>
      <c r="V2742">
        <f>IF(A2742="","",MONTH(A2742))</f>
        <v/>
      </c>
      <c r="W2742">
        <f>N(W2741)+IF(AND(C2742&lt;&gt;"",T2742&lt;&gt;""),IF(C2742=WOCHE!$B$3,1,0),0)</f>
        <v/>
      </c>
      <c r="X2742">
        <f>N(X2741)+IF(AND(V2742&lt;&gt;"",T2742&lt;&gt;""),IF(V2742=MONAT!$AZ$3,1,0),0)</f>
        <v/>
      </c>
    </row>
    <row r="2743">
      <c r="A2743" s="19" t="n"/>
      <c r="B2743" s="20">
        <f>IF(A2743="","",CHOOSE(WEEKDAY(A2743,2),"Mo","Di","Mi","Do","Fr","Sa","So"))</f>
        <v/>
      </c>
      <c r="C2743" s="20">
        <f>IF(A2743="","",INT((A2743-DATE(YEAR(A2743-WEEKDAY(A2743-1)+4),1,3)+WEEKDAY(DATE(YEAR(A2743-WEEKDAY(A2743-1)+4),1,3))+5)/7))</f>
        <v/>
      </c>
      <c r="D2743" s="21" t="n"/>
      <c r="E2743" s="22" t="n"/>
      <c r="F2743" s="23" t="n"/>
      <c r="G2743" s="23" t="n"/>
      <c r="H2743" s="23" t="n"/>
      <c r="I2743" s="20">
        <f>IF(COUNT(F2743:H2743)=0,"",SUM(F2743:H2743))</f>
        <v/>
      </c>
      <c r="J2743" s="23" t="n"/>
      <c r="K2743" s="23" t="n"/>
      <c r="L2743" s="23" t="n"/>
      <c r="M2743" s="23" t="n"/>
      <c r="N2743" s="23" t="n"/>
      <c r="O2743" s="20">
        <f>IF(OR(I2743="",COUNT(J2743:N2743)=0),"",IF(SUM(J2743:N2743)=I2743,"✓","⚠ "&amp;SUM(J2743:N2743)&amp;" statt "&amp;I2743))</f>
        <v/>
      </c>
      <c r="P2743" s="21" t="n"/>
      <c r="Q2743" s="21" t="n"/>
      <c r="R2743" s="21" t="n"/>
      <c r="S2743" s="24" t="n"/>
      <c r="T2743" s="24" t="n"/>
      <c r="V2743">
        <f>IF(A2743="","",MONTH(A2743))</f>
        <v/>
      </c>
      <c r="W2743">
        <f>N(W2742)+IF(AND(C2743&lt;&gt;"",T2743&lt;&gt;""),IF(C2743=WOCHE!$B$3,1,0),0)</f>
        <v/>
      </c>
      <c r="X2743">
        <f>N(X2742)+IF(AND(V2743&lt;&gt;"",T2743&lt;&gt;""),IF(V2743=MONAT!$AZ$3,1,0),0)</f>
        <v/>
      </c>
    </row>
    <row r="2744">
      <c r="A2744" s="19" t="n"/>
      <c r="B2744" s="20">
        <f>IF(A2744="","",CHOOSE(WEEKDAY(A2744,2),"Mo","Di","Mi","Do","Fr","Sa","So"))</f>
        <v/>
      </c>
      <c r="C2744" s="20">
        <f>IF(A2744="","",INT((A2744-DATE(YEAR(A2744-WEEKDAY(A2744-1)+4),1,3)+WEEKDAY(DATE(YEAR(A2744-WEEKDAY(A2744-1)+4),1,3))+5)/7))</f>
        <v/>
      </c>
      <c r="D2744" s="21" t="n"/>
      <c r="E2744" s="22" t="n"/>
      <c r="F2744" s="23" t="n"/>
      <c r="G2744" s="23" t="n"/>
      <c r="H2744" s="23" t="n"/>
      <c r="I2744" s="20">
        <f>IF(COUNT(F2744:H2744)=0,"",SUM(F2744:H2744))</f>
        <v/>
      </c>
      <c r="J2744" s="23" t="n"/>
      <c r="K2744" s="23" t="n"/>
      <c r="L2744" s="23" t="n"/>
      <c r="M2744" s="23" t="n"/>
      <c r="N2744" s="23" t="n"/>
      <c r="O2744" s="20">
        <f>IF(OR(I2744="",COUNT(J2744:N2744)=0),"",IF(SUM(J2744:N2744)=I2744,"✓","⚠ "&amp;SUM(J2744:N2744)&amp;" statt "&amp;I2744))</f>
        <v/>
      </c>
      <c r="P2744" s="21" t="n"/>
      <c r="Q2744" s="21" t="n"/>
      <c r="R2744" s="21" t="n"/>
      <c r="S2744" s="24" t="n"/>
      <c r="T2744" s="24" t="n"/>
      <c r="V2744">
        <f>IF(A2744="","",MONTH(A2744))</f>
        <v/>
      </c>
      <c r="W2744">
        <f>N(W2743)+IF(AND(C2744&lt;&gt;"",T2744&lt;&gt;""),IF(C2744=WOCHE!$B$3,1,0),0)</f>
        <v/>
      </c>
      <c r="X2744">
        <f>N(X2743)+IF(AND(V2744&lt;&gt;"",T2744&lt;&gt;""),IF(V2744=MONAT!$AZ$3,1,0),0)</f>
        <v/>
      </c>
    </row>
    <row r="2745">
      <c r="A2745" s="19" t="n"/>
      <c r="B2745" s="20">
        <f>IF(A2745="","",CHOOSE(WEEKDAY(A2745,2),"Mo","Di","Mi","Do","Fr","Sa","So"))</f>
        <v/>
      </c>
      <c r="C2745" s="20">
        <f>IF(A2745="","",INT((A2745-DATE(YEAR(A2745-WEEKDAY(A2745-1)+4),1,3)+WEEKDAY(DATE(YEAR(A2745-WEEKDAY(A2745-1)+4),1,3))+5)/7))</f>
        <v/>
      </c>
      <c r="D2745" s="21" t="n"/>
      <c r="E2745" s="22" t="n"/>
      <c r="F2745" s="23" t="n"/>
      <c r="G2745" s="23" t="n"/>
      <c r="H2745" s="23" t="n"/>
      <c r="I2745" s="20">
        <f>IF(COUNT(F2745:H2745)=0,"",SUM(F2745:H2745))</f>
        <v/>
      </c>
      <c r="J2745" s="23" t="n"/>
      <c r="K2745" s="23" t="n"/>
      <c r="L2745" s="23" t="n"/>
      <c r="M2745" s="23" t="n"/>
      <c r="N2745" s="23" t="n"/>
      <c r="O2745" s="20">
        <f>IF(OR(I2745="",COUNT(J2745:N2745)=0),"",IF(SUM(J2745:N2745)=I2745,"✓","⚠ "&amp;SUM(J2745:N2745)&amp;" statt "&amp;I2745))</f>
        <v/>
      </c>
      <c r="P2745" s="21" t="n"/>
      <c r="Q2745" s="21" t="n"/>
      <c r="R2745" s="21" t="n"/>
      <c r="S2745" s="24" t="n"/>
      <c r="T2745" s="24" t="n"/>
      <c r="V2745">
        <f>IF(A2745="","",MONTH(A2745))</f>
        <v/>
      </c>
      <c r="W2745">
        <f>N(W2744)+IF(AND(C2745&lt;&gt;"",T2745&lt;&gt;""),IF(C2745=WOCHE!$B$3,1,0),0)</f>
        <v/>
      </c>
      <c r="X2745">
        <f>N(X2744)+IF(AND(V2745&lt;&gt;"",T2745&lt;&gt;""),IF(V2745=MONAT!$AZ$3,1,0),0)</f>
        <v/>
      </c>
    </row>
    <row r="2746">
      <c r="A2746" s="19" t="n"/>
      <c r="B2746" s="20">
        <f>IF(A2746="","",CHOOSE(WEEKDAY(A2746,2),"Mo","Di","Mi","Do","Fr","Sa","So"))</f>
        <v/>
      </c>
      <c r="C2746" s="20">
        <f>IF(A2746="","",INT((A2746-DATE(YEAR(A2746-WEEKDAY(A2746-1)+4),1,3)+WEEKDAY(DATE(YEAR(A2746-WEEKDAY(A2746-1)+4),1,3))+5)/7))</f>
        <v/>
      </c>
      <c r="D2746" s="21" t="n"/>
      <c r="E2746" s="22" t="n"/>
      <c r="F2746" s="23" t="n"/>
      <c r="G2746" s="23" t="n"/>
      <c r="H2746" s="23" t="n"/>
      <c r="I2746" s="20">
        <f>IF(COUNT(F2746:H2746)=0,"",SUM(F2746:H2746))</f>
        <v/>
      </c>
      <c r="J2746" s="23" t="n"/>
      <c r="K2746" s="23" t="n"/>
      <c r="L2746" s="23" t="n"/>
      <c r="M2746" s="23" t="n"/>
      <c r="N2746" s="23" t="n"/>
      <c r="O2746" s="20">
        <f>IF(OR(I2746="",COUNT(J2746:N2746)=0),"",IF(SUM(J2746:N2746)=I2746,"✓","⚠ "&amp;SUM(J2746:N2746)&amp;" statt "&amp;I2746))</f>
        <v/>
      </c>
      <c r="P2746" s="21" t="n"/>
      <c r="Q2746" s="21" t="n"/>
      <c r="R2746" s="21" t="n"/>
      <c r="S2746" s="24" t="n"/>
      <c r="T2746" s="24" t="n"/>
      <c r="V2746">
        <f>IF(A2746="","",MONTH(A2746))</f>
        <v/>
      </c>
      <c r="W2746">
        <f>N(W2745)+IF(AND(C2746&lt;&gt;"",T2746&lt;&gt;""),IF(C2746=WOCHE!$B$3,1,0),0)</f>
        <v/>
      </c>
      <c r="X2746">
        <f>N(X2745)+IF(AND(V2746&lt;&gt;"",T2746&lt;&gt;""),IF(V2746=MONAT!$AZ$3,1,0),0)</f>
        <v/>
      </c>
    </row>
    <row r="2747">
      <c r="A2747" s="19" t="n"/>
      <c r="B2747" s="20">
        <f>IF(A2747="","",CHOOSE(WEEKDAY(A2747,2),"Mo","Di","Mi","Do","Fr","Sa","So"))</f>
        <v/>
      </c>
      <c r="C2747" s="20">
        <f>IF(A2747="","",INT((A2747-DATE(YEAR(A2747-WEEKDAY(A2747-1)+4),1,3)+WEEKDAY(DATE(YEAR(A2747-WEEKDAY(A2747-1)+4),1,3))+5)/7))</f>
        <v/>
      </c>
      <c r="D2747" s="21" t="n"/>
      <c r="E2747" s="22" t="n"/>
      <c r="F2747" s="23" t="n"/>
      <c r="G2747" s="23" t="n"/>
      <c r="H2747" s="23" t="n"/>
      <c r="I2747" s="20">
        <f>IF(COUNT(F2747:H2747)=0,"",SUM(F2747:H2747))</f>
        <v/>
      </c>
      <c r="J2747" s="23" t="n"/>
      <c r="K2747" s="23" t="n"/>
      <c r="L2747" s="23" t="n"/>
      <c r="M2747" s="23" t="n"/>
      <c r="N2747" s="23" t="n"/>
      <c r="O2747" s="20">
        <f>IF(OR(I2747="",COUNT(J2747:N2747)=0),"",IF(SUM(J2747:N2747)=I2747,"✓","⚠ "&amp;SUM(J2747:N2747)&amp;" statt "&amp;I2747))</f>
        <v/>
      </c>
      <c r="P2747" s="21" t="n"/>
      <c r="Q2747" s="21" t="n"/>
      <c r="R2747" s="21" t="n"/>
      <c r="S2747" s="24" t="n"/>
      <c r="T2747" s="24" t="n"/>
      <c r="V2747">
        <f>IF(A2747="","",MONTH(A2747))</f>
        <v/>
      </c>
      <c r="W2747">
        <f>N(W2746)+IF(AND(C2747&lt;&gt;"",T2747&lt;&gt;""),IF(C2747=WOCHE!$B$3,1,0),0)</f>
        <v/>
      </c>
      <c r="X2747">
        <f>N(X2746)+IF(AND(V2747&lt;&gt;"",T2747&lt;&gt;""),IF(V2747=MONAT!$AZ$3,1,0),0)</f>
        <v/>
      </c>
    </row>
    <row r="2748">
      <c r="A2748" s="19" t="n"/>
      <c r="B2748" s="20">
        <f>IF(A2748="","",CHOOSE(WEEKDAY(A2748,2),"Mo","Di","Mi","Do","Fr","Sa","So"))</f>
        <v/>
      </c>
      <c r="C2748" s="20">
        <f>IF(A2748="","",INT((A2748-DATE(YEAR(A2748-WEEKDAY(A2748-1)+4),1,3)+WEEKDAY(DATE(YEAR(A2748-WEEKDAY(A2748-1)+4),1,3))+5)/7))</f>
        <v/>
      </c>
      <c r="D2748" s="21" t="n"/>
      <c r="E2748" s="22" t="n"/>
      <c r="F2748" s="23" t="n"/>
      <c r="G2748" s="23" t="n"/>
      <c r="H2748" s="23" t="n"/>
      <c r="I2748" s="20">
        <f>IF(COUNT(F2748:H2748)=0,"",SUM(F2748:H2748))</f>
        <v/>
      </c>
      <c r="J2748" s="23" t="n"/>
      <c r="K2748" s="23" t="n"/>
      <c r="L2748" s="23" t="n"/>
      <c r="M2748" s="23" t="n"/>
      <c r="N2748" s="23" t="n"/>
      <c r="O2748" s="20">
        <f>IF(OR(I2748="",COUNT(J2748:N2748)=0),"",IF(SUM(J2748:N2748)=I2748,"✓","⚠ "&amp;SUM(J2748:N2748)&amp;" statt "&amp;I2748))</f>
        <v/>
      </c>
      <c r="P2748" s="21" t="n"/>
      <c r="Q2748" s="21" t="n"/>
      <c r="R2748" s="21" t="n"/>
      <c r="S2748" s="24" t="n"/>
      <c r="T2748" s="24" t="n"/>
      <c r="V2748">
        <f>IF(A2748="","",MONTH(A2748))</f>
        <v/>
      </c>
      <c r="W2748">
        <f>N(W2747)+IF(AND(C2748&lt;&gt;"",T2748&lt;&gt;""),IF(C2748=WOCHE!$B$3,1,0),0)</f>
        <v/>
      </c>
      <c r="X2748">
        <f>N(X2747)+IF(AND(V2748&lt;&gt;"",T2748&lt;&gt;""),IF(V2748=MONAT!$AZ$3,1,0),0)</f>
        <v/>
      </c>
    </row>
    <row r="2749">
      <c r="A2749" s="19" t="n"/>
      <c r="B2749" s="20">
        <f>IF(A2749="","",CHOOSE(WEEKDAY(A2749,2),"Mo","Di","Mi","Do","Fr","Sa","So"))</f>
        <v/>
      </c>
      <c r="C2749" s="20">
        <f>IF(A2749="","",INT((A2749-DATE(YEAR(A2749-WEEKDAY(A2749-1)+4),1,3)+WEEKDAY(DATE(YEAR(A2749-WEEKDAY(A2749-1)+4),1,3))+5)/7))</f>
        <v/>
      </c>
      <c r="D2749" s="21" t="n"/>
      <c r="E2749" s="22" t="n"/>
      <c r="F2749" s="23" t="n"/>
      <c r="G2749" s="23" t="n"/>
      <c r="H2749" s="23" t="n"/>
      <c r="I2749" s="20">
        <f>IF(COUNT(F2749:H2749)=0,"",SUM(F2749:H2749))</f>
        <v/>
      </c>
      <c r="J2749" s="23" t="n"/>
      <c r="K2749" s="23" t="n"/>
      <c r="L2749" s="23" t="n"/>
      <c r="M2749" s="23" t="n"/>
      <c r="N2749" s="23" t="n"/>
      <c r="O2749" s="20">
        <f>IF(OR(I2749="",COUNT(J2749:N2749)=0),"",IF(SUM(J2749:N2749)=I2749,"✓","⚠ "&amp;SUM(J2749:N2749)&amp;" statt "&amp;I2749))</f>
        <v/>
      </c>
      <c r="P2749" s="21" t="n"/>
      <c r="Q2749" s="21" t="n"/>
      <c r="R2749" s="21" t="n"/>
      <c r="S2749" s="24" t="n"/>
      <c r="T2749" s="24" t="n"/>
      <c r="V2749">
        <f>IF(A2749="","",MONTH(A2749))</f>
        <v/>
      </c>
      <c r="W2749">
        <f>N(W2748)+IF(AND(C2749&lt;&gt;"",T2749&lt;&gt;""),IF(C2749=WOCHE!$B$3,1,0),0)</f>
        <v/>
      </c>
      <c r="X2749">
        <f>N(X2748)+IF(AND(V2749&lt;&gt;"",T2749&lt;&gt;""),IF(V2749=MONAT!$AZ$3,1,0),0)</f>
        <v/>
      </c>
    </row>
    <row r="2750">
      <c r="A2750" s="19" t="n"/>
      <c r="B2750" s="20">
        <f>IF(A2750="","",CHOOSE(WEEKDAY(A2750,2),"Mo","Di","Mi","Do","Fr","Sa","So"))</f>
        <v/>
      </c>
      <c r="C2750" s="20">
        <f>IF(A2750="","",INT((A2750-DATE(YEAR(A2750-WEEKDAY(A2750-1)+4),1,3)+WEEKDAY(DATE(YEAR(A2750-WEEKDAY(A2750-1)+4),1,3))+5)/7))</f>
        <v/>
      </c>
      <c r="D2750" s="21" t="n"/>
      <c r="E2750" s="22" t="n"/>
      <c r="F2750" s="23" t="n"/>
      <c r="G2750" s="23" t="n"/>
      <c r="H2750" s="23" t="n"/>
      <c r="I2750" s="20">
        <f>IF(COUNT(F2750:H2750)=0,"",SUM(F2750:H2750))</f>
        <v/>
      </c>
      <c r="J2750" s="23" t="n"/>
      <c r="K2750" s="23" t="n"/>
      <c r="L2750" s="23" t="n"/>
      <c r="M2750" s="23" t="n"/>
      <c r="N2750" s="23" t="n"/>
      <c r="O2750" s="20">
        <f>IF(OR(I2750="",COUNT(J2750:N2750)=0),"",IF(SUM(J2750:N2750)=I2750,"✓","⚠ "&amp;SUM(J2750:N2750)&amp;" statt "&amp;I2750))</f>
        <v/>
      </c>
      <c r="P2750" s="21" t="n"/>
      <c r="Q2750" s="21" t="n"/>
      <c r="R2750" s="21" t="n"/>
      <c r="S2750" s="24" t="n"/>
      <c r="T2750" s="24" t="n"/>
      <c r="V2750">
        <f>IF(A2750="","",MONTH(A2750))</f>
        <v/>
      </c>
      <c r="W2750">
        <f>N(W2749)+IF(AND(C2750&lt;&gt;"",T2750&lt;&gt;""),IF(C2750=WOCHE!$B$3,1,0),0)</f>
        <v/>
      </c>
      <c r="X2750">
        <f>N(X2749)+IF(AND(V2750&lt;&gt;"",T2750&lt;&gt;""),IF(V2750=MONAT!$AZ$3,1,0),0)</f>
        <v/>
      </c>
    </row>
    <row r="2751">
      <c r="A2751" s="19" t="n"/>
      <c r="B2751" s="20">
        <f>IF(A2751="","",CHOOSE(WEEKDAY(A2751,2),"Mo","Di","Mi","Do","Fr","Sa","So"))</f>
        <v/>
      </c>
      <c r="C2751" s="20">
        <f>IF(A2751="","",INT((A2751-DATE(YEAR(A2751-WEEKDAY(A2751-1)+4),1,3)+WEEKDAY(DATE(YEAR(A2751-WEEKDAY(A2751-1)+4),1,3))+5)/7))</f>
        <v/>
      </c>
      <c r="D2751" s="21" t="n"/>
      <c r="E2751" s="22" t="n"/>
      <c r="F2751" s="23" t="n"/>
      <c r="G2751" s="23" t="n"/>
      <c r="H2751" s="23" t="n"/>
      <c r="I2751" s="20">
        <f>IF(COUNT(F2751:H2751)=0,"",SUM(F2751:H2751))</f>
        <v/>
      </c>
      <c r="J2751" s="23" t="n"/>
      <c r="K2751" s="23" t="n"/>
      <c r="L2751" s="23" t="n"/>
      <c r="M2751" s="23" t="n"/>
      <c r="N2751" s="23" t="n"/>
      <c r="O2751" s="20">
        <f>IF(OR(I2751="",COUNT(J2751:N2751)=0),"",IF(SUM(J2751:N2751)=I2751,"✓","⚠ "&amp;SUM(J2751:N2751)&amp;" statt "&amp;I2751))</f>
        <v/>
      </c>
      <c r="P2751" s="21" t="n"/>
      <c r="Q2751" s="21" t="n"/>
      <c r="R2751" s="21" t="n"/>
      <c r="S2751" s="24" t="n"/>
      <c r="T2751" s="24" t="n"/>
      <c r="V2751">
        <f>IF(A2751="","",MONTH(A2751))</f>
        <v/>
      </c>
      <c r="W2751">
        <f>N(W2750)+IF(AND(C2751&lt;&gt;"",T2751&lt;&gt;""),IF(C2751=WOCHE!$B$3,1,0),0)</f>
        <v/>
      </c>
      <c r="X2751">
        <f>N(X2750)+IF(AND(V2751&lt;&gt;"",T2751&lt;&gt;""),IF(V2751=MONAT!$AZ$3,1,0),0)</f>
        <v/>
      </c>
    </row>
    <row r="2752">
      <c r="A2752" s="19" t="n"/>
      <c r="B2752" s="20">
        <f>IF(A2752="","",CHOOSE(WEEKDAY(A2752,2),"Mo","Di","Mi","Do","Fr","Sa","So"))</f>
        <v/>
      </c>
      <c r="C2752" s="20">
        <f>IF(A2752="","",INT((A2752-DATE(YEAR(A2752-WEEKDAY(A2752-1)+4),1,3)+WEEKDAY(DATE(YEAR(A2752-WEEKDAY(A2752-1)+4),1,3))+5)/7))</f>
        <v/>
      </c>
      <c r="D2752" s="21" t="n"/>
      <c r="E2752" s="22" t="n"/>
      <c r="F2752" s="23" t="n"/>
      <c r="G2752" s="23" t="n"/>
      <c r="H2752" s="23" t="n"/>
      <c r="I2752" s="20">
        <f>IF(COUNT(F2752:H2752)=0,"",SUM(F2752:H2752))</f>
        <v/>
      </c>
      <c r="J2752" s="23" t="n"/>
      <c r="K2752" s="23" t="n"/>
      <c r="L2752" s="23" t="n"/>
      <c r="M2752" s="23" t="n"/>
      <c r="N2752" s="23" t="n"/>
      <c r="O2752" s="20">
        <f>IF(OR(I2752="",COUNT(J2752:N2752)=0),"",IF(SUM(J2752:N2752)=I2752,"✓","⚠ "&amp;SUM(J2752:N2752)&amp;" statt "&amp;I2752))</f>
        <v/>
      </c>
      <c r="P2752" s="21" t="n"/>
      <c r="Q2752" s="21" t="n"/>
      <c r="R2752" s="21" t="n"/>
      <c r="S2752" s="24" t="n"/>
      <c r="T2752" s="24" t="n"/>
      <c r="V2752">
        <f>IF(A2752="","",MONTH(A2752))</f>
        <v/>
      </c>
      <c r="W2752">
        <f>N(W2751)+IF(AND(C2752&lt;&gt;"",T2752&lt;&gt;""),IF(C2752=WOCHE!$B$3,1,0),0)</f>
        <v/>
      </c>
      <c r="X2752">
        <f>N(X2751)+IF(AND(V2752&lt;&gt;"",T2752&lt;&gt;""),IF(V2752=MONAT!$AZ$3,1,0),0)</f>
        <v/>
      </c>
    </row>
    <row r="2753">
      <c r="A2753" s="19" t="n"/>
      <c r="B2753" s="20">
        <f>IF(A2753="","",CHOOSE(WEEKDAY(A2753,2),"Mo","Di","Mi","Do","Fr","Sa","So"))</f>
        <v/>
      </c>
      <c r="C2753" s="20">
        <f>IF(A2753="","",INT((A2753-DATE(YEAR(A2753-WEEKDAY(A2753-1)+4),1,3)+WEEKDAY(DATE(YEAR(A2753-WEEKDAY(A2753-1)+4),1,3))+5)/7))</f>
        <v/>
      </c>
      <c r="D2753" s="21" t="n"/>
      <c r="E2753" s="22" t="n"/>
      <c r="F2753" s="23" t="n"/>
      <c r="G2753" s="23" t="n"/>
      <c r="H2753" s="23" t="n"/>
      <c r="I2753" s="20">
        <f>IF(COUNT(F2753:H2753)=0,"",SUM(F2753:H2753))</f>
        <v/>
      </c>
      <c r="J2753" s="23" t="n"/>
      <c r="K2753" s="23" t="n"/>
      <c r="L2753" s="23" t="n"/>
      <c r="M2753" s="23" t="n"/>
      <c r="N2753" s="23" t="n"/>
      <c r="O2753" s="20">
        <f>IF(OR(I2753="",COUNT(J2753:N2753)=0),"",IF(SUM(J2753:N2753)=I2753,"✓","⚠ "&amp;SUM(J2753:N2753)&amp;" statt "&amp;I2753))</f>
        <v/>
      </c>
      <c r="P2753" s="21" t="n"/>
      <c r="Q2753" s="21" t="n"/>
      <c r="R2753" s="21" t="n"/>
      <c r="S2753" s="24" t="n"/>
      <c r="T2753" s="24" t="n"/>
      <c r="V2753">
        <f>IF(A2753="","",MONTH(A2753))</f>
        <v/>
      </c>
      <c r="W2753">
        <f>N(W2752)+IF(AND(C2753&lt;&gt;"",T2753&lt;&gt;""),IF(C2753=WOCHE!$B$3,1,0),0)</f>
        <v/>
      </c>
      <c r="X2753">
        <f>N(X2752)+IF(AND(V2753&lt;&gt;"",T2753&lt;&gt;""),IF(V2753=MONAT!$AZ$3,1,0),0)</f>
        <v/>
      </c>
    </row>
    <row r="2754">
      <c r="A2754" s="19" t="n"/>
      <c r="B2754" s="20">
        <f>IF(A2754="","",CHOOSE(WEEKDAY(A2754,2),"Mo","Di","Mi","Do","Fr","Sa","So"))</f>
        <v/>
      </c>
      <c r="C2754" s="20">
        <f>IF(A2754="","",INT((A2754-DATE(YEAR(A2754-WEEKDAY(A2754-1)+4),1,3)+WEEKDAY(DATE(YEAR(A2754-WEEKDAY(A2754-1)+4),1,3))+5)/7))</f>
        <v/>
      </c>
      <c r="D2754" s="21" t="n"/>
      <c r="E2754" s="22" t="n"/>
      <c r="F2754" s="23" t="n"/>
      <c r="G2754" s="23" t="n"/>
      <c r="H2754" s="23" t="n"/>
      <c r="I2754" s="20">
        <f>IF(COUNT(F2754:H2754)=0,"",SUM(F2754:H2754))</f>
        <v/>
      </c>
      <c r="J2754" s="23" t="n"/>
      <c r="K2754" s="23" t="n"/>
      <c r="L2754" s="23" t="n"/>
      <c r="M2754" s="23" t="n"/>
      <c r="N2754" s="23" t="n"/>
      <c r="O2754" s="20">
        <f>IF(OR(I2754="",COUNT(J2754:N2754)=0),"",IF(SUM(J2754:N2754)=I2754,"✓","⚠ "&amp;SUM(J2754:N2754)&amp;" statt "&amp;I2754))</f>
        <v/>
      </c>
      <c r="P2754" s="21" t="n"/>
      <c r="Q2754" s="21" t="n"/>
      <c r="R2754" s="21" t="n"/>
      <c r="S2754" s="24" t="n"/>
      <c r="T2754" s="24" t="n"/>
      <c r="V2754">
        <f>IF(A2754="","",MONTH(A2754))</f>
        <v/>
      </c>
      <c r="W2754">
        <f>N(W2753)+IF(AND(C2754&lt;&gt;"",T2754&lt;&gt;""),IF(C2754=WOCHE!$B$3,1,0),0)</f>
        <v/>
      </c>
      <c r="X2754">
        <f>N(X2753)+IF(AND(V2754&lt;&gt;"",T2754&lt;&gt;""),IF(V2754=MONAT!$AZ$3,1,0),0)</f>
        <v/>
      </c>
    </row>
    <row r="2755">
      <c r="A2755" s="19" t="n"/>
      <c r="B2755" s="20">
        <f>IF(A2755="","",CHOOSE(WEEKDAY(A2755,2),"Mo","Di","Mi","Do","Fr","Sa","So"))</f>
        <v/>
      </c>
      <c r="C2755" s="20">
        <f>IF(A2755="","",INT((A2755-DATE(YEAR(A2755-WEEKDAY(A2755-1)+4),1,3)+WEEKDAY(DATE(YEAR(A2755-WEEKDAY(A2755-1)+4),1,3))+5)/7))</f>
        <v/>
      </c>
      <c r="D2755" s="21" t="n"/>
      <c r="E2755" s="22" t="n"/>
      <c r="F2755" s="23" t="n"/>
      <c r="G2755" s="23" t="n"/>
      <c r="H2755" s="23" t="n"/>
      <c r="I2755" s="20">
        <f>IF(COUNT(F2755:H2755)=0,"",SUM(F2755:H2755))</f>
        <v/>
      </c>
      <c r="J2755" s="23" t="n"/>
      <c r="K2755" s="23" t="n"/>
      <c r="L2755" s="23" t="n"/>
      <c r="M2755" s="23" t="n"/>
      <c r="N2755" s="23" t="n"/>
      <c r="O2755" s="20">
        <f>IF(OR(I2755="",COUNT(J2755:N2755)=0),"",IF(SUM(J2755:N2755)=I2755,"✓","⚠ "&amp;SUM(J2755:N2755)&amp;" statt "&amp;I2755))</f>
        <v/>
      </c>
      <c r="P2755" s="21" t="n"/>
      <c r="Q2755" s="21" t="n"/>
      <c r="R2755" s="21" t="n"/>
      <c r="S2755" s="24" t="n"/>
      <c r="T2755" s="24" t="n"/>
      <c r="V2755">
        <f>IF(A2755="","",MONTH(A2755))</f>
        <v/>
      </c>
      <c r="W2755">
        <f>N(W2754)+IF(AND(C2755&lt;&gt;"",T2755&lt;&gt;""),IF(C2755=WOCHE!$B$3,1,0),0)</f>
        <v/>
      </c>
      <c r="X2755">
        <f>N(X2754)+IF(AND(V2755&lt;&gt;"",T2755&lt;&gt;""),IF(V2755=MONAT!$AZ$3,1,0),0)</f>
        <v/>
      </c>
    </row>
    <row r="2756">
      <c r="A2756" s="19" t="n"/>
      <c r="B2756" s="20">
        <f>IF(A2756="","",CHOOSE(WEEKDAY(A2756,2),"Mo","Di","Mi","Do","Fr","Sa","So"))</f>
        <v/>
      </c>
      <c r="C2756" s="20">
        <f>IF(A2756="","",INT((A2756-DATE(YEAR(A2756-WEEKDAY(A2756-1)+4),1,3)+WEEKDAY(DATE(YEAR(A2756-WEEKDAY(A2756-1)+4),1,3))+5)/7))</f>
        <v/>
      </c>
      <c r="D2756" s="21" t="n"/>
      <c r="E2756" s="22" t="n"/>
      <c r="F2756" s="23" t="n"/>
      <c r="G2756" s="23" t="n"/>
      <c r="H2756" s="23" t="n"/>
      <c r="I2756" s="20">
        <f>IF(COUNT(F2756:H2756)=0,"",SUM(F2756:H2756))</f>
        <v/>
      </c>
      <c r="J2756" s="23" t="n"/>
      <c r="K2756" s="23" t="n"/>
      <c r="L2756" s="23" t="n"/>
      <c r="M2756" s="23" t="n"/>
      <c r="N2756" s="23" t="n"/>
      <c r="O2756" s="20">
        <f>IF(OR(I2756="",COUNT(J2756:N2756)=0),"",IF(SUM(J2756:N2756)=I2756,"✓","⚠ "&amp;SUM(J2756:N2756)&amp;" statt "&amp;I2756))</f>
        <v/>
      </c>
      <c r="P2756" s="21" t="n"/>
      <c r="Q2756" s="21" t="n"/>
      <c r="R2756" s="21" t="n"/>
      <c r="S2756" s="24" t="n"/>
      <c r="T2756" s="24" t="n"/>
      <c r="V2756">
        <f>IF(A2756="","",MONTH(A2756))</f>
        <v/>
      </c>
      <c r="W2756">
        <f>N(W2755)+IF(AND(C2756&lt;&gt;"",T2756&lt;&gt;""),IF(C2756=WOCHE!$B$3,1,0),0)</f>
        <v/>
      </c>
      <c r="X2756">
        <f>N(X2755)+IF(AND(V2756&lt;&gt;"",T2756&lt;&gt;""),IF(V2756=MONAT!$AZ$3,1,0),0)</f>
        <v/>
      </c>
    </row>
    <row r="2757">
      <c r="A2757" s="19" t="n"/>
      <c r="B2757" s="20">
        <f>IF(A2757="","",CHOOSE(WEEKDAY(A2757,2),"Mo","Di","Mi","Do","Fr","Sa","So"))</f>
        <v/>
      </c>
      <c r="C2757" s="20">
        <f>IF(A2757="","",INT((A2757-DATE(YEAR(A2757-WEEKDAY(A2757-1)+4),1,3)+WEEKDAY(DATE(YEAR(A2757-WEEKDAY(A2757-1)+4),1,3))+5)/7))</f>
        <v/>
      </c>
      <c r="D2757" s="21" t="n"/>
      <c r="E2757" s="22" t="n"/>
      <c r="F2757" s="23" t="n"/>
      <c r="G2757" s="23" t="n"/>
      <c r="H2757" s="23" t="n"/>
      <c r="I2757" s="20">
        <f>IF(COUNT(F2757:H2757)=0,"",SUM(F2757:H2757))</f>
        <v/>
      </c>
      <c r="J2757" s="23" t="n"/>
      <c r="K2757" s="23" t="n"/>
      <c r="L2757" s="23" t="n"/>
      <c r="M2757" s="23" t="n"/>
      <c r="N2757" s="23" t="n"/>
      <c r="O2757" s="20">
        <f>IF(OR(I2757="",COUNT(J2757:N2757)=0),"",IF(SUM(J2757:N2757)=I2757,"✓","⚠ "&amp;SUM(J2757:N2757)&amp;" statt "&amp;I2757))</f>
        <v/>
      </c>
      <c r="P2757" s="21" t="n"/>
      <c r="Q2757" s="21" t="n"/>
      <c r="R2757" s="21" t="n"/>
      <c r="S2757" s="24" t="n"/>
      <c r="T2757" s="24" t="n"/>
      <c r="V2757">
        <f>IF(A2757="","",MONTH(A2757))</f>
        <v/>
      </c>
      <c r="W2757">
        <f>N(W2756)+IF(AND(C2757&lt;&gt;"",T2757&lt;&gt;""),IF(C2757=WOCHE!$B$3,1,0),0)</f>
        <v/>
      </c>
      <c r="X2757">
        <f>N(X2756)+IF(AND(V2757&lt;&gt;"",T2757&lt;&gt;""),IF(V2757=MONAT!$AZ$3,1,0),0)</f>
        <v/>
      </c>
    </row>
    <row r="2758">
      <c r="A2758" s="19" t="n"/>
      <c r="B2758" s="20">
        <f>IF(A2758="","",CHOOSE(WEEKDAY(A2758,2),"Mo","Di","Mi","Do","Fr","Sa","So"))</f>
        <v/>
      </c>
      <c r="C2758" s="20">
        <f>IF(A2758="","",INT((A2758-DATE(YEAR(A2758-WEEKDAY(A2758-1)+4),1,3)+WEEKDAY(DATE(YEAR(A2758-WEEKDAY(A2758-1)+4),1,3))+5)/7))</f>
        <v/>
      </c>
      <c r="D2758" s="21" t="n"/>
      <c r="E2758" s="22" t="n"/>
      <c r="F2758" s="23" t="n"/>
      <c r="G2758" s="23" t="n"/>
      <c r="H2758" s="23" t="n"/>
      <c r="I2758" s="20">
        <f>IF(COUNT(F2758:H2758)=0,"",SUM(F2758:H2758))</f>
        <v/>
      </c>
      <c r="J2758" s="23" t="n"/>
      <c r="K2758" s="23" t="n"/>
      <c r="L2758" s="23" t="n"/>
      <c r="M2758" s="23" t="n"/>
      <c r="N2758" s="23" t="n"/>
      <c r="O2758" s="20">
        <f>IF(OR(I2758="",COUNT(J2758:N2758)=0),"",IF(SUM(J2758:N2758)=I2758,"✓","⚠ "&amp;SUM(J2758:N2758)&amp;" statt "&amp;I2758))</f>
        <v/>
      </c>
      <c r="P2758" s="21" t="n"/>
      <c r="Q2758" s="21" t="n"/>
      <c r="R2758" s="21" t="n"/>
      <c r="S2758" s="24" t="n"/>
      <c r="T2758" s="24" t="n"/>
      <c r="V2758">
        <f>IF(A2758="","",MONTH(A2758))</f>
        <v/>
      </c>
      <c r="W2758">
        <f>N(W2757)+IF(AND(C2758&lt;&gt;"",T2758&lt;&gt;""),IF(C2758=WOCHE!$B$3,1,0),0)</f>
        <v/>
      </c>
      <c r="X2758">
        <f>N(X2757)+IF(AND(V2758&lt;&gt;"",T2758&lt;&gt;""),IF(V2758=MONAT!$AZ$3,1,0),0)</f>
        <v/>
      </c>
    </row>
    <row r="2759">
      <c r="A2759" s="19" t="n"/>
      <c r="B2759" s="20">
        <f>IF(A2759="","",CHOOSE(WEEKDAY(A2759,2),"Mo","Di","Mi","Do","Fr","Sa","So"))</f>
        <v/>
      </c>
      <c r="C2759" s="20">
        <f>IF(A2759="","",INT((A2759-DATE(YEAR(A2759-WEEKDAY(A2759-1)+4),1,3)+WEEKDAY(DATE(YEAR(A2759-WEEKDAY(A2759-1)+4),1,3))+5)/7))</f>
        <v/>
      </c>
      <c r="D2759" s="21" t="n"/>
      <c r="E2759" s="22" t="n"/>
      <c r="F2759" s="23" t="n"/>
      <c r="G2759" s="23" t="n"/>
      <c r="H2759" s="23" t="n"/>
      <c r="I2759" s="20">
        <f>IF(COUNT(F2759:H2759)=0,"",SUM(F2759:H2759))</f>
        <v/>
      </c>
      <c r="J2759" s="23" t="n"/>
      <c r="K2759" s="23" t="n"/>
      <c r="L2759" s="23" t="n"/>
      <c r="M2759" s="23" t="n"/>
      <c r="N2759" s="23" t="n"/>
      <c r="O2759" s="20">
        <f>IF(OR(I2759="",COUNT(J2759:N2759)=0),"",IF(SUM(J2759:N2759)=I2759,"✓","⚠ "&amp;SUM(J2759:N2759)&amp;" statt "&amp;I2759))</f>
        <v/>
      </c>
      <c r="P2759" s="21" t="n"/>
      <c r="Q2759" s="21" t="n"/>
      <c r="R2759" s="21" t="n"/>
      <c r="S2759" s="24" t="n"/>
      <c r="T2759" s="24" t="n"/>
      <c r="V2759">
        <f>IF(A2759="","",MONTH(A2759))</f>
        <v/>
      </c>
      <c r="W2759">
        <f>N(W2758)+IF(AND(C2759&lt;&gt;"",T2759&lt;&gt;""),IF(C2759=WOCHE!$B$3,1,0),0)</f>
        <v/>
      </c>
      <c r="X2759">
        <f>N(X2758)+IF(AND(V2759&lt;&gt;"",T2759&lt;&gt;""),IF(V2759=MONAT!$AZ$3,1,0),0)</f>
        <v/>
      </c>
    </row>
    <row r="2760">
      <c r="A2760" s="19" t="n"/>
      <c r="B2760" s="20">
        <f>IF(A2760="","",CHOOSE(WEEKDAY(A2760,2),"Mo","Di","Mi","Do","Fr","Sa","So"))</f>
        <v/>
      </c>
      <c r="C2760" s="20">
        <f>IF(A2760="","",INT((A2760-DATE(YEAR(A2760-WEEKDAY(A2760-1)+4),1,3)+WEEKDAY(DATE(YEAR(A2760-WEEKDAY(A2760-1)+4),1,3))+5)/7))</f>
        <v/>
      </c>
      <c r="D2760" s="21" t="n"/>
      <c r="E2760" s="22" t="n"/>
      <c r="F2760" s="23" t="n"/>
      <c r="G2760" s="23" t="n"/>
      <c r="H2760" s="23" t="n"/>
      <c r="I2760" s="20">
        <f>IF(COUNT(F2760:H2760)=0,"",SUM(F2760:H2760))</f>
        <v/>
      </c>
      <c r="J2760" s="23" t="n"/>
      <c r="K2760" s="23" t="n"/>
      <c r="L2760" s="23" t="n"/>
      <c r="M2760" s="23" t="n"/>
      <c r="N2760" s="23" t="n"/>
      <c r="O2760" s="20">
        <f>IF(OR(I2760="",COUNT(J2760:N2760)=0),"",IF(SUM(J2760:N2760)=I2760,"✓","⚠ "&amp;SUM(J2760:N2760)&amp;" statt "&amp;I2760))</f>
        <v/>
      </c>
      <c r="P2760" s="21" t="n"/>
      <c r="Q2760" s="21" t="n"/>
      <c r="R2760" s="21" t="n"/>
      <c r="S2760" s="24" t="n"/>
      <c r="T2760" s="24" t="n"/>
      <c r="V2760">
        <f>IF(A2760="","",MONTH(A2760))</f>
        <v/>
      </c>
      <c r="W2760">
        <f>N(W2759)+IF(AND(C2760&lt;&gt;"",T2760&lt;&gt;""),IF(C2760=WOCHE!$B$3,1,0),0)</f>
        <v/>
      </c>
      <c r="X2760">
        <f>N(X2759)+IF(AND(V2760&lt;&gt;"",T2760&lt;&gt;""),IF(V2760=MONAT!$AZ$3,1,0),0)</f>
        <v/>
      </c>
    </row>
    <row r="2761">
      <c r="A2761" s="19" t="n"/>
      <c r="B2761" s="20">
        <f>IF(A2761="","",CHOOSE(WEEKDAY(A2761,2),"Mo","Di","Mi","Do","Fr","Sa","So"))</f>
        <v/>
      </c>
      <c r="C2761" s="20">
        <f>IF(A2761="","",INT((A2761-DATE(YEAR(A2761-WEEKDAY(A2761-1)+4),1,3)+WEEKDAY(DATE(YEAR(A2761-WEEKDAY(A2761-1)+4),1,3))+5)/7))</f>
        <v/>
      </c>
      <c r="D2761" s="21" t="n"/>
      <c r="E2761" s="22" t="n"/>
      <c r="F2761" s="23" t="n"/>
      <c r="G2761" s="23" t="n"/>
      <c r="H2761" s="23" t="n"/>
      <c r="I2761" s="20">
        <f>IF(COUNT(F2761:H2761)=0,"",SUM(F2761:H2761))</f>
        <v/>
      </c>
      <c r="J2761" s="23" t="n"/>
      <c r="K2761" s="23" t="n"/>
      <c r="L2761" s="23" t="n"/>
      <c r="M2761" s="23" t="n"/>
      <c r="N2761" s="23" t="n"/>
      <c r="O2761" s="20">
        <f>IF(OR(I2761="",COUNT(J2761:N2761)=0),"",IF(SUM(J2761:N2761)=I2761,"✓","⚠ "&amp;SUM(J2761:N2761)&amp;" statt "&amp;I2761))</f>
        <v/>
      </c>
      <c r="P2761" s="21" t="n"/>
      <c r="Q2761" s="21" t="n"/>
      <c r="R2761" s="21" t="n"/>
      <c r="S2761" s="24" t="n"/>
      <c r="T2761" s="24" t="n"/>
      <c r="V2761">
        <f>IF(A2761="","",MONTH(A2761))</f>
        <v/>
      </c>
      <c r="W2761">
        <f>N(W2760)+IF(AND(C2761&lt;&gt;"",T2761&lt;&gt;""),IF(C2761=WOCHE!$B$3,1,0),0)</f>
        <v/>
      </c>
      <c r="X2761">
        <f>N(X2760)+IF(AND(V2761&lt;&gt;"",T2761&lt;&gt;""),IF(V2761=MONAT!$AZ$3,1,0),0)</f>
        <v/>
      </c>
    </row>
    <row r="2762">
      <c r="A2762" s="19" t="n"/>
      <c r="B2762" s="20">
        <f>IF(A2762="","",CHOOSE(WEEKDAY(A2762,2),"Mo","Di","Mi","Do","Fr","Sa","So"))</f>
        <v/>
      </c>
      <c r="C2762" s="20">
        <f>IF(A2762="","",INT((A2762-DATE(YEAR(A2762-WEEKDAY(A2762-1)+4),1,3)+WEEKDAY(DATE(YEAR(A2762-WEEKDAY(A2762-1)+4),1,3))+5)/7))</f>
        <v/>
      </c>
      <c r="D2762" s="21" t="n"/>
      <c r="E2762" s="22" t="n"/>
      <c r="F2762" s="23" t="n"/>
      <c r="G2762" s="23" t="n"/>
      <c r="H2762" s="23" t="n"/>
      <c r="I2762" s="20">
        <f>IF(COUNT(F2762:H2762)=0,"",SUM(F2762:H2762))</f>
        <v/>
      </c>
      <c r="J2762" s="23" t="n"/>
      <c r="K2762" s="23" t="n"/>
      <c r="L2762" s="23" t="n"/>
      <c r="M2762" s="23" t="n"/>
      <c r="N2762" s="23" t="n"/>
      <c r="O2762" s="20">
        <f>IF(OR(I2762="",COUNT(J2762:N2762)=0),"",IF(SUM(J2762:N2762)=I2762,"✓","⚠ "&amp;SUM(J2762:N2762)&amp;" statt "&amp;I2762))</f>
        <v/>
      </c>
      <c r="P2762" s="21" t="n"/>
      <c r="Q2762" s="21" t="n"/>
      <c r="R2762" s="21" t="n"/>
      <c r="S2762" s="24" t="n"/>
      <c r="T2762" s="24" t="n"/>
      <c r="V2762">
        <f>IF(A2762="","",MONTH(A2762))</f>
        <v/>
      </c>
      <c r="W2762">
        <f>N(W2761)+IF(AND(C2762&lt;&gt;"",T2762&lt;&gt;""),IF(C2762=WOCHE!$B$3,1,0),0)</f>
        <v/>
      </c>
      <c r="X2762">
        <f>N(X2761)+IF(AND(V2762&lt;&gt;"",T2762&lt;&gt;""),IF(V2762=MONAT!$AZ$3,1,0),0)</f>
        <v/>
      </c>
    </row>
    <row r="2763">
      <c r="A2763" s="19" t="n"/>
      <c r="B2763" s="20">
        <f>IF(A2763="","",CHOOSE(WEEKDAY(A2763,2),"Mo","Di","Mi","Do","Fr","Sa","So"))</f>
        <v/>
      </c>
      <c r="C2763" s="20">
        <f>IF(A2763="","",INT((A2763-DATE(YEAR(A2763-WEEKDAY(A2763-1)+4),1,3)+WEEKDAY(DATE(YEAR(A2763-WEEKDAY(A2763-1)+4),1,3))+5)/7))</f>
        <v/>
      </c>
      <c r="D2763" s="21" t="n"/>
      <c r="E2763" s="22" t="n"/>
      <c r="F2763" s="23" t="n"/>
      <c r="G2763" s="23" t="n"/>
      <c r="H2763" s="23" t="n"/>
      <c r="I2763" s="20">
        <f>IF(COUNT(F2763:H2763)=0,"",SUM(F2763:H2763))</f>
        <v/>
      </c>
      <c r="J2763" s="23" t="n"/>
      <c r="K2763" s="23" t="n"/>
      <c r="L2763" s="23" t="n"/>
      <c r="M2763" s="23" t="n"/>
      <c r="N2763" s="23" t="n"/>
      <c r="O2763" s="20">
        <f>IF(OR(I2763="",COUNT(J2763:N2763)=0),"",IF(SUM(J2763:N2763)=I2763,"✓","⚠ "&amp;SUM(J2763:N2763)&amp;" statt "&amp;I2763))</f>
        <v/>
      </c>
      <c r="P2763" s="21" t="n"/>
      <c r="Q2763" s="21" t="n"/>
      <c r="R2763" s="21" t="n"/>
      <c r="S2763" s="24" t="n"/>
      <c r="T2763" s="24" t="n"/>
      <c r="V2763">
        <f>IF(A2763="","",MONTH(A2763))</f>
        <v/>
      </c>
      <c r="W2763">
        <f>N(W2762)+IF(AND(C2763&lt;&gt;"",T2763&lt;&gt;""),IF(C2763=WOCHE!$B$3,1,0),0)</f>
        <v/>
      </c>
      <c r="X2763">
        <f>N(X2762)+IF(AND(V2763&lt;&gt;"",T2763&lt;&gt;""),IF(V2763=MONAT!$AZ$3,1,0),0)</f>
        <v/>
      </c>
    </row>
    <row r="2764">
      <c r="A2764" s="19" t="n"/>
      <c r="B2764" s="20">
        <f>IF(A2764="","",CHOOSE(WEEKDAY(A2764,2),"Mo","Di","Mi","Do","Fr","Sa","So"))</f>
        <v/>
      </c>
      <c r="C2764" s="20">
        <f>IF(A2764="","",INT((A2764-DATE(YEAR(A2764-WEEKDAY(A2764-1)+4),1,3)+WEEKDAY(DATE(YEAR(A2764-WEEKDAY(A2764-1)+4),1,3))+5)/7))</f>
        <v/>
      </c>
      <c r="D2764" s="21" t="n"/>
      <c r="E2764" s="22" t="n"/>
      <c r="F2764" s="23" t="n"/>
      <c r="G2764" s="23" t="n"/>
      <c r="H2764" s="23" t="n"/>
      <c r="I2764" s="20">
        <f>IF(COUNT(F2764:H2764)=0,"",SUM(F2764:H2764))</f>
        <v/>
      </c>
      <c r="J2764" s="23" t="n"/>
      <c r="K2764" s="23" t="n"/>
      <c r="L2764" s="23" t="n"/>
      <c r="M2764" s="23" t="n"/>
      <c r="N2764" s="23" t="n"/>
      <c r="O2764" s="20">
        <f>IF(OR(I2764="",COUNT(J2764:N2764)=0),"",IF(SUM(J2764:N2764)=I2764,"✓","⚠ "&amp;SUM(J2764:N2764)&amp;" statt "&amp;I2764))</f>
        <v/>
      </c>
      <c r="P2764" s="21" t="n"/>
      <c r="Q2764" s="21" t="n"/>
      <c r="R2764" s="21" t="n"/>
      <c r="S2764" s="24" t="n"/>
      <c r="T2764" s="24" t="n"/>
      <c r="V2764">
        <f>IF(A2764="","",MONTH(A2764))</f>
        <v/>
      </c>
      <c r="W2764">
        <f>N(W2763)+IF(AND(C2764&lt;&gt;"",T2764&lt;&gt;""),IF(C2764=WOCHE!$B$3,1,0),0)</f>
        <v/>
      </c>
      <c r="X2764">
        <f>N(X2763)+IF(AND(V2764&lt;&gt;"",T2764&lt;&gt;""),IF(V2764=MONAT!$AZ$3,1,0),0)</f>
        <v/>
      </c>
    </row>
    <row r="2765">
      <c r="A2765" s="19" t="n"/>
      <c r="B2765" s="20">
        <f>IF(A2765="","",CHOOSE(WEEKDAY(A2765,2),"Mo","Di","Mi","Do","Fr","Sa","So"))</f>
        <v/>
      </c>
      <c r="C2765" s="20">
        <f>IF(A2765="","",INT((A2765-DATE(YEAR(A2765-WEEKDAY(A2765-1)+4),1,3)+WEEKDAY(DATE(YEAR(A2765-WEEKDAY(A2765-1)+4),1,3))+5)/7))</f>
        <v/>
      </c>
      <c r="D2765" s="21" t="n"/>
      <c r="E2765" s="22" t="n"/>
      <c r="F2765" s="23" t="n"/>
      <c r="G2765" s="23" t="n"/>
      <c r="H2765" s="23" t="n"/>
      <c r="I2765" s="20">
        <f>IF(COUNT(F2765:H2765)=0,"",SUM(F2765:H2765))</f>
        <v/>
      </c>
      <c r="J2765" s="23" t="n"/>
      <c r="K2765" s="23" t="n"/>
      <c r="L2765" s="23" t="n"/>
      <c r="M2765" s="23" t="n"/>
      <c r="N2765" s="23" t="n"/>
      <c r="O2765" s="20">
        <f>IF(OR(I2765="",COUNT(J2765:N2765)=0),"",IF(SUM(J2765:N2765)=I2765,"✓","⚠ "&amp;SUM(J2765:N2765)&amp;" statt "&amp;I2765))</f>
        <v/>
      </c>
      <c r="P2765" s="21" t="n"/>
      <c r="Q2765" s="21" t="n"/>
      <c r="R2765" s="21" t="n"/>
      <c r="S2765" s="24" t="n"/>
      <c r="T2765" s="24" t="n"/>
      <c r="V2765">
        <f>IF(A2765="","",MONTH(A2765))</f>
        <v/>
      </c>
      <c r="W2765">
        <f>N(W2764)+IF(AND(C2765&lt;&gt;"",T2765&lt;&gt;""),IF(C2765=WOCHE!$B$3,1,0),0)</f>
        <v/>
      </c>
      <c r="X2765">
        <f>N(X2764)+IF(AND(V2765&lt;&gt;"",T2765&lt;&gt;""),IF(V2765=MONAT!$AZ$3,1,0),0)</f>
        <v/>
      </c>
    </row>
    <row r="2766">
      <c r="A2766" s="19" t="n"/>
      <c r="B2766" s="20">
        <f>IF(A2766="","",CHOOSE(WEEKDAY(A2766,2),"Mo","Di","Mi","Do","Fr","Sa","So"))</f>
        <v/>
      </c>
      <c r="C2766" s="20">
        <f>IF(A2766="","",INT((A2766-DATE(YEAR(A2766-WEEKDAY(A2766-1)+4),1,3)+WEEKDAY(DATE(YEAR(A2766-WEEKDAY(A2766-1)+4),1,3))+5)/7))</f>
        <v/>
      </c>
      <c r="D2766" s="21" t="n"/>
      <c r="E2766" s="22" t="n"/>
      <c r="F2766" s="23" t="n"/>
      <c r="G2766" s="23" t="n"/>
      <c r="H2766" s="23" t="n"/>
      <c r="I2766" s="20">
        <f>IF(COUNT(F2766:H2766)=0,"",SUM(F2766:H2766))</f>
        <v/>
      </c>
      <c r="J2766" s="23" t="n"/>
      <c r="K2766" s="23" t="n"/>
      <c r="L2766" s="23" t="n"/>
      <c r="M2766" s="23" t="n"/>
      <c r="N2766" s="23" t="n"/>
      <c r="O2766" s="20">
        <f>IF(OR(I2766="",COUNT(J2766:N2766)=0),"",IF(SUM(J2766:N2766)=I2766,"✓","⚠ "&amp;SUM(J2766:N2766)&amp;" statt "&amp;I2766))</f>
        <v/>
      </c>
      <c r="P2766" s="21" t="n"/>
      <c r="Q2766" s="21" t="n"/>
      <c r="R2766" s="21" t="n"/>
      <c r="S2766" s="24" t="n"/>
      <c r="T2766" s="24" t="n"/>
      <c r="V2766">
        <f>IF(A2766="","",MONTH(A2766))</f>
        <v/>
      </c>
      <c r="W2766">
        <f>N(W2765)+IF(AND(C2766&lt;&gt;"",T2766&lt;&gt;""),IF(C2766=WOCHE!$B$3,1,0),0)</f>
        <v/>
      </c>
      <c r="X2766">
        <f>N(X2765)+IF(AND(V2766&lt;&gt;"",T2766&lt;&gt;""),IF(V2766=MONAT!$AZ$3,1,0),0)</f>
        <v/>
      </c>
    </row>
    <row r="2767">
      <c r="A2767" s="19" t="n"/>
      <c r="B2767" s="20">
        <f>IF(A2767="","",CHOOSE(WEEKDAY(A2767,2),"Mo","Di","Mi","Do","Fr","Sa","So"))</f>
        <v/>
      </c>
      <c r="C2767" s="20">
        <f>IF(A2767="","",INT((A2767-DATE(YEAR(A2767-WEEKDAY(A2767-1)+4),1,3)+WEEKDAY(DATE(YEAR(A2767-WEEKDAY(A2767-1)+4),1,3))+5)/7))</f>
        <v/>
      </c>
      <c r="D2767" s="21" t="n"/>
      <c r="E2767" s="22" t="n"/>
      <c r="F2767" s="23" t="n"/>
      <c r="G2767" s="23" t="n"/>
      <c r="H2767" s="23" t="n"/>
      <c r="I2767" s="20">
        <f>IF(COUNT(F2767:H2767)=0,"",SUM(F2767:H2767))</f>
        <v/>
      </c>
      <c r="J2767" s="23" t="n"/>
      <c r="K2767" s="23" t="n"/>
      <c r="L2767" s="23" t="n"/>
      <c r="M2767" s="23" t="n"/>
      <c r="N2767" s="23" t="n"/>
      <c r="O2767" s="20">
        <f>IF(OR(I2767="",COUNT(J2767:N2767)=0),"",IF(SUM(J2767:N2767)=I2767,"✓","⚠ "&amp;SUM(J2767:N2767)&amp;" statt "&amp;I2767))</f>
        <v/>
      </c>
      <c r="P2767" s="21" t="n"/>
      <c r="Q2767" s="21" t="n"/>
      <c r="R2767" s="21" t="n"/>
      <c r="S2767" s="24" t="n"/>
      <c r="T2767" s="24" t="n"/>
      <c r="V2767">
        <f>IF(A2767="","",MONTH(A2767))</f>
        <v/>
      </c>
      <c r="W2767">
        <f>N(W2766)+IF(AND(C2767&lt;&gt;"",T2767&lt;&gt;""),IF(C2767=WOCHE!$B$3,1,0),0)</f>
        <v/>
      </c>
      <c r="X2767">
        <f>N(X2766)+IF(AND(V2767&lt;&gt;"",T2767&lt;&gt;""),IF(V2767=MONAT!$AZ$3,1,0),0)</f>
        <v/>
      </c>
    </row>
    <row r="2768">
      <c r="A2768" s="19" t="n"/>
      <c r="B2768" s="20">
        <f>IF(A2768="","",CHOOSE(WEEKDAY(A2768,2),"Mo","Di","Mi","Do","Fr","Sa","So"))</f>
        <v/>
      </c>
      <c r="C2768" s="20">
        <f>IF(A2768="","",INT((A2768-DATE(YEAR(A2768-WEEKDAY(A2768-1)+4),1,3)+WEEKDAY(DATE(YEAR(A2768-WEEKDAY(A2768-1)+4),1,3))+5)/7))</f>
        <v/>
      </c>
      <c r="D2768" s="21" t="n"/>
      <c r="E2768" s="22" t="n"/>
      <c r="F2768" s="23" t="n"/>
      <c r="G2768" s="23" t="n"/>
      <c r="H2768" s="23" t="n"/>
      <c r="I2768" s="20">
        <f>IF(COUNT(F2768:H2768)=0,"",SUM(F2768:H2768))</f>
        <v/>
      </c>
      <c r="J2768" s="23" t="n"/>
      <c r="K2768" s="23" t="n"/>
      <c r="L2768" s="23" t="n"/>
      <c r="M2768" s="23" t="n"/>
      <c r="N2768" s="23" t="n"/>
      <c r="O2768" s="20">
        <f>IF(OR(I2768="",COUNT(J2768:N2768)=0),"",IF(SUM(J2768:N2768)=I2768,"✓","⚠ "&amp;SUM(J2768:N2768)&amp;" statt "&amp;I2768))</f>
        <v/>
      </c>
      <c r="P2768" s="21" t="n"/>
      <c r="Q2768" s="21" t="n"/>
      <c r="R2768" s="21" t="n"/>
      <c r="S2768" s="24" t="n"/>
      <c r="T2768" s="24" t="n"/>
      <c r="V2768">
        <f>IF(A2768="","",MONTH(A2768))</f>
        <v/>
      </c>
      <c r="W2768">
        <f>N(W2767)+IF(AND(C2768&lt;&gt;"",T2768&lt;&gt;""),IF(C2768=WOCHE!$B$3,1,0),0)</f>
        <v/>
      </c>
      <c r="X2768">
        <f>N(X2767)+IF(AND(V2768&lt;&gt;"",T2768&lt;&gt;""),IF(V2768=MONAT!$AZ$3,1,0),0)</f>
        <v/>
      </c>
    </row>
    <row r="2769">
      <c r="A2769" s="19" t="n"/>
      <c r="B2769" s="20">
        <f>IF(A2769="","",CHOOSE(WEEKDAY(A2769,2),"Mo","Di","Mi","Do","Fr","Sa","So"))</f>
        <v/>
      </c>
      <c r="C2769" s="20">
        <f>IF(A2769="","",INT((A2769-DATE(YEAR(A2769-WEEKDAY(A2769-1)+4),1,3)+WEEKDAY(DATE(YEAR(A2769-WEEKDAY(A2769-1)+4),1,3))+5)/7))</f>
        <v/>
      </c>
      <c r="D2769" s="21" t="n"/>
      <c r="E2769" s="22" t="n"/>
      <c r="F2769" s="23" t="n"/>
      <c r="G2769" s="23" t="n"/>
      <c r="H2769" s="23" t="n"/>
      <c r="I2769" s="20">
        <f>IF(COUNT(F2769:H2769)=0,"",SUM(F2769:H2769))</f>
        <v/>
      </c>
      <c r="J2769" s="23" t="n"/>
      <c r="K2769" s="23" t="n"/>
      <c r="L2769" s="23" t="n"/>
      <c r="M2769" s="23" t="n"/>
      <c r="N2769" s="23" t="n"/>
      <c r="O2769" s="20">
        <f>IF(OR(I2769="",COUNT(J2769:N2769)=0),"",IF(SUM(J2769:N2769)=I2769,"✓","⚠ "&amp;SUM(J2769:N2769)&amp;" statt "&amp;I2769))</f>
        <v/>
      </c>
      <c r="P2769" s="21" t="n"/>
      <c r="Q2769" s="21" t="n"/>
      <c r="R2769" s="21" t="n"/>
      <c r="S2769" s="24" t="n"/>
      <c r="T2769" s="24" t="n"/>
      <c r="V2769">
        <f>IF(A2769="","",MONTH(A2769))</f>
        <v/>
      </c>
      <c r="W2769">
        <f>N(W2768)+IF(AND(C2769&lt;&gt;"",T2769&lt;&gt;""),IF(C2769=WOCHE!$B$3,1,0),0)</f>
        <v/>
      </c>
      <c r="X2769">
        <f>N(X2768)+IF(AND(V2769&lt;&gt;"",T2769&lt;&gt;""),IF(V2769=MONAT!$AZ$3,1,0),0)</f>
        <v/>
      </c>
    </row>
    <row r="2770">
      <c r="A2770" s="19" t="n"/>
      <c r="B2770" s="20">
        <f>IF(A2770="","",CHOOSE(WEEKDAY(A2770,2),"Mo","Di","Mi","Do","Fr","Sa","So"))</f>
        <v/>
      </c>
      <c r="C2770" s="20">
        <f>IF(A2770="","",INT((A2770-DATE(YEAR(A2770-WEEKDAY(A2770-1)+4),1,3)+WEEKDAY(DATE(YEAR(A2770-WEEKDAY(A2770-1)+4),1,3))+5)/7))</f>
        <v/>
      </c>
      <c r="D2770" s="21" t="n"/>
      <c r="E2770" s="22" t="n"/>
      <c r="F2770" s="23" t="n"/>
      <c r="G2770" s="23" t="n"/>
      <c r="H2770" s="23" t="n"/>
      <c r="I2770" s="20">
        <f>IF(COUNT(F2770:H2770)=0,"",SUM(F2770:H2770))</f>
        <v/>
      </c>
      <c r="J2770" s="23" t="n"/>
      <c r="K2770" s="23" t="n"/>
      <c r="L2770" s="23" t="n"/>
      <c r="M2770" s="23" t="n"/>
      <c r="N2770" s="23" t="n"/>
      <c r="O2770" s="20">
        <f>IF(OR(I2770="",COUNT(J2770:N2770)=0),"",IF(SUM(J2770:N2770)=I2770,"✓","⚠ "&amp;SUM(J2770:N2770)&amp;" statt "&amp;I2770))</f>
        <v/>
      </c>
      <c r="P2770" s="21" t="n"/>
      <c r="Q2770" s="21" t="n"/>
      <c r="R2770" s="21" t="n"/>
      <c r="S2770" s="24" t="n"/>
      <c r="T2770" s="24" t="n"/>
      <c r="V2770">
        <f>IF(A2770="","",MONTH(A2770))</f>
        <v/>
      </c>
      <c r="W2770">
        <f>N(W2769)+IF(AND(C2770&lt;&gt;"",T2770&lt;&gt;""),IF(C2770=WOCHE!$B$3,1,0),0)</f>
        <v/>
      </c>
      <c r="X2770">
        <f>N(X2769)+IF(AND(V2770&lt;&gt;"",T2770&lt;&gt;""),IF(V2770=MONAT!$AZ$3,1,0),0)</f>
        <v/>
      </c>
    </row>
    <row r="2771">
      <c r="A2771" s="19" t="n"/>
      <c r="B2771" s="20">
        <f>IF(A2771="","",CHOOSE(WEEKDAY(A2771,2),"Mo","Di","Mi","Do","Fr","Sa","So"))</f>
        <v/>
      </c>
      <c r="C2771" s="20">
        <f>IF(A2771="","",INT((A2771-DATE(YEAR(A2771-WEEKDAY(A2771-1)+4),1,3)+WEEKDAY(DATE(YEAR(A2771-WEEKDAY(A2771-1)+4),1,3))+5)/7))</f>
        <v/>
      </c>
      <c r="D2771" s="21" t="n"/>
      <c r="E2771" s="22" t="n"/>
      <c r="F2771" s="23" t="n"/>
      <c r="G2771" s="23" t="n"/>
      <c r="H2771" s="23" t="n"/>
      <c r="I2771" s="20">
        <f>IF(COUNT(F2771:H2771)=0,"",SUM(F2771:H2771))</f>
        <v/>
      </c>
      <c r="J2771" s="23" t="n"/>
      <c r="K2771" s="23" t="n"/>
      <c r="L2771" s="23" t="n"/>
      <c r="M2771" s="23" t="n"/>
      <c r="N2771" s="23" t="n"/>
      <c r="O2771" s="20">
        <f>IF(OR(I2771="",COUNT(J2771:N2771)=0),"",IF(SUM(J2771:N2771)=I2771,"✓","⚠ "&amp;SUM(J2771:N2771)&amp;" statt "&amp;I2771))</f>
        <v/>
      </c>
      <c r="P2771" s="21" t="n"/>
      <c r="Q2771" s="21" t="n"/>
      <c r="R2771" s="21" t="n"/>
      <c r="S2771" s="24" t="n"/>
      <c r="T2771" s="24" t="n"/>
      <c r="V2771">
        <f>IF(A2771="","",MONTH(A2771))</f>
        <v/>
      </c>
      <c r="W2771">
        <f>N(W2770)+IF(AND(C2771&lt;&gt;"",T2771&lt;&gt;""),IF(C2771=WOCHE!$B$3,1,0),0)</f>
        <v/>
      </c>
      <c r="X2771">
        <f>N(X2770)+IF(AND(V2771&lt;&gt;"",T2771&lt;&gt;""),IF(V2771=MONAT!$AZ$3,1,0),0)</f>
        <v/>
      </c>
    </row>
    <row r="2772">
      <c r="A2772" s="19" t="n"/>
      <c r="B2772" s="20">
        <f>IF(A2772="","",CHOOSE(WEEKDAY(A2772,2),"Mo","Di","Mi","Do","Fr","Sa","So"))</f>
        <v/>
      </c>
      <c r="C2772" s="20">
        <f>IF(A2772="","",INT((A2772-DATE(YEAR(A2772-WEEKDAY(A2772-1)+4),1,3)+WEEKDAY(DATE(YEAR(A2772-WEEKDAY(A2772-1)+4),1,3))+5)/7))</f>
        <v/>
      </c>
      <c r="D2772" s="21" t="n"/>
      <c r="E2772" s="22" t="n"/>
      <c r="F2772" s="23" t="n"/>
      <c r="G2772" s="23" t="n"/>
      <c r="H2772" s="23" t="n"/>
      <c r="I2772" s="20">
        <f>IF(COUNT(F2772:H2772)=0,"",SUM(F2772:H2772))</f>
        <v/>
      </c>
      <c r="J2772" s="23" t="n"/>
      <c r="K2772" s="23" t="n"/>
      <c r="L2772" s="23" t="n"/>
      <c r="M2772" s="23" t="n"/>
      <c r="N2772" s="23" t="n"/>
      <c r="O2772" s="20">
        <f>IF(OR(I2772="",COUNT(J2772:N2772)=0),"",IF(SUM(J2772:N2772)=I2772,"✓","⚠ "&amp;SUM(J2772:N2772)&amp;" statt "&amp;I2772))</f>
        <v/>
      </c>
      <c r="P2772" s="21" t="n"/>
      <c r="Q2772" s="21" t="n"/>
      <c r="R2772" s="21" t="n"/>
      <c r="S2772" s="24" t="n"/>
      <c r="T2772" s="24" t="n"/>
      <c r="V2772">
        <f>IF(A2772="","",MONTH(A2772))</f>
        <v/>
      </c>
      <c r="W2772">
        <f>N(W2771)+IF(AND(C2772&lt;&gt;"",T2772&lt;&gt;""),IF(C2772=WOCHE!$B$3,1,0),0)</f>
        <v/>
      </c>
      <c r="X2772">
        <f>N(X2771)+IF(AND(V2772&lt;&gt;"",T2772&lt;&gt;""),IF(V2772=MONAT!$AZ$3,1,0),0)</f>
        <v/>
      </c>
    </row>
    <row r="2773">
      <c r="A2773" s="19" t="n"/>
      <c r="B2773" s="20">
        <f>IF(A2773="","",CHOOSE(WEEKDAY(A2773,2),"Mo","Di","Mi","Do","Fr","Sa","So"))</f>
        <v/>
      </c>
      <c r="C2773" s="20">
        <f>IF(A2773="","",INT((A2773-DATE(YEAR(A2773-WEEKDAY(A2773-1)+4),1,3)+WEEKDAY(DATE(YEAR(A2773-WEEKDAY(A2773-1)+4),1,3))+5)/7))</f>
        <v/>
      </c>
      <c r="D2773" s="21" t="n"/>
      <c r="E2773" s="22" t="n"/>
      <c r="F2773" s="23" t="n"/>
      <c r="G2773" s="23" t="n"/>
      <c r="H2773" s="23" t="n"/>
      <c r="I2773" s="20">
        <f>IF(COUNT(F2773:H2773)=0,"",SUM(F2773:H2773))</f>
        <v/>
      </c>
      <c r="J2773" s="23" t="n"/>
      <c r="K2773" s="23" t="n"/>
      <c r="L2773" s="23" t="n"/>
      <c r="M2773" s="23" t="n"/>
      <c r="N2773" s="23" t="n"/>
      <c r="O2773" s="20">
        <f>IF(OR(I2773="",COUNT(J2773:N2773)=0),"",IF(SUM(J2773:N2773)=I2773,"✓","⚠ "&amp;SUM(J2773:N2773)&amp;" statt "&amp;I2773))</f>
        <v/>
      </c>
      <c r="P2773" s="21" t="n"/>
      <c r="Q2773" s="21" t="n"/>
      <c r="R2773" s="21" t="n"/>
      <c r="S2773" s="24" t="n"/>
      <c r="T2773" s="24" t="n"/>
      <c r="V2773">
        <f>IF(A2773="","",MONTH(A2773))</f>
        <v/>
      </c>
      <c r="W2773">
        <f>N(W2772)+IF(AND(C2773&lt;&gt;"",T2773&lt;&gt;""),IF(C2773=WOCHE!$B$3,1,0),0)</f>
        <v/>
      </c>
      <c r="X2773">
        <f>N(X2772)+IF(AND(V2773&lt;&gt;"",T2773&lt;&gt;""),IF(V2773=MONAT!$AZ$3,1,0),0)</f>
        <v/>
      </c>
    </row>
    <row r="2774">
      <c r="A2774" s="19" t="n"/>
      <c r="B2774" s="20">
        <f>IF(A2774="","",CHOOSE(WEEKDAY(A2774,2),"Mo","Di","Mi","Do","Fr","Sa","So"))</f>
        <v/>
      </c>
      <c r="C2774" s="20">
        <f>IF(A2774="","",INT((A2774-DATE(YEAR(A2774-WEEKDAY(A2774-1)+4),1,3)+WEEKDAY(DATE(YEAR(A2774-WEEKDAY(A2774-1)+4),1,3))+5)/7))</f>
        <v/>
      </c>
      <c r="D2774" s="21" t="n"/>
      <c r="E2774" s="22" t="n"/>
      <c r="F2774" s="23" t="n"/>
      <c r="G2774" s="23" t="n"/>
      <c r="H2774" s="23" t="n"/>
      <c r="I2774" s="20">
        <f>IF(COUNT(F2774:H2774)=0,"",SUM(F2774:H2774))</f>
        <v/>
      </c>
      <c r="J2774" s="23" t="n"/>
      <c r="K2774" s="23" t="n"/>
      <c r="L2774" s="23" t="n"/>
      <c r="M2774" s="23" t="n"/>
      <c r="N2774" s="23" t="n"/>
      <c r="O2774" s="20">
        <f>IF(OR(I2774="",COUNT(J2774:N2774)=0),"",IF(SUM(J2774:N2774)=I2774,"✓","⚠ "&amp;SUM(J2774:N2774)&amp;" statt "&amp;I2774))</f>
        <v/>
      </c>
      <c r="P2774" s="21" t="n"/>
      <c r="Q2774" s="21" t="n"/>
      <c r="R2774" s="21" t="n"/>
      <c r="S2774" s="24" t="n"/>
      <c r="T2774" s="24" t="n"/>
      <c r="V2774">
        <f>IF(A2774="","",MONTH(A2774))</f>
        <v/>
      </c>
      <c r="W2774">
        <f>N(W2773)+IF(AND(C2774&lt;&gt;"",T2774&lt;&gt;""),IF(C2774=WOCHE!$B$3,1,0),0)</f>
        <v/>
      </c>
      <c r="X2774">
        <f>N(X2773)+IF(AND(V2774&lt;&gt;"",T2774&lt;&gt;""),IF(V2774=MONAT!$AZ$3,1,0),0)</f>
        <v/>
      </c>
    </row>
    <row r="2775">
      <c r="A2775" s="19" t="n"/>
      <c r="B2775" s="20">
        <f>IF(A2775="","",CHOOSE(WEEKDAY(A2775,2),"Mo","Di","Mi","Do","Fr","Sa","So"))</f>
        <v/>
      </c>
      <c r="C2775" s="20">
        <f>IF(A2775="","",INT((A2775-DATE(YEAR(A2775-WEEKDAY(A2775-1)+4),1,3)+WEEKDAY(DATE(YEAR(A2775-WEEKDAY(A2775-1)+4),1,3))+5)/7))</f>
        <v/>
      </c>
      <c r="D2775" s="21" t="n"/>
      <c r="E2775" s="22" t="n"/>
      <c r="F2775" s="23" t="n"/>
      <c r="G2775" s="23" t="n"/>
      <c r="H2775" s="23" t="n"/>
      <c r="I2775" s="20">
        <f>IF(COUNT(F2775:H2775)=0,"",SUM(F2775:H2775))</f>
        <v/>
      </c>
      <c r="J2775" s="23" t="n"/>
      <c r="K2775" s="23" t="n"/>
      <c r="L2775" s="23" t="n"/>
      <c r="M2775" s="23" t="n"/>
      <c r="N2775" s="23" t="n"/>
      <c r="O2775" s="20">
        <f>IF(OR(I2775="",COUNT(J2775:N2775)=0),"",IF(SUM(J2775:N2775)=I2775,"✓","⚠ "&amp;SUM(J2775:N2775)&amp;" statt "&amp;I2775))</f>
        <v/>
      </c>
      <c r="P2775" s="21" t="n"/>
      <c r="Q2775" s="21" t="n"/>
      <c r="R2775" s="21" t="n"/>
      <c r="S2775" s="24" t="n"/>
      <c r="T2775" s="24" t="n"/>
      <c r="V2775">
        <f>IF(A2775="","",MONTH(A2775))</f>
        <v/>
      </c>
      <c r="W2775">
        <f>N(W2774)+IF(AND(C2775&lt;&gt;"",T2775&lt;&gt;""),IF(C2775=WOCHE!$B$3,1,0),0)</f>
        <v/>
      </c>
      <c r="X2775">
        <f>N(X2774)+IF(AND(V2775&lt;&gt;"",T2775&lt;&gt;""),IF(V2775=MONAT!$AZ$3,1,0),0)</f>
        <v/>
      </c>
    </row>
    <row r="2776">
      <c r="A2776" s="19" t="n"/>
      <c r="B2776" s="20">
        <f>IF(A2776="","",CHOOSE(WEEKDAY(A2776,2),"Mo","Di","Mi","Do","Fr","Sa","So"))</f>
        <v/>
      </c>
      <c r="C2776" s="20">
        <f>IF(A2776="","",INT((A2776-DATE(YEAR(A2776-WEEKDAY(A2776-1)+4),1,3)+WEEKDAY(DATE(YEAR(A2776-WEEKDAY(A2776-1)+4),1,3))+5)/7))</f>
        <v/>
      </c>
      <c r="D2776" s="21" t="n"/>
      <c r="E2776" s="22" t="n"/>
      <c r="F2776" s="23" t="n"/>
      <c r="G2776" s="23" t="n"/>
      <c r="H2776" s="23" t="n"/>
      <c r="I2776" s="20">
        <f>IF(COUNT(F2776:H2776)=0,"",SUM(F2776:H2776))</f>
        <v/>
      </c>
      <c r="J2776" s="23" t="n"/>
      <c r="K2776" s="23" t="n"/>
      <c r="L2776" s="23" t="n"/>
      <c r="M2776" s="23" t="n"/>
      <c r="N2776" s="23" t="n"/>
      <c r="O2776" s="20">
        <f>IF(OR(I2776="",COUNT(J2776:N2776)=0),"",IF(SUM(J2776:N2776)=I2776,"✓","⚠ "&amp;SUM(J2776:N2776)&amp;" statt "&amp;I2776))</f>
        <v/>
      </c>
      <c r="P2776" s="21" t="n"/>
      <c r="Q2776" s="21" t="n"/>
      <c r="R2776" s="21" t="n"/>
      <c r="S2776" s="24" t="n"/>
      <c r="T2776" s="24" t="n"/>
      <c r="V2776">
        <f>IF(A2776="","",MONTH(A2776))</f>
        <v/>
      </c>
      <c r="W2776">
        <f>N(W2775)+IF(AND(C2776&lt;&gt;"",T2776&lt;&gt;""),IF(C2776=WOCHE!$B$3,1,0),0)</f>
        <v/>
      </c>
      <c r="X2776">
        <f>N(X2775)+IF(AND(V2776&lt;&gt;"",T2776&lt;&gt;""),IF(V2776=MONAT!$AZ$3,1,0),0)</f>
        <v/>
      </c>
    </row>
    <row r="2777">
      <c r="A2777" s="19" t="n"/>
      <c r="B2777" s="20">
        <f>IF(A2777="","",CHOOSE(WEEKDAY(A2777,2),"Mo","Di","Mi","Do","Fr","Sa","So"))</f>
        <v/>
      </c>
      <c r="C2777" s="20">
        <f>IF(A2777="","",INT((A2777-DATE(YEAR(A2777-WEEKDAY(A2777-1)+4),1,3)+WEEKDAY(DATE(YEAR(A2777-WEEKDAY(A2777-1)+4),1,3))+5)/7))</f>
        <v/>
      </c>
      <c r="D2777" s="21" t="n"/>
      <c r="E2777" s="22" t="n"/>
      <c r="F2777" s="23" t="n"/>
      <c r="G2777" s="23" t="n"/>
      <c r="H2777" s="23" t="n"/>
      <c r="I2777" s="20">
        <f>IF(COUNT(F2777:H2777)=0,"",SUM(F2777:H2777))</f>
        <v/>
      </c>
      <c r="J2777" s="23" t="n"/>
      <c r="K2777" s="23" t="n"/>
      <c r="L2777" s="23" t="n"/>
      <c r="M2777" s="23" t="n"/>
      <c r="N2777" s="23" t="n"/>
      <c r="O2777" s="20">
        <f>IF(OR(I2777="",COUNT(J2777:N2777)=0),"",IF(SUM(J2777:N2777)=I2777,"✓","⚠ "&amp;SUM(J2777:N2777)&amp;" statt "&amp;I2777))</f>
        <v/>
      </c>
      <c r="P2777" s="21" t="n"/>
      <c r="Q2777" s="21" t="n"/>
      <c r="R2777" s="21" t="n"/>
      <c r="S2777" s="24" t="n"/>
      <c r="T2777" s="24" t="n"/>
      <c r="V2777">
        <f>IF(A2777="","",MONTH(A2777))</f>
        <v/>
      </c>
      <c r="W2777">
        <f>N(W2776)+IF(AND(C2777&lt;&gt;"",T2777&lt;&gt;""),IF(C2777=WOCHE!$B$3,1,0),0)</f>
        <v/>
      </c>
      <c r="X2777">
        <f>N(X2776)+IF(AND(V2777&lt;&gt;"",T2777&lt;&gt;""),IF(V2777=MONAT!$AZ$3,1,0),0)</f>
        <v/>
      </c>
    </row>
    <row r="2778">
      <c r="A2778" s="19" t="n"/>
      <c r="B2778" s="20">
        <f>IF(A2778="","",CHOOSE(WEEKDAY(A2778,2),"Mo","Di","Mi","Do","Fr","Sa","So"))</f>
        <v/>
      </c>
      <c r="C2778" s="20">
        <f>IF(A2778="","",INT((A2778-DATE(YEAR(A2778-WEEKDAY(A2778-1)+4),1,3)+WEEKDAY(DATE(YEAR(A2778-WEEKDAY(A2778-1)+4),1,3))+5)/7))</f>
        <v/>
      </c>
      <c r="D2778" s="21" t="n"/>
      <c r="E2778" s="22" t="n"/>
      <c r="F2778" s="23" t="n"/>
      <c r="G2778" s="23" t="n"/>
      <c r="H2778" s="23" t="n"/>
      <c r="I2778" s="20">
        <f>IF(COUNT(F2778:H2778)=0,"",SUM(F2778:H2778))</f>
        <v/>
      </c>
      <c r="J2778" s="23" t="n"/>
      <c r="K2778" s="23" t="n"/>
      <c r="L2778" s="23" t="n"/>
      <c r="M2778" s="23" t="n"/>
      <c r="N2778" s="23" t="n"/>
      <c r="O2778" s="20">
        <f>IF(OR(I2778="",COUNT(J2778:N2778)=0),"",IF(SUM(J2778:N2778)=I2778,"✓","⚠ "&amp;SUM(J2778:N2778)&amp;" statt "&amp;I2778))</f>
        <v/>
      </c>
      <c r="P2778" s="21" t="n"/>
      <c r="Q2778" s="21" t="n"/>
      <c r="R2778" s="21" t="n"/>
      <c r="S2778" s="24" t="n"/>
      <c r="T2778" s="24" t="n"/>
      <c r="V2778">
        <f>IF(A2778="","",MONTH(A2778))</f>
        <v/>
      </c>
      <c r="W2778">
        <f>N(W2777)+IF(AND(C2778&lt;&gt;"",T2778&lt;&gt;""),IF(C2778=WOCHE!$B$3,1,0),0)</f>
        <v/>
      </c>
      <c r="X2778">
        <f>N(X2777)+IF(AND(V2778&lt;&gt;"",T2778&lt;&gt;""),IF(V2778=MONAT!$AZ$3,1,0),0)</f>
        <v/>
      </c>
    </row>
    <row r="2779">
      <c r="A2779" s="19" t="n"/>
      <c r="B2779" s="20">
        <f>IF(A2779="","",CHOOSE(WEEKDAY(A2779,2),"Mo","Di","Mi","Do","Fr","Sa","So"))</f>
        <v/>
      </c>
      <c r="C2779" s="20">
        <f>IF(A2779="","",INT((A2779-DATE(YEAR(A2779-WEEKDAY(A2779-1)+4),1,3)+WEEKDAY(DATE(YEAR(A2779-WEEKDAY(A2779-1)+4),1,3))+5)/7))</f>
        <v/>
      </c>
      <c r="D2779" s="21" t="n"/>
      <c r="E2779" s="22" t="n"/>
      <c r="F2779" s="23" t="n"/>
      <c r="G2779" s="23" t="n"/>
      <c r="H2779" s="23" t="n"/>
      <c r="I2779" s="20">
        <f>IF(COUNT(F2779:H2779)=0,"",SUM(F2779:H2779))</f>
        <v/>
      </c>
      <c r="J2779" s="23" t="n"/>
      <c r="K2779" s="23" t="n"/>
      <c r="L2779" s="23" t="n"/>
      <c r="M2779" s="23" t="n"/>
      <c r="N2779" s="23" t="n"/>
      <c r="O2779" s="20">
        <f>IF(OR(I2779="",COUNT(J2779:N2779)=0),"",IF(SUM(J2779:N2779)=I2779,"✓","⚠ "&amp;SUM(J2779:N2779)&amp;" statt "&amp;I2779))</f>
        <v/>
      </c>
      <c r="P2779" s="21" t="n"/>
      <c r="Q2779" s="21" t="n"/>
      <c r="R2779" s="21" t="n"/>
      <c r="S2779" s="24" t="n"/>
      <c r="T2779" s="24" t="n"/>
      <c r="V2779">
        <f>IF(A2779="","",MONTH(A2779))</f>
        <v/>
      </c>
      <c r="W2779">
        <f>N(W2778)+IF(AND(C2779&lt;&gt;"",T2779&lt;&gt;""),IF(C2779=WOCHE!$B$3,1,0),0)</f>
        <v/>
      </c>
      <c r="X2779">
        <f>N(X2778)+IF(AND(V2779&lt;&gt;"",T2779&lt;&gt;""),IF(V2779=MONAT!$AZ$3,1,0),0)</f>
        <v/>
      </c>
    </row>
    <row r="2780">
      <c r="A2780" s="19" t="n"/>
      <c r="B2780" s="20">
        <f>IF(A2780="","",CHOOSE(WEEKDAY(A2780,2),"Mo","Di","Mi","Do","Fr","Sa","So"))</f>
        <v/>
      </c>
      <c r="C2780" s="20">
        <f>IF(A2780="","",INT((A2780-DATE(YEAR(A2780-WEEKDAY(A2780-1)+4),1,3)+WEEKDAY(DATE(YEAR(A2780-WEEKDAY(A2780-1)+4),1,3))+5)/7))</f>
        <v/>
      </c>
      <c r="D2780" s="21" t="n"/>
      <c r="E2780" s="22" t="n"/>
      <c r="F2780" s="23" t="n"/>
      <c r="G2780" s="23" t="n"/>
      <c r="H2780" s="23" t="n"/>
      <c r="I2780" s="20">
        <f>IF(COUNT(F2780:H2780)=0,"",SUM(F2780:H2780))</f>
        <v/>
      </c>
      <c r="J2780" s="23" t="n"/>
      <c r="K2780" s="23" t="n"/>
      <c r="L2780" s="23" t="n"/>
      <c r="M2780" s="23" t="n"/>
      <c r="N2780" s="23" t="n"/>
      <c r="O2780" s="20">
        <f>IF(OR(I2780="",COUNT(J2780:N2780)=0),"",IF(SUM(J2780:N2780)=I2780,"✓","⚠ "&amp;SUM(J2780:N2780)&amp;" statt "&amp;I2780))</f>
        <v/>
      </c>
      <c r="P2780" s="21" t="n"/>
      <c r="Q2780" s="21" t="n"/>
      <c r="R2780" s="21" t="n"/>
      <c r="S2780" s="24" t="n"/>
      <c r="T2780" s="24" t="n"/>
      <c r="V2780">
        <f>IF(A2780="","",MONTH(A2780))</f>
        <v/>
      </c>
      <c r="W2780">
        <f>N(W2779)+IF(AND(C2780&lt;&gt;"",T2780&lt;&gt;""),IF(C2780=WOCHE!$B$3,1,0),0)</f>
        <v/>
      </c>
      <c r="X2780">
        <f>N(X2779)+IF(AND(V2780&lt;&gt;"",T2780&lt;&gt;""),IF(V2780=MONAT!$AZ$3,1,0),0)</f>
        <v/>
      </c>
    </row>
    <row r="2781">
      <c r="A2781" s="19" t="n"/>
      <c r="B2781" s="20">
        <f>IF(A2781="","",CHOOSE(WEEKDAY(A2781,2),"Mo","Di","Mi","Do","Fr","Sa","So"))</f>
        <v/>
      </c>
      <c r="C2781" s="20">
        <f>IF(A2781="","",INT((A2781-DATE(YEAR(A2781-WEEKDAY(A2781-1)+4),1,3)+WEEKDAY(DATE(YEAR(A2781-WEEKDAY(A2781-1)+4),1,3))+5)/7))</f>
        <v/>
      </c>
      <c r="D2781" s="21" t="n"/>
      <c r="E2781" s="22" t="n"/>
      <c r="F2781" s="23" t="n"/>
      <c r="G2781" s="23" t="n"/>
      <c r="H2781" s="23" t="n"/>
      <c r="I2781" s="20">
        <f>IF(COUNT(F2781:H2781)=0,"",SUM(F2781:H2781))</f>
        <v/>
      </c>
      <c r="J2781" s="23" t="n"/>
      <c r="K2781" s="23" t="n"/>
      <c r="L2781" s="23" t="n"/>
      <c r="M2781" s="23" t="n"/>
      <c r="N2781" s="23" t="n"/>
      <c r="O2781" s="20">
        <f>IF(OR(I2781="",COUNT(J2781:N2781)=0),"",IF(SUM(J2781:N2781)=I2781,"✓","⚠ "&amp;SUM(J2781:N2781)&amp;" statt "&amp;I2781))</f>
        <v/>
      </c>
      <c r="P2781" s="21" t="n"/>
      <c r="Q2781" s="21" t="n"/>
      <c r="R2781" s="21" t="n"/>
      <c r="S2781" s="24" t="n"/>
      <c r="T2781" s="24" t="n"/>
      <c r="V2781">
        <f>IF(A2781="","",MONTH(A2781))</f>
        <v/>
      </c>
      <c r="W2781">
        <f>N(W2780)+IF(AND(C2781&lt;&gt;"",T2781&lt;&gt;""),IF(C2781=WOCHE!$B$3,1,0),0)</f>
        <v/>
      </c>
      <c r="X2781">
        <f>N(X2780)+IF(AND(V2781&lt;&gt;"",T2781&lt;&gt;""),IF(V2781=MONAT!$AZ$3,1,0),0)</f>
        <v/>
      </c>
    </row>
    <row r="2782">
      <c r="A2782" s="19" t="n"/>
      <c r="B2782" s="20">
        <f>IF(A2782="","",CHOOSE(WEEKDAY(A2782,2),"Mo","Di","Mi","Do","Fr","Sa","So"))</f>
        <v/>
      </c>
      <c r="C2782" s="20">
        <f>IF(A2782="","",INT((A2782-DATE(YEAR(A2782-WEEKDAY(A2782-1)+4),1,3)+WEEKDAY(DATE(YEAR(A2782-WEEKDAY(A2782-1)+4),1,3))+5)/7))</f>
        <v/>
      </c>
      <c r="D2782" s="21" t="n"/>
      <c r="E2782" s="22" t="n"/>
      <c r="F2782" s="23" t="n"/>
      <c r="G2782" s="23" t="n"/>
      <c r="H2782" s="23" t="n"/>
      <c r="I2782" s="20">
        <f>IF(COUNT(F2782:H2782)=0,"",SUM(F2782:H2782))</f>
        <v/>
      </c>
      <c r="J2782" s="23" t="n"/>
      <c r="K2782" s="23" t="n"/>
      <c r="L2782" s="23" t="n"/>
      <c r="M2782" s="23" t="n"/>
      <c r="N2782" s="23" t="n"/>
      <c r="O2782" s="20">
        <f>IF(OR(I2782="",COUNT(J2782:N2782)=0),"",IF(SUM(J2782:N2782)=I2782,"✓","⚠ "&amp;SUM(J2782:N2782)&amp;" statt "&amp;I2782))</f>
        <v/>
      </c>
      <c r="P2782" s="21" t="n"/>
      <c r="Q2782" s="21" t="n"/>
      <c r="R2782" s="21" t="n"/>
      <c r="S2782" s="24" t="n"/>
      <c r="T2782" s="24" t="n"/>
      <c r="V2782">
        <f>IF(A2782="","",MONTH(A2782))</f>
        <v/>
      </c>
      <c r="W2782">
        <f>N(W2781)+IF(AND(C2782&lt;&gt;"",T2782&lt;&gt;""),IF(C2782=WOCHE!$B$3,1,0),0)</f>
        <v/>
      </c>
      <c r="X2782">
        <f>N(X2781)+IF(AND(V2782&lt;&gt;"",T2782&lt;&gt;""),IF(V2782=MONAT!$AZ$3,1,0),0)</f>
        <v/>
      </c>
    </row>
    <row r="2783">
      <c r="A2783" s="19" t="n"/>
      <c r="B2783" s="20">
        <f>IF(A2783="","",CHOOSE(WEEKDAY(A2783,2),"Mo","Di","Mi","Do","Fr","Sa","So"))</f>
        <v/>
      </c>
      <c r="C2783" s="20">
        <f>IF(A2783="","",INT((A2783-DATE(YEAR(A2783-WEEKDAY(A2783-1)+4),1,3)+WEEKDAY(DATE(YEAR(A2783-WEEKDAY(A2783-1)+4),1,3))+5)/7))</f>
        <v/>
      </c>
      <c r="D2783" s="21" t="n"/>
      <c r="E2783" s="22" t="n"/>
      <c r="F2783" s="23" t="n"/>
      <c r="G2783" s="23" t="n"/>
      <c r="H2783" s="23" t="n"/>
      <c r="I2783" s="20">
        <f>IF(COUNT(F2783:H2783)=0,"",SUM(F2783:H2783))</f>
        <v/>
      </c>
      <c r="J2783" s="23" t="n"/>
      <c r="K2783" s="23" t="n"/>
      <c r="L2783" s="23" t="n"/>
      <c r="M2783" s="23" t="n"/>
      <c r="N2783" s="23" t="n"/>
      <c r="O2783" s="20">
        <f>IF(OR(I2783="",COUNT(J2783:N2783)=0),"",IF(SUM(J2783:N2783)=I2783,"✓","⚠ "&amp;SUM(J2783:N2783)&amp;" statt "&amp;I2783))</f>
        <v/>
      </c>
      <c r="P2783" s="21" t="n"/>
      <c r="Q2783" s="21" t="n"/>
      <c r="R2783" s="21" t="n"/>
      <c r="S2783" s="24" t="n"/>
      <c r="T2783" s="24" t="n"/>
      <c r="V2783">
        <f>IF(A2783="","",MONTH(A2783))</f>
        <v/>
      </c>
      <c r="W2783">
        <f>N(W2782)+IF(AND(C2783&lt;&gt;"",T2783&lt;&gt;""),IF(C2783=WOCHE!$B$3,1,0),0)</f>
        <v/>
      </c>
      <c r="X2783">
        <f>N(X2782)+IF(AND(V2783&lt;&gt;"",T2783&lt;&gt;""),IF(V2783=MONAT!$AZ$3,1,0),0)</f>
        <v/>
      </c>
    </row>
    <row r="2784">
      <c r="A2784" s="19" t="n"/>
      <c r="B2784" s="20">
        <f>IF(A2784="","",CHOOSE(WEEKDAY(A2784,2),"Mo","Di","Mi","Do","Fr","Sa","So"))</f>
        <v/>
      </c>
      <c r="C2784" s="20">
        <f>IF(A2784="","",INT((A2784-DATE(YEAR(A2784-WEEKDAY(A2784-1)+4),1,3)+WEEKDAY(DATE(YEAR(A2784-WEEKDAY(A2784-1)+4),1,3))+5)/7))</f>
        <v/>
      </c>
      <c r="D2784" s="21" t="n"/>
      <c r="E2784" s="22" t="n"/>
      <c r="F2784" s="23" t="n"/>
      <c r="G2784" s="23" t="n"/>
      <c r="H2784" s="23" t="n"/>
      <c r="I2784" s="20">
        <f>IF(COUNT(F2784:H2784)=0,"",SUM(F2784:H2784))</f>
        <v/>
      </c>
      <c r="J2784" s="23" t="n"/>
      <c r="K2784" s="23" t="n"/>
      <c r="L2784" s="23" t="n"/>
      <c r="M2784" s="23" t="n"/>
      <c r="N2784" s="23" t="n"/>
      <c r="O2784" s="20">
        <f>IF(OR(I2784="",COUNT(J2784:N2784)=0),"",IF(SUM(J2784:N2784)=I2784,"✓","⚠ "&amp;SUM(J2784:N2784)&amp;" statt "&amp;I2784))</f>
        <v/>
      </c>
      <c r="P2784" s="21" t="n"/>
      <c r="Q2784" s="21" t="n"/>
      <c r="R2784" s="21" t="n"/>
      <c r="S2784" s="24" t="n"/>
      <c r="T2784" s="24" t="n"/>
      <c r="V2784">
        <f>IF(A2784="","",MONTH(A2784))</f>
        <v/>
      </c>
      <c r="W2784">
        <f>N(W2783)+IF(AND(C2784&lt;&gt;"",T2784&lt;&gt;""),IF(C2784=WOCHE!$B$3,1,0),0)</f>
        <v/>
      </c>
      <c r="X2784">
        <f>N(X2783)+IF(AND(V2784&lt;&gt;"",T2784&lt;&gt;""),IF(V2784=MONAT!$AZ$3,1,0),0)</f>
        <v/>
      </c>
    </row>
    <row r="2785">
      <c r="A2785" s="19" t="n"/>
      <c r="B2785" s="20">
        <f>IF(A2785="","",CHOOSE(WEEKDAY(A2785,2),"Mo","Di","Mi","Do","Fr","Sa","So"))</f>
        <v/>
      </c>
      <c r="C2785" s="20">
        <f>IF(A2785="","",INT((A2785-DATE(YEAR(A2785-WEEKDAY(A2785-1)+4),1,3)+WEEKDAY(DATE(YEAR(A2785-WEEKDAY(A2785-1)+4),1,3))+5)/7))</f>
        <v/>
      </c>
      <c r="D2785" s="21" t="n"/>
      <c r="E2785" s="22" t="n"/>
      <c r="F2785" s="23" t="n"/>
      <c r="G2785" s="23" t="n"/>
      <c r="H2785" s="23" t="n"/>
      <c r="I2785" s="20">
        <f>IF(COUNT(F2785:H2785)=0,"",SUM(F2785:H2785))</f>
        <v/>
      </c>
      <c r="J2785" s="23" t="n"/>
      <c r="K2785" s="23" t="n"/>
      <c r="L2785" s="23" t="n"/>
      <c r="M2785" s="23" t="n"/>
      <c r="N2785" s="23" t="n"/>
      <c r="O2785" s="20">
        <f>IF(OR(I2785="",COUNT(J2785:N2785)=0),"",IF(SUM(J2785:N2785)=I2785,"✓","⚠ "&amp;SUM(J2785:N2785)&amp;" statt "&amp;I2785))</f>
        <v/>
      </c>
      <c r="P2785" s="21" t="n"/>
      <c r="Q2785" s="21" t="n"/>
      <c r="R2785" s="21" t="n"/>
      <c r="S2785" s="24" t="n"/>
      <c r="T2785" s="24" t="n"/>
      <c r="V2785">
        <f>IF(A2785="","",MONTH(A2785))</f>
        <v/>
      </c>
      <c r="W2785">
        <f>N(W2784)+IF(AND(C2785&lt;&gt;"",T2785&lt;&gt;""),IF(C2785=WOCHE!$B$3,1,0),0)</f>
        <v/>
      </c>
      <c r="X2785">
        <f>N(X2784)+IF(AND(V2785&lt;&gt;"",T2785&lt;&gt;""),IF(V2785=MONAT!$AZ$3,1,0),0)</f>
        <v/>
      </c>
    </row>
    <row r="2786">
      <c r="A2786" s="19" t="n"/>
      <c r="B2786" s="20">
        <f>IF(A2786="","",CHOOSE(WEEKDAY(A2786,2),"Mo","Di","Mi","Do","Fr","Sa","So"))</f>
        <v/>
      </c>
      <c r="C2786" s="20">
        <f>IF(A2786="","",INT((A2786-DATE(YEAR(A2786-WEEKDAY(A2786-1)+4),1,3)+WEEKDAY(DATE(YEAR(A2786-WEEKDAY(A2786-1)+4),1,3))+5)/7))</f>
        <v/>
      </c>
      <c r="D2786" s="21" t="n"/>
      <c r="E2786" s="22" t="n"/>
      <c r="F2786" s="23" t="n"/>
      <c r="G2786" s="23" t="n"/>
      <c r="H2786" s="23" t="n"/>
      <c r="I2786" s="20">
        <f>IF(COUNT(F2786:H2786)=0,"",SUM(F2786:H2786))</f>
        <v/>
      </c>
      <c r="J2786" s="23" t="n"/>
      <c r="K2786" s="23" t="n"/>
      <c r="L2786" s="23" t="n"/>
      <c r="M2786" s="23" t="n"/>
      <c r="N2786" s="23" t="n"/>
      <c r="O2786" s="20">
        <f>IF(OR(I2786="",COUNT(J2786:N2786)=0),"",IF(SUM(J2786:N2786)=I2786,"✓","⚠ "&amp;SUM(J2786:N2786)&amp;" statt "&amp;I2786))</f>
        <v/>
      </c>
      <c r="P2786" s="21" t="n"/>
      <c r="Q2786" s="21" t="n"/>
      <c r="R2786" s="21" t="n"/>
      <c r="S2786" s="24" t="n"/>
      <c r="T2786" s="24" t="n"/>
      <c r="V2786">
        <f>IF(A2786="","",MONTH(A2786))</f>
        <v/>
      </c>
      <c r="W2786">
        <f>N(W2785)+IF(AND(C2786&lt;&gt;"",T2786&lt;&gt;""),IF(C2786=WOCHE!$B$3,1,0),0)</f>
        <v/>
      </c>
      <c r="X2786">
        <f>N(X2785)+IF(AND(V2786&lt;&gt;"",T2786&lt;&gt;""),IF(V2786=MONAT!$AZ$3,1,0),0)</f>
        <v/>
      </c>
    </row>
    <row r="2787">
      <c r="A2787" s="19" t="n"/>
      <c r="B2787" s="20">
        <f>IF(A2787="","",CHOOSE(WEEKDAY(A2787,2),"Mo","Di","Mi","Do","Fr","Sa","So"))</f>
        <v/>
      </c>
      <c r="C2787" s="20">
        <f>IF(A2787="","",INT((A2787-DATE(YEAR(A2787-WEEKDAY(A2787-1)+4),1,3)+WEEKDAY(DATE(YEAR(A2787-WEEKDAY(A2787-1)+4),1,3))+5)/7))</f>
        <v/>
      </c>
      <c r="D2787" s="21" t="n"/>
      <c r="E2787" s="22" t="n"/>
      <c r="F2787" s="23" t="n"/>
      <c r="G2787" s="23" t="n"/>
      <c r="H2787" s="23" t="n"/>
      <c r="I2787" s="20">
        <f>IF(COUNT(F2787:H2787)=0,"",SUM(F2787:H2787))</f>
        <v/>
      </c>
      <c r="J2787" s="23" t="n"/>
      <c r="K2787" s="23" t="n"/>
      <c r="L2787" s="23" t="n"/>
      <c r="M2787" s="23" t="n"/>
      <c r="N2787" s="23" t="n"/>
      <c r="O2787" s="20">
        <f>IF(OR(I2787="",COUNT(J2787:N2787)=0),"",IF(SUM(J2787:N2787)=I2787,"✓","⚠ "&amp;SUM(J2787:N2787)&amp;" statt "&amp;I2787))</f>
        <v/>
      </c>
      <c r="P2787" s="21" t="n"/>
      <c r="Q2787" s="21" t="n"/>
      <c r="R2787" s="21" t="n"/>
      <c r="S2787" s="24" t="n"/>
      <c r="T2787" s="24" t="n"/>
      <c r="V2787">
        <f>IF(A2787="","",MONTH(A2787))</f>
        <v/>
      </c>
      <c r="W2787">
        <f>N(W2786)+IF(AND(C2787&lt;&gt;"",T2787&lt;&gt;""),IF(C2787=WOCHE!$B$3,1,0),0)</f>
        <v/>
      </c>
      <c r="X2787">
        <f>N(X2786)+IF(AND(V2787&lt;&gt;"",T2787&lt;&gt;""),IF(V2787=MONAT!$AZ$3,1,0),0)</f>
        <v/>
      </c>
    </row>
    <row r="2788">
      <c r="A2788" s="19" t="n"/>
      <c r="B2788" s="20">
        <f>IF(A2788="","",CHOOSE(WEEKDAY(A2788,2),"Mo","Di","Mi","Do","Fr","Sa","So"))</f>
        <v/>
      </c>
      <c r="C2788" s="20">
        <f>IF(A2788="","",INT((A2788-DATE(YEAR(A2788-WEEKDAY(A2788-1)+4),1,3)+WEEKDAY(DATE(YEAR(A2788-WEEKDAY(A2788-1)+4),1,3))+5)/7))</f>
        <v/>
      </c>
      <c r="D2788" s="21" t="n"/>
      <c r="E2788" s="22" t="n"/>
      <c r="F2788" s="23" t="n"/>
      <c r="G2788" s="23" t="n"/>
      <c r="H2788" s="23" t="n"/>
      <c r="I2788" s="20">
        <f>IF(COUNT(F2788:H2788)=0,"",SUM(F2788:H2788))</f>
        <v/>
      </c>
      <c r="J2788" s="23" t="n"/>
      <c r="K2788" s="23" t="n"/>
      <c r="L2788" s="23" t="n"/>
      <c r="M2788" s="23" t="n"/>
      <c r="N2788" s="23" t="n"/>
      <c r="O2788" s="20">
        <f>IF(OR(I2788="",COUNT(J2788:N2788)=0),"",IF(SUM(J2788:N2788)=I2788,"✓","⚠ "&amp;SUM(J2788:N2788)&amp;" statt "&amp;I2788))</f>
        <v/>
      </c>
      <c r="P2788" s="21" t="n"/>
      <c r="Q2788" s="21" t="n"/>
      <c r="R2788" s="21" t="n"/>
      <c r="S2788" s="24" t="n"/>
      <c r="T2788" s="24" t="n"/>
      <c r="V2788">
        <f>IF(A2788="","",MONTH(A2788))</f>
        <v/>
      </c>
      <c r="W2788">
        <f>N(W2787)+IF(AND(C2788&lt;&gt;"",T2788&lt;&gt;""),IF(C2788=WOCHE!$B$3,1,0),0)</f>
        <v/>
      </c>
      <c r="X2788">
        <f>N(X2787)+IF(AND(V2788&lt;&gt;"",T2788&lt;&gt;""),IF(V2788=MONAT!$AZ$3,1,0),0)</f>
        <v/>
      </c>
    </row>
    <row r="2789">
      <c r="A2789" s="19" t="n"/>
      <c r="B2789" s="20">
        <f>IF(A2789="","",CHOOSE(WEEKDAY(A2789,2),"Mo","Di","Mi","Do","Fr","Sa","So"))</f>
        <v/>
      </c>
      <c r="C2789" s="20">
        <f>IF(A2789="","",INT((A2789-DATE(YEAR(A2789-WEEKDAY(A2789-1)+4),1,3)+WEEKDAY(DATE(YEAR(A2789-WEEKDAY(A2789-1)+4),1,3))+5)/7))</f>
        <v/>
      </c>
      <c r="D2789" s="21" t="n"/>
      <c r="E2789" s="22" t="n"/>
      <c r="F2789" s="23" t="n"/>
      <c r="G2789" s="23" t="n"/>
      <c r="H2789" s="23" t="n"/>
      <c r="I2789" s="20">
        <f>IF(COUNT(F2789:H2789)=0,"",SUM(F2789:H2789))</f>
        <v/>
      </c>
      <c r="J2789" s="23" t="n"/>
      <c r="K2789" s="23" t="n"/>
      <c r="L2789" s="23" t="n"/>
      <c r="M2789" s="23" t="n"/>
      <c r="N2789" s="23" t="n"/>
      <c r="O2789" s="20">
        <f>IF(OR(I2789="",COUNT(J2789:N2789)=0),"",IF(SUM(J2789:N2789)=I2789,"✓","⚠ "&amp;SUM(J2789:N2789)&amp;" statt "&amp;I2789))</f>
        <v/>
      </c>
      <c r="P2789" s="21" t="n"/>
      <c r="Q2789" s="21" t="n"/>
      <c r="R2789" s="21" t="n"/>
      <c r="S2789" s="24" t="n"/>
      <c r="T2789" s="24" t="n"/>
      <c r="V2789">
        <f>IF(A2789="","",MONTH(A2789))</f>
        <v/>
      </c>
      <c r="W2789">
        <f>N(W2788)+IF(AND(C2789&lt;&gt;"",T2789&lt;&gt;""),IF(C2789=WOCHE!$B$3,1,0),0)</f>
        <v/>
      </c>
      <c r="X2789">
        <f>N(X2788)+IF(AND(V2789&lt;&gt;"",T2789&lt;&gt;""),IF(V2789=MONAT!$AZ$3,1,0),0)</f>
        <v/>
      </c>
    </row>
    <row r="2790">
      <c r="A2790" s="19" t="n"/>
      <c r="B2790" s="20">
        <f>IF(A2790="","",CHOOSE(WEEKDAY(A2790,2),"Mo","Di","Mi","Do","Fr","Sa","So"))</f>
        <v/>
      </c>
      <c r="C2790" s="20">
        <f>IF(A2790="","",INT((A2790-DATE(YEAR(A2790-WEEKDAY(A2790-1)+4),1,3)+WEEKDAY(DATE(YEAR(A2790-WEEKDAY(A2790-1)+4),1,3))+5)/7))</f>
        <v/>
      </c>
      <c r="D2790" s="21" t="n"/>
      <c r="E2790" s="22" t="n"/>
      <c r="F2790" s="23" t="n"/>
      <c r="G2790" s="23" t="n"/>
      <c r="H2790" s="23" t="n"/>
      <c r="I2790" s="20">
        <f>IF(COUNT(F2790:H2790)=0,"",SUM(F2790:H2790))</f>
        <v/>
      </c>
      <c r="J2790" s="23" t="n"/>
      <c r="K2790" s="23" t="n"/>
      <c r="L2790" s="23" t="n"/>
      <c r="M2790" s="23" t="n"/>
      <c r="N2790" s="23" t="n"/>
      <c r="O2790" s="20">
        <f>IF(OR(I2790="",COUNT(J2790:N2790)=0),"",IF(SUM(J2790:N2790)=I2790,"✓","⚠ "&amp;SUM(J2790:N2790)&amp;" statt "&amp;I2790))</f>
        <v/>
      </c>
      <c r="P2790" s="21" t="n"/>
      <c r="Q2790" s="21" t="n"/>
      <c r="R2790" s="21" t="n"/>
      <c r="S2790" s="24" t="n"/>
      <c r="T2790" s="24" t="n"/>
      <c r="V2790">
        <f>IF(A2790="","",MONTH(A2790))</f>
        <v/>
      </c>
      <c r="W2790">
        <f>N(W2789)+IF(AND(C2790&lt;&gt;"",T2790&lt;&gt;""),IF(C2790=WOCHE!$B$3,1,0),0)</f>
        <v/>
      </c>
      <c r="X2790">
        <f>N(X2789)+IF(AND(V2790&lt;&gt;"",T2790&lt;&gt;""),IF(V2790=MONAT!$AZ$3,1,0),0)</f>
        <v/>
      </c>
    </row>
    <row r="2791">
      <c r="A2791" s="19" t="n"/>
      <c r="B2791" s="20">
        <f>IF(A2791="","",CHOOSE(WEEKDAY(A2791,2),"Mo","Di","Mi","Do","Fr","Sa","So"))</f>
        <v/>
      </c>
      <c r="C2791" s="20">
        <f>IF(A2791="","",INT((A2791-DATE(YEAR(A2791-WEEKDAY(A2791-1)+4),1,3)+WEEKDAY(DATE(YEAR(A2791-WEEKDAY(A2791-1)+4),1,3))+5)/7))</f>
        <v/>
      </c>
      <c r="D2791" s="21" t="n"/>
      <c r="E2791" s="22" t="n"/>
      <c r="F2791" s="23" t="n"/>
      <c r="G2791" s="23" t="n"/>
      <c r="H2791" s="23" t="n"/>
      <c r="I2791" s="20">
        <f>IF(COUNT(F2791:H2791)=0,"",SUM(F2791:H2791))</f>
        <v/>
      </c>
      <c r="J2791" s="23" t="n"/>
      <c r="K2791" s="23" t="n"/>
      <c r="L2791" s="23" t="n"/>
      <c r="M2791" s="23" t="n"/>
      <c r="N2791" s="23" t="n"/>
      <c r="O2791" s="20">
        <f>IF(OR(I2791="",COUNT(J2791:N2791)=0),"",IF(SUM(J2791:N2791)=I2791,"✓","⚠ "&amp;SUM(J2791:N2791)&amp;" statt "&amp;I2791))</f>
        <v/>
      </c>
      <c r="P2791" s="21" t="n"/>
      <c r="Q2791" s="21" t="n"/>
      <c r="R2791" s="21" t="n"/>
      <c r="S2791" s="24" t="n"/>
      <c r="T2791" s="24" t="n"/>
      <c r="V2791">
        <f>IF(A2791="","",MONTH(A2791))</f>
        <v/>
      </c>
      <c r="W2791">
        <f>N(W2790)+IF(AND(C2791&lt;&gt;"",T2791&lt;&gt;""),IF(C2791=WOCHE!$B$3,1,0),0)</f>
        <v/>
      </c>
      <c r="X2791">
        <f>N(X2790)+IF(AND(V2791&lt;&gt;"",T2791&lt;&gt;""),IF(V2791=MONAT!$AZ$3,1,0),0)</f>
        <v/>
      </c>
    </row>
    <row r="2792">
      <c r="A2792" s="19" t="n"/>
      <c r="B2792" s="20">
        <f>IF(A2792="","",CHOOSE(WEEKDAY(A2792,2),"Mo","Di","Mi","Do","Fr","Sa","So"))</f>
        <v/>
      </c>
      <c r="C2792" s="20">
        <f>IF(A2792="","",INT((A2792-DATE(YEAR(A2792-WEEKDAY(A2792-1)+4),1,3)+WEEKDAY(DATE(YEAR(A2792-WEEKDAY(A2792-1)+4),1,3))+5)/7))</f>
        <v/>
      </c>
      <c r="D2792" s="21" t="n"/>
      <c r="E2792" s="22" t="n"/>
      <c r="F2792" s="23" t="n"/>
      <c r="G2792" s="23" t="n"/>
      <c r="H2792" s="23" t="n"/>
      <c r="I2792" s="20">
        <f>IF(COUNT(F2792:H2792)=0,"",SUM(F2792:H2792))</f>
        <v/>
      </c>
      <c r="J2792" s="23" t="n"/>
      <c r="K2792" s="23" t="n"/>
      <c r="L2792" s="23" t="n"/>
      <c r="M2792" s="23" t="n"/>
      <c r="N2792" s="23" t="n"/>
      <c r="O2792" s="20">
        <f>IF(OR(I2792="",COUNT(J2792:N2792)=0),"",IF(SUM(J2792:N2792)=I2792,"✓","⚠ "&amp;SUM(J2792:N2792)&amp;" statt "&amp;I2792))</f>
        <v/>
      </c>
      <c r="P2792" s="21" t="n"/>
      <c r="Q2792" s="21" t="n"/>
      <c r="R2792" s="21" t="n"/>
      <c r="S2792" s="24" t="n"/>
      <c r="T2792" s="24" t="n"/>
      <c r="V2792">
        <f>IF(A2792="","",MONTH(A2792))</f>
        <v/>
      </c>
      <c r="W2792">
        <f>N(W2791)+IF(AND(C2792&lt;&gt;"",T2792&lt;&gt;""),IF(C2792=WOCHE!$B$3,1,0),0)</f>
        <v/>
      </c>
      <c r="X2792">
        <f>N(X2791)+IF(AND(V2792&lt;&gt;"",T2792&lt;&gt;""),IF(V2792=MONAT!$AZ$3,1,0),0)</f>
        <v/>
      </c>
    </row>
    <row r="2793">
      <c r="A2793" s="19" t="n"/>
      <c r="B2793" s="20">
        <f>IF(A2793="","",CHOOSE(WEEKDAY(A2793,2),"Mo","Di","Mi","Do","Fr","Sa","So"))</f>
        <v/>
      </c>
      <c r="C2793" s="20">
        <f>IF(A2793="","",INT((A2793-DATE(YEAR(A2793-WEEKDAY(A2793-1)+4),1,3)+WEEKDAY(DATE(YEAR(A2793-WEEKDAY(A2793-1)+4),1,3))+5)/7))</f>
        <v/>
      </c>
      <c r="D2793" s="21" t="n"/>
      <c r="E2793" s="22" t="n"/>
      <c r="F2793" s="23" t="n"/>
      <c r="G2793" s="23" t="n"/>
      <c r="H2793" s="23" t="n"/>
      <c r="I2793" s="20">
        <f>IF(COUNT(F2793:H2793)=0,"",SUM(F2793:H2793))</f>
        <v/>
      </c>
      <c r="J2793" s="23" t="n"/>
      <c r="K2793" s="23" t="n"/>
      <c r="L2793" s="23" t="n"/>
      <c r="M2793" s="23" t="n"/>
      <c r="N2793" s="23" t="n"/>
      <c r="O2793" s="20">
        <f>IF(OR(I2793="",COUNT(J2793:N2793)=0),"",IF(SUM(J2793:N2793)=I2793,"✓","⚠ "&amp;SUM(J2793:N2793)&amp;" statt "&amp;I2793))</f>
        <v/>
      </c>
      <c r="P2793" s="21" t="n"/>
      <c r="Q2793" s="21" t="n"/>
      <c r="R2793" s="21" t="n"/>
      <c r="S2793" s="24" t="n"/>
      <c r="T2793" s="24" t="n"/>
      <c r="V2793">
        <f>IF(A2793="","",MONTH(A2793))</f>
        <v/>
      </c>
      <c r="W2793">
        <f>N(W2792)+IF(AND(C2793&lt;&gt;"",T2793&lt;&gt;""),IF(C2793=WOCHE!$B$3,1,0),0)</f>
        <v/>
      </c>
      <c r="X2793">
        <f>N(X2792)+IF(AND(V2793&lt;&gt;"",T2793&lt;&gt;""),IF(V2793=MONAT!$AZ$3,1,0),0)</f>
        <v/>
      </c>
    </row>
    <row r="2794">
      <c r="A2794" s="19" t="n"/>
      <c r="B2794" s="20">
        <f>IF(A2794="","",CHOOSE(WEEKDAY(A2794,2),"Mo","Di","Mi","Do","Fr","Sa","So"))</f>
        <v/>
      </c>
      <c r="C2794" s="20">
        <f>IF(A2794="","",INT((A2794-DATE(YEAR(A2794-WEEKDAY(A2794-1)+4),1,3)+WEEKDAY(DATE(YEAR(A2794-WEEKDAY(A2794-1)+4),1,3))+5)/7))</f>
        <v/>
      </c>
      <c r="D2794" s="21" t="n"/>
      <c r="E2794" s="22" t="n"/>
      <c r="F2794" s="23" t="n"/>
      <c r="G2794" s="23" t="n"/>
      <c r="H2794" s="23" t="n"/>
      <c r="I2794" s="20">
        <f>IF(COUNT(F2794:H2794)=0,"",SUM(F2794:H2794))</f>
        <v/>
      </c>
      <c r="J2794" s="23" t="n"/>
      <c r="K2794" s="23" t="n"/>
      <c r="L2794" s="23" t="n"/>
      <c r="M2794" s="23" t="n"/>
      <c r="N2794" s="23" t="n"/>
      <c r="O2794" s="20">
        <f>IF(OR(I2794="",COUNT(J2794:N2794)=0),"",IF(SUM(J2794:N2794)=I2794,"✓","⚠ "&amp;SUM(J2794:N2794)&amp;" statt "&amp;I2794))</f>
        <v/>
      </c>
      <c r="P2794" s="21" t="n"/>
      <c r="Q2794" s="21" t="n"/>
      <c r="R2794" s="21" t="n"/>
      <c r="S2794" s="24" t="n"/>
      <c r="T2794" s="24" t="n"/>
      <c r="V2794">
        <f>IF(A2794="","",MONTH(A2794))</f>
        <v/>
      </c>
      <c r="W2794">
        <f>N(W2793)+IF(AND(C2794&lt;&gt;"",T2794&lt;&gt;""),IF(C2794=WOCHE!$B$3,1,0),0)</f>
        <v/>
      </c>
      <c r="X2794">
        <f>N(X2793)+IF(AND(V2794&lt;&gt;"",T2794&lt;&gt;""),IF(V2794=MONAT!$AZ$3,1,0),0)</f>
        <v/>
      </c>
    </row>
    <row r="2795">
      <c r="A2795" s="19" t="n"/>
      <c r="B2795" s="20">
        <f>IF(A2795="","",CHOOSE(WEEKDAY(A2795,2),"Mo","Di","Mi","Do","Fr","Sa","So"))</f>
        <v/>
      </c>
      <c r="C2795" s="20">
        <f>IF(A2795="","",INT((A2795-DATE(YEAR(A2795-WEEKDAY(A2795-1)+4),1,3)+WEEKDAY(DATE(YEAR(A2795-WEEKDAY(A2795-1)+4),1,3))+5)/7))</f>
        <v/>
      </c>
      <c r="D2795" s="21" t="n"/>
      <c r="E2795" s="22" t="n"/>
      <c r="F2795" s="23" t="n"/>
      <c r="G2795" s="23" t="n"/>
      <c r="H2795" s="23" t="n"/>
      <c r="I2795" s="20">
        <f>IF(COUNT(F2795:H2795)=0,"",SUM(F2795:H2795))</f>
        <v/>
      </c>
      <c r="J2795" s="23" t="n"/>
      <c r="K2795" s="23" t="n"/>
      <c r="L2795" s="23" t="n"/>
      <c r="M2795" s="23" t="n"/>
      <c r="N2795" s="23" t="n"/>
      <c r="O2795" s="20">
        <f>IF(OR(I2795="",COUNT(J2795:N2795)=0),"",IF(SUM(J2795:N2795)=I2795,"✓","⚠ "&amp;SUM(J2795:N2795)&amp;" statt "&amp;I2795))</f>
        <v/>
      </c>
      <c r="P2795" s="21" t="n"/>
      <c r="Q2795" s="21" t="n"/>
      <c r="R2795" s="21" t="n"/>
      <c r="S2795" s="24" t="n"/>
      <c r="T2795" s="24" t="n"/>
      <c r="V2795">
        <f>IF(A2795="","",MONTH(A2795))</f>
        <v/>
      </c>
      <c r="W2795">
        <f>N(W2794)+IF(AND(C2795&lt;&gt;"",T2795&lt;&gt;""),IF(C2795=WOCHE!$B$3,1,0),0)</f>
        <v/>
      </c>
      <c r="X2795">
        <f>N(X2794)+IF(AND(V2795&lt;&gt;"",T2795&lt;&gt;""),IF(V2795=MONAT!$AZ$3,1,0),0)</f>
        <v/>
      </c>
    </row>
    <row r="2796">
      <c r="A2796" s="19" t="n"/>
      <c r="B2796" s="20">
        <f>IF(A2796="","",CHOOSE(WEEKDAY(A2796,2),"Mo","Di","Mi","Do","Fr","Sa","So"))</f>
        <v/>
      </c>
      <c r="C2796" s="20">
        <f>IF(A2796="","",INT((A2796-DATE(YEAR(A2796-WEEKDAY(A2796-1)+4),1,3)+WEEKDAY(DATE(YEAR(A2796-WEEKDAY(A2796-1)+4),1,3))+5)/7))</f>
        <v/>
      </c>
      <c r="D2796" s="21" t="n"/>
      <c r="E2796" s="22" t="n"/>
      <c r="F2796" s="23" t="n"/>
      <c r="G2796" s="23" t="n"/>
      <c r="H2796" s="23" t="n"/>
      <c r="I2796" s="20">
        <f>IF(COUNT(F2796:H2796)=0,"",SUM(F2796:H2796))</f>
        <v/>
      </c>
      <c r="J2796" s="23" t="n"/>
      <c r="K2796" s="23" t="n"/>
      <c r="L2796" s="23" t="n"/>
      <c r="M2796" s="23" t="n"/>
      <c r="N2796" s="23" t="n"/>
      <c r="O2796" s="20">
        <f>IF(OR(I2796="",COUNT(J2796:N2796)=0),"",IF(SUM(J2796:N2796)=I2796,"✓","⚠ "&amp;SUM(J2796:N2796)&amp;" statt "&amp;I2796))</f>
        <v/>
      </c>
      <c r="P2796" s="21" t="n"/>
      <c r="Q2796" s="21" t="n"/>
      <c r="R2796" s="21" t="n"/>
      <c r="S2796" s="24" t="n"/>
      <c r="T2796" s="24" t="n"/>
      <c r="V2796">
        <f>IF(A2796="","",MONTH(A2796))</f>
        <v/>
      </c>
      <c r="W2796">
        <f>N(W2795)+IF(AND(C2796&lt;&gt;"",T2796&lt;&gt;""),IF(C2796=WOCHE!$B$3,1,0),0)</f>
        <v/>
      </c>
      <c r="X2796">
        <f>N(X2795)+IF(AND(V2796&lt;&gt;"",T2796&lt;&gt;""),IF(V2796=MONAT!$AZ$3,1,0),0)</f>
        <v/>
      </c>
    </row>
    <row r="2797">
      <c r="A2797" s="19" t="n"/>
      <c r="B2797" s="20">
        <f>IF(A2797="","",CHOOSE(WEEKDAY(A2797,2),"Mo","Di","Mi","Do","Fr","Sa","So"))</f>
        <v/>
      </c>
      <c r="C2797" s="20">
        <f>IF(A2797="","",INT((A2797-DATE(YEAR(A2797-WEEKDAY(A2797-1)+4),1,3)+WEEKDAY(DATE(YEAR(A2797-WEEKDAY(A2797-1)+4),1,3))+5)/7))</f>
        <v/>
      </c>
      <c r="D2797" s="21" t="n"/>
      <c r="E2797" s="22" t="n"/>
      <c r="F2797" s="23" t="n"/>
      <c r="G2797" s="23" t="n"/>
      <c r="H2797" s="23" t="n"/>
      <c r="I2797" s="20">
        <f>IF(COUNT(F2797:H2797)=0,"",SUM(F2797:H2797))</f>
        <v/>
      </c>
      <c r="J2797" s="23" t="n"/>
      <c r="K2797" s="23" t="n"/>
      <c r="L2797" s="23" t="n"/>
      <c r="M2797" s="23" t="n"/>
      <c r="N2797" s="23" t="n"/>
      <c r="O2797" s="20">
        <f>IF(OR(I2797="",COUNT(J2797:N2797)=0),"",IF(SUM(J2797:N2797)=I2797,"✓","⚠ "&amp;SUM(J2797:N2797)&amp;" statt "&amp;I2797))</f>
        <v/>
      </c>
      <c r="P2797" s="21" t="n"/>
      <c r="Q2797" s="21" t="n"/>
      <c r="R2797" s="21" t="n"/>
      <c r="S2797" s="24" t="n"/>
      <c r="T2797" s="24" t="n"/>
      <c r="V2797">
        <f>IF(A2797="","",MONTH(A2797))</f>
        <v/>
      </c>
      <c r="W2797">
        <f>N(W2796)+IF(AND(C2797&lt;&gt;"",T2797&lt;&gt;""),IF(C2797=WOCHE!$B$3,1,0),0)</f>
        <v/>
      </c>
      <c r="X2797">
        <f>N(X2796)+IF(AND(V2797&lt;&gt;"",T2797&lt;&gt;""),IF(V2797=MONAT!$AZ$3,1,0),0)</f>
        <v/>
      </c>
    </row>
    <row r="2798">
      <c r="A2798" s="19" t="n"/>
      <c r="B2798" s="20">
        <f>IF(A2798="","",CHOOSE(WEEKDAY(A2798,2),"Mo","Di","Mi","Do","Fr","Sa","So"))</f>
        <v/>
      </c>
      <c r="C2798" s="20">
        <f>IF(A2798="","",INT((A2798-DATE(YEAR(A2798-WEEKDAY(A2798-1)+4),1,3)+WEEKDAY(DATE(YEAR(A2798-WEEKDAY(A2798-1)+4),1,3))+5)/7))</f>
        <v/>
      </c>
      <c r="D2798" s="21" t="n"/>
      <c r="E2798" s="22" t="n"/>
      <c r="F2798" s="23" t="n"/>
      <c r="G2798" s="23" t="n"/>
      <c r="H2798" s="23" t="n"/>
      <c r="I2798" s="20">
        <f>IF(COUNT(F2798:H2798)=0,"",SUM(F2798:H2798))</f>
        <v/>
      </c>
      <c r="J2798" s="23" t="n"/>
      <c r="K2798" s="23" t="n"/>
      <c r="L2798" s="23" t="n"/>
      <c r="M2798" s="23" t="n"/>
      <c r="N2798" s="23" t="n"/>
      <c r="O2798" s="20">
        <f>IF(OR(I2798="",COUNT(J2798:N2798)=0),"",IF(SUM(J2798:N2798)=I2798,"✓","⚠ "&amp;SUM(J2798:N2798)&amp;" statt "&amp;I2798))</f>
        <v/>
      </c>
      <c r="P2798" s="21" t="n"/>
      <c r="Q2798" s="21" t="n"/>
      <c r="R2798" s="21" t="n"/>
      <c r="S2798" s="24" t="n"/>
      <c r="T2798" s="24" t="n"/>
      <c r="V2798">
        <f>IF(A2798="","",MONTH(A2798))</f>
        <v/>
      </c>
      <c r="W2798">
        <f>N(W2797)+IF(AND(C2798&lt;&gt;"",T2798&lt;&gt;""),IF(C2798=WOCHE!$B$3,1,0),0)</f>
        <v/>
      </c>
      <c r="X2798">
        <f>N(X2797)+IF(AND(V2798&lt;&gt;"",T2798&lt;&gt;""),IF(V2798=MONAT!$AZ$3,1,0),0)</f>
        <v/>
      </c>
    </row>
    <row r="2799">
      <c r="A2799" s="19" t="n"/>
      <c r="B2799" s="20">
        <f>IF(A2799="","",CHOOSE(WEEKDAY(A2799,2),"Mo","Di","Mi","Do","Fr","Sa","So"))</f>
        <v/>
      </c>
      <c r="C2799" s="20">
        <f>IF(A2799="","",INT((A2799-DATE(YEAR(A2799-WEEKDAY(A2799-1)+4),1,3)+WEEKDAY(DATE(YEAR(A2799-WEEKDAY(A2799-1)+4),1,3))+5)/7))</f>
        <v/>
      </c>
      <c r="D2799" s="21" t="n"/>
      <c r="E2799" s="22" t="n"/>
      <c r="F2799" s="23" t="n"/>
      <c r="G2799" s="23" t="n"/>
      <c r="H2799" s="23" t="n"/>
      <c r="I2799" s="20">
        <f>IF(COUNT(F2799:H2799)=0,"",SUM(F2799:H2799))</f>
        <v/>
      </c>
      <c r="J2799" s="23" t="n"/>
      <c r="K2799" s="23" t="n"/>
      <c r="L2799" s="23" t="n"/>
      <c r="M2799" s="23" t="n"/>
      <c r="N2799" s="23" t="n"/>
      <c r="O2799" s="20">
        <f>IF(OR(I2799="",COUNT(J2799:N2799)=0),"",IF(SUM(J2799:N2799)=I2799,"✓","⚠ "&amp;SUM(J2799:N2799)&amp;" statt "&amp;I2799))</f>
        <v/>
      </c>
      <c r="P2799" s="21" t="n"/>
      <c r="Q2799" s="21" t="n"/>
      <c r="R2799" s="21" t="n"/>
      <c r="S2799" s="24" t="n"/>
      <c r="T2799" s="24" t="n"/>
      <c r="V2799">
        <f>IF(A2799="","",MONTH(A2799))</f>
        <v/>
      </c>
      <c r="W2799">
        <f>N(W2798)+IF(AND(C2799&lt;&gt;"",T2799&lt;&gt;""),IF(C2799=WOCHE!$B$3,1,0),0)</f>
        <v/>
      </c>
      <c r="X2799">
        <f>N(X2798)+IF(AND(V2799&lt;&gt;"",T2799&lt;&gt;""),IF(V2799=MONAT!$AZ$3,1,0),0)</f>
        <v/>
      </c>
    </row>
    <row r="2800">
      <c r="A2800" s="19" t="n"/>
      <c r="B2800" s="20">
        <f>IF(A2800="","",CHOOSE(WEEKDAY(A2800,2),"Mo","Di","Mi","Do","Fr","Sa","So"))</f>
        <v/>
      </c>
      <c r="C2800" s="20">
        <f>IF(A2800="","",INT((A2800-DATE(YEAR(A2800-WEEKDAY(A2800-1)+4),1,3)+WEEKDAY(DATE(YEAR(A2800-WEEKDAY(A2800-1)+4),1,3))+5)/7))</f>
        <v/>
      </c>
      <c r="D2800" s="21" t="n"/>
      <c r="E2800" s="22" t="n"/>
      <c r="F2800" s="23" t="n"/>
      <c r="G2800" s="23" t="n"/>
      <c r="H2800" s="23" t="n"/>
      <c r="I2800" s="20">
        <f>IF(COUNT(F2800:H2800)=0,"",SUM(F2800:H2800))</f>
        <v/>
      </c>
      <c r="J2800" s="23" t="n"/>
      <c r="K2800" s="23" t="n"/>
      <c r="L2800" s="23" t="n"/>
      <c r="M2800" s="23" t="n"/>
      <c r="N2800" s="23" t="n"/>
      <c r="O2800" s="20">
        <f>IF(OR(I2800="",COUNT(J2800:N2800)=0),"",IF(SUM(J2800:N2800)=I2800,"✓","⚠ "&amp;SUM(J2800:N2800)&amp;" statt "&amp;I2800))</f>
        <v/>
      </c>
      <c r="P2800" s="21" t="n"/>
      <c r="Q2800" s="21" t="n"/>
      <c r="R2800" s="21" t="n"/>
      <c r="S2800" s="24" t="n"/>
      <c r="T2800" s="24" t="n"/>
      <c r="V2800">
        <f>IF(A2800="","",MONTH(A2800))</f>
        <v/>
      </c>
      <c r="W2800">
        <f>N(W2799)+IF(AND(C2800&lt;&gt;"",T2800&lt;&gt;""),IF(C2800=WOCHE!$B$3,1,0),0)</f>
        <v/>
      </c>
      <c r="X2800">
        <f>N(X2799)+IF(AND(V2800&lt;&gt;"",T2800&lt;&gt;""),IF(V2800=MONAT!$AZ$3,1,0),0)</f>
        <v/>
      </c>
    </row>
    <row r="2801">
      <c r="A2801" s="19" t="n"/>
      <c r="B2801" s="20">
        <f>IF(A2801="","",CHOOSE(WEEKDAY(A2801,2),"Mo","Di","Mi","Do","Fr","Sa","So"))</f>
        <v/>
      </c>
      <c r="C2801" s="20">
        <f>IF(A2801="","",INT((A2801-DATE(YEAR(A2801-WEEKDAY(A2801-1)+4),1,3)+WEEKDAY(DATE(YEAR(A2801-WEEKDAY(A2801-1)+4),1,3))+5)/7))</f>
        <v/>
      </c>
      <c r="D2801" s="21" t="n"/>
      <c r="E2801" s="22" t="n"/>
      <c r="F2801" s="23" t="n"/>
      <c r="G2801" s="23" t="n"/>
      <c r="H2801" s="23" t="n"/>
      <c r="I2801" s="20">
        <f>IF(COUNT(F2801:H2801)=0,"",SUM(F2801:H2801))</f>
        <v/>
      </c>
      <c r="J2801" s="23" t="n"/>
      <c r="K2801" s="23" t="n"/>
      <c r="L2801" s="23" t="n"/>
      <c r="M2801" s="23" t="n"/>
      <c r="N2801" s="23" t="n"/>
      <c r="O2801" s="20">
        <f>IF(OR(I2801="",COUNT(J2801:N2801)=0),"",IF(SUM(J2801:N2801)=I2801,"✓","⚠ "&amp;SUM(J2801:N2801)&amp;" statt "&amp;I2801))</f>
        <v/>
      </c>
      <c r="P2801" s="21" t="n"/>
      <c r="Q2801" s="21" t="n"/>
      <c r="R2801" s="21" t="n"/>
      <c r="S2801" s="24" t="n"/>
      <c r="T2801" s="24" t="n"/>
      <c r="V2801">
        <f>IF(A2801="","",MONTH(A2801))</f>
        <v/>
      </c>
      <c r="W2801">
        <f>N(W2800)+IF(AND(C2801&lt;&gt;"",T2801&lt;&gt;""),IF(C2801=WOCHE!$B$3,1,0),0)</f>
        <v/>
      </c>
      <c r="X2801">
        <f>N(X2800)+IF(AND(V2801&lt;&gt;"",T2801&lt;&gt;""),IF(V2801=MONAT!$AZ$3,1,0),0)</f>
        <v/>
      </c>
    </row>
    <row r="2802">
      <c r="A2802" s="19" t="n"/>
      <c r="B2802" s="20">
        <f>IF(A2802="","",CHOOSE(WEEKDAY(A2802,2),"Mo","Di","Mi","Do","Fr","Sa","So"))</f>
        <v/>
      </c>
      <c r="C2802" s="20">
        <f>IF(A2802="","",INT((A2802-DATE(YEAR(A2802-WEEKDAY(A2802-1)+4),1,3)+WEEKDAY(DATE(YEAR(A2802-WEEKDAY(A2802-1)+4),1,3))+5)/7))</f>
        <v/>
      </c>
      <c r="D2802" s="21" t="n"/>
      <c r="E2802" s="22" t="n"/>
      <c r="F2802" s="23" t="n"/>
      <c r="G2802" s="23" t="n"/>
      <c r="H2802" s="23" t="n"/>
      <c r="I2802" s="20">
        <f>IF(COUNT(F2802:H2802)=0,"",SUM(F2802:H2802))</f>
        <v/>
      </c>
      <c r="J2802" s="23" t="n"/>
      <c r="K2802" s="23" t="n"/>
      <c r="L2802" s="23" t="n"/>
      <c r="M2802" s="23" t="n"/>
      <c r="N2802" s="23" t="n"/>
      <c r="O2802" s="20">
        <f>IF(OR(I2802="",COUNT(J2802:N2802)=0),"",IF(SUM(J2802:N2802)=I2802,"✓","⚠ "&amp;SUM(J2802:N2802)&amp;" statt "&amp;I2802))</f>
        <v/>
      </c>
      <c r="P2802" s="21" t="n"/>
      <c r="Q2802" s="21" t="n"/>
      <c r="R2802" s="21" t="n"/>
      <c r="S2802" s="24" t="n"/>
      <c r="T2802" s="24" t="n"/>
      <c r="V2802">
        <f>IF(A2802="","",MONTH(A2802))</f>
        <v/>
      </c>
      <c r="W2802">
        <f>N(W2801)+IF(AND(C2802&lt;&gt;"",T2802&lt;&gt;""),IF(C2802=WOCHE!$B$3,1,0),0)</f>
        <v/>
      </c>
      <c r="X2802">
        <f>N(X2801)+IF(AND(V2802&lt;&gt;"",T2802&lt;&gt;""),IF(V2802=MONAT!$AZ$3,1,0),0)</f>
        <v/>
      </c>
    </row>
    <row r="2803">
      <c r="A2803" s="19" t="n"/>
      <c r="B2803" s="20">
        <f>IF(A2803="","",CHOOSE(WEEKDAY(A2803,2),"Mo","Di","Mi","Do","Fr","Sa","So"))</f>
        <v/>
      </c>
      <c r="C2803" s="20">
        <f>IF(A2803="","",INT((A2803-DATE(YEAR(A2803-WEEKDAY(A2803-1)+4),1,3)+WEEKDAY(DATE(YEAR(A2803-WEEKDAY(A2803-1)+4),1,3))+5)/7))</f>
        <v/>
      </c>
      <c r="D2803" s="21" t="n"/>
      <c r="E2803" s="22" t="n"/>
      <c r="F2803" s="23" t="n"/>
      <c r="G2803" s="23" t="n"/>
      <c r="H2803" s="23" t="n"/>
      <c r="I2803" s="20">
        <f>IF(COUNT(F2803:H2803)=0,"",SUM(F2803:H2803))</f>
        <v/>
      </c>
      <c r="J2803" s="23" t="n"/>
      <c r="K2803" s="23" t="n"/>
      <c r="L2803" s="23" t="n"/>
      <c r="M2803" s="23" t="n"/>
      <c r="N2803" s="23" t="n"/>
      <c r="O2803" s="20">
        <f>IF(OR(I2803="",COUNT(J2803:N2803)=0),"",IF(SUM(J2803:N2803)=I2803,"✓","⚠ "&amp;SUM(J2803:N2803)&amp;" statt "&amp;I2803))</f>
        <v/>
      </c>
      <c r="P2803" s="21" t="n"/>
      <c r="Q2803" s="21" t="n"/>
      <c r="R2803" s="21" t="n"/>
      <c r="S2803" s="24" t="n"/>
      <c r="T2803" s="24" t="n"/>
      <c r="V2803">
        <f>IF(A2803="","",MONTH(A2803))</f>
        <v/>
      </c>
      <c r="W2803">
        <f>N(W2802)+IF(AND(C2803&lt;&gt;"",T2803&lt;&gt;""),IF(C2803=WOCHE!$B$3,1,0),0)</f>
        <v/>
      </c>
      <c r="X2803">
        <f>N(X2802)+IF(AND(V2803&lt;&gt;"",T2803&lt;&gt;""),IF(V2803=MONAT!$AZ$3,1,0),0)</f>
        <v/>
      </c>
    </row>
    <row r="2804">
      <c r="A2804" s="19" t="n"/>
      <c r="B2804" s="20">
        <f>IF(A2804="","",CHOOSE(WEEKDAY(A2804,2),"Mo","Di","Mi","Do","Fr","Sa","So"))</f>
        <v/>
      </c>
      <c r="C2804" s="20">
        <f>IF(A2804="","",INT((A2804-DATE(YEAR(A2804-WEEKDAY(A2804-1)+4),1,3)+WEEKDAY(DATE(YEAR(A2804-WEEKDAY(A2804-1)+4),1,3))+5)/7))</f>
        <v/>
      </c>
      <c r="D2804" s="21" t="n"/>
      <c r="E2804" s="22" t="n"/>
      <c r="F2804" s="23" t="n"/>
      <c r="G2804" s="23" t="n"/>
      <c r="H2804" s="23" t="n"/>
      <c r="I2804" s="20">
        <f>IF(COUNT(F2804:H2804)=0,"",SUM(F2804:H2804))</f>
        <v/>
      </c>
      <c r="J2804" s="23" t="n"/>
      <c r="K2804" s="23" t="n"/>
      <c r="L2804" s="23" t="n"/>
      <c r="M2804" s="23" t="n"/>
      <c r="N2804" s="23" t="n"/>
      <c r="O2804" s="20">
        <f>IF(OR(I2804="",COUNT(J2804:N2804)=0),"",IF(SUM(J2804:N2804)=I2804,"✓","⚠ "&amp;SUM(J2804:N2804)&amp;" statt "&amp;I2804))</f>
        <v/>
      </c>
      <c r="P2804" s="21" t="n"/>
      <c r="Q2804" s="21" t="n"/>
      <c r="R2804" s="21" t="n"/>
      <c r="S2804" s="24" t="n"/>
      <c r="T2804" s="24" t="n"/>
      <c r="V2804">
        <f>IF(A2804="","",MONTH(A2804))</f>
        <v/>
      </c>
      <c r="W2804">
        <f>N(W2803)+IF(AND(C2804&lt;&gt;"",T2804&lt;&gt;""),IF(C2804=WOCHE!$B$3,1,0),0)</f>
        <v/>
      </c>
      <c r="X2804">
        <f>N(X2803)+IF(AND(V2804&lt;&gt;"",T2804&lt;&gt;""),IF(V2804=MONAT!$AZ$3,1,0),0)</f>
        <v/>
      </c>
    </row>
    <row r="2805">
      <c r="A2805" s="19" t="n"/>
      <c r="B2805" s="20">
        <f>IF(A2805="","",CHOOSE(WEEKDAY(A2805,2),"Mo","Di","Mi","Do","Fr","Sa","So"))</f>
        <v/>
      </c>
      <c r="C2805" s="20">
        <f>IF(A2805="","",INT((A2805-DATE(YEAR(A2805-WEEKDAY(A2805-1)+4),1,3)+WEEKDAY(DATE(YEAR(A2805-WEEKDAY(A2805-1)+4),1,3))+5)/7))</f>
        <v/>
      </c>
      <c r="D2805" s="21" t="n"/>
      <c r="E2805" s="22" t="n"/>
      <c r="F2805" s="23" t="n"/>
      <c r="G2805" s="23" t="n"/>
      <c r="H2805" s="23" t="n"/>
      <c r="I2805" s="20">
        <f>IF(COUNT(F2805:H2805)=0,"",SUM(F2805:H2805))</f>
        <v/>
      </c>
      <c r="J2805" s="23" t="n"/>
      <c r="K2805" s="23" t="n"/>
      <c r="L2805" s="23" t="n"/>
      <c r="M2805" s="23" t="n"/>
      <c r="N2805" s="23" t="n"/>
      <c r="O2805" s="20">
        <f>IF(OR(I2805="",COUNT(J2805:N2805)=0),"",IF(SUM(J2805:N2805)=I2805,"✓","⚠ "&amp;SUM(J2805:N2805)&amp;" statt "&amp;I2805))</f>
        <v/>
      </c>
      <c r="P2805" s="21" t="n"/>
      <c r="Q2805" s="21" t="n"/>
      <c r="R2805" s="21" t="n"/>
      <c r="S2805" s="24" t="n"/>
      <c r="T2805" s="24" t="n"/>
      <c r="V2805">
        <f>IF(A2805="","",MONTH(A2805))</f>
        <v/>
      </c>
      <c r="W2805">
        <f>N(W2804)+IF(AND(C2805&lt;&gt;"",T2805&lt;&gt;""),IF(C2805=WOCHE!$B$3,1,0),0)</f>
        <v/>
      </c>
      <c r="X2805">
        <f>N(X2804)+IF(AND(V2805&lt;&gt;"",T2805&lt;&gt;""),IF(V2805=MONAT!$AZ$3,1,0),0)</f>
        <v/>
      </c>
    </row>
    <row r="2806">
      <c r="A2806" s="19" t="n"/>
      <c r="B2806" s="20">
        <f>IF(A2806="","",CHOOSE(WEEKDAY(A2806,2),"Mo","Di","Mi","Do","Fr","Sa","So"))</f>
        <v/>
      </c>
      <c r="C2806" s="20">
        <f>IF(A2806="","",INT((A2806-DATE(YEAR(A2806-WEEKDAY(A2806-1)+4),1,3)+WEEKDAY(DATE(YEAR(A2806-WEEKDAY(A2806-1)+4),1,3))+5)/7))</f>
        <v/>
      </c>
      <c r="D2806" s="21" t="n"/>
      <c r="E2806" s="22" t="n"/>
      <c r="F2806" s="23" t="n"/>
      <c r="G2806" s="23" t="n"/>
      <c r="H2806" s="23" t="n"/>
      <c r="I2806" s="20">
        <f>IF(COUNT(F2806:H2806)=0,"",SUM(F2806:H2806))</f>
        <v/>
      </c>
      <c r="J2806" s="23" t="n"/>
      <c r="K2806" s="23" t="n"/>
      <c r="L2806" s="23" t="n"/>
      <c r="M2806" s="23" t="n"/>
      <c r="N2806" s="23" t="n"/>
      <c r="O2806" s="20">
        <f>IF(OR(I2806="",COUNT(J2806:N2806)=0),"",IF(SUM(J2806:N2806)=I2806,"✓","⚠ "&amp;SUM(J2806:N2806)&amp;" statt "&amp;I2806))</f>
        <v/>
      </c>
      <c r="P2806" s="21" t="n"/>
      <c r="Q2806" s="21" t="n"/>
      <c r="R2806" s="21" t="n"/>
      <c r="S2806" s="24" t="n"/>
      <c r="T2806" s="24" t="n"/>
      <c r="V2806">
        <f>IF(A2806="","",MONTH(A2806))</f>
        <v/>
      </c>
      <c r="W2806">
        <f>N(W2805)+IF(AND(C2806&lt;&gt;"",T2806&lt;&gt;""),IF(C2806=WOCHE!$B$3,1,0),0)</f>
        <v/>
      </c>
      <c r="X2806">
        <f>N(X2805)+IF(AND(V2806&lt;&gt;"",T2806&lt;&gt;""),IF(V2806=MONAT!$AZ$3,1,0),0)</f>
        <v/>
      </c>
    </row>
    <row r="2807">
      <c r="A2807" s="19" t="n"/>
      <c r="B2807" s="20">
        <f>IF(A2807="","",CHOOSE(WEEKDAY(A2807,2),"Mo","Di","Mi","Do","Fr","Sa","So"))</f>
        <v/>
      </c>
      <c r="C2807" s="20">
        <f>IF(A2807="","",INT((A2807-DATE(YEAR(A2807-WEEKDAY(A2807-1)+4),1,3)+WEEKDAY(DATE(YEAR(A2807-WEEKDAY(A2807-1)+4),1,3))+5)/7))</f>
        <v/>
      </c>
      <c r="D2807" s="21" t="n"/>
      <c r="E2807" s="22" t="n"/>
      <c r="F2807" s="23" t="n"/>
      <c r="G2807" s="23" t="n"/>
      <c r="H2807" s="23" t="n"/>
      <c r="I2807" s="20">
        <f>IF(COUNT(F2807:H2807)=0,"",SUM(F2807:H2807))</f>
        <v/>
      </c>
      <c r="J2807" s="23" t="n"/>
      <c r="K2807" s="23" t="n"/>
      <c r="L2807" s="23" t="n"/>
      <c r="M2807" s="23" t="n"/>
      <c r="N2807" s="23" t="n"/>
      <c r="O2807" s="20">
        <f>IF(OR(I2807="",COUNT(J2807:N2807)=0),"",IF(SUM(J2807:N2807)=I2807,"✓","⚠ "&amp;SUM(J2807:N2807)&amp;" statt "&amp;I2807))</f>
        <v/>
      </c>
      <c r="P2807" s="21" t="n"/>
      <c r="Q2807" s="21" t="n"/>
      <c r="R2807" s="21" t="n"/>
      <c r="S2807" s="24" t="n"/>
      <c r="T2807" s="24" t="n"/>
      <c r="V2807">
        <f>IF(A2807="","",MONTH(A2807))</f>
        <v/>
      </c>
      <c r="W2807">
        <f>N(W2806)+IF(AND(C2807&lt;&gt;"",T2807&lt;&gt;""),IF(C2807=WOCHE!$B$3,1,0),0)</f>
        <v/>
      </c>
      <c r="X2807">
        <f>N(X2806)+IF(AND(V2807&lt;&gt;"",T2807&lt;&gt;""),IF(V2807=MONAT!$AZ$3,1,0),0)</f>
        <v/>
      </c>
    </row>
    <row r="2808">
      <c r="A2808" s="19" t="n"/>
      <c r="B2808" s="20">
        <f>IF(A2808="","",CHOOSE(WEEKDAY(A2808,2),"Mo","Di","Mi","Do","Fr","Sa","So"))</f>
        <v/>
      </c>
      <c r="C2808" s="20">
        <f>IF(A2808="","",INT((A2808-DATE(YEAR(A2808-WEEKDAY(A2808-1)+4),1,3)+WEEKDAY(DATE(YEAR(A2808-WEEKDAY(A2808-1)+4),1,3))+5)/7))</f>
        <v/>
      </c>
      <c r="D2808" s="21" t="n"/>
      <c r="E2808" s="22" t="n"/>
      <c r="F2808" s="23" t="n"/>
      <c r="G2808" s="23" t="n"/>
      <c r="H2808" s="23" t="n"/>
      <c r="I2808" s="20">
        <f>IF(COUNT(F2808:H2808)=0,"",SUM(F2808:H2808))</f>
        <v/>
      </c>
      <c r="J2808" s="23" t="n"/>
      <c r="K2808" s="23" t="n"/>
      <c r="L2808" s="23" t="n"/>
      <c r="M2808" s="23" t="n"/>
      <c r="N2808" s="23" t="n"/>
      <c r="O2808" s="20">
        <f>IF(OR(I2808="",COUNT(J2808:N2808)=0),"",IF(SUM(J2808:N2808)=I2808,"✓","⚠ "&amp;SUM(J2808:N2808)&amp;" statt "&amp;I2808))</f>
        <v/>
      </c>
      <c r="P2808" s="21" t="n"/>
      <c r="Q2808" s="21" t="n"/>
      <c r="R2808" s="21" t="n"/>
      <c r="S2808" s="24" t="n"/>
      <c r="T2808" s="24" t="n"/>
      <c r="V2808">
        <f>IF(A2808="","",MONTH(A2808))</f>
        <v/>
      </c>
      <c r="W2808">
        <f>N(W2807)+IF(AND(C2808&lt;&gt;"",T2808&lt;&gt;""),IF(C2808=WOCHE!$B$3,1,0),0)</f>
        <v/>
      </c>
      <c r="X2808">
        <f>N(X2807)+IF(AND(V2808&lt;&gt;"",T2808&lt;&gt;""),IF(V2808=MONAT!$AZ$3,1,0),0)</f>
        <v/>
      </c>
    </row>
    <row r="2809">
      <c r="A2809" s="19" t="n"/>
      <c r="B2809" s="20">
        <f>IF(A2809="","",CHOOSE(WEEKDAY(A2809,2),"Mo","Di","Mi","Do","Fr","Sa","So"))</f>
        <v/>
      </c>
      <c r="C2809" s="20">
        <f>IF(A2809="","",INT((A2809-DATE(YEAR(A2809-WEEKDAY(A2809-1)+4),1,3)+WEEKDAY(DATE(YEAR(A2809-WEEKDAY(A2809-1)+4),1,3))+5)/7))</f>
        <v/>
      </c>
      <c r="D2809" s="21" t="n"/>
      <c r="E2809" s="22" t="n"/>
      <c r="F2809" s="23" t="n"/>
      <c r="G2809" s="23" t="n"/>
      <c r="H2809" s="23" t="n"/>
      <c r="I2809" s="20">
        <f>IF(COUNT(F2809:H2809)=0,"",SUM(F2809:H2809))</f>
        <v/>
      </c>
      <c r="J2809" s="23" t="n"/>
      <c r="K2809" s="23" t="n"/>
      <c r="L2809" s="23" t="n"/>
      <c r="M2809" s="23" t="n"/>
      <c r="N2809" s="23" t="n"/>
      <c r="O2809" s="20">
        <f>IF(OR(I2809="",COUNT(J2809:N2809)=0),"",IF(SUM(J2809:N2809)=I2809,"✓","⚠ "&amp;SUM(J2809:N2809)&amp;" statt "&amp;I2809))</f>
        <v/>
      </c>
      <c r="P2809" s="21" t="n"/>
      <c r="Q2809" s="21" t="n"/>
      <c r="R2809" s="21" t="n"/>
      <c r="S2809" s="24" t="n"/>
      <c r="T2809" s="24" t="n"/>
      <c r="V2809">
        <f>IF(A2809="","",MONTH(A2809))</f>
        <v/>
      </c>
      <c r="W2809">
        <f>N(W2808)+IF(AND(C2809&lt;&gt;"",T2809&lt;&gt;""),IF(C2809=WOCHE!$B$3,1,0),0)</f>
        <v/>
      </c>
      <c r="X2809">
        <f>N(X2808)+IF(AND(V2809&lt;&gt;"",T2809&lt;&gt;""),IF(V2809=MONAT!$AZ$3,1,0),0)</f>
        <v/>
      </c>
    </row>
    <row r="2810">
      <c r="A2810" s="19" t="n"/>
      <c r="B2810" s="20">
        <f>IF(A2810="","",CHOOSE(WEEKDAY(A2810,2),"Mo","Di","Mi","Do","Fr","Sa","So"))</f>
        <v/>
      </c>
      <c r="C2810" s="20">
        <f>IF(A2810="","",INT((A2810-DATE(YEAR(A2810-WEEKDAY(A2810-1)+4),1,3)+WEEKDAY(DATE(YEAR(A2810-WEEKDAY(A2810-1)+4),1,3))+5)/7))</f>
        <v/>
      </c>
      <c r="D2810" s="21" t="n"/>
      <c r="E2810" s="22" t="n"/>
      <c r="F2810" s="23" t="n"/>
      <c r="G2810" s="23" t="n"/>
      <c r="H2810" s="23" t="n"/>
      <c r="I2810" s="20">
        <f>IF(COUNT(F2810:H2810)=0,"",SUM(F2810:H2810))</f>
        <v/>
      </c>
      <c r="J2810" s="23" t="n"/>
      <c r="K2810" s="23" t="n"/>
      <c r="L2810" s="23" t="n"/>
      <c r="M2810" s="23" t="n"/>
      <c r="N2810" s="23" t="n"/>
      <c r="O2810" s="20">
        <f>IF(OR(I2810="",COUNT(J2810:N2810)=0),"",IF(SUM(J2810:N2810)=I2810,"✓","⚠ "&amp;SUM(J2810:N2810)&amp;" statt "&amp;I2810))</f>
        <v/>
      </c>
      <c r="P2810" s="21" t="n"/>
      <c r="Q2810" s="21" t="n"/>
      <c r="R2810" s="21" t="n"/>
      <c r="S2810" s="24" t="n"/>
      <c r="T2810" s="24" t="n"/>
      <c r="V2810">
        <f>IF(A2810="","",MONTH(A2810))</f>
        <v/>
      </c>
      <c r="W2810">
        <f>N(W2809)+IF(AND(C2810&lt;&gt;"",T2810&lt;&gt;""),IF(C2810=WOCHE!$B$3,1,0),0)</f>
        <v/>
      </c>
      <c r="X2810">
        <f>N(X2809)+IF(AND(V2810&lt;&gt;"",T2810&lt;&gt;""),IF(V2810=MONAT!$AZ$3,1,0),0)</f>
        <v/>
      </c>
    </row>
    <row r="2811">
      <c r="A2811" s="19" t="n"/>
      <c r="B2811" s="20">
        <f>IF(A2811="","",CHOOSE(WEEKDAY(A2811,2),"Mo","Di","Mi","Do","Fr","Sa","So"))</f>
        <v/>
      </c>
      <c r="C2811" s="20">
        <f>IF(A2811="","",INT((A2811-DATE(YEAR(A2811-WEEKDAY(A2811-1)+4),1,3)+WEEKDAY(DATE(YEAR(A2811-WEEKDAY(A2811-1)+4),1,3))+5)/7))</f>
        <v/>
      </c>
      <c r="D2811" s="21" t="n"/>
      <c r="E2811" s="22" t="n"/>
      <c r="F2811" s="23" t="n"/>
      <c r="G2811" s="23" t="n"/>
      <c r="H2811" s="23" t="n"/>
      <c r="I2811" s="20">
        <f>IF(COUNT(F2811:H2811)=0,"",SUM(F2811:H2811))</f>
        <v/>
      </c>
      <c r="J2811" s="23" t="n"/>
      <c r="K2811" s="23" t="n"/>
      <c r="L2811" s="23" t="n"/>
      <c r="M2811" s="23" t="n"/>
      <c r="N2811" s="23" t="n"/>
      <c r="O2811" s="20">
        <f>IF(OR(I2811="",COUNT(J2811:N2811)=0),"",IF(SUM(J2811:N2811)=I2811,"✓","⚠ "&amp;SUM(J2811:N2811)&amp;" statt "&amp;I2811))</f>
        <v/>
      </c>
      <c r="P2811" s="21" t="n"/>
      <c r="Q2811" s="21" t="n"/>
      <c r="R2811" s="21" t="n"/>
      <c r="S2811" s="24" t="n"/>
      <c r="T2811" s="24" t="n"/>
      <c r="V2811">
        <f>IF(A2811="","",MONTH(A2811))</f>
        <v/>
      </c>
      <c r="W2811">
        <f>N(W2810)+IF(AND(C2811&lt;&gt;"",T2811&lt;&gt;""),IF(C2811=WOCHE!$B$3,1,0),0)</f>
        <v/>
      </c>
      <c r="X2811">
        <f>N(X2810)+IF(AND(V2811&lt;&gt;"",T2811&lt;&gt;""),IF(V2811=MONAT!$AZ$3,1,0),0)</f>
        <v/>
      </c>
    </row>
    <row r="2812">
      <c r="A2812" s="19" t="n"/>
      <c r="B2812" s="20">
        <f>IF(A2812="","",CHOOSE(WEEKDAY(A2812,2),"Mo","Di","Mi","Do","Fr","Sa","So"))</f>
        <v/>
      </c>
      <c r="C2812" s="20">
        <f>IF(A2812="","",INT((A2812-DATE(YEAR(A2812-WEEKDAY(A2812-1)+4),1,3)+WEEKDAY(DATE(YEAR(A2812-WEEKDAY(A2812-1)+4),1,3))+5)/7))</f>
        <v/>
      </c>
      <c r="D2812" s="21" t="n"/>
      <c r="E2812" s="22" t="n"/>
      <c r="F2812" s="23" t="n"/>
      <c r="G2812" s="23" t="n"/>
      <c r="H2812" s="23" t="n"/>
      <c r="I2812" s="20">
        <f>IF(COUNT(F2812:H2812)=0,"",SUM(F2812:H2812))</f>
        <v/>
      </c>
      <c r="J2812" s="23" t="n"/>
      <c r="K2812" s="23" t="n"/>
      <c r="L2812" s="23" t="n"/>
      <c r="M2812" s="23" t="n"/>
      <c r="N2812" s="23" t="n"/>
      <c r="O2812" s="20">
        <f>IF(OR(I2812="",COUNT(J2812:N2812)=0),"",IF(SUM(J2812:N2812)=I2812,"✓","⚠ "&amp;SUM(J2812:N2812)&amp;" statt "&amp;I2812))</f>
        <v/>
      </c>
      <c r="P2812" s="21" t="n"/>
      <c r="Q2812" s="21" t="n"/>
      <c r="R2812" s="21" t="n"/>
      <c r="S2812" s="24" t="n"/>
      <c r="T2812" s="24" t="n"/>
      <c r="V2812">
        <f>IF(A2812="","",MONTH(A2812))</f>
        <v/>
      </c>
      <c r="W2812">
        <f>N(W2811)+IF(AND(C2812&lt;&gt;"",T2812&lt;&gt;""),IF(C2812=WOCHE!$B$3,1,0),0)</f>
        <v/>
      </c>
      <c r="X2812">
        <f>N(X2811)+IF(AND(V2812&lt;&gt;"",T2812&lt;&gt;""),IF(V2812=MONAT!$AZ$3,1,0),0)</f>
        <v/>
      </c>
    </row>
    <row r="2813">
      <c r="A2813" s="19" t="n"/>
      <c r="B2813" s="20">
        <f>IF(A2813="","",CHOOSE(WEEKDAY(A2813,2),"Mo","Di","Mi","Do","Fr","Sa","So"))</f>
        <v/>
      </c>
      <c r="C2813" s="20">
        <f>IF(A2813="","",INT((A2813-DATE(YEAR(A2813-WEEKDAY(A2813-1)+4),1,3)+WEEKDAY(DATE(YEAR(A2813-WEEKDAY(A2813-1)+4),1,3))+5)/7))</f>
        <v/>
      </c>
      <c r="D2813" s="21" t="n"/>
      <c r="E2813" s="22" t="n"/>
      <c r="F2813" s="23" t="n"/>
      <c r="G2813" s="23" t="n"/>
      <c r="H2813" s="23" t="n"/>
      <c r="I2813" s="20">
        <f>IF(COUNT(F2813:H2813)=0,"",SUM(F2813:H2813))</f>
        <v/>
      </c>
      <c r="J2813" s="23" t="n"/>
      <c r="K2813" s="23" t="n"/>
      <c r="L2813" s="23" t="n"/>
      <c r="M2813" s="23" t="n"/>
      <c r="N2813" s="23" t="n"/>
      <c r="O2813" s="20">
        <f>IF(OR(I2813="",COUNT(J2813:N2813)=0),"",IF(SUM(J2813:N2813)=I2813,"✓","⚠ "&amp;SUM(J2813:N2813)&amp;" statt "&amp;I2813))</f>
        <v/>
      </c>
      <c r="P2813" s="21" t="n"/>
      <c r="Q2813" s="21" t="n"/>
      <c r="R2813" s="21" t="n"/>
      <c r="S2813" s="24" t="n"/>
      <c r="T2813" s="24" t="n"/>
      <c r="V2813">
        <f>IF(A2813="","",MONTH(A2813))</f>
        <v/>
      </c>
      <c r="W2813">
        <f>N(W2812)+IF(AND(C2813&lt;&gt;"",T2813&lt;&gt;""),IF(C2813=WOCHE!$B$3,1,0),0)</f>
        <v/>
      </c>
      <c r="X2813">
        <f>N(X2812)+IF(AND(V2813&lt;&gt;"",T2813&lt;&gt;""),IF(V2813=MONAT!$AZ$3,1,0),0)</f>
        <v/>
      </c>
    </row>
    <row r="2814">
      <c r="A2814" s="19" t="n"/>
      <c r="B2814" s="20">
        <f>IF(A2814="","",CHOOSE(WEEKDAY(A2814,2),"Mo","Di","Mi","Do","Fr","Sa","So"))</f>
        <v/>
      </c>
      <c r="C2814" s="20">
        <f>IF(A2814="","",INT((A2814-DATE(YEAR(A2814-WEEKDAY(A2814-1)+4),1,3)+WEEKDAY(DATE(YEAR(A2814-WEEKDAY(A2814-1)+4),1,3))+5)/7))</f>
        <v/>
      </c>
      <c r="D2814" s="21" t="n"/>
      <c r="E2814" s="22" t="n"/>
      <c r="F2814" s="23" t="n"/>
      <c r="G2814" s="23" t="n"/>
      <c r="H2814" s="23" t="n"/>
      <c r="I2814" s="20">
        <f>IF(COUNT(F2814:H2814)=0,"",SUM(F2814:H2814))</f>
        <v/>
      </c>
      <c r="J2814" s="23" t="n"/>
      <c r="K2814" s="23" t="n"/>
      <c r="L2814" s="23" t="n"/>
      <c r="M2814" s="23" t="n"/>
      <c r="N2814" s="23" t="n"/>
      <c r="O2814" s="20">
        <f>IF(OR(I2814="",COUNT(J2814:N2814)=0),"",IF(SUM(J2814:N2814)=I2814,"✓","⚠ "&amp;SUM(J2814:N2814)&amp;" statt "&amp;I2814))</f>
        <v/>
      </c>
      <c r="P2814" s="21" t="n"/>
      <c r="Q2814" s="21" t="n"/>
      <c r="R2814" s="21" t="n"/>
      <c r="S2814" s="24" t="n"/>
      <c r="T2814" s="24" t="n"/>
      <c r="V2814">
        <f>IF(A2814="","",MONTH(A2814))</f>
        <v/>
      </c>
      <c r="W2814">
        <f>N(W2813)+IF(AND(C2814&lt;&gt;"",T2814&lt;&gt;""),IF(C2814=WOCHE!$B$3,1,0),0)</f>
        <v/>
      </c>
      <c r="X2814">
        <f>N(X2813)+IF(AND(V2814&lt;&gt;"",T2814&lt;&gt;""),IF(V2814=MONAT!$AZ$3,1,0),0)</f>
        <v/>
      </c>
    </row>
    <row r="2815">
      <c r="A2815" s="19" t="n"/>
      <c r="B2815" s="20">
        <f>IF(A2815="","",CHOOSE(WEEKDAY(A2815,2),"Mo","Di","Mi","Do","Fr","Sa","So"))</f>
        <v/>
      </c>
      <c r="C2815" s="20">
        <f>IF(A2815="","",INT((A2815-DATE(YEAR(A2815-WEEKDAY(A2815-1)+4),1,3)+WEEKDAY(DATE(YEAR(A2815-WEEKDAY(A2815-1)+4),1,3))+5)/7))</f>
        <v/>
      </c>
      <c r="D2815" s="21" t="n"/>
      <c r="E2815" s="22" t="n"/>
      <c r="F2815" s="23" t="n"/>
      <c r="G2815" s="23" t="n"/>
      <c r="H2815" s="23" t="n"/>
      <c r="I2815" s="20">
        <f>IF(COUNT(F2815:H2815)=0,"",SUM(F2815:H2815))</f>
        <v/>
      </c>
      <c r="J2815" s="23" t="n"/>
      <c r="K2815" s="23" t="n"/>
      <c r="L2815" s="23" t="n"/>
      <c r="M2815" s="23" t="n"/>
      <c r="N2815" s="23" t="n"/>
      <c r="O2815" s="20">
        <f>IF(OR(I2815="",COUNT(J2815:N2815)=0),"",IF(SUM(J2815:N2815)=I2815,"✓","⚠ "&amp;SUM(J2815:N2815)&amp;" statt "&amp;I2815))</f>
        <v/>
      </c>
      <c r="P2815" s="21" t="n"/>
      <c r="Q2815" s="21" t="n"/>
      <c r="R2815" s="21" t="n"/>
      <c r="S2815" s="24" t="n"/>
      <c r="T2815" s="24" t="n"/>
      <c r="V2815">
        <f>IF(A2815="","",MONTH(A2815))</f>
        <v/>
      </c>
      <c r="W2815">
        <f>N(W2814)+IF(AND(C2815&lt;&gt;"",T2815&lt;&gt;""),IF(C2815=WOCHE!$B$3,1,0),0)</f>
        <v/>
      </c>
      <c r="X2815">
        <f>N(X2814)+IF(AND(V2815&lt;&gt;"",T2815&lt;&gt;""),IF(V2815=MONAT!$AZ$3,1,0),0)</f>
        <v/>
      </c>
    </row>
    <row r="2816">
      <c r="A2816" s="19" t="n"/>
      <c r="B2816" s="20">
        <f>IF(A2816="","",CHOOSE(WEEKDAY(A2816,2),"Mo","Di","Mi","Do","Fr","Sa","So"))</f>
        <v/>
      </c>
      <c r="C2816" s="20">
        <f>IF(A2816="","",INT((A2816-DATE(YEAR(A2816-WEEKDAY(A2816-1)+4),1,3)+WEEKDAY(DATE(YEAR(A2816-WEEKDAY(A2816-1)+4),1,3))+5)/7))</f>
        <v/>
      </c>
      <c r="D2816" s="21" t="n"/>
      <c r="E2816" s="22" t="n"/>
      <c r="F2816" s="23" t="n"/>
      <c r="G2816" s="23" t="n"/>
      <c r="H2816" s="23" t="n"/>
      <c r="I2816" s="20">
        <f>IF(COUNT(F2816:H2816)=0,"",SUM(F2816:H2816))</f>
        <v/>
      </c>
      <c r="J2816" s="23" t="n"/>
      <c r="K2816" s="23" t="n"/>
      <c r="L2816" s="23" t="n"/>
      <c r="M2816" s="23" t="n"/>
      <c r="N2816" s="23" t="n"/>
      <c r="O2816" s="20">
        <f>IF(OR(I2816="",COUNT(J2816:N2816)=0),"",IF(SUM(J2816:N2816)=I2816,"✓","⚠ "&amp;SUM(J2816:N2816)&amp;" statt "&amp;I2816))</f>
        <v/>
      </c>
      <c r="P2816" s="21" t="n"/>
      <c r="Q2816" s="21" t="n"/>
      <c r="R2816" s="21" t="n"/>
      <c r="S2816" s="24" t="n"/>
      <c r="T2816" s="24" t="n"/>
      <c r="V2816">
        <f>IF(A2816="","",MONTH(A2816))</f>
        <v/>
      </c>
      <c r="W2816">
        <f>N(W2815)+IF(AND(C2816&lt;&gt;"",T2816&lt;&gt;""),IF(C2816=WOCHE!$B$3,1,0),0)</f>
        <v/>
      </c>
      <c r="X2816">
        <f>N(X2815)+IF(AND(V2816&lt;&gt;"",T2816&lt;&gt;""),IF(V2816=MONAT!$AZ$3,1,0),0)</f>
        <v/>
      </c>
    </row>
    <row r="2817">
      <c r="A2817" s="19" t="n"/>
      <c r="B2817" s="20">
        <f>IF(A2817="","",CHOOSE(WEEKDAY(A2817,2),"Mo","Di","Mi","Do","Fr","Sa","So"))</f>
        <v/>
      </c>
      <c r="C2817" s="20">
        <f>IF(A2817="","",INT((A2817-DATE(YEAR(A2817-WEEKDAY(A2817-1)+4),1,3)+WEEKDAY(DATE(YEAR(A2817-WEEKDAY(A2817-1)+4),1,3))+5)/7))</f>
        <v/>
      </c>
      <c r="D2817" s="21" t="n"/>
      <c r="E2817" s="22" t="n"/>
      <c r="F2817" s="23" t="n"/>
      <c r="G2817" s="23" t="n"/>
      <c r="H2817" s="23" t="n"/>
      <c r="I2817" s="20">
        <f>IF(COUNT(F2817:H2817)=0,"",SUM(F2817:H2817))</f>
        <v/>
      </c>
      <c r="J2817" s="23" t="n"/>
      <c r="K2817" s="23" t="n"/>
      <c r="L2817" s="23" t="n"/>
      <c r="M2817" s="23" t="n"/>
      <c r="N2817" s="23" t="n"/>
      <c r="O2817" s="20">
        <f>IF(OR(I2817="",COUNT(J2817:N2817)=0),"",IF(SUM(J2817:N2817)=I2817,"✓","⚠ "&amp;SUM(J2817:N2817)&amp;" statt "&amp;I2817))</f>
        <v/>
      </c>
      <c r="P2817" s="21" t="n"/>
      <c r="Q2817" s="21" t="n"/>
      <c r="R2817" s="21" t="n"/>
      <c r="S2817" s="24" t="n"/>
      <c r="T2817" s="24" t="n"/>
      <c r="V2817">
        <f>IF(A2817="","",MONTH(A2817))</f>
        <v/>
      </c>
      <c r="W2817">
        <f>N(W2816)+IF(AND(C2817&lt;&gt;"",T2817&lt;&gt;""),IF(C2817=WOCHE!$B$3,1,0),0)</f>
        <v/>
      </c>
      <c r="X2817">
        <f>N(X2816)+IF(AND(V2817&lt;&gt;"",T2817&lt;&gt;""),IF(V2817=MONAT!$AZ$3,1,0),0)</f>
        <v/>
      </c>
    </row>
    <row r="2818">
      <c r="A2818" s="19" t="n"/>
      <c r="B2818" s="20">
        <f>IF(A2818="","",CHOOSE(WEEKDAY(A2818,2),"Mo","Di","Mi","Do","Fr","Sa","So"))</f>
        <v/>
      </c>
      <c r="C2818" s="20">
        <f>IF(A2818="","",INT((A2818-DATE(YEAR(A2818-WEEKDAY(A2818-1)+4),1,3)+WEEKDAY(DATE(YEAR(A2818-WEEKDAY(A2818-1)+4),1,3))+5)/7))</f>
        <v/>
      </c>
      <c r="D2818" s="21" t="n"/>
      <c r="E2818" s="22" t="n"/>
      <c r="F2818" s="23" t="n"/>
      <c r="G2818" s="23" t="n"/>
      <c r="H2818" s="23" t="n"/>
      <c r="I2818" s="20">
        <f>IF(COUNT(F2818:H2818)=0,"",SUM(F2818:H2818))</f>
        <v/>
      </c>
      <c r="J2818" s="23" t="n"/>
      <c r="K2818" s="23" t="n"/>
      <c r="L2818" s="23" t="n"/>
      <c r="M2818" s="23" t="n"/>
      <c r="N2818" s="23" t="n"/>
      <c r="O2818" s="20">
        <f>IF(OR(I2818="",COUNT(J2818:N2818)=0),"",IF(SUM(J2818:N2818)=I2818,"✓","⚠ "&amp;SUM(J2818:N2818)&amp;" statt "&amp;I2818))</f>
        <v/>
      </c>
      <c r="P2818" s="21" t="n"/>
      <c r="Q2818" s="21" t="n"/>
      <c r="R2818" s="21" t="n"/>
      <c r="S2818" s="24" t="n"/>
      <c r="T2818" s="24" t="n"/>
      <c r="V2818">
        <f>IF(A2818="","",MONTH(A2818))</f>
        <v/>
      </c>
      <c r="W2818">
        <f>N(W2817)+IF(AND(C2818&lt;&gt;"",T2818&lt;&gt;""),IF(C2818=WOCHE!$B$3,1,0),0)</f>
        <v/>
      </c>
      <c r="X2818">
        <f>N(X2817)+IF(AND(V2818&lt;&gt;"",T2818&lt;&gt;""),IF(V2818=MONAT!$AZ$3,1,0),0)</f>
        <v/>
      </c>
    </row>
    <row r="2819">
      <c r="A2819" s="19" t="n"/>
      <c r="B2819" s="20">
        <f>IF(A2819="","",CHOOSE(WEEKDAY(A2819,2),"Mo","Di","Mi","Do","Fr","Sa","So"))</f>
        <v/>
      </c>
      <c r="C2819" s="20">
        <f>IF(A2819="","",INT((A2819-DATE(YEAR(A2819-WEEKDAY(A2819-1)+4),1,3)+WEEKDAY(DATE(YEAR(A2819-WEEKDAY(A2819-1)+4),1,3))+5)/7))</f>
        <v/>
      </c>
      <c r="D2819" s="21" t="n"/>
      <c r="E2819" s="22" t="n"/>
      <c r="F2819" s="23" t="n"/>
      <c r="G2819" s="23" t="n"/>
      <c r="H2819" s="23" t="n"/>
      <c r="I2819" s="20">
        <f>IF(COUNT(F2819:H2819)=0,"",SUM(F2819:H2819))</f>
        <v/>
      </c>
      <c r="J2819" s="23" t="n"/>
      <c r="K2819" s="23" t="n"/>
      <c r="L2819" s="23" t="n"/>
      <c r="M2819" s="23" t="n"/>
      <c r="N2819" s="23" t="n"/>
      <c r="O2819" s="20">
        <f>IF(OR(I2819="",COUNT(J2819:N2819)=0),"",IF(SUM(J2819:N2819)=I2819,"✓","⚠ "&amp;SUM(J2819:N2819)&amp;" statt "&amp;I2819))</f>
        <v/>
      </c>
      <c r="P2819" s="21" t="n"/>
      <c r="Q2819" s="21" t="n"/>
      <c r="R2819" s="21" t="n"/>
      <c r="S2819" s="24" t="n"/>
      <c r="T2819" s="24" t="n"/>
      <c r="V2819">
        <f>IF(A2819="","",MONTH(A2819))</f>
        <v/>
      </c>
      <c r="W2819">
        <f>N(W2818)+IF(AND(C2819&lt;&gt;"",T2819&lt;&gt;""),IF(C2819=WOCHE!$B$3,1,0),0)</f>
        <v/>
      </c>
      <c r="X2819">
        <f>N(X2818)+IF(AND(V2819&lt;&gt;"",T2819&lt;&gt;""),IF(V2819=MONAT!$AZ$3,1,0),0)</f>
        <v/>
      </c>
    </row>
    <row r="2820">
      <c r="A2820" s="19" t="n"/>
      <c r="B2820" s="20">
        <f>IF(A2820="","",CHOOSE(WEEKDAY(A2820,2),"Mo","Di","Mi","Do","Fr","Sa","So"))</f>
        <v/>
      </c>
      <c r="C2820" s="20">
        <f>IF(A2820="","",INT((A2820-DATE(YEAR(A2820-WEEKDAY(A2820-1)+4),1,3)+WEEKDAY(DATE(YEAR(A2820-WEEKDAY(A2820-1)+4),1,3))+5)/7))</f>
        <v/>
      </c>
      <c r="D2820" s="21" t="n"/>
      <c r="E2820" s="22" t="n"/>
      <c r="F2820" s="23" t="n"/>
      <c r="G2820" s="23" t="n"/>
      <c r="H2820" s="23" t="n"/>
      <c r="I2820" s="20">
        <f>IF(COUNT(F2820:H2820)=0,"",SUM(F2820:H2820))</f>
        <v/>
      </c>
      <c r="J2820" s="23" t="n"/>
      <c r="K2820" s="23" t="n"/>
      <c r="L2820" s="23" t="n"/>
      <c r="M2820" s="23" t="n"/>
      <c r="N2820" s="23" t="n"/>
      <c r="O2820" s="20">
        <f>IF(OR(I2820="",COUNT(J2820:N2820)=0),"",IF(SUM(J2820:N2820)=I2820,"✓","⚠ "&amp;SUM(J2820:N2820)&amp;" statt "&amp;I2820))</f>
        <v/>
      </c>
      <c r="P2820" s="21" t="n"/>
      <c r="Q2820" s="21" t="n"/>
      <c r="R2820" s="21" t="n"/>
      <c r="S2820" s="24" t="n"/>
      <c r="T2820" s="24" t="n"/>
      <c r="V2820">
        <f>IF(A2820="","",MONTH(A2820))</f>
        <v/>
      </c>
      <c r="W2820">
        <f>N(W2819)+IF(AND(C2820&lt;&gt;"",T2820&lt;&gt;""),IF(C2820=WOCHE!$B$3,1,0),0)</f>
        <v/>
      </c>
      <c r="X2820">
        <f>N(X2819)+IF(AND(V2820&lt;&gt;"",T2820&lt;&gt;""),IF(V2820=MONAT!$AZ$3,1,0),0)</f>
        <v/>
      </c>
    </row>
    <row r="2821">
      <c r="A2821" s="19" t="n"/>
      <c r="B2821" s="20">
        <f>IF(A2821="","",CHOOSE(WEEKDAY(A2821,2),"Mo","Di","Mi","Do","Fr","Sa","So"))</f>
        <v/>
      </c>
      <c r="C2821" s="20">
        <f>IF(A2821="","",INT((A2821-DATE(YEAR(A2821-WEEKDAY(A2821-1)+4),1,3)+WEEKDAY(DATE(YEAR(A2821-WEEKDAY(A2821-1)+4),1,3))+5)/7))</f>
        <v/>
      </c>
      <c r="D2821" s="21" t="n"/>
      <c r="E2821" s="22" t="n"/>
      <c r="F2821" s="23" t="n"/>
      <c r="G2821" s="23" t="n"/>
      <c r="H2821" s="23" t="n"/>
      <c r="I2821" s="20">
        <f>IF(COUNT(F2821:H2821)=0,"",SUM(F2821:H2821))</f>
        <v/>
      </c>
      <c r="J2821" s="23" t="n"/>
      <c r="K2821" s="23" t="n"/>
      <c r="L2821" s="23" t="n"/>
      <c r="M2821" s="23" t="n"/>
      <c r="N2821" s="23" t="n"/>
      <c r="O2821" s="20">
        <f>IF(OR(I2821="",COUNT(J2821:N2821)=0),"",IF(SUM(J2821:N2821)=I2821,"✓","⚠ "&amp;SUM(J2821:N2821)&amp;" statt "&amp;I2821))</f>
        <v/>
      </c>
      <c r="P2821" s="21" t="n"/>
      <c r="Q2821" s="21" t="n"/>
      <c r="R2821" s="21" t="n"/>
      <c r="S2821" s="24" t="n"/>
      <c r="T2821" s="24" t="n"/>
      <c r="V2821">
        <f>IF(A2821="","",MONTH(A2821))</f>
        <v/>
      </c>
      <c r="W2821">
        <f>N(W2820)+IF(AND(C2821&lt;&gt;"",T2821&lt;&gt;""),IF(C2821=WOCHE!$B$3,1,0),0)</f>
        <v/>
      </c>
      <c r="X2821">
        <f>N(X2820)+IF(AND(V2821&lt;&gt;"",T2821&lt;&gt;""),IF(V2821=MONAT!$AZ$3,1,0),0)</f>
        <v/>
      </c>
    </row>
    <row r="2822">
      <c r="A2822" s="19" t="n"/>
      <c r="B2822" s="20">
        <f>IF(A2822="","",CHOOSE(WEEKDAY(A2822,2),"Mo","Di","Mi","Do","Fr","Sa","So"))</f>
        <v/>
      </c>
      <c r="C2822" s="20">
        <f>IF(A2822="","",INT((A2822-DATE(YEAR(A2822-WEEKDAY(A2822-1)+4),1,3)+WEEKDAY(DATE(YEAR(A2822-WEEKDAY(A2822-1)+4),1,3))+5)/7))</f>
        <v/>
      </c>
      <c r="D2822" s="21" t="n"/>
      <c r="E2822" s="22" t="n"/>
      <c r="F2822" s="23" t="n"/>
      <c r="G2822" s="23" t="n"/>
      <c r="H2822" s="23" t="n"/>
      <c r="I2822" s="20">
        <f>IF(COUNT(F2822:H2822)=0,"",SUM(F2822:H2822))</f>
        <v/>
      </c>
      <c r="J2822" s="23" t="n"/>
      <c r="K2822" s="23" t="n"/>
      <c r="L2822" s="23" t="n"/>
      <c r="M2822" s="23" t="n"/>
      <c r="N2822" s="23" t="n"/>
      <c r="O2822" s="20">
        <f>IF(OR(I2822="",COUNT(J2822:N2822)=0),"",IF(SUM(J2822:N2822)=I2822,"✓","⚠ "&amp;SUM(J2822:N2822)&amp;" statt "&amp;I2822))</f>
        <v/>
      </c>
      <c r="P2822" s="21" t="n"/>
      <c r="Q2822" s="21" t="n"/>
      <c r="R2822" s="21" t="n"/>
      <c r="S2822" s="24" t="n"/>
      <c r="T2822" s="24" t="n"/>
      <c r="V2822">
        <f>IF(A2822="","",MONTH(A2822))</f>
        <v/>
      </c>
      <c r="W2822">
        <f>N(W2821)+IF(AND(C2822&lt;&gt;"",T2822&lt;&gt;""),IF(C2822=WOCHE!$B$3,1,0),0)</f>
        <v/>
      </c>
      <c r="X2822">
        <f>N(X2821)+IF(AND(V2822&lt;&gt;"",T2822&lt;&gt;""),IF(V2822=MONAT!$AZ$3,1,0),0)</f>
        <v/>
      </c>
    </row>
    <row r="2823">
      <c r="A2823" s="19" t="n"/>
      <c r="B2823" s="20">
        <f>IF(A2823="","",CHOOSE(WEEKDAY(A2823,2),"Mo","Di","Mi","Do","Fr","Sa","So"))</f>
        <v/>
      </c>
      <c r="C2823" s="20">
        <f>IF(A2823="","",INT((A2823-DATE(YEAR(A2823-WEEKDAY(A2823-1)+4),1,3)+WEEKDAY(DATE(YEAR(A2823-WEEKDAY(A2823-1)+4),1,3))+5)/7))</f>
        <v/>
      </c>
      <c r="D2823" s="21" t="n"/>
      <c r="E2823" s="22" t="n"/>
      <c r="F2823" s="23" t="n"/>
      <c r="G2823" s="23" t="n"/>
      <c r="H2823" s="23" t="n"/>
      <c r="I2823" s="20">
        <f>IF(COUNT(F2823:H2823)=0,"",SUM(F2823:H2823))</f>
        <v/>
      </c>
      <c r="J2823" s="23" t="n"/>
      <c r="K2823" s="23" t="n"/>
      <c r="L2823" s="23" t="n"/>
      <c r="M2823" s="23" t="n"/>
      <c r="N2823" s="23" t="n"/>
      <c r="O2823" s="20">
        <f>IF(OR(I2823="",COUNT(J2823:N2823)=0),"",IF(SUM(J2823:N2823)=I2823,"✓","⚠ "&amp;SUM(J2823:N2823)&amp;" statt "&amp;I2823))</f>
        <v/>
      </c>
      <c r="P2823" s="21" t="n"/>
      <c r="Q2823" s="21" t="n"/>
      <c r="R2823" s="21" t="n"/>
      <c r="S2823" s="24" t="n"/>
      <c r="T2823" s="24" t="n"/>
      <c r="V2823">
        <f>IF(A2823="","",MONTH(A2823))</f>
        <v/>
      </c>
      <c r="W2823">
        <f>N(W2822)+IF(AND(C2823&lt;&gt;"",T2823&lt;&gt;""),IF(C2823=WOCHE!$B$3,1,0),0)</f>
        <v/>
      </c>
      <c r="X2823">
        <f>N(X2822)+IF(AND(V2823&lt;&gt;"",T2823&lt;&gt;""),IF(V2823=MONAT!$AZ$3,1,0),0)</f>
        <v/>
      </c>
    </row>
    <row r="2824">
      <c r="A2824" s="19" t="n"/>
      <c r="B2824" s="20">
        <f>IF(A2824="","",CHOOSE(WEEKDAY(A2824,2),"Mo","Di","Mi","Do","Fr","Sa","So"))</f>
        <v/>
      </c>
      <c r="C2824" s="20">
        <f>IF(A2824="","",INT((A2824-DATE(YEAR(A2824-WEEKDAY(A2824-1)+4),1,3)+WEEKDAY(DATE(YEAR(A2824-WEEKDAY(A2824-1)+4),1,3))+5)/7))</f>
        <v/>
      </c>
      <c r="D2824" s="21" t="n"/>
      <c r="E2824" s="22" t="n"/>
      <c r="F2824" s="23" t="n"/>
      <c r="G2824" s="23" t="n"/>
      <c r="H2824" s="23" t="n"/>
      <c r="I2824" s="20">
        <f>IF(COUNT(F2824:H2824)=0,"",SUM(F2824:H2824))</f>
        <v/>
      </c>
      <c r="J2824" s="23" t="n"/>
      <c r="K2824" s="23" t="n"/>
      <c r="L2824" s="23" t="n"/>
      <c r="M2824" s="23" t="n"/>
      <c r="N2824" s="23" t="n"/>
      <c r="O2824" s="20">
        <f>IF(OR(I2824="",COUNT(J2824:N2824)=0),"",IF(SUM(J2824:N2824)=I2824,"✓","⚠ "&amp;SUM(J2824:N2824)&amp;" statt "&amp;I2824))</f>
        <v/>
      </c>
      <c r="P2824" s="21" t="n"/>
      <c r="Q2824" s="21" t="n"/>
      <c r="R2824" s="21" t="n"/>
      <c r="S2824" s="24" t="n"/>
      <c r="T2824" s="24" t="n"/>
      <c r="V2824">
        <f>IF(A2824="","",MONTH(A2824))</f>
        <v/>
      </c>
      <c r="W2824">
        <f>N(W2823)+IF(AND(C2824&lt;&gt;"",T2824&lt;&gt;""),IF(C2824=WOCHE!$B$3,1,0),0)</f>
        <v/>
      </c>
      <c r="X2824">
        <f>N(X2823)+IF(AND(V2824&lt;&gt;"",T2824&lt;&gt;""),IF(V2824=MONAT!$AZ$3,1,0),0)</f>
        <v/>
      </c>
    </row>
    <row r="2825">
      <c r="A2825" s="19" t="n"/>
      <c r="B2825" s="20">
        <f>IF(A2825="","",CHOOSE(WEEKDAY(A2825,2),"Mo","Di","Mi","Do","Fr","Sa","So"))</f>
        <v/>
      </c>
      <c r="C2825" s="20">
        <f>IF(A2825="","",INT((A2825-DATE(YEAR(A2825-WEEKDAY(A2825-1)+4),1,3)+WEEKDAY(DATE(YEAR(A2825-WEEKDAY(A2825-1)+4),1,3))+5)/7))</f>
        <v/>
      </c>
      <c r="D2825" s="21" t="n"/>
      <c r="E2825" s="22" t="n"/>
      <c r="F2825" s="23" t="n"/>
      <c r="G2825" s="23" t="n"/>
      <c r="H2825" s="23" t="n"/>
      <c r="I2825" s="20">
        <f>IF(COUNT(F2825:H2825)=0,"",SUM(F2825:H2825))</f>
        <v/>
      </c>
      <c r="J2825" s="23" t="n"/>
      <c r="K2825" s="23" t="n"/>
      <c r="L2825" s="23" t="n"/>
      <c r="M2825" s="23" t="n"/>
      <c r="N2825" s="23" t="n"/>
      <c r="O2825" s="20">
        <f>IF(OR(I2825="",COUNT(J2825:N2825)=0),"",IF(SUM(J2825:N2825)=I2825,"✓","⚠ "&amp;SUM(J2825:N2825)&amp;" statt "&amp;I2825))</f>
        <v/>
      </c>
      <c r="P2825" s="21" t="n"/>
      <c r="Q2825" s="21" t="n"/>
      <c r="R2825" s="21" t="n"/>
      <c r="S2825" s="24" t="n"/>
      <c r="T2825" s="24" t="n"/>
      <c r="V2825">
        <f>IF(A2825="","",MONTH(A2825))</f>
        <v/>
      </c>
      <c r="W2825">
        <f>N(W2824)+IF(AND(C2825&lt;&gt;"",T2825&lt;&gt;""),IF(C2825=WOCHE!$B$3,1,0),0)</f>
        <v/>
      </c>
      <c r="X2825">
        <f>N(X2824)+IF(AND(V2825&lt;&gt;"",T2825&lt;&gt;""),IF(V2825=MONAT!$AZ$3,1,0),0)</f>
        <v/>
      </c>
    </row>
    <row r="2826">
      <c r="A2826" s="19" t="n"/>
      <c r="B2826" s="20">
        <f>IF(A2826="","",CHOOSE(WEEKDAY(A2826,2),"Mo","Di","Mi","Do","Fr","Sa","So"))</f>
        <v/>
      </c>
      <c r="C2826" s="20">
        <f>IF(A2826="","",INT((A2826-DATE(YEAR(A2826-WEEKDAY(A2826-1)+4),1,3)+WEEKDAY(DATE(YEAR(A2826-WEEKDAY(A2826-1)+4),1,3))+5)/7))</f>
        <v/>
      </c>
      <c r="D2826" s="21" t="n"/>
      <c r="E2826" s="22" t="n"/>
      <c r="F2826" s="23" t="n"/>
      <c r="G2826" s="23" t="n"/>
      <c r="H2826" s="23" t="n"/>
      <c r="I2826" s="20">
        <f>IF(COUNT(F2826:H2826)=0,"",SUM(F2826:H2826))</f>
        <v/>
      </c>
      <c r="J2826" s="23" t="n"/>
      <c r="K2826" s="23" t="n"/>
      <c r="L2826" s="23" t="n"/>
      <c r="M2826" s="23" t="n"/>
      <c r="N2826" s="23" t="n"/>
      <c r="O2826" s="20">
        <f>IF(OR(I2826="",COUNT(J2826:N2826)=0),"",IF(SUM(J2826:N2826)=I2826,"✓","⚠ "&amp;SUM(J2826:N2826)&amp;" statt "&amp;I2826))</f>
        <v/>
      </c>
      <c r="P2826" s="21" t="n"/>
      <c r="Q2826" s="21" t="n"/>
      <c r="R2826" s="21" t="n"/>
      <c r="S2826" s="24" t="n"/>
      <c r="T2826" s="24" t="n"/>
      <c r="V2826">
        <f>IF(A2826="","",MONTH(A2826))</f>
        <v/>
      </c>
      <c r="W2826">
        <f>N(W2825)+IF(AND(C2826&lt;&gt;"",T2826&lt;&gt;""),IF(C2826=WOCHE!$B$3,1,0),0)</f>
        <v/>
      </c>
      <c r="X2826">
        <f>N(X2825)+IF(AND(V2826&lt;&gt;"",T2826&lt;&gt;""),IF(V2826=MONAT!$AZ$3,1,0),0)</f>
        <v/>
      </c>
    </row>
    <row r="2827">
      <c r="A2827" s="19" t="n"/>
      <c r="B2827" s="20">
        <f>IF(A2827="","",CHOOSE(WEEKDAY(A2827,2),"Mo","Di","Mi","Do","Fr","Sa","So"))</f>
        <v/>
      </c>
      <c r="C2827" s="20">
        <f>IF(A2827="","",INT((A2827-DATE(YEAR(A2827-WEEKDAY(A2827-1)+4),1,3)+WEEKDAY(DATE(YEAR(A2827-WEEKDAY(A2827-1)+4),1,3))+5)/7))</f>
        <v/>
      </c>
      <c r="D2827" s="21" t="n"/>
      <c r="E2827" s="22" t="n"/>
      <c r="F2827" s="23" t="n"/>
      <c r="G2827" s="23" t="n"/>
      <c r="H2827" s="23" t="n"/>
      <c r="I2827" s="20">
        <f>IF(COUNT(F2827:H2827)=0,"",SUM(F2827:H2827))</f>
        <v/>
      </c>
      <c r="J2827" s="23" t="n"/>
      <c r="K2827" s="23" t="n"/>
      <c r="L2827" s="23" t="n"/>
      <c r="M2827" s="23" t="n"/>
      <c r="N2827" s="23" t="n"/>
      <c r="O2827" s="20">
        <f>IF(OR(I2827="",COUNT(J2827:N2827)=0),"",IF(SUM(J2827:N2827)=I2827,"✓","⚠ "&amp;SUM(J2827:N2827)&amp;" statt "&amp;I2827))</f>
        <v/>
      </c>
      <c r="P2827" s="21" t="n"/>
      <c r="Q2827" s="21" t="n"/>
      <c r="R2827" s="21" t="n"/>
      <c r="S2827" s="24" t="n"/>
      <c r="T2827" s="24" t="n"/>
      <c r="V2827">
        <f>IF(A2827="","",MONTH(A2827))</f>
        <v/>
      </c>
      <c r="W2827">
        <f>N(W2826)+IF(AND(C2827&lt;&gt;"",T2827&lt;&gt;""),IF(C2827=WOCHE!$B$3,1,0),0)</f>
        <v/>
      </c>
      <c r="X2827">
        <f>N(X2826)+IF(AND(V2827&lt;&gt;"",T2827&lt;&gt;""),IF(V2827=MONAT!$AZ$3,1,0),0)</f>
        <v/>
      </c>
    </row>
    <row r="2828">
      <c r="A2828" s="19" t="n"/>
      <c r="B2828" s="20">
        <f>IF(A2828="","",CHOOSE(WEEKDAY(A2828,2),"Mo","Di","Mi","Do","Fr","Sa","So"))</f>
        <v/>
      </c>
      <c r="C2828" s="20">
        <f>IF(A2828="","",INT((A2828-DATE(YEAR(A2828-WEEKDAY(A2828-1)+4),1,3)+WEEKDAY(DATE(YEAR(A2828-WEEKDAY(A2828-1)+4),1,3))+5)/7))</f>
        <v/>
      </c>
      <c r="D2828" s="21" t="n"/>
      <c r="E2828" s="22" t="n"/>
      <c r="F2828" s="23" t="n"/>
      <c r="G2828" s="23" t="n"/>
      <c r="H2828" s="23" t="n"/>
      <c r="I2828" s="20">
        <f>IF(COUNT(F2828:H2828)=0,"",SUM(F2828:H2828))</f>
        <v/>
      </c>
      <c r="J2828" s="23" t="n"/>
      <c r="K2828" s="23" t="n"/>
      <c r="L2828" s="23" t="n"/>
      <c r="M2828" s="23" t="n"/>
      <c r="N2828" s="23" t="n"/>
      <c r="O2828" s="20">
        <f>IF(OR(I2828="",COUNT(J2828:N2828)=0),"",IF(SUM(J2828:N2828)=I2828,"✓","⚠ "&amp;SUM(J2828:N2828)&amp;" statt "&amp;I2828))</f>
        <v/>
      </c>
      <c r="P2828" s="21" t="n"/>
      <c r="Q2828" s="21" t="n"/>
      <c r="R2828" s="21" t="n"/>
      <c r="S2828" s="24" t="n"/>
      <c r="T2828" s="24" t="n"/>
      <c r="V2828">
        <f>IF(A2828="","",MONTH(A2828))</f>
        <v/>
      </c>
      <c r="W2828">
        <f>N(W2827)+IF(AND(C2828&lt;&gt;"",T2828&lt;&gt;""),IF(C2828=WOCHE!$B$3,1,0),0)</f>
        <v/>
      </c>
      <c r="X2828">
        <f>N(X2827)+IF(AND(V2828&lt;&gt;"",T2828&lt;&gt;""),IF(V2828=MONAT!$AZ$3,1,0),0)</f>
        <v/>
      </c>
    </row>
    <row r="2829">
      <c r="A2829" s="19" t="n"/>
      <c r="B2829" s="20">
        <f>IF(A2829="","",CHOOSE(WEEKDAY(A2829,2),"Mo","Di","Mi","Do","Fr","Sa","So"))</f>
        <v/>
      </c>
      <c r="C2829" s="20">
        <f>IF(A2829="","",INT((A2829-DATE(YEAR(A2829-WEEKDAY(A2829-1)+4),1,3)+WEEKDAY(DATE(YEAR(A2829-WEEKDAY(A2829-1)+4),1,3))+5)/7))</f>
        <v/>
      </c>
      <c r="D2829" s="21" t="n"/>
      <c r="E2829" s="22" t="n"/>
      <c r="F2829" s="23" t="n"/>
      <c r="G2829" s="23" t="n"/>
      <c r="H2829" s="23" t="n"/>
      <c r="I2829" s="20">
        <f>IF(COUNT(F2829:H2829)=0,"",SUM(F2829:H2829))</f>
        <v/>
      </c>
      <c r="J2829" s="23" t="n"/>
      <c r="K2829" s="23" t="n"/>
      <c r="L2829" s="23" t="n"/>
      <c r="M2829" s="23" t="n"/>
      <c r="N2829" s="23" t="n"/>
      <c r="O2829" s="20">
        <f>IF(OR(I2829="",COUNT(J2829:N2829)=0),"",IF(SUM(J2829:N2829)=I2829,"✓","⚠ "&amp;SUM(J2829:N2829)&amp;" statt "&amp;I2829))</f>
        <v/>
      </c>
      <c r="P2829" s="21" t="n"/>
      <c r="Q2829" s="21" t="n"/>
      <c r="R2829" s="21" t="n"/>
      <c r="S2829" s="24" t="n"/>
      <c r="T2829" s="24" t="n"/>
      <c r="V2829">
        <f>IF(A2829="","",MONTH(A2829))</f>
        <v/>
      </c>
      <c r="W2829">
        <f>N(W2828)+IF(AND(C2829&lt;&gt;"",T2829&lt;&gt;""),IF(C2829=WOCHE!$B$3,1,0),0)</f>
        <v/>
      </c>
      <c r="X2829">
        <f>N(X2828)+IF(AND(V2829&lt;&gt;"",T2829&lt;&gt;""),IF(V2829=MONAT!$AZ$3,1,0),0)</f>
        <v/>
      </c>
    </row>
    <row r="2830">
      <c r="A2830" s="19" t="n"/>
      <c r="B2830" s="20">
        <f>IF(A2830="","",CHOOSE(WEEKDAY(A2830,2),"Mo","Di","Mi","Do","Fr","Sa","So"))</f>
        <v/>
      </c>
      <c r="C2830" s="20">
        <f>IF(A2830="","",INT((A2830-DATE(YEAR(A2830-WEEKDAY(A2830-1)+4),1,3)+WEEKDAY(DATE(YEAR(A2830-WEEKDAY(A2830-1)+4),1,3))+5)/7))</f>
        <v/>
      </c>
      <c r="D2830" s="21" t="n"/>
      <c r="E2830" s="22" t="n"/>
      <c r="F2830" s="23" t="n"/>
      <c r="G2830" s="23" t="n"/>
      <c r="H2830" s="23" t="n"/>
      <c r="I2830" s="20">
        <f>IF(COUNT(F2830:H2830)=0,"",SUM(F2830:H2830))</f>
        <v/>
      </c>
      <c r="J2830" s="23" t="n"/>
      <c r="K2830" s="23" t="n"/>
      <c r="L2830" s="23" t="n"/>
      <c r="M2830" s="23" t="n"/>
      <c r="N2830" s="23" t="n"/>
      <c r="O2830" s="20">
        <f>IF(OR(I2830="",COUNT(J2830:N2830)=0),"",IF(SUM(J2830:N2830)=I2830,"✓","⚠ "&amp;SUM(J2830:N2830)&amp;" statt "&amp;I2830))</f>
        <v/>
      </c>
      <c r="P2830" s="21" t="n"/>
      <c r="Q2830" s="21" t="n"/>
      <c r="R2830" s="21" t="n"/>
      <c r="S2830" s="24" t="n"/>
      <c r="T2830" s="24" t="n"/>
      <c r="V2830">
        <f>IF(A2830="","",MONTH(A2830))</f>
        <v/>
      </c>
      <c r="W2830">
        <f>N(W2829)+IF(AND(C2830&lt;&gt;"",T2830&lt;&gt;""),IF(C2830=WOCHE!$B$3,1,0),0)</f>
        <v/>
      </c>
      <c r="X2830">
        <f>N(X2829)+IF(AND(V2830&lt;&gt;"",T2830&lt;&gt;""),IF(V2830=MONAT!$AZ$3,1,0),0)</f>
        <v/>
      </c>
    </row>
    <row r="2831">
      <c r="A2831" s="19" t="n"/>
      <c r="B2831" s="20">
        <f>IF(A2831="","",CHOOSE(WEEKDAY(A2831,2),"Mo","Di","Mi","Do","Fr","Sa","So"))</f>
        <v/>
      </c>
      <c r="C2831" s="20">
        <f>IF(A2831="","",INT((A2831-DATE(YEAR(A2831-WEEKDAY(A2831-1)+4),1,3)+WEEKDAY(DATE(YEAR(A2831-WEEKDAY(A2831-1)+4),1,3))+5)/7))</f>
        <v/>
      </c>
      <c r="D2831" s="21" t="n"/>
      <c r="E2831" s="22" t="n"/>
      <c r="F2831" s="23" t="n"/>
      <c r="G2831" s="23" t="n"/>
      <c r="H2831" s="23" t="n"/>
      <c r="I2831" s="20">
        <f>IF(COUNT(F2831:H2831)=0,"",SUM(F2831:H2831))</f>
        <v/>
      </c>
      <c r="J2831" s="23" t="n"/>
      <c r="K2831" s="23" t="n"/>
      <c r="L2831" s="23" t="n"/>
      <c r="M2831" s="23" t="n"/>
      <c r="N2831" s="23" t="n"/>
      <c r="O2831" s="20">
        <f>IF(OR(I2831="",COUNT(J2831:N2831)=0),"",IF(SUM(J2831:N2831)=I2831,"✓","⚠ "&amp;SUM(J2831:N2831)&amp;" statt "&amp;I2831))</f>
        <v/>
      </c>
      <c r="P2831" s="21" t="n"/>
      <c r="Q2831" s="21" t="n"/>
      <c r="R2831" s="21" t="n"/>
      <c r="S2831" s="24" t="n"/>
      <c r="T2831" s="24" t="n"/>
      <c r="V2831">
        <f>IF(A2831="","",MONTH(A2831))</f>
        <v/>
      </c>
      <c r="W2831">
        <f>N(W2830)+IF(AND(C2831&lt;&gt;"",T2831&lt;&gt;""),IF(C2831=WOCHE!$B$3,1,0),0)</f>
        <v/>
      </c>
      <c r="X2831">
        <f>N(X2830)+IF(AND(V2831&lt;&gt;"",T2831&lt;&gt;""),IF(V2831=MONAT!$AZ$3,1,0),0)</f>
        <v/>
      </c>
    </row>
    <row r="2832">
      <c r="A2832" s="19" t="n"/>
      <c r="B2832" s="20">
        <f>IF(A2832="","",CHOOSE(WEEKDAY(A2832,2),"Mo","Di","Mi","Do","Fr","Sa","So"))</f>
        <v/>
      </c>
      <c r="C2832" s="20">
        <f>IF(A2832="","",INT((A2832-DATE(YEAR(A2832-WEEKDAY(A2832-1)+4),1,3)+WEEKDAY(DATE(YEAR(A2832-WEEKDAY(A2832-1)+4),1,3))+5)/7))</f>
        <v/>
      </c>
      <c r="D2832" s="21" t="n"/>
      <c r="E2832" s="22" t="n"/>
      <c r="F2832" s="23" t="n"/>
      <c r="G2832" s="23" t="n"/>
      <c r="H2832" s="23" t="n"/>
      <c r="I2832" s="20">
        <f>IF(COUNT(F2832:H2832)=0,"",SUM(F2832:H2832))</f>
        <v/>
      </c>
      <c r="J2832" s="23" t="n"/>
      <c r="K2832" s="23" t="n"/>
      <c r="L2832" s="23" t="n"/>
      <c r="M2832" s="23" t="n"/>
      <c r="N2832" s="23" t="n"/>
      <c r="O2832" s="20">
        <f>IF(OR(I2832="",COUNT(J2832:N2832)=0),"",IF(SUM(J2832:N2832)=I2832,"✓","⚠ "&amp;SUM(J2832:N2832)&amp;" statt "&amp;I2832))</f>
        <v/>
      </c>
      <c r="P2832" s="21" t="n"/>
      <c r="Q2832" s="21" t="n"/>
      <c r="R2832" s="21" t="n"/>
      <c r="S2832" s="24" t="n"/>
      <c r="T2832" s="24" t="n"/>
      <c r="V2832">
        <f>IF(A2832="","",MONTH(A2832))</f>
        <v/>
      </c>
      <c r="W2832">
        <f>N(W2831)+IF(AND(C2832&lt;&gt;"",T2832&lt;&gt;""),IF(C2832=WOCHE!$B$3,1,0),0)</f>
        <v/>
      </c>
      <c r="X2832">
        <f>N(X2831)+IF(AND(V2832&lt;&gt;"",T2832&lt;&gt;""),IF(V2832=MONAT!$AZ$3,1,0),0)</f>
        <v/>
      </c>
    </row>
    <row r="2833">
      <c r="A2833" s="19" t="n"/>
      <c r="B2833" s="20">
        <f>IF(A2833="","",CHOOSE(WEEKDAY(A2833,2),"Mo","Di","Mi","Do","Fr","Sa","So"))</f>
        <v/>
      </c>
      <c r="C2833" s="20">
        <f>IF(A2833="","",INT((A2833-DATE(YEAR(A2833-WEEKDAY(A2833-1)+4),1,3)+WEEKDAY(DATE(YEAR(A2833-WEEKDAY(A2833-1)+4),1,3))+5)/7))</f>
        <v/>
      </c>
      <c r="D2833" s="21" t="n"/>
      <c r="E2833" s="22" t="n"/>
      <c r="F2833" s="23" t="n"/>
      <c r="G2833" s="23" t="n"/>
      <c r="H2833" s="23" t="n"/>
      <c r="I2833" s="20">
        <f>IF(COUNT(F2833:H2833)=0,"",SUM(F2833:H2833))</f>
        <v/>
      </c>
      <c r="J2833" s="23" t="n"/>
      <c r="K2833" s="23" t="n"/>
      <c r="L2833" s="23" t="n"/>
      <c r="M2833" s="23" t="n"/>
      <c r="N2833" s="23" t="n"/>
      <c r="O2833" s="20">
        <f>IF(OR(I2833="",COUNT(J2833:N2833)=0),"",IF(SUM(J2833:N2833)=I2833,"✓","⚠ "&amp;SUM(J2833:N2833)&amp;" statt "&amp;I2833))</f>
        <v/>
      </c>
      <c r="P2833" s="21" t="n"/>
      <c r="Q2833" s="21" t="n"/>
      <c r="R2833" s="21" t="n"/>
      <c r="S2833" s="24" t="n"/>
      <c r="T2833" s="24" t="n"/>
      <c r="V2833">
        <f>IF(A2833="","",MONTH(A2833))</f>
        <v/>
      </c>
      <c r="W2833">
        <f>N(W2832)+IF(AND(C2833&lt;&gt;"",T2833&lt;&gt;""),IF(C2833=WOCHE!$B$3,1,0),0)</f>
        <v/>
      </c>
      <c r="X2833">
        <f>N(X2832)+IF(AND(V2833&lt;&gt;"",T2833&lt;&gt;""),IF(V2833=MONAT!$AZ$3,1,0),0)</f>
        <v/>
      </c>
    </row>
    <row r="2834">
      <c r="A2834" s="19" t="n"/>
      <c r="B2834" s="20">
        <f>IF(A2834="","",CHOOSE(WEEKDAY(A2834,2),"Mo","Di","Mi","Do","Fr","Sa","So"))</f>
        <v/>
      </c>
      <c r="C2834" s="20">
        <f>IF(A2834="","",INT((A2834-DATE(YEAR(A2834-WEEKDAY(A2834-1)+4),1,3)+WEEKDAY(DATE(YEAR(A2834-WEEKDAY(A2834-1)+4),1,3))+5)/7))</f>
        <v/>
      </c>
      <c r="D2834" s="21" t="n"/>
      <c r="E2834" s="22" t="n"/>
      <c r="F2834" s="23" t="n"/>
      <c r="G2834" s="23" t="n"/>
      <c r="H2834" s="23" t="n"/>
      <c r="I2834" s="20">
        <f>IF(COUNT(F2834:H2834)=0,"",SUM(F2834:H2834))</f>
        <v/>
      </c>
      <c r="J2834" s="23" t="n"/>
      <c r="K2834" s="23" t="n"/>
      <c r="L2834" s="23" t="n"/>
      <c r="M2834" s="23" t="n"/>
      <c r="N2834" s="23" t="n"/>
      <c r="O2834" s="20">
        <f>IF(OR(I2834="",COUNT(J2834:N2834)=0),"",IF(SUM(J2834:N2834)=I2834,"✓","⚠ "&amp;SUM(J2834:N2834)&amp;" statt "&amp;I2834))</f>
        <v/>
      </c>
      <c r="P2834" s="21" t="n"/>
      <c r="Q2834" s="21" t="n"/>
      <c r="R2834" s="21" t="n"/>
      <c r="S2834" s="24" t="n"/>
      <c r="T2834" s="24" t="n"/>
      <c r="V2834">
        <f>IF(A2834="","",MONTH(A2834))</f>
        <v/>
      </c>
      <c r="W2834">
        <f>N(W2833)+IF(AND(C2834&lt;&gt;"",T2834&lt;&gt;""),IF(C2834=WOCHE!$B$3,1,0),0)</f>
        <v/>
      </c>
      <c r="X2834">
        <f>N(X2833)+IF(AND(V2834&lt;&gt;"",T2834&lt;&gt;""),IF(V2834=MONAT!$AZ$3,1,0),0)</f>
        <v/>
      </c>
    </row>
    <row r="2835">
      <c r="A2835" s="19" t="n"/>
      <c r="B2835" s="20">
        <f>IF(A2835="","",CHOOSE(WEEKDAY(A2835,2),"Mo","Di","Mi","Do","Fr","Sa","So"))</f>
        <v/>
      </c>
      <c r="C2835" s="20">
        <f>IF(A2835="","",INT((A2835-DATE(YEAR(A2835-WEEKDAY(A2835-1)+4),1,3)+WEEKDAY(DATE(YEAR(A2835-WEEKDAY(A2835-1)+4),1,3))+5)/7))</f>
        <v/>
      </c>
      <c r="D2835" s="21" t="n"/>
      <c r="E2835" s="22" t="n"/>
      <c r="F2835" s="23" t="n"/>
      <c r="G2835" s="23" t="n"/>
      <c r="H2835" s="23" t="n"/>
      <c r="I2835" s="20">
        <f>IF(COUNT(F2835:H2835)=0,"",SUM(F2835:H2835))</f>
        <v/>
      </c>
      <c r="J2835" s="23" t="n"/>
      <c r="K2835" s="23" t="n"/>
      <c r="L2835" s="23" t="n"/>
      <c r="M2835" s="23" t="n"/>
      <c r="N2835" s="23" t="n"/>
      <c r="O2835" s="20">
        <f>IF(OR(I2835="",COUNT(J2835:N2835)=0),"",IF(SUM(J2835:N2835)=I2835,"✓","⚠ "&amp;SUM(J2835:N2835)&amp;" statt "&amp;I2835))</f>
        <v/>
      </c>
      <c r="P2835" s="21" t="n"/>
      <c r="Q2835" s="21" t="n"/>
      <c r="R2835" s="21" t="n"/>
      <c r="S2835" s="24" t="n"/>
      <c r="T2835" s="24" t="n"/>
      <c r="V2835">
        <f>IF(A2835="","",MONTH(A2835))</f>
        <v/>
      </c>
      <c r="W2835">
        <f>N(W2834)+IF(AND(C2835&lt;&gt;"",T2835&lt;&gt;""),IF(C2835=WOCHE!$B$3,1,0),0)</f>
        <v/>
      </c>
      <c r="X2835">
        <f>N(X2834)+IF(AND(V2835&lt;&gt;"",T2835&lt;&gt;""),IF(V2835=MONAT!$AZ$3,1,0),0)</f>
        <v/>
      </c>
    </row>
    <row r="2836">
      <c r="A2836" s="19" t="n"/>
      <c r="B2836" s="20">
        <f>IF(A2836="","",CHOOSE(WEEKDAY(A2836,2),"Mo","Di","Mi","Do","Fr","Sa","So"))</f>
        <v/>
      </c>
      <c r="C2836" s="20">
        <f>IF(A2836="","",INT((A2836-DATE(YEAR(A2836-WEEKDAY(A2836-1)+4),1,3)+WEEKDAY(DATE(YEAR(A2836-WEEKDAY(A2836-1)+4),1,3))+5)/7))</f>
        <v/>
      </c>
      <c r="D2836" s="21" t="n"/>
      <c r="E2836" s="22" t="n"/>
      <c r="F2836" s="23" t="n"/>
      <c r="G2836" s="23" t="n"/>
      <c r="H2836" s="23" t="n"/>
      <c r="I2836" s="20">
        <f>IF(COUNT(F2836:H2836)=0,"",SUM(F2836:H2836))</f>
        <v/>
      </c>
      <c r="J2836" s="23" t="n"/>
      <c r="K2836" s="23" t="n"/>
      <c r="L2836" s="23" t="n"/>
      <c r="M2836" s="23" t="n"/>
      <c r="N2836" s="23" t="n"/>
      <c r="O2836" s="20">
        <f>IF(OR(I2836="",COUNT(J2836:N2836)=0),"",IF(SUM(J2836:N2836)=I2836,"✓","⚠ "&amp;SUM(J2836:N2836)&amp;" statt "&amp;I2836))</f>
        <v/>
      </c>
      <c r="P2836" s="21" t="n"/>
      <c r="Q2836" s="21" t="n"/>
      <c r="R2836" s="21" t="n"/>
      <c r="S2836" s="24" t="n"/>
      <c r="T2836" s="24" t="n"/>
      <c r="V2836">
        <f>IF(A2836="","",MONTH(A2836))</f>
        <v/>
      </c>
      <c r="W2836">
        <f>N(W2835)+IF(AND(C2836&lt;&gt;"",T2836&lt;&gt;""),IF(C2836=WOCHE!$B$3,1,0),0)</f>
        <v/>
      </c>
      <c r="X2836">
        <f>N(X2835)+IF(AND(V2836&lt;&gt;"",T2836&lt;&gt;""),IF(V2836=MONAT!$AZ$3,1,0),0)</f>
        <v/>
      </c>
    </row>
    <row r="2837">
      <c r="A2837" s="19" t="n"/>
      <c r="B2837" s="20">
        <f>IF(A2837="","",CHOOSE(WEEKDAY(A2837,2),"Mo","Di","Mi","Do","Fr","Sa","So"))</f>
        <v/>
      </c>
      <c r="C2837" s="20">
        <f>IF(A2837="","",INT((A2837-DATE(YEAR(A2837-WEEKDAY(A2837-1)+4),1,3)+WEEKDAY(DATE(YEAR(A2837-WEEKDAY(A2837-1)+4),1,3))+5)/7))</f>
        <v/>
      </c>
      <c r="D2837" s="21" t="n"/>
      <c r="E2837" s="22" t="n"/>
      <c r="F2837" s="23" t="n"/>
      <c r="G2837" s="23" t="n"/>
      <c r="H2837" s="23" t="n"/>
      <c r="I2837" s="20">
        <f>IF(COUNT(F2837:H2837)=0,"",SUM(F2837:H2837))</f>
        <v/>
      </c>
      <c r="J2837" s="23" t="n"/>
      <c r="K2837" s="23" t="n"/>
      <c r="L2837" s="23" t="n"/>
      <c r="M2837" s="23" t="n"/>
      <c r="N2837" s="23" t="n"/>
      <c r="O2837" s="20">
        <f>IF(OR(I2837="",COUNT(J2837:N2837)=0),"",IF(SUM(J2837:N2837)=I2837,"✓","⚠ "&amp;SUM(J2837:N2837)&amp;" statt "&amp;I2837))</f>
        <v/>
      </c>
      <c r="P2837" s="21" t="n"/>
      <c r="Q2837" s="21" t="n"/>
      <c r="R2837" s="21" t="n"/>
      <c r="S2837" s="24" t="n"/>
      <c r="T2837" s="24" t="n"/>
      <c r="V2837">
        <f>IF(A2837="","",MONTH(A2837))</f>
        <v/>
      </c>
      <c r="W2837">
        <f>N(W2836)+IF(AND(C2837&lt;&gt;"",T2837&lt;&gt;""),IF(C2837=WOCHE!$B$3,1,0),0)</f>
        <v/>
      </c>
      <c r="X2837">
        <f>N(X2836)+IF(AND(V2837&lt;&gt;"",T2837&lt;&gt;""),IF(V2837=MONAT!$AZ$3,1,0),0)</f>
        <v/>
      </c>
    </row>
    <row r="2838">
      <c r="A2838" s="19" t="n"/>
      <c r="B2838" s="20">
        <f>IF(A2838="","",CHOOSE(WEEKDAY(A2838,2),"Mo","Di","Mi","Do","Fr","Sa","So"))</f>
        <v/>
      </c>
      <c r="C2838" s="20">
        <f>IF(A2838="","",INT((A2838-DATE(YEAR(A2838-WEEKDAY(A2838-1)+4),1,3)+WEEKDAY(DATE(YEAR(A2838-WEEKDAY(A2838-1)+4),1,3))+5)/7))</f>
        <v/>
      </c>
      <c r="D2838" s="21" t="n"/>
      <c r="E2838" s="22" t="n"/>
      <c r="F2838" s="23" t="n"/>
      <c r="G2838" s="23" t="n"/>
      <c r="H2838" s="23" t="n"/>
      <c r="I2838" s="20">
        <f>IF(COUNT(F2838:H2838)=0,"",SUM(F2838:H2838))</f>
        <v/>
      </c>
      <c r="J2838" s="23" t="n"/>
      <c r="K2838" s="23" t="n"/>
      <c r="L2838" s="23" t="n"/>
      <c r="M2838" s="23" t="n"/>
      <c r="N2838" s="23" t="n"/>
      <c r="O2838" s="20">
        <f>IF(OR(I2838="",COUNT(J2838:N2838)=0),"",IF(SUM(J2838:N2838)=I2838,"✓","⚠ "&amp;SUM(J2838:N2838)&amp;" statt "&amp;I2838))</f>
        <v/>
      </c>
      <c r="P2838" s="21" t="n"/>
      <c r="Q2838" s="21" t="n"/>
      <c r="R2838" s="21" t="n"/>
      <c r="S2838" s="24" t="n"/>
      <c r="T2838" s="24" t="n"/>
      <c r="V2838">
        <f>IF(A2838="","",MONTH(A2838))</f>
        <v/>
      </c>
      <c r="W2838">
        <f>N(W2837)+IF(AND(C2838&lt;&gt;"",T2838&lt;&gt;""),IF(C2838=WOCHE!$B$3,1,0),0)</f>
        <v/>
      </c>
      <c r="X2838">
        <f>N(X2837)+IF(AND(V2838&lt;&gt;"",T2838&lt;&gt;""),IF(V2838=MONAT!$AZ$3,1,0),0)</f>
        <v/>
      </c>
    </row>
    <row r="2839">
      <c r="A2839" s="19" t="n"/>
      <c r="B2839" s="20">
        <f>IF(A2839="","",CHOOSE(WEEKDAY(A2839,2),"Mo","Di","Mi","Do","Fr","Sa","So"))</f>
        <v/>
      </c>
      <c r="C2839" s="20">
        <f>IF(A2839="","",INT((A2839-DATE(YEAR(A2839-WEEKDAY(A2839-1)+4),1,3)+WEEKDAY(DATE(YEAR(A2839-WEEKDAY(A2839-1)+4),1,3))+5)/7))</f>
        <v/>
      </c>
      <c r="D2839" s="21" t="n"/>
      <c r="E2839" s="22" t="n"/>
      <c r="F2839" s="23" t="n"/>
      <c r="G2839" s="23" t="n"/>
      <c r="H2839" s="23" t="n"/>
      <c r="I2839" s="20">
        <f>IF(COUNT(F2839:H2839)=0,"",SUM(F2839:H2839))</f>
        <v/>
      </c>
      <c r="J2839" s="23" t="n"/>
      <c r="K2839" s="23" t="n"/>
      <c r="L2839" s="23" t="n"/>
      <c r="M2839" s="23" t="n"/>
      <c r="N2839" s="23" t="n"/>
      <c r="O2839" s="20">
        <f>IF(OR(I2839="",COUNT(J2839:N2839)=0),"",IF(SUM(J2839:N2839)=I2839,"✓","⚠ "&amp;SUM(J2839:N2839)&amp;" statt "&amp;I2839))</f>
        <v/>
      </c>
      <c r="P2839" s="21" t="n"/>
      <c r="Q2839" s="21" t="n"/>
      <c r="R2839" s="21" t="n"/>
      <c r="S2839" s="24" t="n"/>
      <c r="T2839" s="24" t="n"/>
      <c r="V2839">
        <f>IF(A2839="","",MONTH(A2839))</f>
        <v/>
      </c>
      <c r="W2839">
        <f>N(W2838)+IF(AND(C2839&lt;&gt;"",T2839&lt;&gt;""),IF(C2839=WOCHE!$B$3,1,0),0)</f>
        <v/>
      </c>
      <c r="X2839">
        <f>N(X2838)+IF(AND(V2839&lt;&gt;"",T2839&lt;&gt;""),IF(V2839=MONAT!$AZ$3,1,0),0)</f>
        <v/>
      </c>
    </row>
    <row r="2840">
      <c r="A2840" s="19" t="n"/>
      <c r="B2840" s="20">
        <f>IF(A2840="","",CHOOSE(WEEKDAY(A2840,2),"Mo","Di","Mi","Do","Fr","Sa","So"))</f>
        <v/>
      </c>
      <c r="C2840" s="20">
        <f>IF(A2840="","",INT((A2840-DATE(YEAR(A2840-WEEKDAY(A2840-1)+4),1,3)+WEEKDAY(DATE(YEAR(A2840-WEEKDAY(A2840-1)+4),1,3))+5)/7))</f>
        <v/>
      </c>
      <c r="D2840" s="21" t="n"/>
      <c r="E2840" s="22" t="n"/>
      <c r="F2840" s="23" t="n"/>
      <c r="G2840" s="23" t="n"/>
      <c r="H2840" s="23" t="n"/>
      <c r="I2840" s="20">
        <f>IF(COUNT(F2840:H2840)=0,"",SUM(F2840:H2840))</f>
        <v/>
      </c>
      <c r="J2840" s="23" t="n"/>
      <c r="K2840" s="23" t="n"/>
      <c r="L2840" s="23" t="n"/>
      <c r="M2840" s="23" t="n"/>
      <c r="N2840" s="23" t="n"/>
      <c r="O2840" s="20">
        <f>IF(OR(I2840="",COUNT(J2840:N2840)=0),"",IF(SUM(J2840:N2840)=I2840,"✓","⚠ "&amp;SUM(J2840:N2840)&amp;" statt "&amp;I2840))</f>
        <v/>
      </c>
      <c r="P2840" s="21" t="n"/>
      <c r="Q2840" s="21" t="n"/>
      <c r="R2840" s="21" t="n"/>
      <c r="S2840" s="24" t="n"/>
      <c r="T2840" s="24" t="n"/>
      <c r="V2840">
        <f>IF(A2840="","",MONTH(A2840))</f>
        <v/>
      </c>
      <c r="W2840">
        <f>N(W2839)+IF(AND(C2840&lt;&gt;"",T2840&lt;&gt;""),IF(C2840=WOCHE!$B$3,1,0),0)</f>
        <v/>
      </c>
      <c r="X2840">
        <f>N(X2839)+IF(AND(V2840&lt;&gt;"",T2840&lt;&gt;""),IF(V2840=MONAT!$AZ$3,1,0),0)</f>
        <v/>
      </c>
    </row>
    <row r="2841">
      <c r="A2841" s="19" t="n"/>
      <c r="B2841" s="20">
        <f>IF(A2841="","",CHOOSE(WEEKDAY(A2841,2),"Mo","Di","Mi","Do","Fr","Sa","So"))</f>
        <v/>
      </c>
      <c r="C2841" s="20">
        <f>IF(A2841="","",INT((A2841-DATE(YEAR(A2841-WEEKDAY(A2841-1)+4),1,3)+WEEKDAY(DATE(YEAR(A2841-WEEKDAY(A2841-1)+4),1,3))+5)/7))</f>
        <v/>
      </c>
      <c r="D2841" s="21" t="n"/>
      <c r="E2841" s="22" t="n"/>
      <c r="F2841" s="23" t="n"/>
      <c r="G2841" s="23" t="n"/>
      <c r="H2841" s="23" t="n"/>
      <c r="I2841" s="20">
        <f>IF(COUNT(F2841:H2841)=0,"",SUM(F2841:H2841))</f>
        <v/>
      </c>
      <c r="J2841" s="23" t="n"/>
      <c r="K2841" s="23" t="n"/>
      <c r="L2841" s="23" t="n"/>
      <c r="M2841" s="23" t="n"/>
      <c r="N2841" s="23" t="n"/>
      <c r="O2841" s="20">
        <f>IF(OR(I2841="",COUNT(J2841:N2841)=0),"",IF(SUM(J2841:N2841)=I2841,"✓","⚠ "&amp;SUM(J2841:N2841)&amp;" statt "&amp;I2841))</f>
        <v/>
      </c>
      <c r="P2841" s="21" t="n"/>
      <c r="Q2841" s="21" t="n"/>
      <c r="R2841" s="21" t="n"/>
      <c r="S2841" s="24" t="n"/>
      <c r="T2841" s="24" t="n"/>
      <c r="V2841">
        <f>IF(A2841="","",MONTH(A2841))</f>
        <v/>
      </c>
      <c r="W2841">
        <f>N(W2840)+IF(AND(C2841&lt;&gt;"",T2841&lt;&gt;""),IF(C2841=WOCHE!$B$3,1,0),0)</f>
        <v/>
      </c>
      <c r="X2841">
        <f>N(X2840)+IF(AND(V2841&lt;&gt;"",T2841&lt;&gt;""),IF(V2841=MONAT!$AZ$3,1,0),0)</f>
        <v/>
      </c>
    </row>
    <row r="2842">
      <c r="A2842" s="19" t="n"/>
      <c r="B2842" s="20">
        <f>IF(A2842="","",CHOOSE(WEEKDAY(A2842,2),"Mo","Di","Mi","Do","Fr","Sa","So"))</f>
        <v/>
      </c>
      <c r="C2842" s="20">
        <f>IF(A2842="","",INT((A2842-DATE(YEAR(A2842-WEEKDAY(A2842-1)+4),1,3)+WEEKDAY(DATE(YEAR(A2842-WEEKDAY(A2842-1)+4),1,3))+5)/7))</f>
        <v/>
      </c>
      <c r="D2842" s="21" t="n"/>
      <c r="E2842" s="22" t="n"/>
      <c r="F2842" s="23" t="n"/>
      <c r="G2842" s="23" t="n"/>
      <c r="H2842" s="23" t="n"/>
      <c r="I2842" s="20">
        <f>IF(COUNT(F2842:H2842)=0,"",SUM(F2842:H2842))</f>
        <v/>
      </c>
      <c r="J2842" s="23" t="n"/>
      <c r="K2842" s="23" t="n"/>
      <c r="L2842" s="23" t="n"/>
      <c r="M2842" s="23" t="n"/>
      <c r="N2842" s="23" t="n"/>
      <c r="O2842" s="20">
        <f>IF(OR(I2842="",COUNT(J2842:N2842)=0),"",IF(SUM(J2842:N2842)=I2842,"✓","⚠ "&amp;SUM(J2842:N2842)&amp;" statt "&amp;I2842))</f>
        <v/>
      </c>
      <c r="P2842" s="21" t="n"/>
      <c r="Q2842" s="21" t="n"/>
      <c r="R2842" s="21" t="n"/>
      <c r="S2842" s="24" t="n"/>
      <c r="T2842" s="24" t="n"/>
      <c r="V2842">
        <f>IF(A2842="","",MONTH(A2842))</f>
        <v/>
      </c>
      <c r="W2842">
        <f>N(W2841)+IF(AND(C2842&lt;&gt;"",T2842&lt;&gt;""),IF(C2842=WOCHE!$B$3,1,0),0)</f>
        <v/>
      </c>
      <c r="X2842">
        <f>N(X2841)+IF(AND(V2842&lt;&gt;"",T2842&lt;&gt;""),IF(V2842=MONAT!$AZ$3,1,0),0)</f>
        <v/>
      </c>
    </row>
    <row r="2843">
      <c r="A2843" s="19" t="n"/>
      <c r="B2843" s="20">
        <f>IF(A2843="","",CHOOSE(WEEKDAY(A2843,2),"Mo","Di","Mi","Do","Fr","Sa","So"))</f>
        <v/>
      </c>
      <c r="C2843" s="20">
        <f>IF(A2843="","",INT((A2843-DATE(YEAR(A2843-WEEKDAY(A2843-1)+4),1,3)+WEEKDAY(DATE(YEAR(A2843-WEEKDAY(A2843-1)+4),1,3))+5)/7))</f>
        <v/>
      </c>
      <c r="D2843" s="21" t="n"/>
      <c r="E2843" s="22" t="n"/>
      <c r="F2843" s="23" t="n"/>
      <c r="G2843" s="23" t="n"/>
      <c r="H2843" s="23" t="n"/>
      <c r="I2843" s="20">
        <f>IF(COUNT(F2843:H2843)=0,"",SUM(F2843:H2843))</f>
        <v/>
      </c>
      <c r="J2843" s="23" t="n"/>
      <c r="K2843" s="23" t="n"/>
      <c r="L2843" s="23" t="n"/>
      <c r="M2843" s="23" t="n"/>
      <c r="N2843" s="23" t="n"/>
      <c r="O2843" s="20">
        <f>IF(OR(I2843="",COUNT(J2843:N2843)=0),"",IF(SUM(J2843:N2843)=I2843,"✓","⚠ "&amp;SUM(J2843:N2843)&amp;" statt "&amp;I2843))</f>
        <v/>
      </c>
      <c r="P2843" s="21" t="n"/>
      <c r="Q2843" s="21" t="n"/>
      <c r="R2843" s="21" t="n"/>
      <c r="S2843" s="24" t="n"/>
      <c r="T2843" s="24" t="n"/>
      <c r="V2843">
        <f>IF(A2843="","",MONTH(A2843))</f>
        <v/>
      </c>
      <c r="W2843">
        <f>N(W2842)+IF(AND(C2843&lt;&gt;"",T2843&lt;&gt;""),IF(C2843=WOCHE!$B$3,1,0),0)</f>
        <v/>
      </c>
      <c r="X2843">
        <f>N(X2842)+IF(AND(V2843&lt;&gt;"",T2843&lt;&gt;""),IF(V2843=MONAT!$AZ$3,1,0),0)</f>
        <v/>
      </c>
    </row>
    <row r="2844">
      <c r="A2844" s="19" t="n"/>
      <c r="B2844" s="20">
        <f>IF(A2844="","",CHOOSE(WEEKDAY(A2844,2),"Mo","Di","Mi","Do","Fr","Sa","So"))</f>
        <v/>
      </c>
      <c r="C2844" s="20">
        <f>IF(A2844="","",INT((A2844-DATE(YEAR(A2844-WEEKDAY(A2844-1)+4),1,3)+WEEKDAY(DATE(YEAR(A2844-WEEKDAY(A2844-1)+4),1,3))+5)/7))</f>
        <v/>
      </c>
      <c r="D2844" s="21" t="n"/>
      <c r="E2844" s="22" t="n"/>
      <c r="F2844" s="23" t="n"/>
      <c r="G2844" s="23" t="n"/>
      <c r="H2844" s="23" t="n"/>
      <c r="I2844" s="20">
        <f>IF(COUNT(F2844:H2844)=0,"",SUM(F2844:H2844))</f>
        <v/>
      </c>
      <c r="J2844" s="23" t="n"/>
      <c r="K2844" s="23" t="n"/>
      <c r="L2844" s="23" t="n"/>
      <c r="M2844" s="23" t="n"/>
      <c r="N2844" s="23" t="n"/>
      <c r="O2844" s="20">
        <f>IF(OR(I2844="",COUNT(J2844:N2844)=0),"",IF(SUM(J2844:N2844)=I2844,"✓","⚠ "&amp;SUM(J2844:N2844)&amp;" statt "&amp;I2844))</f>
        <v/>
      </c>
      <c r="P2844" s="21" t="n"/>
      <c r="Q2844" s="21" t="n"/>
      <c r="R2844" s="21" t="n"/>
      <c r="S2844" s="24" t="n"/>
      <c r="T2844" s="24" t="n"/>
      <c r="V2844">
        <f>IF(A2844="","",MONTH(A2844))</f>
        <v/>
      </c>
      <c r="W2844">
        <f>N(W2843)+IF(AND(C2844&lt;&gt;"",T2844&lt;&gt;""),IF(C2844=WOCHE!$B$3,1,0),0)</f>
        <v/>
      </c>
      <c r="X2844">
        <f>N(X2843)+IF(AND(V2844&lt;&gt;"",T2844&lt;&gt;""),IF(V2844=MONAT!$AZ$3,1,0),0)</f>
        <v/>
      </c>
    </row>
    <row r="2845">
      <c r="A2845" s="19" t="n"/>
      <c r="B2845" s="20">
        <f>IF(A2845="","",CHOOSE(WEEKDAY(A2845,2),"Mo","Di","Mi","Do","Fr","Sa","So"))</f>
        <v/>
      </c>
      <c r="C2845" s="20">
        <f>IF(A2845="","",INT((A2845-DATE(YEAR(A2845-WEEKDAY(A2845-1)+4),1,3)+WEEKDAY(DATE(YEAR(A2845-WEEKDAY(A2845-1)+4),1,3))+5)/7))</f>
        <v/>
      </c>
      <c r="D2845" s="21" t="n"/>
      <c r="E2845" s="22" t="n"/>
      <c r="F2845" s="23" t="n"/>
      <c r="G2845" s="23" t="n"/>
      <c r="H2845" s="23" t="n"/>
      <c r="I2845" s="20">
        <f>IF(COUNT(F2845:H2845)=0,"",SUM(F2845:H2845))</f>
        <v/>
      </c>
      <c r="J2845" s="23" t="n"/>
      <c r="K2845" s="23" t="n"/>
      <c r="L2845" s="23" t="n"/>
      <c r="M2845" s="23" t="n"/>
      <c r="N2845" s="23" t="n"/>
      <c r="O2845" s="20">
        <f>IF(OR(I2845="",COUNT(J2845:N2845)=0),"",IF(SUM(J2845:N2845)=I2845,"✓","⚠ "&amp;SUM(J2845:N2845)&amp;" statt "&amp;I2845))</f>
        <v/>
      </c>
      <c r="P2845" s="21" t="n"/>
      <c r="Q2845" s="21" t="n"/>
      <c r="R2845" s="21" t="n"/>
      <c r="S2845" s="24" t="n"/>
      <c r="T2845" s="24" t="n"/>
      <c r="V2845">
        <f>IF(A2845="","",MONTH(A2845))</f>
        <v/>
      </c>
      <c r="W2845">
        <f>N(W2844)+IF(AND(C2845&lt;&gt;"",T2845&lt;&gt;""),IF(C2845=WOCHE!$B$3,1,0),0)</f>
        <v/>
      </c>
      <c r="X2845">
        <f>N(X2844)+IF(AND(V2845&lt;&gt;"",T2845&lt;&gt;""),IF(V2845=MONAT!$AZ$3,1,0),0)</f>
        <v/>
      </c>
    </row>
    <row r="2846">
      <c r="A2846" s="19" t="n"/>
      <c r="B2846" s="20">
        <f>IF(A2846="","",CHOOSE(WEEKDAY(A2846,2),"Mo","Di","Mi","Do","Fr","Sa","So"))</f>
        <v/>
      </c>
      <c r="C2846" s="20">
        <f>IF(A2846="","",INT((A2846-DATE(YEAR(A2846-WEEKDAY(A2846-1)+4),1,3)+WEEKDAY(DATE(YEAR(A2846-WEEKDAY(A2846-1)+4),1,3))+5)/7))</f>
        <v/>
      </c>
      <c r="D2846" s="21" t="n"/>
      <c r="E2846" s="22" t="n"/>
      <c r="F2846" s="23" t="n"/>
      <c r="G2846" s="23" t="n"/>
      <c r="H2846" s="23" t="n"/>
      <c r="I2846" s="20">
        <f>IF(COUNT(F2846:H2846)=0,"",SUM(F2846:H2846))</f>
        <v/>
      </c>
      <c r="J2846" s="23" t="n"/>
      <c r="K2846" s="23" t="n"/>
      <c r="L2846" s="23" t="n"/>
      <c r="M2846" s="23" t="n"/>
      <c r="N2846" s="23" t="n"/>
      <c r="O2846" s="20">
        <f>IF(OR(I2846="",COUNT(J2846:N2846)=0),"",IF(SUM(J2846:N2846)=I2846,"✓","⚠ "&amp;SUM(J2846:N2846)&amp;" statt "&amp;I2846))</f>
        <v/>
      </c>
      <c r="P2846" s="21" t="n"/>
      <c r="Q2846" s="21" t="n"/>
      <c r="R2846" s="21" t="n"/>
      <c r="S2846" s="24" t="n"/>
      <c r="T2846" s="24" t="n"/>
      <c r="V2846">
        <f>IF(A2846="","",MONTH(A2846))</f>
        <v/>
      </c>
      <c r="W2846">
        <f>N(W2845)+IF(AND(C2846&lt;&gt;"",T2846&lt;&gt;""),IF(C2846=WOCHE!$B$3,1,0),0)</f>
        <v/>
      </c>
      <c r="X2846">
        <f>N(X2845)+IF(AND(V2846&lt;&gt;"",T2846&lt;&gt;""),IF(V2846=MONAT!$AZ$3,1,0),0)</f>
        <v/>
      </c>
    </row>
    <row r="2847">
      <c r="A2847" s="19" t="n"/>
      <c r="B2847" s="20">
        <f>IF(A2847="","",CHOOSE(WEEKDAY(A2847,2),"Mo","Di","Mi","Do","Fr","Sa","So"))</f>
        <v/>
      </c>
      <c r="C2847" s="20">
        <f>IF(A2847="","",INT((A2847-DATE(YEAR(A2847-WEEKDAY(A2847-1)+4),1,3)+WEEKDAY(DATE(YEAR(A2847-WEEKDAY(A2847-1)+4),1,3))+5)/7))</f>
        <v/>
      </c>
      <c r="D2847" s="21" t="n"/>
      <c r="E2847" s="22" t="n"/>
      <c r="F2847" s="23" t="n"/>
      <c r="G2847" s="23" t="n"/>
      <c r="H2847" s="23" t="n"/>
      <c r="I2847" s="20">
        <f>IF(COUNT(F2847:H2847)=0,"",SUM(F2847:H2847))</f>
        <v/>
      </c>
      <c r="J2847" s="23" t="n"/>
      <c r="K2847" s="23" t="n"/>
      <c r="L2847" s="23" t="n"/>
      <c r="M2847" s="23" t="n"/>
      <c r="N2847" s="23" t="n"/>
      <c r="O2847" s="20">
        <f>IF(OR(I2847="",COUNT(J2847:N2847)=0),"",IF(SUM(J2847:N2847)=I2847,"✓","⚠ "&amp;SUM(J2847:N2847)&amp;" statt "&amp;I2847))</f>
        <v/>
      </c>
      <c r="P2847" s="21" t="n"/>
      <c r="Q2847" s="21" t="n"/>
      <c r="R2847" s="21" t="n"/>
      <c r="S2847" s="24" t="n"/>
      <c r="T2847" s="24" t="n"/>
      <c r="V2847">
        <f>IF(A2847="","",MONTH(A2847))</f>
        <v/>
      </c>
      <c r="W2847">
        <f>N(W2846)+IF(AND(C2847&lt;&gt;"",T2847&lt;&gt;""),IF(C2847=WOCHE!$B$3,1,0),0)</f>
        <v/>
      </c>
      <c r="X2847">
        <f>N(X2846)+IF(AND(V2847&lt;&gt;"",T2847&lt;&gt;""),IF(V2847=MONAT!$AZ$3,1,0),0)</f>
        <v/>
      </c>
    </row>
    <row r="2848">
      <c r="A2848" s="19" t="n"/>
      <c r="B2848" s="20">
        <f>IF(A2848="","",CHOOSE(WEEKDAY(A2848,2),"Mo","Di","Mi","Do","Fr","Sa","So"))</f>
        <v/>
      </c>
      <c r="C2848" s="20">
        <f>IF(A2848="","",INT((A2848-DATE(YEAR(A2848-WEEKDAY(A2848-1)+4),1,3)+WEEKDAY(DATE(YEAR(A2848-WEEKDAY(A2848-1)+4),1,3))+5)/7))</f>
        <v/>
      </c>
      <c r="D2848" s="21" t="n"/>
      <c r="E2848" s="22" t="n"/>
      <c r="F2848" s="23" t="n"/>
      <c r="G2848" s="23" t="n"/>
      <c r="H2848" s="23" t="n"/>
      <c r="I2848" s="20">
        <f>IF(COUNT(F2848:H2848)=0,"",SUM(F2848:H2848))</f>
        <v/>
      </c>
      <c r="J2848" s="23" t="n"/>
      <c r="K2848" s="23" t="n"/>
      <c r="L2848" s="23" t="n"/>
      <c r="M2848" s="23" t="n"/>
      <c r="N2848" s="23" t="n"/>
      <c r="O2848" s="20">
        <f>IF(OR(I2848="",COUNT(J2848:N2848)=0),"",IF(SUM(J2848:N2848)=I2848,"✓","⚠ "&amp;SUM(J2848:N2848)&amp;" statt "&amp;I2848))</f>
        <v/>
      </c>
      <c r="P2848" s="21" t="n"/>
      <c r="Q2848" s="21" t="n"/>
      <c r="R2848" s="21" t="n"/>
      <c r="S2848" s="24" t="n"/>
      <c r="T2848" s="24" t="n"/>
      <c r="V2848">
        <f>IF(A2848="","",MONTH(A2848))</f>
        <v/>
      </c>
      <c r="W2848">
        <f>N(W2847)+IF(AND(C2848&lt;&gt;"",T2848&lt;&gt;""),IF(C2848=WOCHE!$B$3,1,0),0)</f>
        <v/>
      </c>
      <c r="X2848">
        <f>N(X2847)+IF(AND(V2848&lt;&gt;"",T2848&lt;&gt;""),IF(V2848=MONAT!$AZ$3,1,0),0)</f>
        <v/>
      </c>
    </row>
    <row r="2849">
      <c r="A2849" s="19" t="n"/>
      <c r="B2849" s="20">
        <f>IF(A2849="","",CHOOSE(WEEKDAY(A2849,2),"Mo","Di","Mi","Do","Fr","Sa","So"))</f>
        <v/>
      </c>
      <c r="C2849" s="20">
        <f>IF(A2849="","",INT((A2849-DATE(YEAR(A2849-WEEKDAY(A2849-1)+4),1,3)+WEEKDAY(DATE(YEAR(A2849-WEEKDAY(A2849-1)+4),1,3))+5)/7))</f>
        <v/>
      </c>
      <c r="D2849" s="21" t="n"/>
      <c r="E2849" s="22" t="n"/>
      <c r="F2849" s="23" t="n"/>
      <c r="G2849" s="23" t="n"/>
      <c r="H2849" s="23" t="n"/>
      <c r="I2849" s="20">
        <f>IF(COUNT(F2849:H2849)=0,"",SUM(F2849:H2849))</f>
        <v/>
      </c>
      <c r="J2849" s="23" t="n"/>
      <c r="K2849" s="23" t="n"/>
      <c r="L2849" s="23" t="n"/>
      <c r="M2849" s="23" t="n"/>
      <c r="N2849" s="23" t="n"/>
      <c r="O2849" s="20">
        <f>IF(OR(I2849="",COUNT(J2849:N2849)=0),"",IF(SUM(J2849:N2849)=I2849,"✓","⚠ "&amp;SUM(J2849:N2849)&amp;" statt "&amp;I2849))</f>
        <v/>
      </c>
      <c r="P2849" s="21" t="n"/>
      <c r="Q2849" s="21" t="n"/>
      <c r="R2849" s="21" t="n"/>
      <c r="S2849" s="24" t="n"/>
      <c r="T2849" s="24" t="n"/>
      <c r="V2849">
        <f>IF(A2849="","",MONTH(A2849))</f>
        <v/>
      </c>
      <c r="W2849">
        <f>N(W2848)+IF(AND(C2849&lt;&gt;"",T2849&lt;&gt;""),IF(C2849=WOCHE!$B$3,1,0),0)</f>
        <v/>
      </c>
      <c r="X2849">
        <f>N(X2848)+IF(AND(V2849&lt;&gt;"",T2849&lt;&gt;""),IF(V2849=MONAT!$AZ$3,1,0),0)</f>
        <v/>
      </c>
    </row>
    <row r="2850">
      <c r="A2850" s="19" t="n"/>
      <c r="B2850" s="20">
        <f>IF(A2850="","",CHOOSE(WEEKDAY(A2850,2),"Mo","Di","Mi","Do","Fr","Sa","So"))</f>
        <v/>
      </c>
      <c r="C2850" s="20">
        <f>IF(A2850="","",INT((A2850-DATE(YEAR(A2850-WEEKDAY(A2850-1)+4),1,3)+WEEKDAY(DATE(YEAR(A2850-WEEKDAY(A2850-1)+4),1,3))+5)/7))</f>
        <v/>
      </c>
      <c r="D2850" s="21" t="n"/>
      <c r="E2850" s="22" t="n"/>
      <c r="F2850" s="23" t="n"/>
      <c r="G2850" s="23" t="n"/>
      <c r="H2850" s="23" t="n"/>
      <c r="I2850" s="20">
        <f>IF(COUNT(F2850:H2850)=0,"",SUM(F2850:H2850))</f>
        <v/>
      </c>
      <c r="J2850" s="23" t="n"/>
      <c r="K2850" s="23" t="n"/>
      <c r="L2850" s="23" t="n"/>
      <c r="M2850" s="23" t="n"/>
      <c r="N2850" s="23" t="n"/>
      <c r="O2850" s="20">
        <f>IF(OR(I2850="",COUNT(J2850:N2850)=0),"",IF(SUM(J2850:N2850)=I2850,"✓","⚠ "&amp;SUM(J2850:N2850)&amp;" statt "&amp;I2850))</f>
        <v/>
      </c>
      <c r="P2850" s="21" t="n"/>
      <c r="Q2850" s="21" t="n"/>
      <c r="R2850" s="21" t="n"/>
      <c r="S2850" s="24" t="n"/>
      <c r="T2850" s="24" t="n"/>
      <c r="V2850">
        <f>IF(A2850="","",MONTH(A2850))</f>
        <v/>
      </c>
      <c r="W2850">
        <f>N(W2849)+IF(AND(C2850&lt;&gt;"",T2850&lt;&gt;""),IF(C2850=WOCHE!$B$3,1,0),0)</f>
        <v/>
      </c>
      <c r="X2850">
        <f>N(X2849)+IF(AND(V2850&lt;&gt;"",T2850&lt;&gt;""),IF(V2850=MONAT!$AZ$3,1,0),0)</f>
        <v/>
      </c>
    </row>
    <row r="2851">
      <c r="A2851" s="19" t="n"/>
      <c r="B2851" s="20">
        <f>IF(A2851="","",CHOOSE(WEEKDAY(A2851,2),"Mo","Di","Mi","Do","Fr","Sa","So"))</f>
        <v/>
      </c>
      <c r="C2851" s="20">
        <f>IF(A2851="","",INT((A2851-DATE(YEAR(A2851-WEEKDAY(A2851-1)+4),1,3)+WEEKDAY(DATE(YEAR(A2851-WEEKDAY(A2851-1)+4),1,3))+5)/7))</f>
        <v/>
      </c>
      <c r="D2851" s="21" t="n"/>
      <c r="E2851" s="22" t="n"/>
      <c r="F2851" s="23" t="n"/>
      <c r="G2851" s="23" t="n"/>
      <c r="H2851" s="23" t="n"/>
      <c r="I2851" s="20">
        <f>IF(COUNT(F2851:H2851)=0,"",SUM(F2851:H2851))</f>
        <v/>
      </c>
      <c r="J2851" s="23" t="n"/>
      <c r="K2851" s="23" t="n"/>
      <c r="L2851" s="23" t="n"/>
      <c r="M2851" s="23" t="n"/>
      <c r="N2851" s="23" t="n"/>
      <c r="O2851" s="20">
        <f>IF(OR(I2851="",COUNT(J2851:N2851)=0),"",IF(SUM(J2851:N2851)=I2851,"✓","⚠ "&amp;SUM(J2851:N2851)&amp;" statt "&amp;I2851))</f>
        <v/>
      </c>
      <c r="P2851" s="21" t="n"/>
      <c r="Q2851" s="21" t="n"/>
      <c r="R2851" s="21" t="n"/>
      <c r="S2851" s="24" t="n"/>
      <c r="T2851" s="24" t="n"/>
      <c r="V2851">
        <f>IF(A2851="","",MONTH(A2851))</f>
        <v/>
      </c>
      <c r="W2851">
        <f>N(W2850)+IF(AND(C2851&lt;&gt;"",T2851&lt;&gt;""),IF(C2851=WOCHE!$B$3,1,0),0)</f>
        <v/>
      </c>
      <c r="X2851">
        <f>N(X2850)+IF(AND(V2851&lt;&gt;"",T2851&lt;&gt;""),IF(V2851=MONAT!$AZ$3,1,0),0)</f>
        <v/>
      </c>
    </row>
    <row r="2852">
      <c r="A2852" s="19" t="n"/>
      <c r="B2852" s="20">
        <f>IF(A2852="","",CHOOSE(WEEKDAY(A2852,2),"Mo","Di","Mi","Do","Fr","Sa","So"))</f>
        <v/>
      </c>
      <c r="C2852" s="20">
        <f>IF(A2852="","",INT((A2852-DATE(YEAR(A2852-WEEKDAY(A2852-1)+4),1,3)+WEEKDAY(DATE(YEAR(A2852-WEEKDAY(A2852-1)+4),1,3))+5)/7))</f>
        <v/>
      </c>
      <c r="D2852" s="21" t="n"/>
      <c r="E2852" s="22" t="n"/>
      <c r="F2852" s="23" t="n"/>
      <c r="G2852" s="23" t="n"/>
      <c r="H2852" s="23" t="n"/>
      <c r="I2852" s="20">
        <f>IF(COUNT(F2852:H2852)=0,"",SUM(F2852:H2852))</f>
        <v/>
      </c>
      <c r="J2852" s="23" t="n"/>
      <c r="K2852" s="23" t="n"/>
      <c r="L2852" s="23" t="n"/>
      <c r="M2852" s="23" t="n"/>
      <c r="N2852" s="23" t="n"/>
      <c r="O2852" s="20">
        <f>IF(OR(I2852="",COUNT(J2852:N2852)=0),"",IF(SUM(J2852:N2852)=I2852,"✓","⚠ "&amp;SUM(J2852:N2852)&amp;" statt "&amp;I2852))</f>
        <v/>
      </c>
      <c r="P2852" s="21" t="n"/>
      <c r="Q2852" s="21" t="n"/>
      <c r="R2852" s="21" t="n"/>
      <c r="S2852" s="24" t="n"/>
      <c r="T2852" s="24" t="n"/>
      <c r="V2852">
        <f>IF(A2852="","",MONTH(A2852))</f>
        <v/>
      </c>
      <c r="W2852">
        <f>N(W2851)+IF(AND(C2852&lt;&gt;"",T2852&lt;&gt;""),IF(C2852=WOCHE!$B$3,1,0),0)</f>
        <v/>
      </c>
      <c r="X2852">
        <f>N(X2851)+IF(AND(V2852&lt;&gt;"",T2852&lt;&gt;""),IF(V2852=MONAT!$AZ$3,1,0),0)</f>
        <v/>
      </c>
    </row>
    <row r="2853">
      <c r="A2853" s="19" t="n"/>
      <c r="B2853" s="20">
        <f>IF(A2853="","",CHOOSE(WEEKDAY(A2853,2),"Mo","Di","Mi","Do","Fr","Sa","So"))</f>
        <v/>
      </c>
      <c r="C2853" s="20">
        <f>IF(A2853="","",INT((A2853-DATE(YEAR(A2853-WEEKDAY(A2853-1)+4),1,3)+WEEKDAY(DATE(YEAR(A2853-WEEKDAY(A2853-1)+4),1,3))+5)/7))</f>
        <v/>
      </c>
      <c r="D2853" s="21" t="n"/>
      <c r="E2853" s="22" t="n"/>
      <c r="F2853" s="23" t="n"/>
      <c r="G2853" s="23" t="n"/>
      <c r="H2853" s="23" t="n"/>
      <c r="I2853" s="20">
        <f>IF(COUNT(F2853:H2853)=0,"",SUM(F2853:H2853))</f>
        <v/>
      </c>
      <c r="J2853" s="23" t="n"/>
      <c r="K2853" s="23" t="n"/>
      <c r="L2853" s="23" t="n"/>
      <c r="M2853" s="23" t="n"/>
      <c r="N2853" s="23" t="n"/>
      <c r="O2853" s="20">
        <f>IF(OR(I2853="",COUNT(J2853:N2853)=0),"",IF(SUM(J2853:N2853)=I2853,"✓","⚠ "&amp;SUM(J2853:N2853)&amp;" statt "&amp;I2853))</f>
        <v/>
      </c>
      <c r="P2853" s="21" t="n"/>
      <c r="Q2853" s="21" t="n"/>
      <c r="R2853" s="21" t="n"/>
      <c r="S2853" s="24" t="n"/>
      <c r="T2853" s="24" t="n"/>
      <c r="V2853">
        <f>IF(A2853="","",MONTH(A2853))</f>
        <v/>
      </c>
      <c r="W2853">
        <f>N(W2852)+IF(AND(C2853&lt;&gt;"",T2853&lt;&gt;""),IF(C2853=WOCHE!$B$3,1,0),0)</f>
        <v/>
      </c>
      <c r="X2853">
        <f>N(X2852)+IF(AND(V2853&lt;&gt;"",T2853&lt;&gt;""),IF(V2853=MONAT!$AZ$3,1,0),0)</f>
        <v/>
      </c>
    </row>
    <row r="2854">
      <c r="A2854" s="19" t="n"/>
      <c r="B2854" s="20">
        <f>IF(A2854="","",CHOOSE(WEEKDAY(A2854,2),"Mo","Di","Mi","Do","Fr","Sa","So"))</f>
        <v/>
      </c>
      <c r="C2854" s="20">
        <f>IF(A2854="","",INT((A2854-DATE(YEAR(A2854-WEEKDAY(A2854-1)+4),1,3)+WEEKDAY(DATE(YEAR(A2854-WEEKDAY(A2854-1)+4),1,3))+5)/7))</f>
        <v/>
      </c>
      <c r="D2854" s="21" t="n"/>
      <c r="E2854" s="22" t="n"/>
      <c r="F2854" s="23" t="n"/>
      <c r="G2854" s="23" t="n"/>
      <c r="H2854" s="23" t="n"/>
      <c r="I2854" s="20">
        <f>IF(COUNT(F2854:H2854)=0,"",SUM(F2854:H2854))</f>
        <v/>
      </c>
      <c r="J2854" s="23" t="n"/>
      <c r="K2854" s="23" t="n"/>
      <c r="L2854" s="23" t="n"/>
      <c r="M2854" s="23" t="n"/>
      <c r="N2854" s="23" t="n"/>
      <c r="O2854" s="20">
        <f>IF(OR(I2854="",COUNT(J2854:N2854)=0),"",IF(SUM(J2854:N2854)=I2854,"✓","⚠ "&amp;SUM(J2854:N2854)&amp;" statt "&amp;I2854))</f>
        <v/>
      </c>
      <c r="P2854" s="21" t="n"/>
      <c r="Q2854" s="21" t="n"/>
      <c r="R2854" s="21" t="n"/>
      <c r="S2854" s="24" t="n"/>
      <c r="T2854" s="24" t="n"/>
      <c r="V2854">
        <f>IF(A2854="","",MONTH(A2854))</f>
        <v/>
      </c>
      <c r="W2854">
        <f>N(W2853)+IF(AND(C2854&lt;&gt;"",T2854&lt;&gt;""),IF(C2854=WOCHE!$B$3,1,0),0)</f>
        <v/>
      </c>
      <c r="X2854">
        <f>N(X2853)+IF(AND(V2854&lt;&gt;"",T2854&lt;&gt;""),IF(V2854=MONAT!$AZ$3,1,0),0)</f>
        <v/>
      </c>
    </row>
    <row r="2855">
      <c r="A2855" s="19" t="n"/>
      <c r="B2855" s="20">
        <f>IF(A2855="","",CHOOSE(WEEKDAY(A2855,2),"Mo","Di","Mi","Do","Fr","Sa","So"))</f>
        <v/>
      </c>
      <c r="C2855" s="20">
        <f>IF(A2855="","",INT((A2855-DATE(YEAR(A2855-WEEKDAY(A2855-1)+4),1,3)+WEEKDAY(DATE(YEAR(A2855-WEEKDAY(A2855-1)+4),1,3))+5)/7))</f>
        <v/>
      </c>
      <c r="D2855" s="21" t="n"/>
      <c r="E2855" s="22" t="n"/>
      <c r="F2855" s="23" t="n"/>
      <c r="G2855" s="23" t="n"/>
      <c r="H2855" s="23" t="n"/>
      <c r="I2855" s="20">
        <f>IF(COUNT(F2855:H2855)=0,"",SUM(F2855:H2855))</f>
        <v/>
      </c>
      <c r="J2855" s="23" t="n"/>
      <c r="K2855" s="23" t="n"/>
      <c r="L2855" s="23" t="n"/>
      <c r="M2855" s="23" t="n"/>
      <c r="N2855" s="23" t="n"/>
      <c r="O2855" s="20">
        <f>IF(OR(I2855="",COUNT(J2855:N2855)=0),"",IF(SUM(J2855:N2855)=I2855,"✓","⚠ "&amp;SUM(J2855:N2855)&amp;" statt "&amp;I2855))</f>
        <v/>
      </c>
      <c r="P2855" s="21" t="n"/>
      <c r="Q2855" s="21" t="n"/>
      <c r="R2855" s="21" t="n"/>
      <c r="S2855" s="24" t="n"/>
      <c r="T2855" s="24" t="n"/>
      <c r="V2855">
        <f>IF(A2855="","",MONTH(A2855))</f>
        <v/>
      </c>
      <c r="W2855">
        <f>N(W2854)+IF(AND(C2855&lt;&gt;"",T2855&lt;&gt;""),IF(C2855=WOCHE!$B$3,1,0),0)</f>
        <v/>
      </c>
      <c r="X2855">
        <f>N(X2854)+IF(AND(V2855&lt;&gt;"",T2855&lt;&gt;""),IF(V2855=MONAT!$AZ$3,1,0),0)</f>
        <v/>
      </c>
    </row>
    <row r="2856">
      <c r="A2856" s="19" t="n"/>
      <c r="B2856" s="20">
        <f>IF(A2856="","",CHOOSE(WEEKDAY(A2856,2),"Mo","Di","Mi","Do","Fr","Sa","So"))</f>
        <v/>
      </c>
      <c r="C2856" s="20">
        <f>IF(A2856="","",INT((A2856-DATE(YEAR(A2856-WEEKDAY(A2856-1)+4),1,3)+WEEKDAY(DATE(YEAR(A2856-WEEKDAY(A2856-1)+4),1,3))+5)/7))</f>
        <v/>
      </c>
      <c r="D2856" s="21" t="n"/>
      <c r="E2856" s="22" t="n"/>
      <c r="F2856" s="23" t="n"/>
      <c r="G2856" s="23" t="n"/>
      <c r="H2856" s="23" t="n"/>
      <c r="I2856" s="20">
        <f>IF(COUNT(F2856:H2856)=0,"",SUM(F2856:H2856))</f>
        <v/>
      </c>
      <c r="J2856" s="23" t="n"/>
      <c r="K2856" s="23" t="n"/>
      <c r="L2856" s="23" t="n"/>
      <c r="M2856" s="23" t="n"/>
      <c r="N2856" s="23" t="n"/>
      <c r="O2856" s="20">
        <f>IF(OR(I2856="",COUNT(J2856:N2856)=0),"",IF(SUM(J2856:N2856)=I2856,"✓","⚠ "&amp;SUM(J2856:N2856)&amp;" statt "&amp;I2856))</f>
        <v/>
      </c>
      <c r="P2856" s="21" t="n"/>
      <c r="Q2856" s="21" t="n"/>
      <c r="R2856" s="21" t="n"/>
      <c r="S2856" s="24" t="n"/>
      <c r="T2856" s="24" t="n"/>
      <c r="V2856">
        <f>IF(A2856="","",MONTH(A2856))</f>
        <v/>
      </c>
      <c r="W2856">
        <f>N(W2855)+IF(AND(C2856&lt;&gt;"",T2856&lt;&gt;""),IF(C2856=WOCHE!$B$3,1,0),0)</f>
        <v/>
      </c>
      <c r="X2856">
        <f>N(X2855)+IF(AND(V2856&lt;&gt;"",T2856&lt;&gt;""),IF(V2856=MONAT!$AZ$3,1,0),0)</f>
        <v/>
      </c>
    </row>
    <row r="2857">
      <c r="A2857" s="19" t="n"/>
      <c r="B2857" s="20">
        <f>IF(A2857="","",CHOOSE(WEEKDAY(A2857,2),"Mo","Di","Mi","Do","Fr","Sa","So"))</f>
        <v/>
      </c>
      <c r="C2857" s="20">
        <f>IF(A2857="","",INT((A2857-DATE(YEAR(A2857-WEEKDAY(A2857-1)+4),1,3)+WEEKDAY(DATE(YEAR(A2857-WEEKDAY(A2857-1)+4),1,3))+5)/7))</f>
        <v/>
      </c>
      <c r="D2857" s="21" t="n"/>
      <c r="E2857" s="22" t="n"/>
      <c r="F2857" s="23" t="n"/>
      <c r="G2857" s="23" t="n"/>
      <c r="H2857" s="23" t="n"/>
      <c r="I2857" s="20">
        <f>IF(COUNT(F2857:H2857)=0,"",SUM(F2857:H2857))</f>
        <v/>
      </c>
      <c r="J2857" s="23" t="n"/>
      <c r="K2857" s="23" t="n"/>
      <c r="L2857" s="23" t="n"/>
      <c r="M2857" s="23" t="n"/>
      <c r="N2857" s="23" t="n"/>
      <c r="O2857" s="20">
        <f>IF(OR(I2857="",COUNT(J2857:N2857)=0),"",IF(SUM(J2857:N2857)=I2857,"✓","⚠ "&amp;SUM(J2857:N2857)&amp;" statt "&amp;I2857))</f>
        <v/>
      </c>
      <c r="P2857" s="21" t="n"/>
      <c r="Q2857" s="21" t="n"/>
      <c r="R2857" s="21" t="n"/>
      <c r="S2857" s="24" t="n"/>
      <c r="T2857" s="24" t="n"/>
      <c r="V2857">
        <f>IF(A2857="","",MONTH(A2857))</f>
        <v/>
      </c>
      <c r="W2857">
        <f>N(W2856)+IF(AND(C2857&lt;&gt;"",T2857&lt;&gt;""),IF(C2857=WOCHE!$B$3,1,0),0)</f>
        <v/>
      </c>
      <c r="X2857">
        <f>N(X2856)+IF(AND(V2857&lt;&gt;"",T2857&lt;&gt;""),IF(V2857=MONAT!$AZ$3,1,0),0)</f>
        <v/>
      </c>
    </row>
    <row r="2858">
      <c r="A2858" s="19" t="n"/>
      <c r="B2858" s="20">
        <f>IF(A2858="","",CHOOSE(WEEKDAY(A2858,2),"Mo","Di","Mi","Do","Fr","Sa","So"))</f>
        <v/>
      </c>
      <c r="C2858" s="20">
        <f>IF(A2858="","",INT((A2858-DATE(YEAR(A2858-WEEKDAY(A2858-1)+4),1,3)+WEEKDAY(DATE(YEAR(A2858-WEEKDAY(A2858-1)+4),1,3))+5)/7))</f>
        <v/>
      </c>
      <c r="D2858" s="21" t="n"/>
      <c r="E2858" s="22" t="n"/>
      <c r="F2858" s="23" t="n"/>
      <c r="G2858" s="23" t="n"/>
      <c r="H2858" s="23" t="n"/>
      <c r="I2858" s="20">
        <f>IF(COUNT(F2858:H2858)=0,"",SUM(F2858:H2858))</f>
        <v/>
      </c>
      <c r="J2858" s="23" t="n"/>
      <c r="K2858" s="23" t="n"/>
      <c r="L2858" s="23" t="n"/>
      <c r="M2858" s="23" t="n"/>
      <c r="N2858" s="23" t="n"/>
      <c r="O2858" s="20">
        <f>IF(OR(I2858="",COUNT(J2858:N2858)=0),"",IF(SUM(J2858:N2858)=I2858,"✓","⚠ "&amp;SUM(J2858:N2858)&amp;" statt "&amp;I2858))</f>
        <v/>
      </c>
      <c r="P2858" s="21" t="n"/>
      <c r="Q2858" s="21" t="n"/>
      <c r="R2858" s="21" t="n"/>
      <c r="S2858" s="24" t="n"/>
      <c r="T2858" s="24" t="n"/>
      <c r="V2858">
        <f>IF(A2858="","",MONTH(A2858))</f>
        <v/>
      </c>
      <c r="W2858">
        <f>N(W2857)+IF(AND(C2858&lt;&gt;"",T2858&lt;&gt;""),IF(C2858=WOCHE!$B$3,1,0),0)</f>
        <v/>
      </c>
      <c r="X2858">
        <f>N(X2857)+IF(AND(V2858&lt;&gt;"",T2858&lt;&gt;""),IF(V2858=MONAT!$AZ$3,1,0),0)</f>
        <v/>
      </c>
    </row>
    <row r="2859">
      <c r="A2859" s="19" t="n"/>
      <c r="B2859" s="20">
        <f>IF(A2859="","",CHOOSE(WEEKDAY(A2859,2),"Mo","Di","Mi","Do","Fr","Sa","So"))</f>
        <v/>
      </c>
      <c r="C2859" s="20">
        <f>IF(A2859="","",INT((A2859-DATE(YEAR(A2859-WEEKDAY(A2859-1)+4),1,3)+WEEKDAY(DATE(YEAR(A2859-WEEKDAY(A2859-1)+4),1,3))+5)/7))</f>
        <v/>
      </c>
      <c r="D2859" s="21" t="n"/>
      <c r="E2859" s="22" t="n"/>
      <c r="F2859" s="23" t="n"/>
      <c r="G2859" s="23" t="n"/>
      <c r="H2859" s="23" t="n"/>
      <c r="I2859" s="20">
        <f>IF(COUNT(F2859:H2859)=0,"",SUM(F2859:H2859))</f>
        <v/>
      </c>
      <c r="J2859" s="23" t="n"/>
      <c r="K2859" s="23" t="n"/>
      <c r="L2859" s="23" t="n"/>
      <c r="M2859" s="23" t="n"/>
      <c r="N2859" s="23" t="n"/>
      <c r="O2859" s="20">
        <f>IF(OR(I2859="",COUNT(J2859:N2859)=0),"",IF(SUM(J2859:N2859)=I2859,"✓","⚠ "&amp;SUM(J2859:N2859)&amp;" statt "&amp;I2859))</f>
        <v/>
      </c>
      <c r="P2859" s="21" t="n"/>
      <c r="Q2859" s="21" t="n"/>
      <c r="R2859" s="21" t="n"/>
      <c r="S2859" s="24" t="n"/>
      <c r="T2859" s="24" t="n"/>
      <c r="V2859">
        <f>IF(A2859="","",MONTH(A2859))</f>
        <v/>
      </c>
      <c r="W2859">
        <f>N(W2858)+IF(AND(C2859&lt;&gt;"",T2859&lt;&gt;""),IF(C2859=WOCHE!$B$3,1,0),0)</f>
        <v/>
      </c>
      <c r="X2859">
        <f>N(X2858)+IF(AND(V2859&lt;&gt;"",T2859&lt;&gt;""),IF(V2859=MONAT!$AZ$3,1,0),0)</f>
        <v/>
      </c>
    </row>
    <row r="2860">
      <c r="A2860" s="19" t="n"/>
      <c r="B2860" s="20">
        <f>IF(A2860="","",CHOOSE(WEEKDAY(A2860,2),"Mo","Di","Mi","Do","Fr","Sa","So"))</f>
        <v/>
      </c>
      <c r="C2860" s="20">
        <f>IF(A2860="","",INT((A2860-DATE(YEAR(A2860-WEEKDAY(A2860-1)+4),1,3)+WEEKDAY(DATE(YEAR(A2860-WEEKDAY(A2860-1)+4),1,3))+5)/7))</f>
        <v/>
      </c>
      <c r="D2860" s="21" t="n"/>
      <c r="E2860" s="22" t="n"/>
      <c r="F2860" s="23" t="n"/>
      <c r="G2860" s="23" t="n"/>
      <c r="H2860" s="23" t="n"/>
      <c r="I2860" s="20">
        <f>IF(COUNT(F2860:H2860)=0,"",SUM(F2860:H2860))</f>
        <v/>
      </c>
      <c r="J2860" s="23" t="n"/>
      <c r="K2860" s="23" t="n"/>
      <c r="L2860" s="23" t="n"/>
      <c r="M2860" s="23" t="n"/>
      <c r="N2860" s="23" t="n"/>
      <c r="O2860" s="20">
        <f>IF(OR(I2860="",COUNT(J2860:N2860)=0),"",IF(SUM(J2860:N2860)=I2860,"✓","⚠ "&amp;SUM(J2860:N2860)&amp;" statt "&amp;I2860))</f>
        <v/>
      </c>
      <c r="P2860" s="21" t="n"/>
      <c r="Q2860" s="21" t="n"/>
      <c r="R2860" s="21" t="n"/>
      <c r="S2860" s="24" t="n"/>
      <c r="T2860" s="24" t="n"/>
      <c r="V2860">
        <f>IF(A2860="","",MONTH(A2860))</f>
        <v/>
      </c>
      <c r="W2860">
        <f>N(W2859)+IF(AND(C2860&lt;&gt;"",T2860&lt;&gt;""),IF(C2860=WOCHE!$B$3,1,0),0)</f>
        <v/>
      </c>
      <c r="X2860">
        <f>N(X2859)+IF(AND(V2860&lt;&gt;"",T2860&lt;&gt;""),IF(V2860=MONAT!$AZ$3,1,0),0)</f>
        <v/>
      </c>
    </row>
    <row r="2861">
      <c r="A2861" s="19" t="n"/>
      <c r="B2861" s="20">
        <f>IF(A2861="","",CHOOSE(WEEKDAY(A2861,2),"Mo","Di","Mi","Do","Fr","Sa","So"))</f>
        <v/>
      </c>
      <c r="C2861" s="20">
        <f>IF(A2861="","",INT((A2861-DATE(YEAR(A2861-WEEKDAY(A2861-1)+4),1,3)+WEEKDAY(DATE(YEAR(A2861-WEEKDAY(A2861-1)+4),1,3))+5)/7))</f>
        <v/>
      </c>
      <c r="D2861" s="21" t="n"/>
      <c r="E2861" s="22" t="n"/>
      <c r="F2861" s="23" t="n"/>
      <c r="G2861" s="23" t="n"/>
      <c r="H2861" s="23" t="n"/>
      <c r="I2861" s="20">
        <f>IF(COUNT(F2861:H2861)=0,"",SUM(F2861:H2861))</f>
        <v/>
      </c>
      <c r="J2861" s="23" t="n"/>
      <c r="K2861" s="23" t="n"/>
      <c r="L2861" s="23" t="n"/>
      <c r="M2861" s="23" t="n"/>
      <c r="N2861" s="23" t="n"/>
      <c r="O2861" s="20">
        <f>IF(OR(I2861="",COUNT(J2861:N2861)=0),"",IF(SUM(J2861:N2861)=I2861,"✓","⚠ "&amp;SUM(J2861:N2861)&amp;" statt "&amp;I2861))</f>
        <v/>
      </c>
      <c r="P2861" s="21" t="n"/>
      <c r="Q2861" s="21" t="n"/>
      <c r="R2861" s="21" t="n"/>
      <c r="S2861" s="24" t="n"/>
      <c r="T2861" s="24" t="n"/>
      <c r="V2861">
        <f>IF(A2861="","",MONTH(A2861))</f>
        <v/>
      </c>
      <c r="W2861">
        <f>N(W2860)+IF(AND(C2861&lt;&gt;"",T2861&lt;&gt;""),IF(C2861=WOCHE!$B$3,1,0),0)</f>
        <v/>
      </c>
      <c r="X2861">
        <f>N(X2860)+IF(AND(V2861&lt;&gt;"",T2861&lt;&gt;""),IF(V2861=MONAT!$AZ$3,1,0),0)</f>
        <v/>
      </c>
    </row>
    <row r="2862">
      <c r="A2862" s="19" t="n"/>
      <c r="B2862" s="20">
        <f>IF(A2862="","",CHOOSE(WEEKDAY(A2862,2),"Mo","Di","Mi","Do","Fr","Sa","So"))</f>
        <v/>
      </c>
      <c r="C2862" s="20">
        <f>IF(A2862="","",INT((A2862-DATE(YEAR(A2862-WEEKDAY(A2862-1)+4),1,3)+WEEKDAY(DATE(YEAR(A2862-WEEKDAY(A2862-1)+4),1,3))+5)/7))</f>
        <v/>
      </c>
      <c r="D2862" s="21" t="n"/>
      <c r="E2862" s="22" t="n"/>
      <c r="F2862" s="23" t="n"/>
      <c r="G2862" s="23" t="n"/>
      <c r="H2862" s="23" t="n"/>
      <c r="I2862" s="20">
        <f>IF(COUNT(F2862:H2862)=0,"",SUM(F2862:H2862))</f>
        <v/>
      </c>
      <c r="J2862" s="23" t="n"/>
      <c r="K2862" s="23" t="n"/>
      <c r="L2862" s="23" t="n"/>
      <c r="M2862" s="23" t="n"/>
      <c r="N2862" s="23" t="n"/>
      <c r="O2862" s="20">
        <f>IF(OR(I2862="",COUNT(J2862:N2862)=0),"",IF(SUM(J2862:N2862)=I2862,"✓","⚠ "&amp;SUM(J2862:N2862)&amp;" statt "&amp;I2862))</f>
        <v/>
      </c>
      <c r="P2862" s="21" t="n"/>
      <c r="Q2862" s="21" t="n"/>
      <c r="R2862" s="21" t="n"/>
      <c r="S2862" s="24" t="n"/>
      <c r="T2862" s="24" t="n"/>
      <c r="V2862">
        <f>IF(A2862="","",MONTH(A2862))</f>
        <v/>
      </c>
      <c r="W2862">
        <f>N(W2861)+IF(AND(C2862&lt;&gt;"",T2862&lt;&gt;""),IF(C2862=WOCHE!$B$3,1,0),0)</f>
        <v/>
      </c>
      <c r="X2862">
        <f>N(X2861)+IF(AND(V2862&lt;&gt;"",T2862&lt;&gt;""),IF(V2862=MONAT!$AZ$3,1,0),0)</f>
        <v/>
      </c>
    </row>
    <row r="2863">
      <c r="A2863" s="19" t="n"/>
      <c r="B2863" s="20">
        <f>IF(A2863="","",CHOOSE(WEEKDAY(A2863,2),"Mo","Di","Mi","Do","Fr","Sa","So"))</f>
        <v/>
      </c>
      <c r="C2863" s="20">
        <f>IF(A2863="","",INT((A2863-DATE(YEAR(A2863-WEEKDAY(A2863-1)+4),1,3)+WEEKDAY(DATE(YEAR(A2863-WEEKDAY(A2863-1)+4),1,3))+5)/7))</f>
        <v/>
      </c>
      <c r="D2863" s="21" t="n"/>
      <c r="E2863" s="22" t="n"/>
      <c r="F2863" s="23" t="n"/>
      <c r="G2863" s="23" t="n"/>
      <c r="H2863" s="23" t="n"/>
      <c r="I2863" s="20">
        <f>IF(COUNT(F2863:H2863)=0,"",SUM(F2863:H2863))</f>
        <v/>
      </c>
      <c r="J2863" s="23" t="n"/>
      <c r="K2863" s="23" t="n"/>
      <c r="L2863" s="23" t="n"/>
      <c r="M2863" s="23" t="n"/>
      <c r="N2863" s="23" t="n"/>
      <c r="O2863" s="20">
        <f>IF(OR(I2863="",COUNT(J2863:N2863)=0),"",IF(SUM(J2863:N2863)=I2863,"✓","⚠ "&amp;SUM(J2863:N2863)&amp;" statt "&amp;I2863))</f>
        <v/>
      </c>
      <c r="P2863" s="21" t="n"/>
      <c r="Q2863" s="21" t="n"/>
      <c r="R2863" s="21" t="n"/>
      <c r="S2863" s="24" t="n"/>
      <c r="T2863" s="24" t="n"/>
      <c r="V2863">
        <f>IF(A2863="","",MONTH(A2863))</f>
        <v/>
      </c>
      <c r="W2863">
        <f>N(W2862)+IF(AND(C2863&lt;&gt;"",T2863&lt;&gt;""),IF(C2863=WOCHE!$B$3,1,0),0)</f>
        <v/>
      </c>
      <c r="X2863">
        <f>N(X2862)+IF(AND(V2863&lt;&gt;"",T2863&lt;&gt;""),IF(V2863=MONAT!$AZ$3,1,0),0)</f>
        <v/>
      </c>
    </row>
    <row r="2864">
      <c r="A2864" s="19" t="n"/>
      <c r="B2864" s="20">
        <f>IF(A2864="","",CHOOSE(WEEKDAY(A2864,2),"Mo","Di","Mi","Do","Fr","Sa","So"))</f>
        <v/>
      </c>
      <c r="C2864" s="20">
        <f>IF(A2864="","",INT((A2864-DATE(YEAR(A2864-WEEKDAY(A2864-1)+4),1,3)+WEEKDAY(DATE(YEAR(A2864-WEEKDAY(A2864-1)+4),1,3))+5)/7))</f>
        <v/>
      </c>
      <c r="D2864" s="21" t="n"/>
      <c r="E2864" s="22" t="n"/>
      <c r="F2864" s="23" t="n"/>
      <c r="G2864" s="23" t="n"/>
      <c r="H2864" s="23" t="n"/>
      <c r="I2864" s="20">
        <f>IF(COUNT(F2864:H2864)=0,"",SUM(F2864:H2864))</f>
        <v/>
      </c>
      <c r="J2864" s="23" t="n"/>
      <c r="K2864" s="23" t="n"/>
      <c r="L2864" s="23" t="n"/>
      <c r="M2864" s="23" t="n"/>
      <c r="N2864" s="23" t="n"/>
      <c r="O2864" s="20">
        <f>IF(OR(I2864="",COUNT(J2864:N2864)=0),"",IF(SUM(J2864:N2864)=I2864,"✓","⚠ "&amp;SUM(J2864:N2864)&amp;" statt "&amp;I2864))</f>
        <v/>
      </c>
      <c r="P2864" s="21" t="n"/>
      <c r="Q2864" s="21" t="n"/>
      <c r="R2864" s="21" t="n"/>
      <c r="S2864" s="24" t="n"/>
      <c r="T2864" s="24" t="n"/>
      <c r="V2864">
        <f>IF(A2864="","",MONTH(A2864))</f>
        <v/>
      </c>
      <c r="W2864">
        <f>N(W2863)+IF(AND(C2864&lt;&gt;"",T2864&lt;&gt;""),IF(C2864=WOCHE!$B$3,1,0),0)</f>
        <v/>
      </c>
      <c r="X2864">
        <f>N(X2863)+IF(AND(V2864&lt;&gt;"",T2864&lt;&gt;""),IF(V2864=MONAT!$AZ$3,1,0),0)</f>
        <v/>
      </c>
    </row>
    <row r="2865">
      <c r="A2865" s="19" t="n"/>
      <c r="B2865" s="20">
        <f>IF(A2865="","",CHOOSE(WEEKDAY(A2865,2),"Mo","Di","Mi","Do","Fr","Sa","So"))</f>
        <v/>
      </c>
      <c r="C2865" s="20">
        <f>IF(A2865="","",INT((A2865-DATE(YEAR(A2865-WEEKDAY(A2865-1)+4),1,3)+WEEKDAY(DATE(YEAR(A2865-WEEKDAY(A2865-1)+4),1,3))+5)/7))</f>
        <v/>
      </c>
      <c r="D2865" s="21" t="n"/>
      <c r="E2865" s="22" t="n"/>
      <c r="F2865" s="23" t="n"/>
      <c r="G2865" s="23" t="n"/>
      <c r="H2865" s="23" t="n"/>
      <c r="I2865" s="20">
        <f>IF(COUNT(F2865:H2865)=0,"",SUM(F2865:H2865))</f>
        <v/>
      </c>
      <c r="J2865" s="23" t="n"/>
      <c r="K2865" s="23" t="n"/>
      <c r="L2865" s="23" t="n"/>
      <c r="M2865" s="23" t="n"/>
      <c r="N2865" s="23" t="n"/>
      <c r="O2865" s="20">
        <f>IF(OR(I2865="",COUNT(J2865:N2865)=0),"",IF(SUM(J2865:N2865)=I2865,"✓","⚠ "&amp;SUM(J2865:N2865)&amp;" statt "&amp;I2865))</f>
        <v/>
      </c>
      <c r="P2865" s="21" t="n"/>
      <c r="Q2865" s="21" t="n"/>
      <c r="R2865" s="21" t="n"/>
      <c r="S2865" s="24" t="n"/>
      <c r="T2865" s="24" t="n"/>
      <c r="V2865">
        <f>IF(A2865="","",MONTH(A2865))</f>
        <v/>
      </c>
      <c r="W2865">
        <f>N(W2864)+IF(AND(C2865&lt;&gt;"",T2865&lt;&gt;""),IF(C2865=WOCHE!$B$3,1,0),0)</f>
        <v/>
      </c>
      <c r="X2865">
        <f>N(X2864)+IF(AND(V2865&lt;&gt;"",T2865&lt;&gt;""),IF(V2865=MONAT!$AZ$3,1,0),0)</f>
        <v/>
      </c>
    </row>
    <row r="2866">
      <c r="A2866" s="19" t="n"/>
      <c r="B2866" s="20">
        <f>IF(A2866="","",CHOOSE(WEEKDAY(A2866,2),"Mo","Di","Mi","Do","Fr","Sa","So"))</f>
        <v/>
      </c>
      <c r="C2866" s="20">
        <f>IF(A2866="","",INT((A2866-DATE(YEAR(A2866-WEEKDAY(A2866-1)+4),1,3)+WEEKDAY(DATE(YEAR(A2866-WEEKDAY(A2866-1)+4),1,3))+5)/7))</f>
        <v/>
      </c>
      <c r="D2866" s="21" t="n"/>
      <c r="E2866" s="22" t="n"/>
      <c r="F2866" s="23" t="n"/>
      <c r="G2866" s="23" t="n"/>
      <c r="H2866" s="23" t="n"/>
      <c r="I2866" s="20">
        <f>IF(COUNT(F2866:H2866)=0,"",SUM(F2866:H2866))</f>
        <v/>
      </c>
      <c r="J2866" s="23" t="n"/>
      <c r="K2866" s="23" t="n"/>
      <c r="L2866" s="23" t="n"/>
      <c r="M2866" s="23" t="n"/>
      <c r="N2866" s="23" t="n"/>
      <c r="O2866" s="20">
        <f>IF(OR(I2866="",COUNT(J2866:N2866)=0),"",IF(SUM(J2866:N2866)=I2866,"✓","⚠ "&amp;SUM(J2866:N2866)&amp;" statt "&amp;I2866))</f>
        <v/>
      </c>
      <c r="P2866" s="21" t="n"/>
      <c r="Q2866" s="21" t="n"/>
      <c r="R2866" s="21" t="n"/>
      <c r="S2866" s="24" t="n"/>
      <c r="T2866" s="24" t="n"/>
      <c r="V2866">
        <f>IF(A2866="","",MONTH(A2866))</f>
        <v/>
      </c>
      <c r="W2866">
        <f>N(W2865)+IF(AND(C2866&lt;&gt;"",T2866&lt;&gt;""),IF(C2866=WOCHE!$B$3,1,0),0)</f>
        <v/>
      </c>
      <c r="X2866">
        <f>N(X2865)+IF(AND(V2866&lt;&gt;"",T2866&lt;&gt;""),IF(V2866=MONAT!$AZ$3,1,0),0)</f>
        <v/>
      </c>
    </row>
    <row r="2867">
      <c r="A2867" s="19" t="n"/>
      <c r="B2867" s="20">
        <f>IF(A2867="","",CHOOSE(WEEKDAY(A2867,2),"Mo","Di","Mi","Do","Fr","Sa","So"))</f>
        <v/>
      </c>
      <c r="C2867" s="20">
        <f>IF(A2867="","",INT((A2867-DATE(YEAR(A2867-WEEKDAY(A2867-1)+4),1,3)+WEEKDAY(DATE(YEAR(A2867-WEEKDAY(A2867-1)+4),1,3))+5)/7))</f>
        <v/>
      </c>
      <c r="D2867" s="21" t="n"/>
      <c r="E2867" s="22" t="n"/>
      <c r="F2867" s="23" t="n"/>
      <c r="G2867" s="23" t="n"/>
      <c r="H2867" s="23" t="n"/>
      <c r="I2867" s="20">
        <f>IF(COUNT(F2867:H2867)=0,"",SUM(F2867:H2867))</f>
        <v/>
      </c>
      <c r="J2867" s="23" t="n"/>
      <c r="K2867" s="23" t="n"/>
      <c r="L2867" s="23" t="n"/>
      <c r="M2867" s="23" t="n"/>
      <c r="N2867" s="23" t="n"/>
      <c r="O2867" s="20">
        <f>IF(OR(I2867="",COUNT(J2867:N2867)=0),"",IF(SUM(J2867:N2867)=I2867,"✓","⚠ "&amp;SUM(J2867:N2867)&amp;" statt "&amp;I2867))</f>
        <v/>
      </c>
      <c r="P2867" s="21" t="n"/>
      <c r="Q2867" s="21" t="n"/>
      <c r="R2867" s="21" t="n"/>
      <c r="S2867" s="24" t="n"/>
      <c r="T2867" s="24" t="n"/>
      <c r="V2867">
        <f>IF(A2867="","",MONTH(A2867))</f>
        <v/>
      </c>
      <c r="W2867">
        <f>N(W2866)+IF(AND(C2867&lt;&gt;"",T2867&lt;&gt;""),IF(C2867=WOCHE!$B$3,1,0),0)</f>
        <v/>
      </c>
      <c r="X2867">
        <f>N(X2866)+IF(AND(V2867&lt;&gt;"",T2867&lt;&gt;""),IF(V2867=MONAT!$AZ$3,1,0),0)</f>
        <v/>
      </c>
    </row>
    <row r="2868">
      <c r="A2868" s="19" t="n"/>
      <c r="B2868" s="20">
        <f>IF(A2868="","",CHOOSE(WEEKDAY(A2868,2),"Mo","Di","Mi","Do","Fr","Sa","So"))</f>
        <v/>
      </c>
      <c r="C2868" s="20">
        <f>IF(A2868="","",INT((A2868-DATE(YEAR(A2868-WEEKDAY(A2868-1)+4),1,3)+WEEKDAY(DATE(YEAR(A2868-WEEKDAY(A2868-1)+4),1,3))+5)/7))</f>
        <v/>
      </c>
      <c r="D2868" s="21" t="n"/>
      <c r="E2868" s="22" t="n"/>
      <c r="F2868" s="23" t="n"/>
      <c r="G2868" s="23" t="n"/>
      <c r="H2868" s="23" t="n"/>
      <c r="I2868" s="20">
        <f>IF(COUNT(F2868:H2868)=0,"",SUM(F2868:H2868))</f>
        <v/>
      </c>
      <c r="J2868" s="23" t="n"/>
      <c r="K2868" s="23" t="n"/>
      <c r="L2868" s="23" t="n"/>
      <c r="M2868" s="23" t="n"/>
      <c r="N2868" s="23" t="n"/>
      <c r="O2868" s="20">
        <f>IF(OR(I2868="",COUNT(J2868:N2868)=0),"",IF(SUM(J2868:N2868)=I2868,"✓","⚠ "&amp;SUM(J2868:N2868)&amp;" statt "&amp;I2868))</f>
        <v/>
      </c>
      <c r="P2868" s="21" t="n"/>
      <c r="Q2868" s="21" t="n"/>
      <c r="R2868" s="21" t="n"/>
      <c r="S2868" s="24" t="n"/>
      <c r="T2868" s="24" t="n"/>
      <c r="V2868">
        <f>IF(A2868="","",MONTH(A2868))</f>
        <v/>
      </c>
      <c r="W2868">
        <f>N(W2867)+IF(AND(C2868&lt;&gt;"",T2868&lt;&gt;""),IF(C2868=WOCHE!$B$3,1,0),0)</f>
        <v/>
      </c>
      <c r="X2868">
        <f>N(X2867)+IF(AND(V2868&lt;&gt;"",T2868&lt;&gt;""),IF(V2868=MONAT!$AZ$3,1,0),0)</f>
        <v/>
      </c>
    </row>
    <row r="2869">
      <c r="A2869" s="19" t="n"/>
      <c r="B2869" s="20">
        <f>IF(A2869="","",CHOOSE(WEEKDAY(A2869,2),"Mo","Di","Mi","Do","Fr","Sa","So"))</f>
        <v/>
      </c>
      <c r="C2869" s="20">
        <f>IF(A2869="","",INT((A2869-DATE(YEAR(A2869-WEEKDAY(A2869-1)+4),1,3)+WEEKDAY(DATE(YEAR(A2869-WEEKDAY(A2869-1)+4),1,3))+5)/7))</f>
        <v/>
      </c>
      <c r="D2869" s="21" t="n"/>
      <c r="E2869" s="22" t="n"/>
      <c r="F2869" s="23" t="n"/>
      <c r="G2869" s="23" t="n"/>
      <c r="H2869" s="23" t="n"/>
      <c r="I2869" s="20">
        <f>IF(COUNT(F2869:H2869)=0,"",SUM(F2869:H2869))</f>
        <v/>
      </c>
      <c r="J2869" s="23" t="n"/>
      <c r="K2869" s="23" t="n"/>
      <c r="L2869" s="23" t="n"/>
      <c r="M2869" s="23" t="n"/>
      <c r="N2869" s="23" t="n"/>
      <c r="O2869" s="20">
        <f>IF(OR(I2869="",COUNT(J2869:N2869)=0),"",IF(SUM(J2869:N2869)=I2869,"✓","⚠ "&amp;SUM(J2869:N2869)&amp;" statt "&amp;I2869))</f>
        <v/>
      </c>
      <c r="P2869" s="21" t="n"/>
      <c r="Q2869" s="21" t="n"/>
      <c r="R2869" s="21" t="n"/>
      <c r="S2869" s="24" t="n"/>
      <c r="T2869" s="24" t="n"/>
      <c r="V2869">
        <f>IF(A2869="","",MONTH(A2869))</f>
        <v/>
      </c>
      <c r="W2869">
        <f>N(W2868)+IF(AND(C2869&lt;&gt;"",T2869&lt;&gt;""),IF(C2869=WOCHE!$B$3,1,0),0)</f>
        <v/>
      </c>
      <c r="X2869">
        <f>N(X2868)+IF(AND(V2869&lt;&gt;"",T2869&lt;&gt;""),IF(V2869=MONAT!$AZ$3,1,0),0)</f>
        <v/>
      </c>
    </row>
    <row r="2870">
      <c r="A2870" s="19" t="n"/>
      <c r="B2870" s="20">
        <f>IF(A2870="","",CHOOSE(WEEKDAY(A2870,2),"Mo","Di","Mi","Do","Fr","Sa","So"))</f>
        <v/>
      </c>
      <c r="C2870" s="20">
        <f>IF(A2870="","",INT((A2870-DATE(YEAR(A2870-WEEKDAY(A2870-1)+4),1,3)+WEEKDAY(DATE(YEAR(A2870-WEEKDAY(A2870-1)+4),1,3))+5)/7))</f>
        <v/>
      </c>
      <c r="D2870" s="21" t="n"/>
      <c r="E2870" s="22" t="n"/>
      <c r="F2870" s="23" t="n"/>
      <c r="G2870" s="23" t="n"/>
      <c r="H2870" s="23" t="n"/>
      <c r="I2870" s="20">
        <f>IF(COUNT(F2870:H2870)=0,"",SUM(F2870:H2870))</f>
        <v/>
      </c>
      <c r="J2870" s="23" t="n"/>
      <c r="K2870" s="23" t="n"/>
      <c r="L2870" s="23" t="n"/>
      <c r="M2870" s="23" t="n"/>
      <c r="N2870" s="23" t="n"/>
      <c r="O2870" s="20">
        <f>IF(OR(I2870="",COUNT(J2870:N2870)=0),"",IF(SUM(J2870:N2870)=I2870,"✓","⚠ "&amp;SUM(J2870:N2870)&amp;" statt "&amp;I2870))</f>
        <v/>
      </c>
      <c r="P2870" s="21" t="n"/>
      <c r="Q2870" s="21" t="n"/>
      <c r="R2870" s="21" t="n"/>
      <c r="S2870" s="24" t="n"/>
      <c r="T2870" s="24" t="n"/>
      <c r="V2870">
        <f>IF(A2870="","",MONTH(A2870))</f>
        <v/>
      </c>
      <c r="W2870">
        <f>N(W2869)+IF(AND(C2870&lt;&gt;"",T2870&lt;&gt;""),IF(C2870=WOCHE!$B$3,1,0),0)</f>
        <v/>
      </c>
      <c r="X2870">
        <f>N(X2869)+IF(AND(V2870&lt;&gt;"",T2870&lt;&gt;""),IF(V2870=MONAT!$AZ$3,1,0),0)</f>
        <v/>
      </c>
    </row>
    <row r="2871">
      <c r="A2871" s="19" t="n"/>
      <c r="B2871" s="20">
        <f>IF(A2871="","",CHOOSE(WEEKDAY(A2871,2),"Mo","Di","Mi","Do","Fr","Sa","So"))</f>
        <v/>
      </c>
      <c r="C2871" s="20">
        <f>IF(A2871="","",INT((A2871-DATE(YEAR(A2871-WEEKDAY(A2871-1)+4),1,3)+WEEKDAY(DATE(YEAR(A2871-WEEKDAY(A2871-1)+4),1,3))+5)/7))</f>
        <v/>
      </c>
      <c r="D2871" s="21" t="n"/>
      <c r="E2871" s="22" t="n"/>
      <c r="F2871" s="23" t="n"/>
      <c r="G2871" s="23" t="n"/>
      <c r="H2871" s="23" t="n"/>
      <c r="I2871" s="20">
        <f>IF(COUNT(F2871:H2871)=0,"",SUM(F2871:H2871))</f>
        <v/>
      </c>
      <c r="J2871" s="23" t="n"/>
      <c r="K2871" s="23" t="n"/>
      <c r="L2871" s="23" t="n"/>
      <c r="M2871" s="23" t="n"/>
      <c r="N2871" s="23" t="n"/>
      <c r="O2871" s="20">
        <f>IF(OR(I2871="",COUNT(J2871:N2871)=0),"",IF(SUM(J2871:N2871)=I2871,"✓","⚠ "&amp;SUM(J2871:N2871)&amp;" statt "&amp;I2871))</f>
        <v/>
      </c>
      <c r="P2871" s="21" t="n"/>
      <c r="Q2871" s="21" t="n"/>
      <c r="R2871" s="21" t="n"/>
      <c r="S2871" s="24" t="n"/>
      <c r="T2871" s="24" t="n"/>
      <c r="V2871">
        <f>IF(A2871="","",MONTH(A2871))</f>
        <v/>
      </c>
      <c r="W2871">
        <f>N(W2870)+IF(AND(C2871&lt;&gt;"",T2871&lt;&gt;""),IF(C2871=WOCHE!$B$3,1,0),0)</f>
        <v/>
      </c>
      <c r="X2871">
        <f>N(X2870)+IF(AND(V2871&lt;&gt;"",T2871&lt;&gt;""),IF(V2871=MONAT!$AZ$3,1,0),0)</f>
        <v/>
      </c>
    </row>
    <row r="2872">
      <c r="A2872" s="19" t="n"/>
      <c r="B2872" s="20">
        <f>IF(A2872="","",CHOOSE(WEEKDAY(A2872,2),"Mo","Di","Mi","Do","Fr","Sa","So"))</f>
        <v/>
      </c>
      <c r="C2872" s="20">
        <f>IF(A2872="","",INT((A2872-DATE(YEAR(A2872-WEEKDAY(A2872-1)+4),1,3)+WEEKDAY(DATE(YEAR(A2872-WEEKDAY(A2872-1)+4),1,3))+5)/7))</f>
        <v/>
      </c>
      <c r="D2872" s="21" t="n"/>
      <c r="E2872" s="22" t="n"/>
      <c r="F2872" s="23" t="n"/>
      <c r="G2872" s="23" t="n"/>
      <c r="H2872" s="23" t="n"/>
      <c r="I2872" s="20">
        <f>IF(COUNT(F2872:H2872)=0,"",SUM(F2872:H2872))</f>
        <v/>
      </c>
      <c r="J2872" s="23" t="n"/>
      <c r="K2872" s="23" t="n"/>
      <c r="L2872" s="23" t="n"/>
      <c r="M2872" s="23" t="n"/>
      <c r="N2872" s="23" t="n"/>
      <c r="O2872" s="20">
        <f>IF(OR(I2872="",COUNT(J2872:N2872)=0),"",IF(SUM(J2872:N2872)=I2872,"✓","⚠ "&amp;SUM(J2872:N2872)&amp;" statt "&amp;I2872))</f>
        <v/>
      </c>
      <c r="P2872" s="21" t="n"/>
      <c r="Q2872" s="21" t="n"/>
      <c r="R2872" s="21" t="n"/>
      <c r="S2872" s="24" t="n"/>
      <c r="T2872" s="24" t="n"/>
      <c r="V2872">
        <f>IF(A2872="","",MONTH(A2872))</f>
        <v/>
      </c>
      <c r="W2872">
        <f>N(W2871)+IF(AND(C2872&lt;&gt;"",T2872&lt;&gt;""),IF(C2872=WOCHE!$B$3,1,0),0)</f>
        <v/>
      </c>
      <c r="X2872">
        <f>N(X2871)+IF(AND(V2872&lt;&gt;"",T2872&lt;&gt;""),IF(V2872=MONAT!$AZ$3,1,0),0)</f>
        <v/>
      </c>
    </row>
    <row r="2873">
      <c r="A2873" s="19" t="n"/>
      <c r="B2873" s="20">
        <f>IF(A2873="","",CHOOSE(WEEKDAY(A2873,2),"Mo","Di","Mi","Do","Fr","Sa","So"))</f>
        <v/>
      </c>
      <c r="C2873" s="20">
        <f>IF(A2873="","",INT((A2873-DATE(YEAR(A2873-WEEKDAY(A2873-1)+4),1,3)+WEEKDAY(DATE(YEAR(A2873-WEEKDAY(A2873-1)+4),1,3))+5)/7))</f>
        <v/>
      </c>
      <c r="D2873" s="21" t="n"/>
      <c r="E2873" s="22" t="n"/>
      <c r="F2873" s="23" t="n"/>
      <c r="G2873" s="23" t="n"/>
      <c r="H2873" s="23" t="n"/>
      <c r="I2873" s="20">
        <f>IF(COUNT(F2873:H2873)=0,"",SUM(F2873:H2873))</f>
        <v/>
      </c>
      <c r="J2873" s="23" t="n"/>
      <c r="K2873" s="23" t="n"/>
      <c r="L2873" s="23" t="n"/>
      <c r="M2873" s="23" t="n"/>
      <c r="N2873" s="23" t="n"/>
      <c r="O2873" s="20">
        <f>IF(OR(I2873="",COUNT(J2873:N2873)=0),"",IF(SUM(J2873:N2873)=I2873,"✓","⚠ "&amp;SUM(J2873:N2873)&amp;" statt "&amp;I2873))</f>
        <v/>
      </c>
      <c r="P2873" s="21" t="n"/>
      <c r="Q2873" s="21" t="n"/>
      <c r="R2873" s="21" t="n"/>
      <c r="S2873" s="24" t="n"/>
      <c r="T2873" s="24" t="n"/>
      <c r="V2873">
        <f>IF(A2873="","",MONTH(A2873))</f>
        <v/>
      </c>
      <c r="W2873">
        <f>N(W2872)+IF(AND(C2873&lt;&gt;"",T2873&lt;&gt;""),IF(C2873=WOCHE!$B$3,1,0),0)</f>
        <v/>
      </c>
      <c r="X2873">
        <f>N(X2872)+IF(AND(V2873&lt;&gt;"",T2873&lt;&gt;""),IF(V2873=MONAT!$AZ$3,1,0),0)</f>
        <v/>
      </c>
    </row>
    <row r="2874">
      <c r="A2874" s="19" t="n"/>
      <c r="B2874" s="20">
        <f>IF(A2874="","",CHOOSE(WEEKDAY(A2874,2),"Mo","Di","Mi","Do","Fr","Sa","So"))</f>
        <v/>
      </c>
      <c r="C2874" s="20">
        <f>IF(A2874="","",INT((A2874-DATE(YEAR(A2874-WEEKDAY(A2874-1)+4),1,3)+WEEKDAY(DATE(YEAR(A2874-WEEKDAY(A2874-1)+4),1,3))+5)/7))</f>
        <v/>
      </c>
      <c r="D2874" s="21" t="n"/>
      <c r="E2874" s="22" t="n"/>
      <c r="F2874" s="23" t="n"/>
      <c r="G2874" s="23" t="n"/>
      <c r="H2874" s="23" t="n"/>
      <c r="I2874" s="20">
        <f>IF(COUNT(F2874:H2874)=0,"",SUM(F2874:H2874))</f>
        <v/>
      </c>
      <c r="J2874" s="23" t="n"/>
      <c r="K2874" s="23" t="n"/>
      <c r="L2874" s="23" t="n"/>
      <c r="M2874" s="23" t="n"/>
      <c r="N2874" s="23" t="n"/>
      <c r="O2874" s="20">
        <f>IF(OR(I2874="",COUNT(J2874:N2874)=0),"",IF(SUM(J2874:N2874)=I2874,"✓","⚠ "&amp;SUM(J2874:N2874)&amp;" statt "&amp;I2874))</f>
        <v/>
      </c>
      <c r="P2874" s="21" t="n"/>
      <c r="Q2874" s="21" t="n"/>
      <c r="R2874" s="21" t="n"/>
      <c r="S2874" s="24" t="n"/>
      <c r="T2874" s="24" t="n"/>
      <c r="V2874">
        <f>IF(A2874="","",MONTH(A2874))</f>
        <v/>
      </c>
      <c r="W2874">
        <f>N(W2873)+IF(AND(C2874&lt;&gt;"",T2874&lt;&gt;""),IF(C2874=WOCHE!$B$3,1,0),0)</f>
        <v/>
      </c>
      <c r="X2874">
        <f>N(X2873)+IF(AND(V2874&lt;&gt;"",T2874&lt;&gt;""),IF(V2874=MONAT!$AZ$3,1,0),0)</f>
        <v/>
      </c>
    </row>
    <row r="2875">
      <c r="A2875" s="19" t="n"/>
      <c r="B2875" s="20">
        <f>IF(A2875="","",CHOOSE(WEEKDAY(A2875,2),"Mo","Di","Mi","Do","Fr","Sa","So"))</f>
        <v/>
      </c>
      <c r="C2875" s="20">
        <f>IF(A2875="","",INT((A2875-DATE(YEAR(A2875-WEEKDAY(A2875-1)+4),1,3)+WEEKDAY(DATE(YEAR(A2875-WEEKDAY(A2875-1)+4),1,3))+5)/7))</f>
        <v/>
      </c>
      <c r="D2875" s="21" t="n"/>
      <c r="E2875" s="22" t="n"/>
      <c r="F2875" s="23" t="n"/>
      <c r="G2875" s="23" t="n"/>
      <c r="H2875" s="23" t="n"/>
      <c r="I2875" s="20">
        <f>IF(COUNT(F2875:H2875)=0,"",SUM(F2875:H2875))</f>
        <v/>
      </c>
      <c r="J2875" s="23" t="n"/>
      <c r="K2875" s="23" t="n"/>
      <c r="L2875" s="23" t="n"/>
      <c r="M2875" s="23" t="n"/>
      <c r="N2875" s="23" t="n"/>
      <c r="O2875" s="20">
        <f>IF(OR(I2875="",COUNT(J2875:N2875)=0),"",IF(SUM(J2875:N2875)=I2875,"✓","⚠ "&amp;SUM(J2875:N2875)&amp;" statt "&amp;I2875))</f>
        <v/>
      </c>
      <c r="P2875" s="21" t="n"/>
      <c r="Q2875" s="21" t="n"/>
      <c r="R2875" s="21" t="n"/>
      <c r="S2875" s="24" t="n"/>
      <c r="T2875" s="24" t="n"/>
      <c r="V2875">
        <f>IF(A2875="","",MONTH(A2875))</f>
        <v/>
      </c>
      <c r="W2875">
        <f>N(W2874)+IF(AND(C2875&lt;&gt;"",T2875&lt;&gt;""),IF(C2875=WOCHE!$B$3,1,0),0)</f>
        <v/>
      </c>
      <c r="X2875">
        <f>N(X2874)+IF(AND(V2875&lt;&gt;"",T2875&lt;&gt;""),IF(V2875=MONAT!$AZ$3,1,0),0)</f>
        <v/>
      </c>
    </row>
    <row r="2876">
      <c r="A2876" s="19" t="n"/>
      <c r="B2876" s="20">
        <f>IF(A2876="","",CHOOSE(WEEKDAY(A2876,2),"Mo","Di","Mi","Do","Fr","Sa","So"))</f>
        <v/>
      </c>
      <c r="C2876" s="20">
        <f>IF(A2876="","",INT((A2876-DATE(YEAR(A2876-WEEKDAY(A2876-1)+4),1,3)+WEEKDAY(DATE(YEAR(A2876-WEEKDAY(A2876-1)+4),1,3))+5)/7))</f>
        <v/>
      </c>
      <c r="D2876" s="21" t="n"/>
      <c r="E2876" s="22" t="n"/>
      <c r="F2876" s="23" t="n"/>
      <c r="G2876" s="23" t="n"/>
      <c r="H2876" s="23" t="n"/>
      <c r="I2876" s="20">
        <f>IF(COUNT(F2876:H2876)=0,"",SUM(F2876:H2876))</f>
        <v/>
      </c>
      <c r="J2876" s="23" t="n"/>
      <c r="K2876" s="23" t="n"/>
      <c r="L2876" s="23" t="n"/>
      <c r="M2876" s="23" t="n"/>
      <c r="N2876" s="23" t="n"/>
      <c r="O2876" s="20">
        <f>IF(OR(I2876="",COUNT(J2876:N2876)=0),"",IF(SUM(J2876:N2876)=I2876,"✓","⚠ "&amp;SUM(J2876:N2876)&amp;" statt "&amp;I2876))</f>
        <v/>
      </c>
      <c r="P2876" s="21" t="n"/>
      <c r="Q2876" s="21" t="n"/>
      <c r="R2876" s="21" t="n"/>
      <c r="S2876" s="24" t="n"/>
      <c r="T2876" s="24" t="n"/>
      <c r="V2876">
        <f>IF(A2876="","",MONTH(A2876))</f>
        <v/>
      </c>
      <c r="W2876">
        <f>N(W2875)+IF(AND(C2876&lt;&gt;"",T2876&lt;&gt;""),IF(C2876=WOCHE!$B$3,1,0),0)</f>
        <v/>
      </c>
      <c r="X2876">
        <f>N(X2875)+IF(AND(V2876&lt;&gt;"",T2876&lt;&gt;""),IF(V2876=MONAT!$AZ$3,1,0),0)</f>
        <v/>
      </c>
    </row>
    <row r="2877">
      <c r="A2877" s="19" t="n"/>
      <c r="B2877" s="20">
        <f>IF(A2877="","",CHOOSE(WEEKDAY(A2877,2),"Mo","Di","Mi","Do","Fr","Sa","So"))</f>
        <v/>
      </c>
      <c r="C2877" s="20">
        <f>IF(A2877="","",INT((A2877-DATE(YEAR(A2877-WEEKDAY(A2877-1)+4),1,3)+WEEKDAY(DATE(YEAR(A2877-WEEKDAY(A2877-1)+4),1,3))+5)/7))</f>
        <v/>
      </c>
      <c r="D2877" s="21" t="n"/>
      <c r="E2877" s="22" t="n"/>
      <c r="F2877" s="23" t="n"/>
      <c r="G2877" s="23" t="n"/>
      <c r="H2877" s="23" t="n"/>
      <c r="I2877" s="20">
        <f>IF(COUNT(F2877:H2877)=0,"",SUM(F2877:H2877))</f>
        <v/>
      </c>
      <c r="J2877" s="23" t="n"/>
      <c r="K2877" s="23" t="n"/>
      <c r="L2877" s="23" t="n"/>
      <c r="M2877" s="23" t="n"/>
      <c r="N2877" s="23" t="n"/>
      <c r="O2877" s="20">
        <f>IF(OR(I2877="",COUNT(J2877:N2877)=0),"",IF(SUM(J2877:N2877)=I2877,"✓","⚠ "&amp;SUM(J2877:N2877)&amp;" statt "&amp;I2877))</f>
        <v/>
      </c>
      <c r="P2877" s="21" t="n"/>
      <c r="Q2877" s="21" t="n"/>
      <c r="R2877" s="21" t="n"/>
      <c r="S2877" s="24" t="n"/>
      <c r="T2877" s="24" t="n"/>
      <c r="V2877">
        <f>IF(A2877="","",MONTH(A2877))</f>
        <v/>
      </c>
      <c r="W2877">
        <f>N(W2876)+IF(AND(C2877&lt;&gt;"",T2877&lt;&gt;""),IF(C2877=WOCHE!$B$3,1,0),0)</f>
        <v/>
      </c>
      <c r="X2877">
        <f>N(X2876)+IF(AND(V2877&lt;&gt;"",T2877&lt;&gt;""),IF(V2877=MONAT!$AZ$3,1,0),0)</f>
        <v/>
      </c>
    </row>
    <row r="2878">
      <c r="A2878" s="19" t="n"/>
      <c r="B2878" s="20">
        <f>IF(A2878="","",CHOOSE(WEEKDAY(A2878,2),"Mo","Di","Mi","Do","Fr","Sa","So"))</f>
        <v/>
      </c>
      <c r="C2878" s="20">
        <f>IF(A2878="","",INT((A2878-DATE(YEAR(A2878-WEEKDAY(A2878-1)+4),1,3)+WEEKDAY(DATE(YEAR(A2878-WEEKDAY(A2878-1)+4),1,3))+5)/7))</f>
        <v/>
      </c>
      <c r="D2878" s="21" t="n"/>
      <c r="E2878" s="22" t="n"/>
      <c r="F2878" s="23" t="n"/>
      <c r="G2878" s="23" t="n"/>
      <c r="H2878" s="23" t="n"/>
      <c r="I2878" s="20">
        <f>IF(COUNT(F2878:H2878)=0,"",SUM(F2878:H2878))</f>
        <v/>
      </c>
      <c r="J2878" s="23" t="n"/>
      <c r="K2878" s="23" t="n"/>
      <c r="L2878" s="23" t="n"/>
      <c r="M2878" s="23" t="n"/>
      <c r="N2878" s="23" t="n"/>
      <c r="O2878" s="20">
        <f>IF(OR(I2878="",COUNT(J2878:N2878)=0),"",IF(SUM(J2878:N2878)=I2878,"✓","⚠ "&amp;SUM(J2878:N2878)&amp;" statt "&amp;I2878))</f>
        <v/>
      </c>
      <c r="P2878" s="21" t="n"/>
      <c r="Q2878" s="21" t="n"/>
      <c r="R2878" s="21" t="n"/>
      <c r="S2878" s="24" t="n"/>
      <c r="T2878" s="24" t="n"/>
      <c r="V2878">
        <f>IF(A2878="","",MONTH(A2878))</f>
        <v/>
      </c>
      <c r="W2878">
        <f>N(W2877)+IF(AND(C2878&lt;&gt;"",T2878&lt;&gt;""),IF(C2878=WOCHE!$B$3,1,0),0)</f>
        <v/>
      </c>
      <c r="X2878">
        <f>N(X2877)+IF(AND(V2878&lt;&gt;"",T2878&lt;&gt;""),IF(V2878=MONAT!$AZ$3,1,0),0)</f>
        <v/>
      </c>
    </row>
    <row r="2879">
      <c r="A2879" s="19" t="n"/>
      <c r="B2879" s="20">
        <f>IF(A2879="","",CHOOSE(WEEKDAY(A2879,2),"Mo","Di","Mi","Do","Fr","Sa","So"))</f>
        <v/>
      </c>
      <c r="C2879" s="20">
        <f>IF(A2879="","",INT((A2879-DATE(YEAR(A2879-WEEKDAY(A2879-1)+4),1,3)+WEEKDAY(DATE(YEAR(A2879-WEEKDAY(A2879-1)+4),1,3))+5)/7))</f>
        <v/>
      </c>
      <c r="D2879" s="21" t="n"/>
      <c r="E2879" s="22" t="n"/>
      <c r="F2879" s="23" t="n"/>
      <c r="G2879" s="23" t="n"/>
      <c r="H2879" s="23" t="n"/>
      <c r="I2879" s="20">
        <f>IF(COUNT(F2879:H2879)=0,"",SUM(F2879:H2879))</f>
        <v/>
      </c>
      <c r="J2879" s="23" t="n"/>
      <c r="K2879" s="23" t="n"/>
      <c r="L2879" s="23" t="n"/>
      <c r="M2879" s="23" t="n"/>
      <c r="N2879" s="23" t="n"/>
      <c r="O2879" s="20">
        <f>IF(OR(I2879="",COUNT(J2879:N2879)=0),"",IF(SUM(J2879:N2879)=I2879,"✓","⚠ "&amp;SUM(J2879:N2879)&amp;" statt "&amp;I2879))</f>
        <v/>
      </c>
      <c r="P2879" s="21" t="n"/>
      <c r="Q2879" s="21" t="n"/>
      <c r="R2879" s="21" t="n"/>
      <c r="S2879" s="24" t="n"/>
      <c r="T2879" s="24" t="n"/>
      <c r="V2879">
        <f>IF(A2879="","",MONTH(A2879))</f>
        <v/>
      </c>
      <c r="W2879">
        <f>N(W2878)+IF(AND(C2879&lt;&gt;"",T2879&lt;&gt;""),IF(C2879=WOCHE!$B$3,1,0),0)</f>
        <v/>
      </c>
      <c r="X2879">
        <f>N(X2878)+IF(AND(V2879&lt;&gt;"",T2879&lt;&gt;""),IF(V2879=MONAT!$AZ$3,1,0),0)</f>
        <v/>
      </c>
    </row>
    <row r="2880">
      <c r="A2880" s="19" t="n"/>
      <c r="B2880" s="20">
        <f>IF(A2880="","",CHOOSE(WEEKDAY(A2880,2),"Mo","Di","Mi","Do","Fr","Sa","So"))</f>
        <v/>
      </c>
      <c r="C2880" s="20">
        <f>IF(A2880="","",INT((A2880-DATE(YEAR(A2880-WEEKDAY(A2880-1)+4),1,3)+WEEKDAY(DATE(YEAR(A2880-WEEKDAY(A2880-1)+4),1,3))+5)/7))</f>
        <v/>
      </c>
      <c r="D2880" s="21" t="n"/>
      <c r="E2880" s="22" t="n"/>
      <c r="F2880" s="23" t="n"/>
      <c r="G2880" s="23" t="n"/>
      <c r="H2880" s="23" t="n"/>
      <c r="I2880" s="20">
        <f>IF(COUNT(F2880:H2880)=0,"",SUM(F2880:H2880))</f>
        <v/>
      </c>
      <c r="J2880" s="23" t="n"/>
      <c r="K2880" s="23" t="n"/>
      <c r="L2880" s="23" t="n"/>
      <c r="M2880" s="23" t="n"/>
      <c r="N2880" s="23" t="n"/>
      <c r="O2880" s="20">
        <f>IF(OR(I2880="",COUNT(J2880:N2880)=0),"",IF(SUM(J2880:N2880)=I2880,"✓","⚠ "&amp;SUM(J2880:N2880)&amp;" statt "&amp;I2880))</f>
        <v/>
      </c>
      <c r="P2880" s="21" t="n"/>
      <c r="Q2880" s="21" t="n"/>
      <c r="R2880" s="21" t="n"/>
      <c r="S2880" s="24" t="n"/>
      <c r="T2880" s="24" t="n"/>
      <c r="V2880">
        <f>IF(A2880="","",MONTH(A2880))</f>
        <v/>
      </c>
      <c r="W2880">
        <f>N(W2879)+IF(AND(C2880&lt;&gt;"",T2880&lt;&gt;""),IF(C2880=WOCHE!$B$3,1,0),0)</f>
        <v/>
      </c>
      <c r="X2880">
        <f>N(X2879)+IF(AND(V2880&lt;&gt;"",T2880&lt;&gt;""),IF(V2880=MONAT!$AZ$3,1,0),0)</f>
        <v/>
      </c>
    </row>
    <row r="2881">
      <c r="A2881" s="19" t="n"/>
      <c r="B2881" s="20">
        <f>IF(A2881="","",CHOOSE(WEEKDAY(A2881,2),"Mo","Di","Mi","Do","Fr","Sa","So"))</f>
        <v/>
      </c>
      <c r="C2881" s="20">
        <f>IF(A2881="","",INT((A2881-DATE(YEAR(A2881-WEEKDAY(A2881-1)+4),1,3)+WEEKDAY(DATE(YEAR(A2881-WEEKDAY(A2881-1)+4),1,3))+5)/7))</f>
        <v/>
      </c>
      <c r="D2881" s="21" t="n"/>
      <c r="E2881" s="22" t="n"/>
      <c r="F2881" s="23" t="n"/>
      <c r="G2881" s="23" t="n"/>
      <c r="H2881" s="23" t="n"/>
      <c r="I2881" s="20">
        <f>IF(COUNT(F2881:H2881)=0,"",SUM(F2881:H2881))</f>
        <v/>
      </c>
      <c r="J2881" s="23" t="n"/>
      <c r="K2881" s="23" t="n"/>
      <c r="L2881" s="23" t="n"/>
      <c r="M2881" s="23" t="n"/>
      <c r="N2881" s="23" t="n"/>
      <c r="O2881" s="20">
        <f>IF(OR(I2881="",COUNT(J2881:N2881)=0),"",IF(SUM(J2881:N2881)=I2881,"✓","⚠ "&amp;SUM(J2881:N2881)&amp;" statt "&amp;I2881))</f>
        <v/>
      </c>
      <c r="P2881" s="21" t="n"/>
      <c r="Q2881" s="21" t="n"/>
      <c r="R2881" s="21" t="n"/>
      <c r="S2881" s="24" t="n"/>
      <c r="T2881" s="24" t="n"/>
      <c r="V2881">
        <f>IF(A2881="","",MONTH(A2881))</f>
        <v/>
      </c>
      <c r="W2881">
        <f>N(W2880)+IF(AND(C2881&lt;&gt;"",T2881&lt;&gt;""),IF(C2881=WOCHE!$B$3,1,0),0)</f>
        <v/>
      </c>
      <c r="X2881">
        <f>N(X2880)+IF(AND(V2881&lt;&gt;"",T2881&lt;&gt;""),IF(V2881=MONAT!$AZ$3,1,0),0)</f>
        <v/>
      </c>
    </row>
    <row r="2882">
      <c r="A2882" s="19" t="n"/>
      <c r="B2882" s="20">
        <f>IF(A2882="","",CHOOSE(WEEKDAY(A2882,2),"Mo","Di","Mi","Do","Fr","Sa","So"))</f>
        <v/>
      </c>
      <c r="C2882" s="20">
        <f>IF(A2882="","",INT((A2882-DATE(YEAR(A2882-WEEKDAY(A2882-1)+4),1,3)+WEEKDAY(DATE(YEAR(A2882-WEEKDAY(A2882-1)+4),1,3))+5)/7))</f>
        <v/>
      </c>
      <c r="D2882" s="21" t="n"/>
      <c r="E2882" s="22" t="n"/>
      <c r="F2882" s="23" t="n"/>
      <c r="G2882" s="23" t="n"/>
      <c r="H2882" s="23" t="n"/>
      <c r="I2882" s="20">
        <f>IF(COUNT(F2882:H2882)=0,"",SUM(F2882:H2882))</f>
        <v/>
      </c>
      <c r="J2882" s="23" t="n"/>
      <c r="K2882" s="23" t="n"/>
      <c r="L2882" s="23" t="n"/>
      <c r="M2882" s="23" t="n"/>
      <c r="N2882" s="23" t="n"/>
      <c r="O2882" s="20">
        <f>IF(OR(I2882="",COUNT(J2882:N2882)=0),"",IF(SUM(J2882:N2882)=I2882,"✓","⚠ "&amp;SUM(J2882:N2882)&amp;" statt "&amp;I2882))</f>
        <v/>
      </c>
      <c r="P2882" s="21" t="n"/>
      <c r="Q2882" s="21" t="n"/>
      <c r="R2882" s="21" t="n"/>
      <c r="S2882" s="24" t="n"/>
      <c r="T2882" s="24" t="n"/>
      <c r="V2882">
        <f>IF(A2882="","",MONTH(A2882))</f>
        <v/>
      </c>
      <c r="W2882">
        <f>N(W2881)+IF(AND(C2882&lt;&gt;"",T2882&lt;&gt;""),IF(C2882=WOCHE!$B$3,1,0),0)</f>
        <v/>
      </c>
      <c r="X2882">
        <f>N(X2881)+IF(AND(V2882&lt;&gt;"",T2882&lt;&gt;""),IF(V2882=MONAT!$AZ$3,1,0),0)</f>
        <v/>
      </c>
    </row>
    <row r="2883">
      <c r="A2883" s="19" t="n"/>
      <c r="B2883" s="20">
        <f>IF(A2883="","",CHOOSE(WEEKDAY(A2883,2),"Mo","Di","Mi","Do","Fr","Sa","So"))</f>
        <v/>
      </c>
      <c r="C2883" s="20">
        <f>IF(A2883="","",INT((A2883-DATE(YEAR(A2883-WEEKDAY(A2883-1)+4),1,3)+WEEKDAY(DATE(YEAR(A2883-WEEKDAY(A2883-1)+4),1,3))+5)/7))</f>
        <v/>
      </c>
      <c r="D2883" s="21" t="n"/>
      <c r="E2883" s="22" t="n"/>
      <c r="F2883" s="23" t="n"/>
      <c r="G2883" s="23" t="n"/>
      <c r="H2883" s="23" t="n"/>
      <c r="I2883" s="20">
        <f>IF(COUNT(F2883:H2883)=0,"",SUM(F2883:H2883))</f>
        <v/>
      </c>
      <c r="J2883" s="23" t="n"/>
      <c r="K2883" s="23" t="n"/>
      <c r="L2883" s="23" t="n"/>
      <c r="M2883" s="23" t="n"/>
      <c r="N2883" s="23" t="n"/>
      <c r="O2883" s="20">
        <f>IF(OR(I2883="",COUNT(J2883:N2883)=0),"",IF(SUM(J2883:N2883)=I2883,"✓","⚠ "&amp;SUM(J2883:N2883)&amp;" statt "&amp;I2883))</f>
        <v/>
      </c>
      <c r="P2883" s="21" t="n"/>
      <c r="Q2883" s="21" t="n"/>
      <c r="R2883" s="21" t="n"/>
      <c r="S2883" s="24" t="n"/>
      <c r="T2883" s="24" t="n"/>
      <c r="V2883">
        <f>IF(A2883="","",MONTH(A2883))</f>
        <v/>
      </c>
      <c r="W2883">
        <f>N(W2882)+IF(AND(C2883&lt;&gt;"",T2883&lt;&gt;""),IF(C2883=WOCHE!$B$3,1,0),0)</f>
        <v/>
      </c>
      <c r="X2883">
        <f>N(X2882)+IF(AND(V2883&lt;&gt;"",T2883&lt;&gt;""),IF(V2883=MONAT!$AZ$3,1,0),0)</f>
        <v/>
      </c>
    </row>
    <row r="2884">
      <c r="A2884" s="19" t="n"/>
      <c r="B2884" s="20">
        <f>IF(A2884="","",CHOOSE(WEEKDAY(A2884,2),"Mo","Di","Mi","Do","Fr","Sa","So"))</f>
        <v/>
      </c>
      <c r="C2884" s="20">
        <f>IF(A2884="","",INT((A2884-DATE(YEAR(A2884-WEEKDAY(A2884-1)+4),1,3)+WEEKDAY(DATE(YEAR(A2884-WEEKDAY(A2884-1)+4),1,3))+5)/7))</f>
        <v/>
      </c>
      <c r="D2884" s="21" t="n"/>
      <c r="E2884" s="22" t="n"/>
      <c r="F2884" s="23" t="n"/>
      <c r="G2884" s="23" t="n"/>
      <c r="H2884" s="23" t="n"/>
      <c r="I2884" s="20">
        <f>IF(COUNT(F2884:H2884)=0,"",SUM(F2884:H2884))</f>
        <v/>
      </c>
      <c r="J2884" s="23" t="n"/>
      <c r="K2884" s="23" t="n"/>
      <c r="L2884" s="23" t="n"/>
      <c r="M2884" s="23" t="n"/>
      <c r="N2884" s="23" t="n"/>
      <c r="O2884" s="20">
        <f>IF(OR(I2884="",COUNT(J2884:N2884)=0),"",IF(SUM(J2884:N2884)=I2884,"✓","⚠ "&amp;SUM(J2884:N2884)&amp;" statt "&amp;I2884))</f>
        <v/>
      </c>
      <c r="P2884" s="21" t="n"/>
      <c r="Q2884" s="21" t="n"/>
      <c r="R2884" s="21" t="n"/>
      <c r="S2884" s="24" t="n"/>
      <c r="T2884" s="24" t="n"/>
      <c r="V2884">
        <f>IF(A2884="","",MONTH(A2884))</f>
        <v/>
      </c>
      <c r="W2884">
        <f>N(W2883)+IF(AND(C2884&lt;&gt;"",T2884&lt;&gt;""),IF(C2884=WOCHE!$B$3,1,0),0)</f>
        <v/>
      </c>
      <c r="X2884">
        <f>N(X2883)+IF(AND(V2884&lt;&gt;"",T2884&lt;&gt;""),IF(V2884=MONAT!$AZ$3,1,0),0)</f>
        <v/>
      </c>
    </row>
    <row r="2885">
      <c r="A2885" s="19" t="n"/>
      <c r="B2885" s="20">
        <f>IF(A2885="","",CHOOSE(WEEKDAY(A2885,2),"Mo","Di","Mi","Do","Fr","Sa","So"))</f>
        <v/>
      </c>
      <c r="C2885" s="20">
        <f>IF(A2885="","",INT((A2885-DATE(YEAR(A2885-WEEKDAY(A2885-1)+4),1,3)+WEEKDAY(DATE(YEAR(A2885-WEEKDAY(A2885-1)+4),1,3))+5)/7))</f>
        <v/>
      </c>
      <c r="D2885" s="21" t="n"/>
      <c r="E2885" s="22" t="n"/>
      <c r="F2885" s="23" t="n"/>
      <c r="G2885" s="23" t="n"/>
      <c r="H2885" s="23" t="n"/>
      <c r="I2885" s="20">
        <f>IF(COUNT(F2885:H2885)=0,"",SUM(F2885:H2885))</f>
        <v/>
      </c>
      <c r="J2885" s="23" t="n"/>
      <c r="K2885" s="23" t="n"/>
      <c r="L2885" s="23" t="n"/>
      <c r="M2885" s="23" t="n"/>
      <c r="N2885" s="23" t="n"/>
      <c r="O2885" s="20">
        <f>IF(OR(I2885="",COUNT(J2885:N2885)=0),"",IF(SUM(J2885:N2885)=I2885,"✓","⚠ "&amp;SUM(J2885:N2885)&amp;" statt "&amp;I2885))</f>
        <v/>
      </c>
      <c r="P2885" s="21" t="n"/>
      <c r="Q2885" s="21" t="n"/>
      <c r="R2885" s="21" t="n"/>
      <c r="S2885" s="24" t="n"/>
      <c r="T2885" s="24" t="n"/>
      <c r="V2885">
        <f>IF(A2885="","",MONTH(A2885))</f>
        <v/>
      </c>
      <c r="W2885">
        <f>N(W2884)+IF(AND(C2885&lt;&gt;"",T2885&lt;&gt;""),IF(C2885=WOCHE!$B$3,1,0),0)</f>
        <v/>
      </c>
      <c r="X2885">
        <f>N(X2884)+IF(AND(V2885&lt;&gt;"",T2885&lt;&gt;""),IF(V2885=MONAT!$AZ$3,1,0),0)</f>
        <v/>
      </c>
    </row>
    <row r="2886">
      <c r="A2886" s="19" t="n"/>
      <c r="B2886" s="20">
        <f>IF(A2886="","",CHOOSE(WEEKDAY(A2886,2),"Mo","Di","Mi","Do","Fr","Sa","So"))</f>
        <v/>
      </c>
      <c r="C2886" s="20">
        <f>IF(A2886="","",INT((A2886-DATE(YEAR(A2886-WEEKDAY(A2886-1)+4),1,3)+WEEKDAY(DATE(YEAR(A2886-WEEKDAY(A2886-1)+4),1,3))+5)/7))</f>
        <v/>
      </c>
      <c r="D2886" s="21" t="n"/>
      <c r="E2886" s="22" t="n"/>
      <c r="F2886" s="23" t="n"/>
      <c r="G2886" s="23" t="n"/>
      <c r="H2886" s="23" t="n"/>
      <c r="I2886" s="20">
        <f>IF(COUNT(F2886:H2886)=0,"",SUM(F2886:H2886))</f>
        <v/>
      </c>
      <c r="J2886" s="23" t="n"/>
      <c r="K2886" s="23" t="n"/>
      <c r="L2886" s="23" t="n"/>
      <c r="M2886" s="23" t="n"/>
      <c r="N2886" s="23" t="n"/>
      <c r="O2886" s="20">
        <f>IF(OR(I2886="",COUNT(J2886:N2886)=0),"",IF(SUM(J2886:N2886)=I2886,"✓","⚠ "&amp;SUM(J2886:N2886)&amp;" statt "&amp;I2886))</f>
        <v/>
      </c>
      <c r="P2886" s="21" t="n"/>
      <c r="Q2886" s="21" t="n"/>
      <c r="R2886" s="21" t="n"/>
      <c r="S2886" s="24" t="n"/>
      <c r="T2886" s="24" t="n"/>
      <c r="V2886">
        <f>IF(A2886="","",MONTH(A2886))</f>
        <v/>
      </c>
      <c r="W2886">
        <f>N(W2885)+IF(AND(C2886&lt;&gt;"",T2886&lt;&gt;""),IF(C2886=WOCHE!$B$3,1,0),0)</f>
        <v/>
      </c>
      <c r="X2886">
        <f>N(X2885)+IF(AND(V2886&lt;&gt;"",T2886&lt;&gt;""),IF(V2886=MONAT!$AZ$3,1,0),0)</f>
        <v/>
      </c>
    </row>
    <row r="2887">
      <c r="A2887" s="19" t="n"/>
      <c r="B2887" s="20">
        <f>IF(A2887="","",CHOOSE(WEEKDAY(A2887,2),"Mo","Di","Mi","Do","Fr","Sa","So"))</f>
        <v/>
      </c>
      <c r="C2887" s="20">
        <f>IF(A2887="","",INT((A2887-DATE(YEAR(A2887-WEEKDAY(A2887-1)+4),1,3)+WEEKDAY(DATE(YEAR(A2887-WEEKDAY(A2887-1)+4),1,3))+5)/7))</f>
        <v/>
      </c>
      <c r="D2887" s="21" t="n"/>
      <c r="E2887" s="22" t="n"/>
      <c r="F2887" s="23" t="n"/>
      <c r="G2887" s="23" t="n"/>
      <c r="H2887" s="23" t="n"/>
      <c r="I2887" s="20">
        <f>IF(COUNT(F2887:H2887)=0,"",SUM(F2887:H2887))</f>
        <v/>
      </c>
      <c r="J2887" s="23" t="n"/>
      <c r="K2887" s="23" t="n"/>
      <c r="L2887" s="23" t="n"/>
      <c r="M2887" s="23" t="n"/>
      <c r="N2887" s="23" t="n"/>
      <c r="O2887" s="20">
        <f>IF(OR(I2887="",COUNT(J2887:N2887)=0),"",IF(SUM(J2887:N2887)=I2887,"✓","⚠ "&amp;SUM(J2887:N2887)&amp;" statt "&amp;I2887))</f>
        <v/>
      </c>
      <c r="P2887" s="21" t="n"/>
      <c r="Q2887" s="21" t="n"/>
      <c r="R2887" s="21" t="n"/>
      <c r="S2887" s="24" t="n"/>
      <c r="T2887" s="24" t="n"/>
      <c r="V2887">
        <f>IF(A2887="","",MONTH(A2887))</f>
        <v/>
      </c>
      <c r="W2887">
        <f>N(W2886)+IF(AND(C2887&lt;&gt;"",T2887&lt;&gt;""),IF(C2887=WOCHE!$B$3,1,0),0)</f>
        <v/>
      </c>
      <c r="X2887">
        <f>N(X2886)+IF(AND(V2887&lt;&gt;"",T2887&lt;&gt;""),IF(V2887=MONAT!$AZ$3,1,0),0)</f>
        <v/>
      </c>
    </row>
    <row r="2888">
      <c r="A2888" s="19" t="n"/>
      <c r="B2888" s="20">
        <f>IF(A2888="","",CHOOSE(WEEKDAY(A2888,2),"Mo","Di","Mi","Do","Fr","Sa","So"))</f>
        <v/>
      </c>
      <c r="C2888" s="20">
        <f>IF(A2888="","",INT((A2888-DATE(YEAR(A2888-WEEKDAY(A2888-1)+4),1,3)+WEEKDAY(DATE(YEAR(A2888-WEEKDAY(A2888-1)+4),1,3))+5)/7))</f>
        <v/>
      </c>
      <c r="D2888" s="21" t="n"/>
      <c r="E2888" s="22" t="n"/>
      <c r="F2888" s="23" t="n"/>
      <c r="G2888" s="23" t="n"/>
      <c r="H2888" s="23" t="n"/>
      <c r="I2888" s="20">
        <f>IF(COUNT(F2888:H2888)=0,"",SUM(F2888:H2888))</f>
        <v/>
      </c>
      <c r="J2888" s="23" t="n"/>
      <c r="K2888" s="23" t="n"/>
      <c r="L2888" s="23" t="n"/>
      <c r="M2888" s="23" t="n"/>
      <c r="N2888" s="23" t="n"/>
      <c r="O2888" s="20">
        <f>IF(OR(I2888="",COUNT(J2888:N2888)=0),"",IF(SUM(J2888:N2888)=I2888,"✓","⚠ "&amp;SUM(J2888:N2888)&amp;" statt "&amp;I2888))</f>
        <v/>
      </c>
      <c r="P2888" s="21" t="n"/>
      <c r="Q2888" s="21" t="n"/>
      <c r="R2888" s="21" t="n"/>
      <c r="S2888" s="24" t="n"/>
      <c r="T2888" s="24" t="n"/>
      <c r="V2888">
        <f>IF(A2888="","",MONTH(A2888))</f>
        <v/>
      </c>
      <c r="W2888">
        <f>N(W2887)+IF(AND(C2888&lt;&gt;"",T2888&lt;&gt;""),IF(C2888=WOCHE!$B$3,1,0),0)</f>
        <v/>
      </c>
      <c r="X2888">
        <f>N(X2887)+IF(AND(V2888&lt;&gt;"",T2888&lt;&gt;""),IF(V2888=MONAT!$AZ$3,1,0),0)</f>
        <v/>
      </c>
    </row>
    <row r="2889">
      <c r="A2889" s="19" t="n"/>
      <c r="B2889" s="20">
        <f>IF(A2889="","",CHOOSE(WEEKDAY(A2889,2),"Mo","Di","Mi","Do","Fr","Sa","So"))</f>
        <v/>
      </c>
      <c r="C2889" s="20">
        <f>IF(A2889="","",INT((A2889-DATE(YEAR(A2889-WEEKDAY(A2889-1)+4),1,3)+WEEKDAY(DATE(YEAR(A2889-WEEKDAY(A2889-1)+4),1,3))+5)/7))</f>
        <v/>
      </c>
      <c r="D2889" s="21" t="n"/>
      <c r="E2889" s="22" t="n"/>
      <c r="F2889" s="23" t="n"/>
      <c r="G2889" s="23" t="n"/>
      <c r="H2889" s="23" t="n"/>
      <c r="I2889" s="20">
        <f>IF(COUNT(F2889:H2889)=0,"",SUM(F2889:H2889))</f>
        <v/>
      </c>
      <c r="J2889" s="23" t="n"/>
      <c r="K2889" s="23" t="n"/>
      <c r="L2889" s="23" t="n"/>
      <c r="M2889" s="23" t="n"/>
      <c r="N2889" s="23" t="n"/>
      <c r="O2889" s="20">
        <f>IF(OR(I2889="",COUNT(J2889:N2889)=0),"",IF(SUM(J2889:N2889)=I2889,"✓","⚠ "&amp;SUM(J2889:N2889)&amp;" statt "&amp;I2889))</f>
        <v/>
      </c>
      <c r="P2889" s="21" t="n"/>
      <c r="Q2889" s="21" t="n"/>
      <c r="R2889" s="21" t="n"/>
      <c r="S2889" s="24" t="n"/>
      <c r="T2889" s="24" t="n"/>
      <c r="V2889">
        <f>IF(A2889="","",MONTH(A2889))</f>
        <v/>
      </c>
      <c r="W2889">
        <f>N(W2888)+IF(AND(C2889&lt;&gt;"",T2889&lt;&gt;""),IF(C2889=WOCHE!$B$3,1,0),0)</f>
        <v/>
      </c>
      <c r="X2889">
        <f>N(X2888)+IF(AND(V2889&lt;&gt;"",T2889&lt;&gt;""),IF(V2889=MONAT!$AZ$3,1,0),0)</f>
        <v/>
      </c>
    </row>
    <row r="2890">
      <c r="A2890" s="19" t="n"/>
      <c r="B2890" s="20">
        <f>IF(A2890="","",CHOOSE(WEEKDAY(A2890,2),"Mo","Di","Mi","Do","Fr","Sa","So"))</f>
        <v/>
      </c>
      <c r="C2890" s="20">
        <f>IF(A2890="","",INT((A2890-DATE(YEAR(A2890-WEEKDAY(A2890-1)+4),1,3)+WEEKDAY(DATE(YEAR(A2890-WEEKDAY(A2890-1)+4),1,3))+5)/7))</f>
        <v/>
      </c>
      <c r="D2890" s="21" t="n"/>
      <c r="E2890" s="22" t="n"/>
      <c r="F2890" s="23" t="n"/>
      <c r="G2890" s="23" t="n"/>
      <c r="H2890" s="23" t="n"/>
      <c r="I2890" s="20">
        <f>IF(COUNT(F2890:H2890)=0,"",SUM(F2890:H2890))</f>
        <v/>
      </c>
      <c r="J2890" s="23" t="n"/>
      <c r="K2890" s="23" t="n"/>
      <c r="L2890" s="23" t="n"/>
      <c r="M2890" s="23" t="n"/>
      <c r="N2890" s="23" t="n"/>
      <c r="O2890" s="20">
        <f>IF(OR(I2890="",COUNT(J2890:N2890)=0),"",IF(SUM(J2890:N2890)=I2890,"✓","⚠ "&amp;SUM(J2890:N2890)&amp;" statt "&amp;I2890))</f>
        <v/>
      </c>
      <c r="P2890" s="21" t="n"/>
      <c r="Q2890" s="21" t="n"/>
      <c r="R2890" s="21" t="n"/>
      <c r="S2890" s="24" t="n"/>
      <c r="T2890" s="24" t="n"/>
      <c r="V2890">
        <f>IF(A2890="","",MONTH(A2890))</f>
        <v/>
      </c>
      <c r="W2890">
        <f>N(W2889)+IF(AND(C2890&lt;&gt;"",T2890&lt;&gt;""),IF(C2890=WOCHE!$B$3,1,0),0)</f>
        <v/>
      </c>
      <c r="X2890">
        <f>N(X2889)+IF(AND(V2890&lt;&gt;"",T2890&lt;&gt;""),IF(V2890=MONAT!$AZ$3,1,0),0)</f>
        <v/>
      </c>
    </row>
    <row r="2891">
      <c r="A2891" s="19" t="n"/>
      <c r="B2891" s="20">
        <f>IF(A2891="","",CHOOSE(WEEKDAY(A2891,2),"Mo","Di","Mi","Do","Fr","Sa","So"))</f>
        <v/>
      </c>
      <c r="C2891" s="20">
        <f>IF(A2891="","",INT((A2891-DATE(YEAR(A2891-WEEKDAY(A2891-1)+4),1,3)+WEEKDAY(DATE(YEAR(A2891-WEEKDAY(A2891-1)+4),1,3))+5)/7))</f>
        <v/>
      </c>
      <c r="D2891" s="21" t="n"/>
      <c r="E2891" s="22" t="n"/>
      <c r="F2891" s="23" t="n"/>
      <c r="G2891" s="23" t="n"/>
      <c r="H2891" s="23" t="n"/>
      <c r="I2891" s="20">
        <f>IF(COUNT(F2891:H2891)=0,"",SUM(F2891:H2891))</f>
        <v/>
      </c>
      <c r="J2891" s="23" t="n"/>
      <c r="K2891" s="23" t="n"/>
      <c r="L2891" s="23" t="n"/>
      <c r="M2891" s="23" t="n"/>
      <c r="N2891" s="23" t="n"/>
      <c r="O2891" s="20">
        <f>IF(OR(I2891="",COUNT(J2891:N2891)=0),"",IF(SUM(J2891:N2891)=I2891,"✓","⚠ "&amp;SUM(J2891:N2891)&amp;" statt "&amp;I2891))</f>
        <v/>
      </c>
      <c r="P2891" s="21" t="n"/>
      <c r="Q2891" s="21" t="n"/>
      <c r="R2891" s="21" t="n"/>
      <c r="S2891" s="24" t="n"/>
      <c r="T2891" s="24" t="n"/>
      <c r="V2891">
        <f>IF(A2891="","",MONTH(A2891))</f>
        <v/>
      </c>
      <c r="W2891">
        <f>N(W2890)+IF(AND(C2891&lt;&gt;"",T2891&lt;&gt;""),IF(C2891=WOCHE!$B$3,1,0),0)</f>
        <v/>
      </c>
      <c r="X2891">
        <f>N(X2890)+IF(AND(V2891&lt;&gt;"",T2891&lt;&gt;""),IF(V2891=MONAT!$AZ$3,1,0),0)</f>
        <v/>
      </c>
    </row>
    <row r="2892">
      <c r="A2892" s="19" t="n"/>
      <c r="B2892" s="20">
        <f>IF(A2892="","",CHOOSE(WEEKDAY(A2892,2),"Mo","Di","Mi","Do","Fr","Sa","So"))</f>
        <v/>
      </c>
      <c r="C2892" s="20">
        <f>IF(A2892="","",INT((A2892-DATE(YEAR(A2892-WEEKDAY(A2892-1)+4),1,3)+WEEKDAY(DATE(YEAR(A2892-WEEKDAY(A2892-1)+4),1,3))+5)/7))</f>
        <v/>
      </c>
      <c r="D2892" s="21" t="n"/>
      <c r="E2892" s="22" t="n"/>
      <c r="F2892" s="23" t="n"/>
      <c r="G2892" s="23" t="n"/>
      <c r="H2892" s="23" t="n"/>
      <c r="I2892" s="20">
        <f>IF(COUNT(F2892:H2892)=0,"",SUM(F2892:H2892))</f>
        <v/>
      </c>
      <c r="J2892" s="23" t="n"/>
      <c r="K2892" s="23" t="n"/>
      <c r="L2892" s="23" t="n"/>
      <c r="M2892" s="23" t="n"/>
      <c r="N2892" s="23" t="n"/>
      <c r="O2892" s="20">
        <f>IF(OR(I2892="",COUNT(J2892:N2892)=0),"",IF(SUM(J2892:N2892)=I2892,"✓","⚠ "&amp;SUM(J2892:N2892)&amp;" statt "&amp;I2892))</f>
        <v/>
      </c>
      <c r="P2892" s="21" t="n"/>
      <c r="Q2892" s="21" t="n"/>
      <c r="R2892" s="21" t="n"/>
      <c r="S2892" s="24" t="n"/>
      <c r="T2892" s="24" t="n"/>
      <c r="V2892">
        <f>IF(A2892="","",MONTH(A2892))</f>
        <v/>
      </c>
      <c r="W2892">
        <f>N(W2891)+IF(AND(C2892&lt;&gt;"",T2892&lt;&gt;""),IF(C2892=WOCHE!$B$3,1,0),0)</f>
        <v/>
      </c>
      <c r="X2892">
        <f>N(X2891)+IF(AND(V2892&lt;&gt;"",T2892&lt;&gt;""),IF(V2892=MONAT!$AZ$3,1,0),0)</f>
        <v/>
      </c>
    </row>
    <row r="2893">
      <c r="A2893" s="19" t="n"/>
      <c r="B2893" s="20">
        <f>IF(A2893="","",CHOOSE(WEEKDAY(A2893,2),"Mo","Di","Mi","Do","Fr","Sa","So"))</f>
        <v/>
      </c>
      <c r="C2893" s="20">
        <f>IF(A2893="","",INT((A2893-DATE(YEAR(A2893-WEEKDAY(A2893-1)+4),1,3)+WEEKDAY(DATE(YEAR(A2893-WEEKDAY(A2893-1)+4),1,3))+5)/7))</f>
        <v/>
      </c>
      <c r="D2893" s="21" t="n"/>
      <c r="E2893" s="22" t="n"/>
      <c r="F2893" s="23" t="n"/>
      <c r="G2893" s="23" t="n"/>
      <c r="H2893" s="23" t="n"/>
      <c r="I2893" s="20">
        <f>IF(COUNT(F2893:H2893)=0,"",SUM(F2893:H2893))</f>
        <v/>
      </c>
      <c r="J2893" s="23" t="n"/>
      <c r="K2893" s="23" t="n"/>
      <c r="L2893" s="23" t="n"/>
      <c r="M2893" s="23" t="n"/>
      <c r="N2893" s="23" t="n"/>
      <c r="O2893" s="20">
        <f>IF(OR(I2893="",COUNT(J2893:N2893)=0),"",IF(SUM(J2893:N2893)=I2893,"✓","⚠ "&amp;SUM(J2893:N2893)&amp;" statt "&amp;I2893))</f>
        <v/>
      </c>
      <c r="P2893" s="21" t="n"/>
      <c r="Q2893" s="21" t="n"/>
      <c r="R2893" s="21" t="n"/>
      <c r="S2893" s="24" t="n"/>
      <c r="T2893" s="24" t="n"/>
      <c r="V2893">
        <f>IF(A2893="","",MONTH(A2893))</f>
        <v/>
      </c>
      <c r="W2893">
        <f>N(W2892)+IF(AND(C2893&lt;&gt;"",T2893&lt;&gt;""),IF(C2893=WOCHE!$B$3,1,0),0)</f>
        <v/>
      </c>
      <c r="X2893">
        <f>N(X2892)+IF(AND(V2893&lt;&gt;"",T2893&lt;&gt;""),IF(V2893=MONAT!$AZ$3,1,0),0)</f>
        <v/>
      </c>
    </row>
    <row r="2894">
      <c r="A2894" s="19" t="n"/>
      <c r="B2894" s="20">
        <f>IF(A2894="","",CHOOSE(WEEKDAY(A2894,2),"Mo","Di","Mi","Do","Fr","Sa","So"))</f>
        <v/>
      </c>
      <c r="C2894" s="20">
        <f>IF(A2894="","",INT((A2894-DATE(YEAR(A2894-WEEKDAY(A2894-1)+4),1,3)+WEEKDAY(DATE(YEAR(A2894-WEEKDAY(A2894-1)+4),1,3))+5)/7))</f>
        <v/>
      </c>
      <c r="D2894" s="21" t="n"/>
      <c r="E2894" s="22" t="n"/>
      <c r="F2894" s="23" t="n"/>
      <c r="G2894" s="23" t="n"/>
      <c r="H2894" s="23" t="n"/>
      <c r="I2894" s="20">
        <f>IF(COUNT(F2894:H2894)=0,"",SUM(F2894:H2894))</f>
        <v/>
      </c>
      <c r="J2894" s="23" t="n"/>
      <c r="K2894" s="23" t="n"/>
      <c r="L2894" s="23" t="n"/>
      <c r="M2894" s="23" t="n"/>
      <c r="N2894" s="23" t="n"/>
      <c r="O2894" s="20">
        <f>IF(OR(I2894="",COUNT(J2894:N2894)=0),"",IF(SUM(J2894:N2894)=I2894,"✓","⚠ "&amp;SUM(J2894:N2894)&amp;" statt "&amp;I2894))</f>
        <v/>
      </c>
      <c r="P2894" s="21" t="n"/>
      <c r="Q2894" s="21" t="n"/>
      <c r="R2894" s="21" t="n"/>
      <c r="S2894" s="24" t="n"/>
      <c r="T2894" s="24" t="n"/>
      <c r="V2894">
        <f>IF(A2894="","",MONTH(A2894))</f>
        <v/>
      </c>
      <c r="W2894">
        <f>N(W2893)+IF(AND(C2894&lt;&gt;"",T2894&lt;&gt;""),IF(C2894=WOCHE!$B$3,1,0),0)</f>
        <v/>
      </c>
      <c r="X2894">
        <f>N(X2893)+IF(AND(V2894&lt;&gt;"",T2894&lt;&gt;""),IF(V2894=MONAT!$AZ$3,1,0),0)</f>
        <v/>
      </c>
    </row>
    <row r="2895">
      <c r="A2895" s="19" t="n"/>
      <c r="B2895" s="20">
        <f>IF(A2895="","",CHOOSE(WEEKDAY(A2895,2),"Mo","Di","Mi","Do","Fr","Sa","So"))</f>
        <v/>
      </c>
      <c r="C2895" s="20">
        <f>IF(A2895="","",INT((A2895-DATE(YEAR(A2895-WEEKDAY(A2895-1)+4),1,3)+WEEKDAY(DATE(YEAR(A2895-WEEKDAY(A2895-1)+4),1,3))+5)/7))</f>
        <v/>
      </c>
      <c r="D2895" s="21" t="n"/>
      <c r="E2895" s="22" t="n"/>
      <c r="F2895" s="23" t="n"/>
      <c r="G2895" s="23" t="n"/>
      <c r="H2895" s="23" t="n"/>
      <c r="I2895" s="20">
        <f>IF(COUNT(F2895:H2895)=0,"",SUM(F2895:H2895))</f>
        <v/>
      </c>
      <c r="J2895" s="23" t="n"/>
      <c r="K2895" s="23" t="n"/>
      <c r="L2895" s="23" t="n"/>
      <c r="M2895" s="23" t="n"/>
      <c r="N2895" s="23" t="n"/>
      <c r="O2895" s="20">
        <f>IF(OR(I2895="",COUNT(J2895:N2895)=0),"",IF(SUM(J2895:N2895)=I2895,"✓","⚠ "&amp;SUM(J2895:N2895)&amp;" statt "&amp;I2895))</f>
        <v/>
      </c>
      <c r="P2895" s="21" t="n"/>
      <c r="Q2895" s="21" t="n"/>
      <c r="R2895" s="21" t="n"/>
      <c r="S2895" s="24" t="n"/>
      <c r="T2895" s="24" t="n"/>
      <c r="V2895">
        <f>IF(A2895="","",MONTH(A2895))</f>
        <v/>
      </c>
      <c r="W2895">
        <f>N(W2894)+IF(AND(C2895&lt;&gt;"",T2895&lt;&gt;""),IF(C2895=WOCHE!$B$3,1,0),0)</f>
        <v/>
      </c>
      <c r="X2895">
        <f>N(X2894)+IF(AND(V2895&lt;&gt;"",T2895&lt;&gt;""),IF(V2895=MONAT!$AZ$3,1,0),0)</f>
        <v/>
      </c>
    </row>
    <row r="2896">
      <c r="A2896" s="19" t="n"/>
      <c r="B2896" s="20">
        <f>IF(A2896="","",CHOOSE(WEEKDAY(A2896,2),"Mo","Di","Mi","Do","Fr","Sa","So"))</f>
        <v/>
      </c>
      <c r="C2896" s="20">
        <f>IF(A2896="","",INT((A2896-DATE(YEAR(A2896-WEEKDAY(A2896-1)+4),1,3)+WEEKDAY(DATE(YEAR(A2896-WEEKDAY(A2896-1)+4),1,3))+5)/7))</f>
        <v/>
      </c>
      <c r="D2896" s="21" t="n"/>
      <c r="E2896" s="22" t="n"/>
      <c r="F2896" s="23" t="n"/>
      <c r="G2896" s="23" t="n"/>
      <c r="H2896" s="23" t="n"/>
      <c r="I2896" s="20">
        <f>IF(COUNT(F2896:H2896)=0,"",SUM(F2896:H2896))</f>
        <v/>
      </c>
      <c r="J2896" s="23" t="n"/>
      <c r="K2896" s="23" t="n"/>
      <c r="L2896" s="23" t="n"/>
      <c r="M2896" s="23" t="n"/>
      <c r="N2896" s="23" t="n"/>
      <c r="O2896" s="20">
        <f>IF(OR(I2896="",COUNT(J2896:N2896)=0),"",IF(SUM(J2896:N2896)=I2896,"✓","⚠ "&amp;SUM(J2896:N2896)&amp;" statt "&amp;I2896))</f>
        <v/>
      </c>
      <c r="P2896" s="21" t="n"/>
      <c r="Q2896" s="21" t="n"/>
      <c r="R2896" s="21" t="n"/>
      <c r="S2896" s="24" t="n"/>
      <c r="T2896" s="24" t="n"/>
      <c r="V2896">
        <f>IF(A2896="","",MONTH(A2896))</f>
        <v/>
      </c>
      <c r="W2896">
        <f>N(W2895)+IF(AND(C2896&lt;&gt;"",T2896&lt;&gt;""),IF(C2896=WOCHE!$B$3,1,0),0)</f>
        <v/>
      </c>
      <c r="X2896">
        <f>N(X2895)+IF(AND(V2896&lt;&gt;"",T2896&lt;&gt;""),IF(V2896=MONAT!$AZ$3,1,0),0)</f>
        <v/>
      </c>
    </row>
    <row r="2897">
      <c r="A2897" s="19" t="n"/>
      <c r="B2897" s="20">
        <f>IF(A2897="","",CHOOSE(WEEKDAY(A2897,2),"Mo","Di","Mi","Do","Fr","Sa","So"))</f>
        <v/>
      </c>
      <c r="C2897" s="20">
        <f>IF(A2897="","",INT((A2897-DATE(YEAR(A2897-WEEKDAY(A2897-1)+4),1,3)+WEEKDAY(DATE(YEAR(A2897-WEEKDAY(A2897-1)+4),1,3))+5)/7))</f>
        <v/>
      </c>
      <c r="D2897" s="21" t="n"/>
      <c r="E2897" s="22" t="n"/>
      <c r="F2897" s="23" t="n"/>
      <c r="G2897" s="23" t="n"/>
      <c r="H2897" s="23" t="n"/>
      <c r="I2897" s="20">
        <f>IF(COUNT(F2897:H2897)=0,"",SUM(F2897:H2897))</f>
        <v/>
      </c>
      <c r="J2897" s="23" t="n"/>
      <c r="K2897" s="23" t="n"/>
      <c r="L2897" s="23" t="n"/>
      <c r="M2897" s="23" t="n"/>
      <c r="N2897" s="23" t="n"/>
      <c r="O2897" s="20">
        <f>IF(OR(I2897="",COUNT(J2897:N2897)=0),"",IF(SUM(J2897:N2897)=I2897,"✓","⚠ "&amp;SUM(J2897:N2897)&amp;" statt "&amp;I2897))</f>
        <v/>
      </c>
      <c r="P2897" s="21" t="n"/>
      <c r="Q2897" s="21" t="n"/>
      <c r="R2897" s="21" t="n"/>
      <c r="S2897" s="24" t="n"/>
      <c r="T2897" s="24" t="n"/>
      <c r="V2897">
        <f>IF(A2897="","",MONTH(A2897))</f>
        <v/>
      </c>
      <c r="W2897">
        <f>N(W2896)+IF(AND(C2897&lt;&gt;"",T2897&lt;&gt;""),IF(C2897=WOCHE!$B$3,1,0),0)</f>
        <v/>
      </c>
      <c r="X2897">
        <f>N(X2896)+IF(AND(V2897&lt;&gt;"",T2897&lt;&gt;""),IF(V2897=MONAT!$AZ$3,1,0),0)</f>
        <v/>
      </c>
    </row>
    <row r="2898">
      <c r="A2898" s="19" t="n"/>
      <c r="B2898" s="20">
        <f>IF(A2898="","",CHOOSE(WEEKDAY(A2898,2),"Mo","Di","Mi","Do","Fr","Sa","So"))</f>
        <v/>
      </c>
      <c r="C2898" s="20">
        <f>IF(A2898="","",INT((A2898-DATE(YEAR(A2898-WEEKDAY(A2898-1)+4),1,3)+WEEKDAY(DATE(YEAR(A2898-WEEKDAY(A2898-1)+4),1,3))+5)/7))</f>
        <v/>
      </c>
      <c r="D2898" s="21" t="n"/>
      <c r="E2898" s="22" t="n"/>
      <c r="F2898" s="23" t="n"/>
      <c r="G2898" s="23" t="n"/>
      <c r="H2898" s="23" t="n"/>
      <c r="I2898" s="20">
        <f>IF(COUNT(F2898:H2898)=0,"",SUM(F2898:H2898))</f>
        <v/>
      </c>
      <c r="J2898" s="23" t="n"/>
      <c r="K2898" s="23" t="n"/>
      <c r="L2898" s="23" t="n"/>
      <c r="M2898" s="23" t="n"/>
      <c r="N2898" s="23" t="n"/>
      <c r="O2898" s="20">
        <f>IF(OR(I2898="",COUNT(J2898:N2898)=0),"",IF(SUM(J2898:N2898)=I2898,"✓","⚠ "&amp;SUM(J2898:N2898)&amp;" statt "&amp;I2898))</f>
        <v/>
      </c>
      <c r="P2898" s="21" t="n"/>
      <c r="Q2898" s="21" t="n"/>
      <c r="R2898" s="21" t="n"/>
      <c r="S2898" s="24" t="n"/>
      <c r="T2898" s="24" t="n"/>
      <c r="V2898">
        <f>IF(A2898="","",MONTH(A2898))</f>
        <v/>
      </c>
      <c r="W2898">
        <f>N(W2897)+IF(AND(C2898&lt;&gt;"",T2898&lt;&gt;""),IF(C2898=WOCHE!$B$3,1,0),0)</f>
        <v/>
      </c>
      <c r="X2898">
        <f>N(X2897)+IF(AND(V2898&lt;&gt;"",T2898&lt;&gt;""),IF(V2898=MONAT!$AZ$3,1,0),0)</f>
        <v/>
      </c>
    </row>
    <row r="2899">
      <c r="A2899" s="19" t="n"/>
      <c r="B2899" s="20">
        <f>IF(A2899="","",CHOOSE(WEEKDAY(A2899,2),"Mo","Di","Mi","Do","Fr","Sa","So"))</f>
        <v/>
      </c>
      <c r="C2899" s="20">
        <f>IF(A2899="","",INT((A2899-DATE(YEAR(A2899-WEEKDAY(A2899-1)+4),1,3)+WEEKDAY(DATE(YEAR(A2899-WEEKDAY(A2899-1)+4),1,3))+5)/7))</f>
        <v/>
      </c>
      <c r="D2899" s="21" t="n"/>
      <c r="E2899" s="22" t="n"/>
      <c r="F2899" s="23" t="n"/>
      <c r="G2899" s="23" t="n"/>
      <c r="H2899" s="23" t="n"/>
      <c r="I2899" s="20">
        <f>IF(COUNT(F2899:H2899)=0,"",SUM(F2899:H2899))</f>
        <v/>
      </c>
      <c r="J2899" s="23" t="n"/>
      <c r="K2899" s="23" t="n"/>
      <c r="L2899" s="23" t="n"/>
      <c r="M2899" s="23" t="n"/>
      <c r="N2899" s="23" t="n"/>
      <c r="O2899" s="20">
        <f>IF(OR(I2899="",COUNT(J2899:N2899)=0),"",IF(SUM(J2899:N2899)=I2899,"✓","⚠ "&amp;SUM(J2899:N2899)&amp;" statt "&amp;I2899))</f>
        <v/>
      </c>
      <c r="P2899" s="21" t="n"/>
      <c r="Q2899" s="21" t="n"/>
      <c r="R2899" s="21" t="n"/>
      <c r="S2899" s="24" t="n"/>
      <c r="T2899" s="24" t="n"/>
      <c r="V2899">
        <f>IF(A2899="","",MONTH(A2899))</f>
        <v/>
      </c>
      <c r="W2899">
        <f>N(W2898)+IF(AND(C2899&lt;&gt;"",T2899&lt;&gt;""),IF(C2899=WOCHE!$B$3,1,0),0)</f>
        <v/>
      </c>
      <c r="X2899">
        <f>N(X2898)+IF(AND(V2899&lt;&gt;"",T2899&lt;&gt;""),IF(V2899=MONAT!$AZ$3,1,0),0)</f>
        <v/>
      </c>
    </row>
    <row r="2900">
      <c r="A2900" s="19" t="n"/>
      <c r="B2900" s="20">
        <f>IF(A2900="","",CHOOSE(WEEKDAY(A2900,2),"Mo","Di","Mi","Do","Fr","Sa","So"))</f>
        <v/>
      </c>
      <c r="C2900" s="20">
        <f>IF(A2900="","",INT((A2900-DATE(YEAR(A2900-WEEKDAY(A2900-1)+4),1,3)+WEEKDAY(DATE(YEAR(A2900-WEEKDAY(A2900-1)+4),1,3))+5)/7))</f>
        <v/>
      </c>
      <c r="D2900" s="21" t="n"/>
      <c r="E2900" s="22" t="n"/>
      <c r="F2900" s="23" t="n"/>
      <c r="G2900" s="23" t="n"/>
      <c r="H2900" s="23" t="n"/>
      <c r="I2900" s="20">
        <f>IF(COUNT(F2900:H2900)=0,"",SUM(F2900:H2900))</f>
        <v/>
      </c>
      <c r="J2900" s="23" t="n"/>
      <c r="K2900" s="23" t="n"/>
      <c r="L2900" s="23" t="n"/>
      <c r="M2900" s="23" t="n"/>
      <c r="N2900" s="23" t="n"/>
      <c r="O2900" s="20">
        <f>IF(OR(I2900="",COUNT(J2900:N2900)=0),"",IF(SUM(J2900:N2900)=I2900,"✓","⚠ "&amp;SUM(J2900:N2900)&amp;" statt "&amp;I2900))</f>
        <v/>
      </c>
      <c r="P2900" s="21" t="n"/>
      <c r="Q2900" s="21" t="n"/>
      <c r="R2900" s="21" t="n"/>
      <c r="S2900" s="24" t="n"/>
      <c r="T2900" s="24" t="n"/>
      <c r="V2900">
        <f>IF(A2900="","",MONTH(A2900))</f>
        <v/>
      </c>
      <c r="W2900">
        <f>N(W2899)+IF(AND(C2900&lt;&gt;"",T2900&lt;&gt;""),IF(C2900=WOCHE!$B$3,1,0),0)</f>
        <v/>
      </c>
      <c r="X2900">
        <f>N(X2899)+IF(AND(V2900&lt;&gt;"",T2900&lt;&gt;""),IF(V2900=MONAT!$AZ$3,1,0),0)</f>
        <v/>
      </c>
    </row>
    <row r="2901">
      <c r="A2901" s="19" t="n"/>
      <c r="B2901" s="20">
        <f>IF(A2901="","",CHOOSE(WEEKDAY(A2901,2),"Mo","Di","Mi","Do","Fr","Sa","So"))</f>
        <v/>
      </c>
      <c r="C2901" s="20">
        <f>IF(A2901="","",INT((A2901-DATE(YEAR(A2901-WEEKDAY(A2901-1)+4),1,3)+WEEKDAY(DATE(YEAR(A2901-WEEKDAY(A2901-1)+4),1,3))+5)/7))</f>
        <v/>
      </c>
      <c r="D2901" s="21" t="n"/>
      <c r="E2901" s="22" t="n"/>
      <c r="F2901" s="23" t="n"/>
      <c r="G2901" s="23" t="n"/>
      <c r="H2901" s="23" t="n"/>
      <c r="I2901" s="20">
        <f>IF(COUNT(F2901:H2901)=0,"",SUM(F2901:H2901))</f>
        <v/>
      </c>
      <c r="J2901" s="23" t="n"/>
      <c r="K2901" s="23" t="n"/>
      <c r="L2901" s="23" t="n"/>
      <c r="M2901" s="23" t="n"/>
      <c r="N2901" s="23" t="n"/>
      <c r="O2901" s="20">
        <f>IF(OR(I2901="",COUNT(J2901:N2901)=0),"",IF(SUM(J2901:N2901)=I2901,"✓","⚠ "&amp;SUM(J2901:N2901)&amp;" statt "&amp;I2901))</f>
        <v/>
      </c>
      <c r="P2901" s="21" t="n"/>
      <c r="Q2901" s="21" t="n"/>
      <c r="R2901" s="21" t="n"/>
      <c r="S2901" s="24" t="n"/>
      <c r="T2901" s="24" t="n"/>
      <c r="V2901">
        <f>IF(A2901="","",MONTH(A2901))</f>
        <v/>
      </c>
      <c r="W2901">
        <f>N(W2900)+IF(AND(C2901&lt;&gt;"",T2901&lt;&gt;""),IF(C2901=WOCHE!$B$3,1,0),0)</f>
        <v/>
      </c>
      <c r="X2901">
        <f>N(X2900)+IF(AND(V2901&lt;&gt;"",T2901&lt;&gt;""),IF(V2901=MONAT!$AZ$3,1,0),0)</f>
        <v/>
      </c>
    </row>
    <row r="2902">
      <c r="A2902" s="19" t="n"/>
      <c r="B2902" s="20">
        <f>IF(A2902="","",CHOOSE(WEEKDAY(A2902,2),"Mo","Di","Mi","Do","Fr","Sa","So"))</f>
        <v/>
      </c>
      <c r="C2902" s="20">
        <f>IF(A2902="","",INT((A2902-DATE(YEAR(A2902-WEEKDAY(A2902-1)+4),1,3)+WEEKDAY(DATE(YEAR(A2902-WEEKDAY(A2902-1)+4),1,3))+5)/7))</f>
        <v/>
      </c>
      <c r="D2902" s="21" t="n"/>
      <c r="E2902" s="22" t="n"/>
      <c r="F2902" s="23" t="n"/>
      <c r="G2902" s="23" t="n"/>
      <c r="H2902" s="23" t="n"/>
      <c r="I2902" s="20">
        <f>IF(COUNT(F2902:H2902)=0,"",SUM(F2902:H2902))</f>
        <v/>
      </c>
      <c r="J2902" s="23" t="n"/>
      <c r="K2902" s="23" t="n"/>
      <c r="L2902" s="23" t="n"/>
      <c r="M2902" s="23" t="n"/>
      <c r="N2902" s="23" t="n"/>
      <c r="O2902" s="20">
        <f>IF(OR(I2902="",COUNT(J2902:N2902)=0),"",IF(SUM(J2902:N2902)=I2902,"✓","⚠ "&amp;SUM(J2902:N2902)&amp;" statt "&amp;I2902))</f>
        <v/>
      </c>
      <c r="P2902" s="21" t="n"/>
      <c r="Q2902" s="21" t="n"/>
      <c r="R2902" s="21" t="n"/>
      <c r="S2902" s="24" t="n"/>
      <c r="T2902" s="24" t="n"/>
      <c r="V2902">
        <f>IF(A2902="","",MONTH(A2902))</f>
        <v/>
      </c>
      <c r="W2902">
        <f>N(W2901)+IF(AND(C2902&lt;&gt;"",T2902&lt;&gt;""),IF(C2902=WOCHE!$B$3,1,0),0)</f>
        <v/>
      </c>
      <c r="X2902">
        <f>N(X2901)+IF(AND(V2902&lt;&gt;"",T2902&lt;&gt;""),IF(V2902=MONAT!$AZ$3,1,0),0)</f>
        <v/>
      </c>
    </row>
    <row r="2903">
      <c r="A2903" s="19" t="n"/>
      <c r="B2903" s="20">
        <f>IF(A2903="","",CHOOSE(WEEKDAY(A2903,2),"Mo","Di","Mi","Do","Fr","Sa","So"))</f>
        <v/>
      </c>
      <c r="C2903" s="20">
        <f>IF(A2903="","",INT((A2903-DATE(YEAR(A2903-WEEKDAY(A2903-1)+4),1,3)+WEEKDAY(DATE(YEAR(A2903-WEEKDAY(A2903-1)+4),1,3))+5)/7))</f>
        <v/>
      </c>
      <c r="D2903" s="21" t="n"/>
      <c r="E2903" s="22" t="n"/>
      <c r="F2903" s="23" t="n"/>
      <c r="G2903" s="23" t="n"/>
      <c r="H2903" s="23" t="n"/>
      <c r="I2903" s="20">
        <f>IF(COUNT(F2903:H2903)=0,"",SUM(F2903:H2903))</f>
        <v/>
      </c>
      <c r="J2903" s="23" t="n"/>
      <c r="K2903" s="23" t="n"/>
      <c r="L2903" s="23" t="n"/>
      <c r="M2903" s="23" t="n"/>
      <c r="N2903" s="23" t="n"/>
      <c r="O2903" s="20">
        <f>IF(OR(I2903="",COUNT(J2903:N2903)=0),"",IF(SUM(J2903:N2903)=I2903,"✓","⚠ "&amp;SUM(J2903:N2903)&amp;" statt "&amp;I2903))</f>
        <v/>
      </c>
      <c r="P2903" s="21" t="n"/>
      <c r="Q2903" s="21" t="n"/>
      <c r="R2903" s="21" t="n"/>
      <c r="S2903" s="24" t="n"/>
      <c r="T2903" s="24" t="n"/>
      <c r="V2903">
        <f>IF(A2903="","",MONTH(A2903))</f>
        <v/>
      </c>
      <c r="W2903">
        <f>N(W2902)+IF(AND(C2903&lt;&gt;"",T2903&lt;&gt;""),IF(C2903=WOCHE!$B$3,1,0),0)</f>
        <v/>
      </c>
      <c r="X2903">
        <f>N(X2902)+IF(AND(V2903&lt;&gt;"",T2903&lt;&gt;""),IF(V2903=MONAT!$AZ$3,1,0),0)</f>
        <v/>
      </c>
    </row>
    <row r="2904">
      <c r="A2904" s="19" t="n"/>
      <c r="B2904" s="20">
        <f>IF(A2904="","",CHOOSE(WEEKDAY(A2904,2),"Mo","Di","Mi","Do","Fr","Sa","So"))</f>
        <v/>
      </c>
      <c r="C2904" s="20">
        <f>IF(A2904="","",INT((A2904-DATE(YEAR(A2904-WEEKDAY(A2904-1)+4),1,3)+WEEKDAY(DATE(YEAR(A2904-WEEKDAY(A2904-1)+4),1,3))+5)/7))</f>
        <v/>
      </c>
      <c r="D2904" s="21" t="n"/>
      <c r="E2904" s="22" t="n"/>
      <c r="F2904" s="23" t="n"/>
      <c r="G2904" s="23" t="n"/>
      <c r="H2904" s="23" t="n"/>
      <c r="I2904" s="20">
        <f>IF(COUNT(F2904:H2904)=0,"",SUM(F2904:H2904))</f>
        <v/>
      </c>
      <c r="J2904" s="23" t="n"/>
      <c r="K2904" s="23" t="n"/>
      <c r="L2904" s="23" t="n"/>
      <c r="M2904" s="23" t="n"/>
      <c r="N2904" s="23" t="n"/>
      <c r="O2904" s="20">
        <f>IF(OR(I2904="",COUNT(J2904:N2904)=0),"",IF(SUM(J2904:N2904)=I2904,"✓","⚠ "&amp;SUM(J2904:N2904)&amp;" statt "&amp;I2904))</f>
        <v/>
      </c>
      <c r="P2904" s="21" t="n"/>
      <c r="Q2904" s="21" t="n"/>
      <c r="R2904" s="21" t="n"/>
      <c r="S2904" s="24" t="n"/>
      <c r="T2904" s="24" t="n"/>
      <c r="V2904">
        <f>IF(A2904="","",MONTH(A2904))</f>
        <v/>
      </c>
      <c r="W2904">
        <f>N(W2903)+IF(AND(C2904&lt;&gt;"",T2904&lt;&gt;""),IF(C2904=WOCHE!$B$3,1,0),0)</f>
        <v/>
      </c>
      <c r="X2904">
        <f>N(X2903)+IF(AND(V2904&lt;&gt;"",T2904&lt;&gt;""),IF(V2904=MONAT!$AZ$3,1,0),0)</f>
        <v/>
      </c>
    </row>
    <row r="2905">
      <c r="A2905" s="19" t="n"/>
      <c r="B2905" s="20">
        <f>IF(A2905="","",CHOOSE(WEEKDAY(A2905,2),"Mo","Di","Mi","Do","Fr","Sa","So"))</f>
        <v/>
      </c>
      <c r="C2905" s="20">
        <f>IF(A2905="","",INT((A2905-DATE(YEAR(A2905-WEEKDAY(A2905-1)+4),1,3)+WEEKDAY(DATE(YEAR(A2905-WEEKDAY(A2905-1)+4),1,3))+5)/7))</f>
        <v/>
      </c>
      <c r="D2905" s="21" t="n"/>
      <c r="E2905" s="22" t="n"/>
      <c r="F2905" s="23" t="n"/>
      <c r="G2905" s="23" t="n"/>
      <c r="H2905" s="23" t="n"/>
      <c r="I2905" s="20">
        <f>IF(COUNT(F2905:H2905)=0,"",SUM(F2905:H2905))</f>
        <v/>
      </c>
      <c r="J2905" s="23" t="n"/>
      <c r="K2905" s="23" t="n"/>
      <c r="L2905" s="23" t="n"/>
      <c r="M2905" s="23" t="n"/>
      <c r="N2905" s="23" t="n"/>
      <c r="O2905" s="20">
        <f>IF(OR(I2905="",COUNT(J2905:N2905)=0),"",IF(SUM(J2905:N2905)=I2905,"✓","⚠ "&amp;SUM(J2905:N2905)&amp;" statt "&amp;I2905))</f>
        <v/>
      </c>
      <c r="P2905" s="21" t="n"/>
      <c r="Q2905" s="21" t="n"/>
      <c r="R2905" s="21" t="n"/>
      <c r="S2905" s="24" t="n"/>
      <c r="T2905" s="24" t="n"/>
      <c r="V2905">
        <f>IF(A2905="","",MONTH(A2905))</f>
        <v/>
      </c>
      <c r="W2905">
        <f>N(W2904)+IF(AND(C2905&lt;&gt;"",T2905&lt;&gt;""),IF(C2905=WOCHE!$B$3,1,0),0)</f>
        <v/>
      </c>
      <c r="X2905">
        <f>N(X2904)+IF(AND(V2905&lt;&gt;"",T2905&lt;&gt;""),IF(V2905=MONAT!$AZ$3,1,0),0)</f>
        <v/>
      </c>
    </row>
    <row r="2906">
      <c r="A2906" s="19" t="n"/>
      <c r="B2906" s="20">
        <f>IF(A2906="","",CHOOSE(WEEKDAY(A2906,2),"Mo","Di","Mi","Do","Fr","Sa","So"))</f>
        <v/>
      </c>
      <c r="C2906" s="20">
        <f>IF(A2906="","",INT((A2906-DATE(YEAR(A2906-WEEKDAY(A2906-1)+4),1,3)+WEEKDAY(DATE(YEAR(A2906-WEEKDAY(A2906-1)+4),1,3))+5)/7))</f>
        <v/>
      </c>
      <c r="D2906" s="21" t="n"/>
      <c r="E2906" s="22" t="n"/>
      <c r="F2906" s="23" t="n"/>
      <c r="G2906" s="23" t="n"/>
      <c r="H2906" s="23" t="n"/>
      <c r="I2906" s="20">
        <f>IF(COUNT(F2906:H2906)=0,"",SUM(F2906:H2906))</f>
        <v/>
      </c>
      <c r="J2906" s="23" t="n"/>
      <c r="K2906" s="23" t="n"/>
      <c r="L2906" s="23" t="n"/>
      <c r="M2906" s="23" t="n"/>
      <c r="N2906" s="23" t="n"/>
      <c r="O2906" s="20">
        <f>IF(OR(I2906="",COUNT(J2906:N2906)=0),"",IF(SUM(J2906:N2906)=I2906,"✓","⚠ "&amp;SUM(J2906:N2906)&amp;" statt "&amp;I2906))</f>
        <v/>
      </c>
      <c r="P2906" s="21" t="n"/>
      <c r="Q2906" s="21" t="n"/>
      <c r="R2906" s="21" t="n"/>
      <c r="S2906" s="24" t="n"/>
      <c r="T2906" s="24" t="n"/>
      <c r="V2906">
        <f>IF(A2906="","",MONTH(A2906))</f>
        <v/>
      </c>
      <c r="W2906">
        <f>N(W2905)+IF(AND(C2906&lt;&gt;"",T2906&lt;&gt;""),IF(C2906=WOCHE!$B$3,1,0),0)</f>
        <v/>
      </c>
      <c r="X2906">
        <f>N(X2905)+IF(AND(V2906&lt;&gt;"",T2906&lt;&gt;""),IF(V2906=MONAT!$AZ$3,1,0),0)</f>
        <v/>
      </c>
    </row>
    <row r="2907">
      <c r="A2907" s="19" t="n"/>
      <c r="B2907" s="20">
        <f>IF(A2907="","",CHOOSE(WEEKDAY(A2907,2),"Mo","Di","Mi","Do","Fr","Sa","So"))</f>
        <v/>
      </c>
      <c r="C2907" s="20">
        <f>IF(A2907="","",INT((A2907-DATE(YEAR(A2907-WEEKDAY(A2907-1)+4),1,3)+WEEKDAY(DATE(YEAR(A2907-WEEKDAY(A2907-1)+4),1,3))+5)/7))</f>
        <v/>
      </c>
      <c r="D2907" s="21" t="n"/>
      <c r="E2907" s="22" t="n"/>
      <c r="F2907" s="23" t="n"/>
      <c r="G2907" s="23" t="n"/>
      <c r="H2907" s="23" t="n"/>
      <c r="I2907" s="20">
        <f>IF(COUNT(F2907:H2907)=0,"",SUM(F2907:H2907))</f>
        <v/>
      </c>
      <c r="J2907" s="23" t="n"/>
      <c r="K2907" s="23" t="n"/>
      <c r="L2907" s="23" t="n"/>
      <c r="M2907" s="23" t="n"/>
      <c r="N2907" s="23" t="n"/>
      <c r="O2907" s="20">
        <f>IF(OR(I2907="",COUNT(J2907:N2907)=0),"",IF(SUM(J2907:N2907)=I2907,"✓","⚠ "&amp;SUM(J2907:N2907)&amp;" statt "&amp;I2907))</f>
        <v/>
      </c>
      <c r="P2907" s="21" t="n"/>
      <c r="Q2907" s="21" t="n"/>
      <c r="R2907" s="21" t="n"/>
      <c r="S2907" s="24" t="n"/>
      <c r="T2907" s="24" t="n"/>
      <c r="V2907">
        <f>IF(A2907="","",MONTH(A2907))</f>
        <v/>
      </c>
      <c r="W2907">
        <f>N(W2906)+IF(AND(C2907&lt;&gt;"",T2907&lt;&gt;""),IF(C2907=WOCHE!$B$3,1,0),0)</f>
        <v/>
      </c>
      <c r="X2907">
        <f>N(X2906)+IF(AND(V2907&lt;&gt;"",T2907&lt;&gt;""),IF(V2907=MONAT!$AZ$3,1,0),0)</f>
        <v/>
      </c>
    </row>
    <row r="2908">
      <c r="A2908" s="19" t="n"/>
      <c r="B2908" s="20">
        <f>IF(A2908="","",CHOOSE(WEEKDAY(A2908,2),"Mo","Di","Mi","Do","Fr","Sa","So"))</f>
        <v/>
      </c>
      <c r="C2908" s="20">
        <f>IF(A2908="","",INT((A2908-DATE(YEAR(A2908-WEEKDAY(A2908-1)+4),1,3)+WEEKDAY(DATE(YEAR(A2908-WEEKDAY(A2908-1)+4),1,3))+5)/7))</f>
        <v/>
      </c>
      <c r="D2908" s="21" t="n"/>
      <c r="E2908" s="22" t="n"/>
      <c r="F2908" s="23" t="n"/>
      <c r="G2908" s="23" t="n"/>
      <c r="H2908" s="23" t="n"/>
      <c r="I2908" s="20">
        <f>IF(COUNT(F2908:H2908)=0,"",SUM(F2908:H2908))</f>
        <v/>
      </c>
      <c r="J2908" s="23" t="n"/>
      <c r="K2908" s="23" t="n"/>
      <c r="L2908" s="23" t="n"/>
      <c r="M2908" s="23" t="n"/>
      <c r="N2908" s="23" t="n"/>
      <c r="O2908" s="20">
        <f>IF(OR(I2908="",COUNT(J2908:N2908)=0),"",IF(SUM(J2908:N2908)=I2908,"✓","⚠ "&amp;SUM(J2908:N2908)&amp;" statt "&amp;I2908))</f>
        <v/>
      </c>
      <c r="P2908" s="21" t="n"/>
      <c r="Q2908" s="21" t="n"/>
      <c r="R2908" s="21" t="n"/>
      <c r="S2908" s="24" t="n"/>
      <c r="T2908" s="24" t="n"/>
      <c r="V2908">
        <f>IF(A2908="","",MONTH(A2908))</f>
        <v/>
      </c>
      <c r="W2908">
        <f>N(W2907)+IF(AND(C2908&lt;&gt;"",T2908&lt;&gt;""),IF(C2908=WOCHE!$B$3,1,0),0)</f>
        <v/>
      </c>
      <c r="X2908">
        <f>N(X2907)+IF(AND(V2908&lt;&gt;"",T2908&lt;&gt;""),IF(V2908=MONAT!$AZ$3,1,0),0)</f>
        <v/>
      </c>
    </row>
    <row r="2909">
      <c r="A2909" s="19" t="n"/>
      <c r="B2909" s="20">
        <f>IF(A2909="","",CHOOSE(WEEKDAY(A2909,2),"Mo","Di","Mi","Do","Fr","Sa","So"))</f>
        <v/>
      </c>
      <c r="C2909" s="20">
        <f>IF(A2909="","",INT((A2909-DATE(YEAR(A2909-WEEKDAY(A2909-1)+4),1,3)+WEEKDAY(DATE(YEAR(A2909-WEEKDAY(A2909-1)+4),1,3))+5)/7))</f>
        <v/>
      </c>
      <c r="D2909" s="21" t="n"/>
      <c r="E2909" s="22" t="n"/>
      <c r="F2909" s="23" t="n"/>
      <c r="G2909" s="23" t="n"/>
      <c r="H2909" s="23" t="n"/>
      <c r="I2909" s="20">
        <f>IF(COUNT(F2909:H2909)=0,"",SUM(F2909:H2909))</f>
        <v/>
      </c>
      <c r="J2909" s="23" t="n"/>
      <c r="K2909" s="23" t="n"/>
      <c r="L2909" s="23" t="n"/>
      <c r="M2909" s="23" t="n"/>
      <c r="N2909" s="23" t="n"/>
      <c r="O2909" s="20">
        <f>IF(OR(I2909="",COUNT(J2909:N2909)=0),"",IF(SUM(J2909:N2909)=I2909,"✓","⚠ "&amp;SUM(J2909:N2909)&amp;" statt "&amp;I2909))</f>
        <v/>
      </c>
      <c r="P2909" s="21" t="n"/>
      <c r="Q2909" s="21" t="n"/>
      <c r="R2909" s="21" t="n"/>
      <c r="S2909" s="24" t="n"/>
      <c r="T2909" s="24" t="n"/>
      <c r="V2909">
        <f>IF(A2909="","",MONTH(A2909))</f>
        <v/>
      </c>
      <c r="W2909">
        <f>N(W2908)+IF(AND(C2909&lt;&gt;"",T2909&lt;&gt;""),IF(C2909=WOCHE!$B$3,1,0),0)</f>
        <v/>
      </c>
      <c r="X2909">
        <f>N(X2908)+IF(AND(V2909&lt;&gt;"",T2909&lt;&gt;""),IF(V2909=MONAT!$AZ$3,1,0),0)</f>
        <v/>
      </c>
    </row>
    <row r="2910">
      <c r="A2910" s="19" t="n"/>
      <c r="B2910" s="20">
        <f>IF(A2910="","",CHOOSE(WEEKDAY(A2910,2),"Mo","Di","Mi","Do","Fr","Sa","So"))</f>
        <v/>
      </c>
      <c r="C2910" s="20">
        <f>IF(A2910="","",INT((A2910-DATE(YEAR(A2910-WEEKDAY(A2910-1)+4),1,3)+WEEKDAY(DATE(YEAR(A2910-WEEKDAY(A2910-1)+4),1,3))+5)/7))</f>
        <v/>
      </c>
      <c r="D2910" s="21" t="n"/>
      <c r="E2910" s="22" t="n"/>
      <c r="F2910" s="23" t="n"/>
      <c r="G2910" s="23" t="n"/>
      <c r="H2910" s="23" t="n"/>
      <c r="I2910" s="20">
        <f>IF(COUNT(F2910:H2910)=0,"",SUM(F2910:H2910))</f>
        <v/>
      </c>
      <c r="J2910" s="23" t="n"/>
      <c r="K2910" s="23" t="n"/>
      <c r="L2910" s="23" t="n"/>
      <c r="M2910" s="23" t="n"/>
      <c r="N2910" s="23" t="n"/>
      <c r="O2910" s="20">
        <f>IF(OR(I2910="",COUNT(J2910:N2910)=0),"",IF(SUM(J2910:N2910)=I2910,"✓","⚠ "&amp;SUM(J2910:N2910)&amp;" statt "&amp;I2910))</f>
        <v/>
      </c>
      <c r="P2910" s="21" t="n"/>
      <c r="Q2910" s="21" t="n"/>
      <c r="R2910" s="21" t="n"/>
      <c r="S2910" s="24" t="n"/>
      <c r="T2910" s="24" t="n"/>
      <c r="V2910">
        <f>IF(A2910="","",MONTH(A2910))</f>
        <v/>
      </c>
      <c r="W2910">
        <f>N(W2909)+IF(AND(C2910&lt;&gt;"",T2910&lt;&gt;""),IF(C2910=WOCHE!$B$3,1,0),0)</f>
        <v/>
      </c>
      <c r="X2910">
        <f>N(X2909)+IF(AND(V2910&lt;&gt;"",T2910&lt;&gt;""),IF(V2910=MONAT!$AZ$3,1,0),0)</f>
        <v/>
      </c>
    </row>
    <row r="2911">
      <c r="A2911" s="19" t="n"/>
      <c r="B2911" s="20">
        <f>IF(A2911="","",CHOOSE(WEEKDAY(A2911,2),"Mo","Di","Mi","Do","Fr","Sa","So"))</f>
        <v/>
      </c>
      <c r="C2911" s="20">
        <f>IF(A2911="","",INT((A2911-DATE(YEAR(A2911-WEEKDAY(A2911-1)+4),1,3)+WEEKDAY(DATE(YEAR(A2911-WEEKDAY(A2911-1)+4),1,3))+5)/7))</f>
        <v/>
      </c>
      <c r="D2911" s="21" t="n"/>
      <c r="E2911" s="22" t="n"/>
      <c r="F2911" s="23" t="n"/>
      <c r="G2911" s="23" t="n"/>
      <c r="H2911" s="23" t="n"/>
      <c r="I2911" s="20">
        <f>IF(COUNT(F2911:H2911)=0,"",SUM(F2911:H2911))</f>
        <v/>
      </c>
      <c r="J2911" s="23" t="n"/>
      <c r="K2911" s="23" t="n"/>
      <c r="L2911" s="23" t="n"/>
      <c r="M2911" s="23" t="n"/>
      <c r="N2911" s="23" t="n"/>
      <c r="O2911" s="20">
        <f>IF(OR(I2911="",COUNT(J2911:N2911)=0),"",IF(SUM(J2911:N2911)=I2911,"✓","⚠ "&amp;SUM(J2911:N2911)&amp;" statt "&amp;I2911))</f>
        <v/>
      </c>
      <c r="P2911" s="21" t="n"/>
      <c r="Q2911" s="21" t="n"/>
      <c r="R2911" s="21" t="n"/>
      <c r="S2911" s="24" t="n"/>
      <c r="T2911" s="24" t="n"/>
      <c r="V2911">
        <f>IF(A2911="","",MONTH(A2911))</f>
        <v/>
      </c>
      <c r="W2911">
        <f>N(W2910)+IF(AND(C2911&lt;&gt;"",T2911&lt;&gt;""),IF(C2911=WOCHE!$B$3,1,0),0)</f>
        <v/>
      </c>
      <c r="X2911">
        <f>N(X2910)+IF(AND(V2911&lt;&gt;"",T2911&lt;&gt;""),IF(V2911=MONAT!$AZ$3,1,0),0)</f>
        <v/>
      </c>
    </row>
    <row r="2912">
      <c r="A2912" s="19" t="n"/>
      <c r="B2912" s="20">
        <f>IF(A2912="","",CHOOSE(WEEKDAY(A2912,2),"Mo","Di","Mi","Do","Fr","Sa","So"))</f>
        <v/>
      </c>
      <c r="C2912" s="20">
        <f>IF(A2912="","",INT((A2912-DATE(YEAR(A2912-WEEKDAY(A2912-1)+4),1,3)+WEEKDAY(DATE(YEAR(A2912-WEEKDAY(A2912-1)+4),1,3))+5)/7))</f>
        <v/>
      </c>
      <c r="D2912" s="21" t="n"/>
      <c r="E2912" s="22" t="n"/>
      <c r="F2912" s="23" t="n"/>
      <c r="G2912" s="23" t="n"/>
      <c r="H2912" s="23" t="n"/>
      <c r="I2912" s="20">
        <f>IF(COUNT(F2912:H2912)=0,"",SUM(F2912:H2912))</f>
        <v/>
      </c>
      <c r="J2912" s="23" t="n"/>
      <c r="K2912" s="23" t="n"/>
      <c r="L2912" s="23" t="n"/>
      <c r="M2912" s="23" t="n"/>
      <c r="N2912" s="23" t="n"/>
      <c r="O2912" s="20">
        <f>IF(OR(I2912="",COUNT(J2912:N2912)=0),"",IF(SUM(J2912:N2912)=I2912,"✓","⚠ "&amp;SUM(J2912:N2912)&amp;" statt "&amp;I2912))</f>
        <v/>
      </c>
      <c r="P2912" s="21" t="n"/>
      <c r="Q2912" s="21" t="n"/>
      <c r="R2912" s="21" t="n"/>
      <c r="S2912" s="24" t="n"/>
      <c r="T2912" s="24" t="n"/>
      <c r="V2912">
        <f>IF(A2912="","",MONTH(A2912))</f>
        <v/>
      </c>
      <c r="W2912">
        <f>N(W2911)+IF(AND(C2912&lt;&gt;"",T2912&lt;&gt;""),IF(C2912=WOCHE!$B$3,1,0),0)</f>
        <v/>
      </c>
      <c r="X2912">
        <f>N(X2911)+IF(AND(V2912&lt;&gt;"",T2912&lt;&gt;""),IF(V2912=MONAT!$AZ$3,1,0),0)</f>
        <v/>
      </c>
    </row>
    <row r="2913">
      <c r="A2913" s="19" t="n"/>
      <c r="B2913" s="20">
        <f>IF(A2913="","",CHOOSE(WEEKDAY(A2913,2),"Mo","Di","Mi","Do","Fr","Sa","So"))</f>
        <v/>
      </c>
      <c r="C2913" s="20">
        <f>IF(A2913="","",INT((A2913-DATE(YEAR(A2913-WEEKDAY(A2913-1)+4),1,3)+WEEKDAY(DATE(YEAR(A2913-WEEKDAY(A2913-1)+4),1,3))+5)/7))</f>
        <v/>
      </c>
      <c r="D2913" s="21" t="n"/>
      <c r="E2913" s="22" t="n"/>
      <c r="F2913" s="23" t="n"/>
      <c r="G2913" s="23" t="n"/>
      <c r="H2913" s="23" t="n"/>
      <c r="I2913" s="20">
        <f>IF(COUNT(F2913:H2913)=0,"",SUM(F2913:H2913))</f>
        <v/>
      </c>
      <c r="J2913" s="23" t="n"/>
      <c r="K2913" s="23" t="n"/>
      <c r="L2913" s="23" t="n"/>
      <c r="M2913" s="23" t="n"/>
      <c r="N2913" s="23" t="n"/>
      <c r="O2913" s="20">
        <f>IF(OR(I2913="",COUNT(J2913:N2913)=0),"",IF(SUM(J2913:N2913)=I2913,"✓","⚠ "&amp;SUM(J2913:N2913)&amp;" statt "&amp;I2913))</f>
        <v/>
      </c>
      <c r="P2913" s="21" t="n"/>
      <c r="Q2913" s="21" t="n"/>
      <c r="R2913" s="21" t="n"/>
      <c r="S2913" s="24" t="n"/>
      <c r="T2913" s="24" t="n"/>
      <c r="V2913">
        <f>IF(A2913="","",MONTH(A2913))</f>
        <v/>
      </c>
      <c r="W2913">
        <f>N(W2912)+IF(AND(C2913&lt;&gt;"",T2913&lt;&gt;""),IF(C2913=WOCHE!$B$3,1,0),0)</f>
        <v/>
      </c>
      <c r="X2913">
        <f>N(X2912)+IF(AND(V2913&lt;&gt;"",T2913&lt;&gt;""),IF(V2913=MONAT!$AZ$3,1,0),0)</f>
        <v/>
      </c>
    </row>
    <row r="2914">
      <c r="A2914" s="19" t="n"/>
      <c r="B2914" s="20">
        <f>IF(A2914="","",CHOOSE(WEEKDAY(A2914,2),"Mo","Di","Mi","Do","Fr","Sa","So"))</f>
        <v/>
      </c>
      <c r="C2914" s="20">
        <f>IF(A2914="","",INT((A2914-DATE(YEAR(A2914-WEEKDAY(A2914-1)+4),1,3)+WEEKDAY(DATE(YEAR(A2914-WEEKDAY(A2914-1)+4),1,3))+5)/7))</f>
        <v/>
      </c>
      <c r="D2914" s="21" t="n"/>
      <c r="E2914" s="22" t="n"/>
      <c r="F2914" s="23" t="n"/>
      <c r="G2914" s="23" t="n"/>
      <c r="H2914" s="23" t="n"/>
      <c r="I2914" s="20">
        <f>IF(COUNT(F2914:H2914)=0,"",SUM(F2914:H2914))</f>
        <v/>
      </c>
      <c r="J2914" s="23" t="n"/>
      <c r="K2914" s="23" t="n"/>
      <c r="L2914" s="23" t="n"/>
      <c r="M2914" s="23" t="n"/>
      <c r="N2914" s="23" t="n"/>
      <c r="O2914" s="20">
        <f>IF(OR(I2914="",COUNT(J2914:N2914)=0),"",IF(SUM(J2914:N2914)=I2914,"✓","⚠ "&amp;SUM(J2914:N2914)&amp;" statt "&amp;I2914))</f>
        <v/>
      </c>
      <c r="P2914" s="21" t="n"/>
      <c r="Q2914" s="21" t="n"/>
      <c r="R2914" s="21" t="n"/>
      <c r="S2914" s="24" t="n"/>
      <c r="T2914" s="24" t="n"/>
      <c r="V2914">
        <f>IF(A2914="","",MONTH(A2914))</f>
        <v/>
      </c>
      <c r="W2914">
        <f>N(W2913)+IF(AND(C2914&lt;&gt;"",T2914&lt;&gt;""),IF(C2914=WOCHE!$B$3,1,0),0)</f>
        <v/>
      </c>
      <c r="X2914">
        <f>N(X2913)+IF(AND(V2914&lt;&gt;"",T2914&lt;&gt;""),IF(V2914=MONAT!$AZ$3,1,0),0)</f>
        <v/>
      </c>
    </row>
    <row r="2915">
      <c r="A2915" s="19" t="n"/>
      <c r="B2915" s="20">
        <f>IF(A2915="","",CHOOSE(WEEKDAY(A2915,2),"Mo","Di","Mi","Do","Fr","Sa","So"))</f>
        <v/>
      </c>
      <c r="C2915" s="20">
        <f>IF(A2915="","",INT((A2915-DATE(YEAR(A2915-WEEKDAY(A2915-1)+4),1,3)+WEEKDAY(DATE(YEAR(A2915-WEEKDAY(A2915-1)+4),1,3))+5)/7))</f>
        <v/>
      </c>
      <c r="D2915" s="21" t="n"/>
      <c r="E2915" s="22" t="n"/>
      <c r="F2915" s="23" t="n"/>
      <c r="G2915" s="23" t="n"/>
      <c r="H2915" s="23" t="n"/>
      <c r="I2915" s="20">
        <f>IF(COUNT(F2915:H2915)=0,"",SUM(F2915:H2915))</f>
        <v/>
      </c>
      <c r="J2915" s="23" t="n"/>
      <c r="K2915" s="23" t="n"/>
      <c r="L2915" s="23" t="n"/>
      <c r="M2915" s="23" t="n"/>
      <c r="N2915" s="23" t="n"/>
      <c r="O2915" s="20">
        <f>IF(OR(I2915="",COUNT(J2915:N2915)=0),"",IF(SUM(J2915:N2915)=I2915,"✓","⚠ "&amp;SUM(J2915:N2915)&amp;" statt "&amp;I2915))</f>
        <v/>
      </c>
      <c r="P2915" s="21" t="n"/>
      <c r="Q2915" s="21" t="n"/>
      <c r="R2915" s="21" t="n"/>
      <c r="S2915" s="24" t="n"/>
      <c r="T2915" s="24" t="n"/>
      <c r="V2915">
        <f>IF(A2915="","",MONTH(A2915))</f>
        <v/>
      </c>
      <c r="W2915">
        <f>N(W2914)+IF(AND(C2915&lt;&gt;"",T2915&lt;&gt;""),IF(C2915=WOCHE!$B$3,1,0),0)</f>
        <v/>
      </c>
      <c r="X2915">
        <f>N(X2914)+IF(AND(V2915&lt;&gt;"",T2915&lt;&gt;""),IF(V2915=MONAT!$AZ$3,1,0),0)</f>
        <v/>
      </c>
    </row>
    <row r="2916">
      <c r="A2916" s="19" t="n"/>
      <c r="B2916" s="20">
        <f>IF(A2916="","",CHOOSE(WEEKDAY(A2916,2),"Mo","Di","Mi","Do","Fr","Sa","So"))</f>
        <v/>
      </c>
      <c r="C2916" s="20">
        <f>IF(A2916="","",INT((A2916-DATE(YEAR(A2916-WEEKDAY(A2916-1)+4),1,3)+WEEKDAY(DATE(YEAR(A2916-WEEKDAY(A2916-1)+4),1,3))+5)/7))</f>
        <v/>
      </c>
      <c r="D2916" s="21" t="n"/>
      <c r="E2916" s="22" t="n"/>
      <c r="F2916" s="23" t="n"/>
      <c r="G2916" s="23" t="n"/>
      <c r="H2916" s="23" t="n"/>
      <c r="I2916" s="20">
        <f>IF(COUNT(F2916:H2916)=0,"",SUM(F2916:H2916))</f>
        <v/>
      </c>
      <c r="J2916" s="23" t="n"/>
      <c r="K2916" s="23" t="n"/>
      <c r="L2916" s="23" t="n"/>
      <c r="M2916" s="23" t="n"/>
      <c r="N2916" s="23" t="n"/>
      <c r="O2916" s="20">
        <f>IF(OR(I2916="",COUNT(J2916:N2916)=0),"",IF(SUM(J2916:N2916)=I2916,"✓","⚠ "&amp;SUM(J2916:N2916)&amp;" statt "&amp;I2916))</f>
        <v/>
      </c>
      <c r="P2916" s="21" t="n"/>
      <c r="Q2916" s="21" t="n"/>
      <c r="R2916" s="21" t="n"/>
      <c r="S2916" s="24" t="n"/>
      <c r="T2916" s="24" t="n"/>
      <c r="V2916">
        <f>IF(A2916="","",MONTH(A2916))</f>
        <v/>
      </c>
      <c r="W2916">
        <f>N(W2915)+IF(AND(C2916&lt;&gt;"",T2916&lt;&gt;""),IF(C2916=WOCHE!$B$3,1,0),0)</f>
        <v/>
      </c>
      <c r="X2916">
        <f>N(X2915)+IF(AND(V2916&lt;&gt;"",T2916&lt;&gt;""),IF(V2916=MONAT!$AZ$3,1,0),0)</f>
        <v/>
      </c>
    </row>
    <row r="2917">
      <c r="A2917" s="19" t="n"/>
      <c r="B2917" s="20">
        <f>IF(A2917="","",CHOOSE(WEEKDAY(A2917,2),"Mo","Di","Mi","Do","Fr","Sa","So"))</f>
        <v/>
      </c>
      <c r="C2917" s="20">
        <f>IF(A2917="","",INT((A2917-DATE(YEAR(A2917-WEEKDAY(A2917-1)+4),1,3)+WEEKDAY(DATE(YEAR(A2917-WEEKDAY(A2917-1)+4),1,3))+5)/7))</f>
        <v/>
      </c>
      <c r="D2917" s="21" t="n"/>
      <c r="E2917" s="22" t="n"/>
      <c r="F2917" s="23" t="n"/>
      <c r="G2917" s="23" t="n"/>
      <c r="H2917" s="23" t="n"/>
      <c r="I2917" s="20">
        <f>IF(COUNT(F2917:H2917)=0,"",SUM(F2917:H2917))</f>
        <v/>
      </c>
      <c r="J2917" s="23" t="n"/>
      <c r="K2917" s="23" t="n"/>
      <c r="L2917" s="23" t="n"/>
      <c r="M2917" s="23" t="n"/>
      <c r="N2917" s="23" t="n"/>
      <c r="O2917" s="20">
        <f>IF(OR(I2917="",COUNT(J2917:N2917)=0),"",IF(SUM(J2917:N2917)=I2917,"✓","⚠ "&amp;SUM(J2917:N2917)&amp;" statt "&amp;I2917))</f>
        <v/>
      </c>
      <c r="P2917" s="21" t="n"/>
      <c r="Q2917" s="21" t="n"/>
      <c r="R2917" s="21" t="n"/>
      <c r="S2917" s="24" t="n"/>
      <c r="T2917" s="24" t="n"/>
      <c r="V2917">
        <f>IF(A2917="","",MONTH(A2917))</f>
        <v/>
      </c>
      <c r="W2917">
        <f>N(W2916)+IF(AND(C2917&lt;&gt;"",T2917&lt;&gt;""),IF(C2917=WOCHE!$B$3,1,0),0)</f>
        <v/>
      </c>
      <c r="X2917">
        <f>N(X2916)+IF(AND(V2917&lt;&gt;"",T2917&lt;&gt;""),IF(V2917=MONAT!$AZ$3,1,0),0)</f>
        <v/>
      </c>
    </row>
    <row r="2918">
      <c r="A2918" s="19" t="n"/>
      <c r="B2918" s="20">
        <f>IF(A2918="","",CHOOSE(WEEKDAY(A2918,2),"Mo","Di","Mi","Do","Fr","Sa","So"))</f>
        <v/>
      </c>
      <c r="C2918" s="20">
        <f>IF(A2918="","",INT((A2918-DATE(YEAR(A2918-WEEKDAY(A2918-1)+4),1,3)+WEEKDAY(DATE(YEAR(A2918-WEEKDAY(A2918-1)+4),1,3))+5)/7))</f>
        <v/>
      </c>
      <c r="D2918" s="21" t="n"/>
      <c r="E2918" s="22" t="n"/>
      <c r="F2918" s="23" t="n"/>
      <c r="G2918" s="23" t="n"/>
      <c r="H2918" s="23" t="n"/>
      <c r="I2918" s="20">
        <f>IF(COUNT(F2918:H2918)=0,"",SUM(F2918:H2918))</f>
        <v/>
      </c>
      <c r="J2918" s="23" t="n"/>
      <c r="K2918" s="23" t="n"/>
      <c r="L2918" s="23" t="n"/>
      <c r="M2918" s="23" t="n"/>
      <c r="N2918" s="23" t="n"/>
      <c r="O2918" s="20">
        <f>IF(OR(I2918="",COUNT(J2918:N2918)=0),"",IF(SUM(J2918:N2918)=I2918,"✓","⚠ "&amp;SUM(J2918:N2918)&amp;" statt "&amp;I2918))</f>
        <v/>
      </c>
      <c r="P2918" s="21" t="n"/>
      <c r="Q2918" s="21" t="n"/>
      <c r="R2918" s="21" t="n"/>
      <c r="S2918" s="24" t="n"/>
      <c r="T2918" s="24" t="n"/>
      <c r="V2918">
        <f>IF(A2918="","",MONTH(A2918))</f>
        <v/>
      </c>
      <c r="W2918">
        <f>N(W2917)+IF(AND(C2918&lt;&gt;"",T2918&lt;&gt;""),IF(C2918=WOCHE!$B$3,1,0),0)</f>
        <v/>
      </c>
      <c r="X2918">
        <f>N(X2917)+IF(AND(V2918&lt;&gt;"",T2918&lt;&gt;""),IF(V2918=MONAT!$AZ$3,1,0),0)</f>
        <v/>
      </c>
    </row>
    <row r="2919">
      <c r="A2919" s="19" t="n"/>
      <c r="B2919" s="20">
        <f>IF(A2919="","",CHOOSE(WEEKDAY(A2919,2),"Mo","Di","Mi","Do","Fr","Sa","So"))</f>
        <v/>
      </c>
      <c r="C2919" s="20">
        <f>IF(A2919="","",INT((A2919-DATE(YEAR(A2919-WEEKDAY(A2919-1)+4),1,3)+WEEKDAY(DATE(YEAR(A2919-WEEKDAY(A2919-1)+4),1,3))+5)/7))</f>
        <v/>
      </c>
      <c r="D2919" s="21" t="n"/>
      <c r="E2919" s="22" t="n"/>
      <c r="F2919" s="23" t="n"/>
      <c r="G2919" s="23" t="n"/>
      <c r="H2919" s="23" t="n"/>
      <c r="I2919" s="20">
        <f>IF(COUNT(F2919:H2919)=0,"",SUM(F2919:H2919))</f>
        <v/>
      </c>
      <c r="J2919" s="23" t="n"/>
      <c r="K2919" s="23" t="n"/>
      <c r="L2919" s="23" t="n"/>
      <c r="M2919" s="23" t="n"/>
      <c r="N2919" s="23" t="n"/>
      <c r="O2919" s="20">
        <f>IF(OR(I2919="",COUNT(J2919:N2919)=0),"",IF(SUM(J2919:N2919)=I2919,"✓","⚠ "&amp;SUM(J2919:N2919)&amp;" statt "&amp;I2919))</f>
        <v/>
      </c>
      <c r="P2919" s="21" t="n"/>
      <c r="Q2919" s="21" t="n"/>
      <c r="R2919" s="21" t="n"/>
      <c r="S2919" s="24" t="n"/>
      <c r="T2919" s="24" t="n"/>
      <c r="V2919">
        <f>IF(A2919="","",MONTH(A2919))</f>
        <v/>
      </c>
      <c r="W2919">
        <f>N(W2918)+IF(AND(C2919&lt;&gt;"",T2919&lt;&gt;""),IF(C2919=WOCHE!$B$3,1,0),0)</f>
        <v/>
      </c>
      <c r="X2919">
        <f>N(X2918)+IF(AND(V2919&lt;&gt;"",T2919&lt;&gt;""),IF(V2919=MONAT!$AZ$3,1,0),0)</f>
        <v/>
      </c>
    </row>
    <row r="2920">
      <c r="A2920" s="19" t="n"/>
      <c r="B2920" s="20">
        <f>IF(A2920="","",CHOOSE(WEEKDAY(A2920,2),"Mo","Di","Mi","Do","Fr","Sa","So"))</f>
        <v/>
      </c>
      <c r="C2920" s="20">
        <f>IF(A2920="","",INT((A2920-DATE(YEAR(A2920-WEEKDAY(A2920-1)+4),1,3)+WEEKDAY(DATE(YEAR(A2920-WEEKDAY(A2920-1)+4),1,3))+5)/7))</f>
        <v/>
      </c>
      <c r="D2920" s="21" t="n"/>
      <c r="E2920" s="22" t="n"/>
      <c r="F2920" s="23" t="n"/>
      <c r="G2920" s="23" t="n"/>
      <c r="H2920" s="23" t="n"/>
      <c r="I2920" s="20">
        <f>IF(COUNT(F2920:H2920)=0,"",SUM(F2920:H2920))</f>
        <v/>
      </c>
      <c r="J2920" s="23" t="n"/>
      <c r="K2920" s="23" t="n"/>
      <c r="L2920" s="23" t="n"/>
      <c r="M2920" s="23" t="n"/>
      <c r="N2920" s="23" t="n"/>
      <c r="O2920" s="20">
        <f>IF(OR(I2920="",COUNT(J2920:N2920)=0),"",IF(SUM(J2920:N2920)=I2920,"✓","⚠ "&amp;SUM(J2920:N2920)&amp;" statt "&amp;I2920))</f>
        <v/>
      </c>
      <c r="P2920" s="21" t="n"/>
      <c r="Q2920" s="21" t="n"/>
      <c r="R2920" s="21" t="n"/>
      <c r="S2920" s="24" t="n"/>
      <c r="T2920" s="24" t="n"/>
      <c r="V2920">
        <f>IF(A2920="","",MONTH(A2920))</f>
        <v/>
      </c>
      <c r="W2920">
        <f>N(W2919)+IF(AND(C2920&lt;&gt;"",T2920&lt;&gt;""),IF(C2920=WOCHE!$B$3,1,0),0)</f>
        <v/>
      </c>
      <c r="X2920">
        <f>N(X2919)+IF(AND(V2920&lt;&gt;"",T2920&lt;&gt;""),IF(V2920=MONAT!$AZ$3,1,0),0)</f>
        <v/>
      </c>
    </row>
    <row r="2921">
      <c r="A2921" s="19" t="n"/>
      <c r="B2921" s="20">
        <f>IF(A2921="","",CHOOSE(WEEKDAY(A2921,2),"Mo","Di","Mi","Do","Fr","Sa","So"))</f>
        <v/>
      </c>
      <c r="C2921" s="20">
        <f>IF(A2921="","",INT((A2921-DATE(YEAR(A2921-WEEKDAY(A2921-1)+4),1,3)+WEEKDAY(DATE(YEAR(A2921-WEEKDAY(A2921-1)+4),1,3))+5)/7))</f>
        <v/>
      </c>
      <c r="D2921" s="21" t="n"/>
      <c r="E2921" s="22" t="n"/>
      <c r="F2921" s="23" t="n"/>
      <c r="G2921" s="23" t="n"/>
      <c r="H2921" s="23" t="n"/>
      <c r="I2921" s="20">
        <f>IF(COUNT(F2921:H2921)=0,"",SUM(F2921:H2921))</f>
        <v/>
      </c>
      <c r="J2921" s="23" t="n"/>
      <c r="K2921" s="23" t="n"/>
      <c r="L2921" s="23" t="n"/>
      <c r="M2921" s="23" t="n"/>
      <c r="N2921" s="23" t="n"/>
      <c r="O2921" s="20">
        <f>IF(OR(I2921="",COUNT(J2921:N2921)=0),"",IF(SUM(J2921:N2921)=I2921,"✓","⚠ "&amp;SUM(J2921:N2921)&amp;" statt "&amp;I2921))</f>
        <v/>
      </c>
      <c r="P2921" s="21" t="n"/>
      <c r="Q2921" s="21" t="n"/>
      <c r="R2921" s="21" t="n"/>
      <c r="S2921" s="24" t="n"/>
      <c r="T2921" s="24" t="n"/>
      <c r="V2921">
        <f>IF(A2921="","",MONTH(A2921))</f>
        <v/>
      </c>
      <c r="W2921">
        <f>N(W2920)+IF(AND(C2921&lt;&gt;"",T2921&lt;&gt;""),IF(C2921=WOCHE!$B$3,1,0),0)</f>
        <v/>
      </c>
      <c r="X2921">
        <f>N(X2920)+IF(AND(V2921&lt;&gt;"",T2921&lt;&gt;""),IF(V2921=MONAT!$AZ$3,1,0),0)</f>
        <v/>
      </c>
    </row>
    <row r="2922">
      <c r="A2922" s="19" t="n"/>
      <c r="B2922" s="20">
        <f>IF(A2922="","",CHOOSE(WEEKDAY(A2922,2),"Mo","Di","Mi","Do","Fr","Sa","So"))</f>
        <v/>
      </c>
      <c r="C2922" s="20">
        <f>IF(A2922="","",INT((A2922-DATE(YEAR(A2922-WEEKDAY(A2922-1)+4),1,3)+WEEKDAY(DATE(YEAR(A2922-WEEKDAY(A2922-1)+4),1,3))+5)/7))</f>
        <v/>
      </c>
      <c r="D2922" s="21" t="n"/>
      <c r="E2922" s="22" t="n"/>
      <c r="F2922" s="23" t="n"/>
      <c r="G2922" s="23" t="n"/>
      <c r="H2922" s="23" t="n"/>
      <c r="I2922" s="20">
        <f>IF(COUNT(F2922:H2922)=0,"",SUM(F2922:H2922))</f>
        <v/>
      </c>
      <c r="J2922" s="23" t="n"/>
      <c r="K2922" s="23" t="n"/>
      <c r="L2922" s="23" t="n"/>
      <c r="M2922" s="23" t="n"/>
      <c r="N2922" s="23" t="n"/>
      <c r="O2922" s="20">
        <f>IF(OR(I2922="",COUNT(J2922:N2922)=0),"",IF(SUM(J2922:N2922)=I2922,"✓","⚠ "&amp;SUM(J2922:N2922)&amp;" statt "&amp;I2922))</f>
        <v/>
      </c>
      <c r="P2922" s="21" t="n"/>
      <c r="Q2922" s="21" t="n"/>
      <c r="R2922" s="21" t="n"/>
      <c r="S2922" s="24" t="n"/>
      <c r="T2922" s="24" t="n"/>
      <c r="V2922">
        <f>IF(A2922="","",MONTH(A2922))</f>
        <v/>
      </c>
      <c r="W2922">
        <f>N(W2921)+IF(AND(C2922&lt;&gt;"",T2922&lt;&gt;""),IF(C2922=WOCHE!$B$3,1,0),0)</f>
        <v/>
      </c>
      <c r="X2922">
        <f>N(X2921)+IF(AND(V2922&lt;&gt;"",T2922&lt;&gt;""),IF(V2922=MONAT!$AZ$3,1,0),0)</f>
        <v/>
      </c>
    </row>
    <row r="2923">
      <c r="A2923" s="19" t="n"/>
      <c r="B2923" s="20">
        <f>IF(A2923="","",CHOOSE(WEEKDAY(A2923,2),"Mo","Di","Mi","Do","Fr","Sa","So"))</f>
        <v/>
      </c>
      <c r="C2923" s="20">
        <f>IF(A2923="","",INT((A2923-DATE(YEAR(A2923-WEEKDAY(A2923-1)+4),1,3)+WEEKDAY(DATE(YEAR(A2923-WEEKDAY(A2923-1)+4),1,3))+5)/7))</f>
        <v/>
      </c>
      <c r="D2923" s="21" t="n"/>
      <c r="E2923" s="22" t="n"/>
      <c r="F2923" s="23" t="n"/>
      <c r="G2923" s="23" t="n"/>
      <c r="H2923" s="23" t="n"/>
      <c r="I2923" s="20">
        <f>IF(COUNT(F2923:H2923)=0,"",SUM(F2923:H2923))</f>
        <v/>
      </c>
      <c r="J2923" s="23" t="n"/>
      <c r="K2923" s="23" t="n"/>
      <c r="L2923" s="23" t="n"/>
      <c r="M2923" s="23" t="n"/>
      <c r="N2923" s="23" t="n"/>
      <c r="O2923" s="20">
        <f>IF(OR(I2923="",COUNT(J2923:N2923)=0),"",IF(SUM(J2923:N2923)=I2923,"✓","⚠ "&amp;SUM(J2923:N2923)&amp;" statt "&amp;I2923))</f>
        <v/>
      </c>
      <c r="P2923" s="21" t="n"/>
      <c r="Q2923" s="21" t="n"/>
      <c r="R2923" s="21" t="n"/>
      <c r="S2923" s="24" t="n"/>
      <c r="T2923" s="24" t="n"/>
      <c r="V2923">
        <f>IF(A2923="","",MONTH(A2923))</f>
        <v/>
      </c>
      <c r="W2923">
        <f>N(W2922)+IF(AND(C2923&lt;&gt;"",T2923&lt;&gt;""),IF(C2923=WOCHE!$B$3,1,0),0)</f>
        <v/>
      </c>
      <c r="X2923">
        <f>N(X2922)+IF(AND(V2923&lt;&gt;"",T2923&lt;&gt;""),IF(V2923=MONAT!$AZ$3,1,0),0)</f>
        <v/>
      </c>
    </row>
    <row r="2924">
      <c r="A2924" s="19" t="n"/>
      <c r="B2924" s="20">
        <f>IF(A2924="","",CHOOSE(WEEKDAY(A2924,2),"Mo","Di","Mi","Do","Fr","Sa","So"))</f>
        <v/>
      </c>
      <c r="C2924" s="20">
        <f>IF(A2924="","",INT((A2924-DATE(YEAR(A2924-WEEKDAY(A2924-1)+4),1,3)+WEEKDAY(DATE(YEAR(A2924-WEEKDAY(A2924-1)+4),1,3))+5)/7))</f>
        <v/>
      </c>
      <c r="D2924" s="21" t="n"/>
      <c r="E2924" s="22" t="n"/>
      <c r="F2924" s="23" t="n"/>
      <c r="G2924" s="23" t="n"/>
      <c r="H2924" s="23" t="n"/>
      <c r="I2924" s="20">
        <f>IF(COUNT(F2924:H2924)=0,"",SUM(F2924:H2924))</f>
        <v/>
      </c>
      <c r="J2924" s="23" t="n"/>
      <c r="K2924" s="23" t="n"/>
      <c r="L2924" s="23" t="n"/>
      <c r="M2924" s="23" t="n"/>
      <c r="N2924" s="23" t="n"/>
      <c r="O2924" s="20">
        <f>IF(OR(I2924="",COUNT(J2924:N2924)=0),"",IF(SUM(J2924:N2924)=I2924,"✓","⚠ "&amp;SUM(J2924:N2924)&amp;" statt "&amp;I2924))</f>
        <v/>
      </c>
      <c r="P2924" s="21" t="n"/>
      <c r="Q2924" s="21" t="n"/>
      <c r="R2924" s="21" t="n"/>
      <c r="S2924" s="24" t="n"/>
      <c r="T2924" s="24" t="n"/>
      <c r="V2924">
        <f>IF(A2924="","",MONTH(A2924))</f>
        <v/>
      </c>
      <c r="W2924">
        <f>N(W2923)+IF(AND(C2924&lt;&gt;"",T2924&lt;&gt;""),IF(C2924=WOCHE!$B$3,1,0),0)</f>
        <v/>
      </c>
      <c r="X2924">
        <f>N(X2923)+IF(AND(V2924&lt;&gt;"",T2924&lt;&gt;""),IF(V2924=MONAT!$AZ$3,1,0),0)</f>
        <v/>
      </c>
    </row>
    <row r="2925">
      <c r="A2925" s="19" t="n"/>
      <c r="B2925" s="20">
        <f>IF(A2925="","",CHOOSE(WEEKDAY(A2925,2),"Mo","Di","Mi","Do","Fr","Sa","So"))</f>
        <v/>
      </c>
      <c r="C2925" s="20">
        <f>IF(A2925="","",INT((A2925-DATE(YEAR(A2925-WEEKDAY(A2925-1)+4),1,3)+WEEKDAY(DATE(YEAR(A2925-WEEKDAY(A2925-1)+4),1,3))+5)/7))</f>
        <v/>
      </c>
      <c r="D2925" s="21" t="n"/>
      <c r="E2925" s="22" t="n"/>
      <c r="F2925" s="23" t="n"/>
      <c r="G2925" s="23" t="n"/>
      <c r="H2925" s="23" t="n"/>
      <c r="I2925" s="20">
        <f>IF(COUNT(F2925:H2925)=0,"",SUM(F2925:H2925))</f>
        <v/>
      </c>
      <c r="J2925" s="23" t="n"/>
      <c r="K2925" s="23" t="n"/>
      <c r="L2925" s="23" t="n"/>
      <c r="M2925" s="23" t="n"/>
      <c r="N2925" s="23" t="n"/>
      <c r="O2925" s="20">
        <f>IF(OR(I2925="",COUNT(J2925:N2925)=0),"",IF(SUM(J2925:N2925)=I2925,"✓","⚠ "&amp;SUM(J2925:N2925)&amp;" statt "&amp;I2925))</f>
        <v/>
      </c>
      <c r="P2925" s="21" t="n"/>
      <c r="Q2925" s="21" t="n"/>
      <c r="R2925" s="21" t="n"/>
      <c r="S2925" s="24" t="n"/>
      <c r="T2925" s="24" t="n"/>
      <c r="V2925">
        <f>IF(A2925="","",MONTH(A2925))</f>
        <v/>
      </c>
      <c r="W2925">
        <f>N(W2924)+IF(AND(C2925&lt;&gt;"",T2925&lt;&gt;""),IF(C2925=WOCHE!$B$3,1,0),0)</f>
        <v/>
      </c>
      <c r="X2925">
        <f>N(X2924)+IF(AND(V2925&lt;&gt;"",T2925&lt;&gt;""),IF(V2925=MONAT!$AZ$3,1,0),0)</f>
        <v/>
      </c>
    </row>
    <row r="2926">
      <c r="A2926" s="19" t="n"/>
      <c r="B2926" s="20">
        <f>IF(A2926="","",CHOOSE(WEEKDAY(A2926,2),"Mo","Di","Mi","Do","Fr","Sa","So"))</f>
        <v/>
      </c>
      <c r="C2926" s="20">
        <f>IF(A2926="","",INT((A2926-DATE(YEAR(A2926-WEEKDAY(A2926-1)+4),1,3)+WEEKDAY(DATE(YEAR(A2926-WEEKDAY(A2926-1)+4),1,3))+5)/7))</f>
        <v/>
      </c>
      <c r="D2926" s="21" t="n"/>
      <c r="E2926" s="22" t="n"/>
      <c r="F2926" s="23" t="n"/>
      <c r="G2926" s="23" t="n"/>
      <c r="H2926" s="23" t="n"/>
      <c r="I2926" s="20">
        <f>IF(COUNT(F2926:H2926)=0,"",SUM(F2926:H2926))</f>
        <v/>
      </c>
      <c r="J2926" s="23" t="n"/>
      <c r="K2926" s="23" t="n"/>
      <c r="L2926" s="23" t="n"/>
      <c r="M2926" s="23" t="n"/>
      <c r="N2926" s="23" t="n"/>
      <c r="O2926" s="20">
        <f>IF(OR(I2926="",COUNT(J2926:N2926)=0),"",IF(SUM(J2926:N2926)=I2926,"✓","⚠ "&amp;SUM(J2926:N2926)&amp;" statt "&amp;I2926))</f>
        <v/>
      </c>
      <c r="P2926" s="21" t="n"/>
      <c r="Q2926" s="21" t="n"/>
      <c r="R2926" s="21" t="n"/>
      <c r="S2926" s="24" t="n"/>
      <c r="T2926" s="24" t="n"/>
      <c r="V2926">
        <f>IF(A2926="","",MONTH(A2926))</f>
        <v/>
      </c>
      <c r="W2926">
        <f>N(W2925)+IF(AND(C2926&lt;&gt;"",T2926&lt;&gt;""),IF(C2926=WOCHE!$B$3,1,0),0)</f>
        <v/>
      </c>
      <c r="X2926">
        <f>N(X2925)+IF(AND(V2926&lt;&gt;"",T2926&lt;&gt;""),IF(V2926=MONAT!$AZ$3,1,0),0)</f>
        <v/>
      </c>
    </row>
    <row r="2927">
      <c r="A2927" s="19" t="n"/>
      <c r="B2927" s="20">
        <f>IF(A2927="","",CHOOSE(WEEKDAY(A2927,2),"Mo","Di","Mi","Do","Fr","Sa","So"))</f>
        <v/>
      </c>
      <c r="C2927" s="20">
        <f>IF(A2927="","",INT((A2927-DATE(YEAR(A2927-WEEKDAY(A2927-1)+4),1,3)+WEEKDAY(DATE(YEAR(A2927-WEEKDAY(A2927-1)+4),1,3))+5)/7))</f>
        <v/>
      </c>
      <c r="D2927" s="21" t="n"/>
      <c r="E2927" s="22" t="n"/>
      <c r="F2927" s="23" t="n"/>
      <c r="G2927" s="23" t="n"/>
      <c r="H2927" s="23" t="n"/>
      <c r="I2927" s="20">
        <f>IF(COUNT(F2927:H2927)=0,"",SUM(F2927:H2927))</f>
        <v/>
      </c>
      <c r="J2927" s="23" t="n"/>
      <c r="K2927" s="23" t="n"/>
      <c r="L2927" s="23" t="n"/>
      <c r="M2927" s="23" t="n"/>
      <c r="N2927" s="23" t="n"/>
      <c r="O2927" s="20">
        <f>IF(OR(I2927="",COUNT(J2927:N2927)=0),"",IF(SUM(J2927:N2927)=I2927,"✓","⚠ "&amp;SUM(J2927:N2927)&amp;" statt "&amp;I2927))</f>
        <v/>
      </c>
      <c r="P2927" s="21" t="n"/>
      <c r="Q2927" s="21" t="n"/>
      <c r="R2927" s="21" t="n"/>
      <c r="S2927" s="24" t="n"/>
      <c r="T2927" s="24" t="n"/>
      <c r="V2927">
        <f>IF(A2927="","",MONTH(A2927))</f>
        <v/>
      </c>
      <c r="W2927">
        <f>N(W2926)+IF(AND(C2927&lt;&gt;"",T2927&lt;&gt;""),IF(C2927=WOCHE!$B$3,1,0),0)</f>
        <v/>
      </c>
      <c r="X2927">
        <f>N(X2926)+IF(AND(V2927&lt;&gt;"",T2927&lt;&gt;""),IF(V2927=MONAT!$AZ$3,1,0),0)</f>
        <v/>
      </c>
    </row>
    <row r="2928">
      <c r="A2928" s="19" t="n"/>
      <c r="B2928" s="20">
        <f>IF(A2928="","",CHOOSE(WEEKDAY(A2928,2),"Mo","Di","Mi","Do","Fr","Sa","So"))</f>
        <v/>
      </c>
      <c r="C2928" s="20">
        <f>IF(A2928="","",INT((A2928-DATE(YEAR(A2928-WEEKDAY(A2928-1)+4),1,3)+WEEKDAY(DATE(YEAR(A2928-WEEKDAY(A2928-1)+4),1,3))+5)/7))</f>
        <v/>
      </c>
      <c r="D2928" s="21" t="n"/>
      <c r="E2928" s="22" t="n"/>
      <c r="F2928" s="23" t="n"/>
      <c r="G2928" s="23" t="n"/>
      <c r="H2928" s="23" t="n"/>
      <c r="I2928" s="20">
        <f>IF(COUNT(F2928:H2928)=0,"",SUM(F2928:H2928))</f>
        <v/>
      </c>
      <c r="J2928" s="23" t="n"/>
      <c r="K2928" s="23" t="n"/>
      <c r="L2928" s="23" t="n"/>
      <c r="M2928" s="23" t="n"/>
      <c r="N2928" s="23" t="n"/>
      <c r="O2928" s="20">
        <f>IF(OR(I2928="",COUNT(J2928:N2928)=0),"",IF(SUM(J2928:N2928)=I2928,"✓","⚠ "&amp;SUM(J2928:N2928)&amp;" statt "&amp;I2928))</f>
        <v/>
      </c>
      <c r="P2928" s="21" t="n"/>
      <c r="Q2928" s="21" t="n"/>
      <c r="R2928" s="21" t="n"/>
      <c r="S2928" s="24" t="n"/>
      <c r="T2928" s="24" t="n"/>
      <c r="V2928">
        <f>IF(A2928="","",MONTH(A2928))</f>
        <v/>
      </c>
      <c r="W2928">
        <f>N(W2927)+IF(AND(C2928&lt;&gt;"",T2928&lt;&gt;""),IF(C2928=WOCHE!$B$3,1,0),0)</f>
        <v/>
      </c>
      <c r="X2928">
        <f>N(X2927)+IF(AND(V2928&lt;&gt;"",T2928&lt;&gt;""),IF(V2928=MONAT!$AZ$3,1,0),0)</f>
        <v/>
      </c>
    </row>
    <row r="2929">
      <c r="A2929" s="19" t="n"/>
      <c r="B2929" s="20">
        <f>IF(A2929="","",CHOOSE(WEEKDAY(A2929,2),"Mo","Di","Mi","Do","Fr","Sa","So"))</f>
        <v/>
      </c>
      <c r="C2929" s="20">
        <f>IF(A2929="","",INT((A2929-DATE(YEAR(A2929-WEEKDAY(A2929-1)+4),1,3)+WEEKDAY(DATE(YEAR(A2929-WEEKDAY(A2929-1)+4),1,3))+5)/7))</f>
        <v/>
      </c>
      <c r="D2929" s="21" t="n"/>
      <c r="E2929" s="22" t="n"/>
      <c r="F2929" s="23" t="n"/>
      <c r="G2929" s="23" t="n"/>
      <c r="H2929" s="23" t="n"/>
      <c r="I2929" s="20">
        <f>IF(COUNT(F2929:H2929)=0,"",SUM(F2929:H2929))</f>
        <v/>
      </c>
      <c r="J2929" s="23" t="n"/>
      <c r="K2929" s="23" t="n"/>
      <c r="L2929" s="23" t="n"/>
      <c r="M2929" s="23" t="n"/>
      <c r="N2929" s="23" t="n"/>
      <c r="O2929" s="20">
        <f>IF(OR(I2929="",COUNT(J2929:N2929)=0),"",IF(SUM(J2929:N2929)=I2929,"✓","⚠ "&amp;SUM(J2929:N2929)&amp;" statt "&amp;I2929))</f>
        <v/>
      </c>
      <c r="P2929" s="21" t="n"/>
      <c r="Q2929" s="21" t="n"/>
      <c r="R2929" s="21" t="n"/>
      <c r="S2929" s="24" t="n"/>
      <c r="T2929" s="24" t="n"/>
      <c r="V2929">
        <f>IF(A2929="","",MONTH(A2929))</f>
        <v/>
      </c>
      <c r="W2929">
        <f>N(W2928)+IF(AND(C2929&lt;&gt;"",T2929&lt;&gt;""),IF(C2929=WOCHE!$B$3,1,0),0)</f>
        <v/>
      </c>
      <c r="X2929">
        <f>N(X2928)+IF(AND(V2929&lt;&gt;"",T2929&lt;&gt;""),IF(V2929=MONAT!$AZ$3,1,0),0)</f>
        <v/>
      </c>
    </row>
    <row r="2930">
      <c r="A2930" s="19" t="n"/>
      <c r="B2930" s="20">
        <f>IF(A2930="","",CHOOSE(WEEKDAY(A2930,2),"Mo","Di","Mi","Do","Fr","Sa","So"))</f>
        <v/>
      </c>
      <c r="C2930" s="20">
        <f>IF(A2930="","",INT((A2930-DATE(YEAR(A2930-WEEKDAY(A2930-1)+4),1,3)+WEEKDAY(DATE(YEAR(A2930-WEEKDAY(A2930-1)+4),1,3))+5)/7))</f>
        <v/>
      </c>
      <c r="D2930" s="21" t="n"/>
      <c r="E2930" s="22" t="n"/>
      <c r="F2930" s="23" t="n"/>
      <c r="G2930" s="23" t="n"/>
      <c r="H2930" s="23" t="n"/>
      <c r="I2930" s="20">
        <f>IF(COUNT(F2930:H2930)=0,"",SUM(F2930:H2930))</f>
        <v/>
      </c>
      <c r="J2930" s="23" t="n"/>
      <c r="K2930" s="23" t="n"/>
      <c r="L2930" s="23" t="n"/>
      <c r="M2930" s="23" t="n"/>
      <c r="N2930" s="23" t="n"/>
      <c r="O2930" s="20">
        <f>IF(OR(I2930="",COUNT(J2930:N2930)=0),"",IF(SUM(J2930:N2930)=I2930,"✓","⚠ "&amp;SUM(J2930:N2930)&amp;" statt "&amp;I2930))</f>
        <v/>
      </c>
      <c r="P2930" s="21" t="n"/>
      <c r="Q2930" s="21" t="n"/>
      <c r="R2930" s="21" t="n"/>
      <c r="S2930" s="24" t="n"/>
      <c r="T2930" s="24" t="n"/>
      <c r="V2930">
        <f>IF(A2930="","",MONTH(A2930))</f>
        <v/>
      </c>
      <c r="W2930">
        <f>N(W2929)+IF(AND(C2930&lt;&gt;"",T2930&lt;&gt;""),IF(C2930=WOCHE!$B$3,1,0),0)</f>
        <v/>
      </c>
      <c r="X2930">
        <f>N(X2929)+IF(AND(V2930&lt;&gt;"",T2930&lt;&gt;""),IF(V2930=MONAT!$AZ$3,1,0),0)</f>
        <v/>
      </c>
    </row>
    <row r="2931">
      <c r="A2931" s="19" t="n"/>
      <c r="B2931" s="20">
        <f>IF(A2931="","",CHOOSE(WEEKDAY(A2931,2),"Mo","Di","Mi","Do","Fr","Sa","So"))</f>
        <v/>
      </c>
      <c r="C2931" s="20">
        <f>IF(A2931="","",INT((A2931-DATE(YEAR(A2931-WEEKDAY(A2931-1)+4),1,3)+WEEKDAY(DATE(YEAR(A2931-WEEKDAY(A2931-1)+4),1,3))+5)/7))</f>
        <v/>
      </c>
      <c r="D2931" s="21" t="n"/>
      <c r="E2931" s="22" t="n"/>
      <c r="F2931" s="23" t="n"/>
      <c r="G2931" s="23" t="n"/>
      <c r="H2931" s="23" t="n"/>
      <c r="I2931" s="20">
        <f>IF(COUNT(F2931:H2931)=0,"",SUM(F2931:H2931))</f>
        <v/>
      </c>
      <c r="J2931" s="23" t="n"/>
      <c r="K2931" s="23" t="n"/>
      <c r="L2931" s="23" t="n"/>
      <c r="M2931" s="23" t="n"/>
      <c r="N2931" s="23" t="n"/>
      <c r="O2931" s="20">
        <f>IF(OR(I2931="",COUNT(J2931:N2931)=0),"",IF(SUM(J2931:N2931)=I2931,"✓","⚠ "&amp;SUM(J2931:N2931)&amp;" statt "&amp;I2931))</f>
        <v/>
      </c>
      <c r="P2931" s="21" t="n"/>
      <c r="Q2931" s="21" t="n"/>
      <c r="R2931" s="21" t="n"/>
      <c r="S2931" s="24" t="n"/>
      <c r="T2931" s="24" t="n"/>
      <c r="V2931">
        <f>IF(A2931="","",MONTH(A2931))</f>
        <v/>
      </c>
      <c r="W2931">
        <f>N(W2930)+IF(AND(C2931&lt;&gt;"",T2931&lt;&gt;""),IF(C2931=WOCHE!$B$3,1,0),0)</f>
        <v/>
      </c>
      <c r="X2931">
        <f>N(X2930)+IF(AND(V2931&lt;&gt;"",T2931&lt;&gt;""),IF(V2931=MONAT!$AZ$3,1,0),0)</f>
        <v/>
      </c>
    </row>
    <row r="2932">
      <c r="A2932" s="19" t="n"/>
      <c r="B2932" s="20">
        <f>IF(A2932="","",CHOOSE(WEEKDAY(A2932,2),"Mo","Di","Mi","Do","Fr","Sa","So"))</f>
        <v/>
      </c>
      <c r="C2932" s="20">
        <f>IF(A2932="","",INT((A2932-DATE(YEAR(A2932-WEEKDAY(A2932-1)+4),1,3)+WEEKDAY(DATE(YEAR(A2932-WEEKDAY(A2932-1)+4),1,3))+5)/7))</f>
        <v/>
      </c>
      <c r="D2932" s="21" t="n"/>
      <c r="E2932" s="22" t="n"/>
      <c r="F2932" s="23" t="n"/>
      <c r="G2932" s="23" t="n"/>
      <c r="H2932" s="23" t="n"/>
      <c r="I2932" s="20">
        <f>IF(COUNT(F2932:H2932)=0,"",SUM(F2932:H2932))</f>
        <v/>
      </c>
      <c r="J2932" s="23" t="n"/>
      <c r="K2932" s="23" t="n"/>
      <c r="L2932" s="23" t="n"/>
      <c r="M2932" s="23" t="n"/>
      <c r="N2932" s="23" t="n"/>
      <c r="O2932" s="20">
        <f>IF(OR(I2932="",COUNT(J2932:N2932)=0),"",IF(SUM(J2932:N2932)=I2932,"✓","⚠ "&amp;SUM(J2932:N2932)&amp;" statt "&amp;I2932))</f>
        <v/>
      </c>
      <c r="P2932" s="21" t="n"/>
      <c r="Q2932" s="21" t="n"/>
      <c r="R2932" s="21" t="n"/>
      <c r="S2932" s="24" t="n"/>
      <c r="T2932" s="24" t="n"/>
      <c r="V2932">
        <f>IF(A2932="","",MONTH(A2932))</f>
        <v/>
      </c>
      <c r="W2932">
        <f>N(W2931)+IF(AND(C2932&lt;&gt;"",T2932&lt;&gt;""),IF(C2932=WOCHE!$B$3,1,0),0)</f>
        <v/>
      </c>
      <c r="X2932">
        <f>N(X2931)+IF(AND(V2932&lt;&gt;"",T2932&lt;&gt;""),IF(V2932=MONAT!$AZ$3,1,0),0)</f>
        <v/>
      </c>
    </row>
    <row r="2933">
      <c r="A2933" s="19" t="n"/>
      <c r="B2933" s="20">
        <f>IF(A2933="","",CHOOSE(WEEKDAY(A2933,2),"Mo","Di","Mi","Do","Fr","Sa","So"))</f>
        <v/>
      </c>
      <c r="C2933" s="20">
        <f>IF(A2933="","",INT((A2933-DATE(YEAR(A2933-WEEKDAY(A2933-1)+4),1,3)+WEEKDAY(DATE(YEAR(A2933-WEEKDAY(A2933-1)+4),1,3))+5)/7))</f>
        <v/>
      </c>
      <c r="D2933" s="21" t="n"/>
      <c r="E2933" s="22" t="n"/>
      <c r="F2933" s="23" t="n"/>
      <c r="G2933" s="23" t="n"/>
      <c r="H2933" s="23" t="n"/>
      <c r="I2933" s="20">
        <f>IF(COUNT(F2933:H2933)=0,"",SUM(F2933:H2933))</f>
        <v/>
      </c>
      <c r="J2933" s="23" t="n"/>
      <c r="K2933" s="23" t="n"/>
      <c r="L2933" s="23" t="n"/>
      <c r="M2933" s="23" t="n"/>
      <c r="N2933" s="23" t="n"/>
      <c r="O2933" s="20">
        <f>IF(OR(I2933="",COUNT(J2933:N2933)=0),"",IF(SUM(J2933:N2933)=I2933,"✓","⚠ "&amp;SUM(J2933:N2933)&amp;" statt "&amp;I2933))</f>
        <v/>
      </c>
      <c r="P2933" s="21" t="n"/>
      <c r="Q2933" s="21" t="n"/>
      <c r="R2933" s="21" t="n"/>
      <c r="S2933" s="24" t="n"/>
      <c r="T2933" s="24" t="n"/>
      <c r="V2933">
        <f>IF(A2933="","",MONTH(A2933))</f>
        <v/>
      </c>
      <c r="W2933">
        <f>N(W2932)+IF(AND(C2933&lt;&gt;"",T2933&lt;&gt;""),IF(C2933=WOCHE!$B$3,1,0),0)</f>
        <v/>
      </c>
      <c r="X2933">
        <f>N(X2932)+IF(AND(V2933&lt;&gt;"",T2933&lt;&gt;""),IF(V2933=MONAT!$AZ$3,1,0),0)</f>
        <v/>
      </c>
    </row>
    <row r="2934">
      <c r="A2934" s="19" t="n"/>
      <c r="B2934" s="20">
        <f>IF(A2934="","",CHOOSE(WEEKDAY(A2934,2),"Mo","Di","Mi","Do","Fr","Sa","So"))</f>
        <v/>
      </c>
      <c r="C2934" s="20">
        <f>IF(A2934="","",INT((A2934-DATE(YEAR(A2934-WEEKDAY(A2934-1)+4),1,3)+WEEKDAY(DATE(YEAR(A2934-WEEKDAY(A2934-1)+4),1,3))+5)/7))</f>
        <v/>
      </c>
      <c r="D2934" s="21" t="n"/>
      <c r="E2934" s="22" t="n"/>
      <c r="F2934" s="23" t="n"/>
      <c r="G2934" s="23" t="n"/>
      <c r="H2934" s="23" t="n"/>
      <c r="I2934" s="20">
        <f>IF(COUNT(F2934:H2934)=0,"",SUM(F2934:H2934))</f>
        <v/>
      </c>
      <c r="J2934" s="23" t="n"/>
      <c r="K2934" s="23" t="n"/>
      <c r="L2934" s="23" t="n"/>
      <c r="M2934" s="23" t="n"/>
      <c r="N2934" s="23" t="n"/>
      <c r="O2934" s="20">
        <f>IF(OR(I2934="",COUNT(J2934:N2934)=0),"",IF(SUM(J2934:N2934)=I2934,"✓","⚠ "&amp;SUM(J2934:N2934)&amp;" statt "&amp;I2934))</f>
        <v/>
      </c>
      <c r="P2934" s="21" t="n"/>
      <c r="Q2934" s="21" t="n"/>
      <c r="R2934" s="21" t="n"/>
      <c r="S2934" s="24" t="n"/>
      <c r="T2934" s="24" t="n"/>
      <c r="V2934">
        <f>IF(A2934="","",MONTH(A2934))</f>
        <v/>
      </c>
      <c r="W2934">
        <f>N(W2933)+IF(AND(C2934&lt;&gt;"",T2934&lt;&gt;""),IF(C2934=WOCHE!$B$3,1,0),0)</f>
        <v/>
      </c>
      <c r="X2934">
        <f>N(X2933)+IF(AND(V2934&lt;&gt;"",T2934&lt;&gt;""),IF(V2934=MONAT!$AZ$3,1,0),0)</f>
        <v/>
      </c>
    </row>
    <row r="2935">
      <c r="A2935" s="19" t="n"/>
      <c r="B2935" s="20">
        <f>IF(A2935="","",CHOOSE(WEEKDAY(A2935,2),"Mo","Di","Mi","Do","Fr","Sa","So"))</f>
        <v/>
      </c>
      <c r="C2935" s="20">
        <f>IF(A2935="","",INT((A2935-DATE(YEAR(A2935-WEEKDAY(A2935-1)+4),1,3)+WEEKDAY(DATE(YEAR(A2935-WEEKDAY(A2935-1)+4),1,3))+5)/7))</f>
        <v/>
      </c>
      <c r="D2935" s="21" t="n"/>
      <c r="E2935" s="22" t="n"/>
      <c r="F2935" s="23" t="n"/>
      <c r="G2935" s="23" t="n"/>
      <c r="H2935" s="23" t="n"/>
      <c r="I2935" s="20">
        <f>IF(COUNT(F2935:H2935)=0,"",SUM(F2935:H2935))</f>
        <v/>
      </c>
      <c r="J2935" s="23" t="n"/>
      <c r="K2935" s="23" t="n"/>
      <c r="L2935" s="23" t="n"/>
      <c r="M2935" s="23" t="n"/>
      <c r="N2935" s="23" t="n"/>
      <c r="O2935" s="20">
        <f>IF(OR(I2935="",COUNT(J2935:N2935)=0),"",IF(SUM(J2935:N2935)=I2935,"✓","⚠ "&amp;SUM(J2935:N2935)&amp;" statt "&amp;I2935))</f>
        <v/>
      </c>
      <c r="P2935" s="21" t="n"/>
      <c r="Q2935" s="21" t="n"/>
      <c r="R2935" s="21" t="n"/>
      <c r="S2935" s="24" t="n"/>
      <c r="T2935" s="24" t="n"/>
      <c r="V2935">
        <f>IF(A2935="","",MONTH(A2935))</f>
        <v/>
      </c>
      <c r="W2935">
        <f>N(W2934)+IF(AND(C2935&lt;&gt;"",T2935&lt;&gt;""),IF(C2935=WOCHE!$B$3,1,0),0)</f>
        <v/>
      </c>
      <c r="X2935">
        <f>N(X2934)+IF(AND(V2935&lt;&gt;"",T2935&lt;&gt;""),IF(V2935=MONAT!$AZ$3,1,0),0)</f>
        <v/>
      </c>
    </row>
    <row r="2936">
      <c r="A2936" s="19" t="n"/>
      <c r="B2936" s="20">
        <f>IF(A2936="","",CHOOSE(WEEKDAY(A2936,2),"Mo","Di","Mi","Do","Fr","Sa","So"))</f>
        <v/>
      </c>
      <c r="C2936" s="20">
        <f>IF(A2936="","",INT((A2936-DATE(YEAR(A2936-WEEKDAY(A2936-1)+4),1,3)+WEEKDAY(DATE(YEAR(A2936-WEEKDAY(A2936-1)+4),1,3))+5)/7))</f>
        <v/>
      </c>
      <c r="D2936" s="21" t="n"/>
      <c r="E2936" s="22" t="n"/>
      <c r="F2936" s="23" t="n"/>
      <c r="G2936" s="23" t="n"/>
      <c r="H2936" s="23" t="n"/>
      <c r="I2936" s="20">
        <f>IF(COUNT(F2936:H2936)=0,"",SUM(F2936:H2936))</f>
        <v/>
      </c>
      <c r="J2936" s="23" t="n"/>
      <c r="K2936" s="23" t="n"/>
      <c r="L2936" s="23" t="n"/>
      <c r="M2936" s="23" t="n"/>
      <c r="N2936" s="23" t="n"/>
      <c r="O2936" s="20">
        <f>IF(OR(I2936="",COUNT(J2936:N2936)=0),"",IF(SUM(J2936:N2936)=I2936,"✓","⚠ "&amp;SUM(J2936:N2936)&amp;" statt "&amp;I2936))</f>
        <v/>
      </c>
      <c r="P2936" s="21" t="n"/>
      <c r="Q2936" s="21" t="n"/>
      <c r="R2936" s="21" t="n"/>
      <c r="S2936" s="24" t="n"/>
      <c r="T2936" s="24" t="n"/>
      <c r="V2936">
        <f>IF(A2936="","",MONTH(A2936))</f>
        <v/>
      </c>
      <c r="W2936">
        <f>N(W2935)+IF(AND(C2936&lt;&gt;"",T2936&lt;&gt;""),IF(C2936=WOCHE!$B$3,1,0),0)</f>
        <v/>
      </c>
      <c r="X2936">
        <f>N(X2935)+IF(AND(V2936&lt;&gt;"",T2936&lt;&gt;""),IF(V2936=MONAT!$AZ$3,1,0),0)</f>
        <v/>
      </c>
    </row>
    <row r="2937">
      <c r="A2937" s="19" t="n"/>
      <c r="B2937" s="20">
        <f>IF(A2937="","",CHOOSE(WEEKDAY(A2937,2),"Mo","Di","Mi","Do","Fr","Sa","So"))</f>
        <v/>
      </c>
      <c r="C2937" s="20">
        <f>IF(A2937="","",INT((A2937-DATE(YEAR(A2937-WEEKDAY(A2937-1)+4),1,3)+WEEKDAY(DATE(YEAR(A2937-WEEKDAY(A2937-1)+4),1,3))+5)/7))</f>
        <v/>
      </c>
      <c r="D2937" s="21" t="n"/>
      <c r="E2937" s="22" t="n"/>
      <c r="F2937" s="23" t="n"/>
      <c r="G2937" s="23" t="n"/>
      <c r="H2937" s="23" t="n"/>
      <c r="I2937" s="20">
        <f>IF(COUNT(F2937:H2937)=0,"",SUM(F2937:H2937))</f>
        <v/>
      </c>
      <c r="J2937" s="23" t="n"/>
      <c r="K2937" s="23" t="n"/>
      <c r="L2937" s="23" t="n"/>
      <c r="M2937" s="23" t="n"/>
      <c r="N2937" s="23" t="n"/>
      <c r="O2937" s="20">
        <f>IF(OR(I2937="",COUNT(J2937:N2937)=0),"",IF(SUM(J2937:N2937)=I2937,"✓","⚠ "&amp;SUM(J2937:N2937)&amp;" statt "&amp;I2937))</f>
        <v/>
      </c>
      <c r="P2937" s="21" t="n"/>
      <c r="Q2937" s="21" t="n"/>
      <c r="R2937" s="21" t="n"/>
      <c r="S2937" s="24" t="n"/>
      <c r="T2937" s="24" t="n"/>
      <c r="V2937">
        <f>IF(A2937="","",MONTH(A2937))</f>
        <v/>
      </c>
      <c r="W2937">
        <f>N(W2936)+IF(AND(C2937&lt;&gt;"",T2937&lt;&gt;""),IF(C2937=WOCHE!$B$3,1,0),0)</f>
        <v/>
      </c>
      <c r="X2937">
        <f>N(X2936)+IF(AND(V2937&lt;&gt;"",T2937&lt;&gt;""),IF(V2937=MONAT!$AZ$3,1,0),0)</f>
        <v/>
      </c>
    </row>
    <row r="2938">
      <c r="A2938" s="19" t="n"/>
      <c r="B2938" s="20">
        <f>IF(A2938="","",CHOOSE(WEEKDAY(A2938,2),"Mo","Di","Mi","Do","Fr","Sa","So"))</f>
        <v/>
      </c>
      <c r="C2938" s="20">
        <f>IF(A2938="","",INT((A2938-DATE(YEAR(A2938-WEEKDAY(A2938-1)+4),1,3)+WEEKDAY(DATE(YEAR(A2938-WEEKDAY(A2938-1)+4),1,3))+5)/7))</f>
        <v/>
      </c>
      <c r="D2938" s="21" t="n"/>
      <c r="E2938" s="22" t="n"/>
      <c r="F2938" s="23" t="n"/>
      <c r="G2938" s="23" t="n"/>
      <c r="H2938" s="23" t="n"/>
      <c r="I2938" s="20">
        <f>IF(COUNT(F2938:H2938)=0,"",SUM(F2938:H2938))</f>
        <v/>
      </c>
      <c r="J2938" s="23" t="n"/>
      <c r="K2938" s="23" t="n"/>
      <c r="L2938" s="23" t="n"/>
      <c r="M2938" s="23" t="n"/>
      <c r="N2938" s="23" t="n"/>
      <c r="O2938" s="20">
        <f>IF(OR(I2938="",COUNT(J2938:N2938)=0),"",IF(SUM(J2938:N2938)=I2938,"✓","⚠ "&amp;SUM(J2938:N2938)&amp;" statt "&amp;I2938))</f>
        <v/>
      </c>
      <c r="P2938" s="21" t="n"/>
      <c r="Q2938" s="21" t="n"/>
      <c r="R2938" s="21" t="n"/>
      <c r="S2938" s="24" t="n"/>
      <c r="T2938" s="24" t="n"/>
      <c r="V2938">
        <f>IF(A2938="","",MONTH(A2938))</f>
        <v/>
      </c>
      <c r="W2938">
        <f>N(W2937)+IF(AND(C2938&lt;&gt;"",T2938&lt;&gt;""),IF(C2938=WOCHE!$B$3,1,0),0)</f>
        <v/>
      </c>
      <c r="X2938">
        <f>N(X2937)+IF(AND(V2938&lt;&gt;"",T2938&lt;&gt;""),IF(V2938=MONAT!$AZ$3,1,0),0)</f>
        <v/>
      </c>
    </row>
    <row r="2939">
      <c r="A2939" s="19" t="n"/>
      <c r="B2939" s="20">
        <f>IF(A2939="","",CHOOSE(WEEKDAY(A2939,2),"Mo","Di","Mi","Do","Fr","Sa","So"))</f>
        <v/>
      </c>
      <c r="C2939" s="20">
        <f>IF(A2939="","",INT((A2939-DATE(YEAR(A2939-WEEKDAY(A2939-1)+4),1,3)+WEEKDAY(DATE(YEAR(A2939-WEEKDAY(A2939-1)+4),1,3))+5)/7))</f>
        <v/>
      </c>
      <c r="D2939" s="21" t="n"/>
      <c r="E2939" s="22" t="n"/>
      <c r="F2939" s="23" t="n"/>
      <c r="G2939" s="23" t="n"/>
      <c r="H2939" s="23" t="n"/>
      <c r="I2939" s="20">
        <f>IF(COUNT(F2939:H2939)=0,"",SUM(F2939:H2939))</f>
        <v/>
      </c>
      <c r="J2939" s="23" t="n"/>
      <c r="K2939" s="23" t="n"/>
      <c r="L2939" s="23" t="n"/>
      <c r="M2939" s="23" t="n"/>
      <c r="N2939" s="23" t="n"/>
      <c r="O2939" s="20">
        <f>IF(OR(I2939="",COUNT(J2939:N2939)=0),"",IF(SUM(J2939:N2939)=I2939,"✓","⚠ "&amp;SUM(J2939:N2939)&amp;" statt "&amp;I2939))</f>
        <v/>
      </c>
      <c r="P2939" s="21" t="n"/>
      <c r="Q2939" s="21" t="n"/>
      <c r="R2939" s="21" t="n"/>
      <c r="S2939" s="24" t="n"/>
      <c r="T2939" s="24" t="n"/>
      <c r="V2939">
        <f>IF(A2939="","",MONTH(A2939))</f>
        <v/>
      </c>
      <c r="W2939">
        <f>N(W2938)+IF(AND(C2939&lt;&gt;"",T2939&lt;&gt;""),IF(C2939=WOCHE!$B$3,1,0),0)</f>
        <v/>
      </c>
      <c r="X2939">
        <f>N(X2938)+IF(AND(V2939&lt;&gt;"",T2939&lt;&gt;""),IF(V2939=MONAT!$AZ$3,1,0),0)</f>
        <v/>
      </c>
    </row>
    <row r="2940">
      <c r="A2940" s="19" t="n"/>
      <c r="B2940" s="20">
        <f>IF(A2940="","",CHOOSE(WEEKDAY(A2940,2),"Mo","Di","Mi","Do","Fr","Sa","So"))</f>
        <v/>
      </c>
      <c r="C2940" s="20">
        <f>IF(A2940="","",INT((A2940-DATE(YEAR(A2940-WEEKDAY(A2940-1)+4),1,3)+WEEKDAY(DATE(YEAR(A2940-WEEKDAY(A2940-1)+4),1,3))+5)/7))</f>
        <v/>
      </c>
      <c r="D2940" s="21" t="n"/>
      <c r="E2940" s="22" t="n"/>
      <c r="F2940" s="23" t="n"/>
      <c r="G2940" s="23" t="n"/>
      <c r="H2940" s="23" t="n"/>
      <c r="I2940" s="20">
        <f>IF(COUNT(F2940:H2940)=0,"",SUM(F2940:H2940))</f>
        <v/>
      </c>
      <c r="J2940" s="23" t="n"/>
      <c r="K2940" s="23" t="n"/>
      <c r="L2940" s="23" t="n"/>
      <c r="M2940" s="23" t="n"/>
      <c r="N2940" s="23" t="n"/>
      <c r="O2940" s="20">
        <f>IF(OR(I2940="",COUNT(J2940:N2940)=0),"",IF(SUM(J2940:N2940)=I2940,"✓","⚠ "&amp;SUM(J2940:N2940)&amp;" statt "&amp;I2940))</f>
        <v/>
      </c>
      <c r="P2940" s="21" t="n"/>
      <c r="Q2940" s="21" t="n"/>
      <c r="R2940" s="21" t="n"/>
      <c r="S2940" s="24" t="n"/>
      <c r="T2940" s="24" t="n"/>
      <c r="V2940">
        <f>IF(A2940="","",MONTH(A2940))</f>
        <v/>
      </c>
      <c r="W2940">
        <f>N(W2939)+IF(AND(C2940&lt;&gt;"",T2940&lt;&gt;""),IF(C2940=WOCHE!$B$3,1,0),0)</f>
        <v/>
      </c>
      <c r="X2940">
        <f>N(X2939)+IF(AND(V2940&lt;&gt;"",T2940&lt;&gt;""),IF(V2940=MONAT!$AZ$3,1,0),0)</f>
        <v/>
      </c>
    </row>
    <row r="2941">
      <c r="A2941" s="19" t="n"/>
      <c r="B2941" s="20">
        <f>IF(A2941="","",CHOOSE(WEEKDAY(A2941,2),"Mo","Di","Mi","Do","Fr","Sa","So"))</f>
        <v/>
      </c>
      <c r="C2941" s="20">
        <f>IF(A2941="","",INT((A2941-DATE(YEAR(A2941-WEEKDAY(A2941-1)+4),1,3)+WEEKDAY(DATE(YEAR(A2941-WEEKDAY(A2941-1)+4),1,3))+5)/7))</f>
        <v/>
      </c>
      <c r="D2941" s="21" t="n"/>
      <c r="E2941" s="22" t="n"/>
      <c r="F2941" s="23" t="n"/>
      <c r="G2941" s="23" t="n"/>
      <c r="H2941" s="23" t="n"/>
      <c r="I2941" s="20">
        <f>IF(COUNT(F2941:H2941)=0,"",SUM(F2941:H2941))</f>
        <v/>
      </c>
      <c r="J2941" s="23" t="n"/>
      <c r="K2941" s="23" t="n"/>
      <c r="L2941" s="23" t="n"/>
      <c r="M2941" s="23" t="n"/>
      <c r="N2941" s="23" t="n"/>
      <c r="O2941" s="20">
        <f>IF(OR(I2941="",COUNT(J2941:N2941)=0),"",IF(SUM(J2941:N2941)=I2941,"✓","⚠ "&amp;SUM(J2941:N2941)&amp;" statt "&amp;I2941))</f>
        <v/>
      </c>
      <c r="P2941" s="21" t="n"/>
      <c r="Q2941" s="21" t="n"/>
      <c r="R2941" s="21" t="n"/>
      <c r="S2941" s="24" t="n"/>
      <c r="T2941" s="24" t="n"/>
      <c r="V2941">
        <f>IF(A2941="","",MONTH(A2941))</f>
        <v/>
      </c>
      <c r="W2941">
        <f>N(W2940)+IF(AND(C2941&lt;&gt;"",T2941&lt;&gt;""),IF(C2941=WOCHE!$B$3,1,0),0)</f>
        <v/>
      </c>
      <c r="X2941">
        <f>N(X2940)+IF(AND(V2941&lt;&gt;"",T2941&lt;&gt;""),IF(V2941=MONAT!$AZ$3,1,0),0)</f>
        <v/>
      </c>
    </row>
    <row r="2942">
      <c r="A2942" s="19" t="n"/>
      <c r="B2942" s="20">
        <f>IF(A2942="","",CHOOSE(WEEKDAY(A2942,2),"Mo","Di","Mi","Do","Fr","Sa","So"))</f>
        <v/>
      </c>
      <c r="C2942" s="20">
        <f>IF(A2942="","",INT((A2942-DATE(YEAR(A2942-WEEKDAY(A2942-1)+4),1,3)+WEEKDAY(DATE(YEAR(A2942-WEEKDAY(A2942-1)+4),1,3))+5)/7))</f>
        <v/>
      </c>
      <c r="D2942" s="21" t="n"/>
      <c r="E2942" s="22" t="n"/>
      <c r="F2942" s="23" t="n"/>
      <c r="G2942" s="23" t="n"/>
      <c r="H2942" s="23" t="n"/>
      <c r="I2942" s="20">
        <f>IF(COUNT(F2942:H2942)=0,"",SUM(F2942:H2942))</f>
        <v/>
      </c>
      <c r="J2942" s="23" t="n"/>
      <c r="K2942" s="23" t="n"/>
      <c r="L2942" s="23" t="n"/>
      <c r="M2942" s="23" t="n"/>
      <c r="N2942" s="23" t="n"/>
      <c r="O2942" s="20">
        <f>IF(OR(I2942="",COUNT(J2942:N2942)=0),"",IF(SUM(J2942:N2942)=I2942,"✓","⚠ "&amp;SUM(J2942:N2942)&amp;" statt "&amp;I2942))</f>
        <v/>
      </c>
      <c r="P2942" s="21" t="n"/>
      <c r="Q2942" s="21" t="n"/>
      <c r="R2942" s="21" t="n"/>
      <c r="S2942" s="24" t="n"/>
      <c r="T2942" s="24" t="n"/>
      <c r="V2942">
        <f>IF(A2942="","",MONTH(A2942))</f>
        <v/>
      </c>
      <c r="W2942">
        <f>N(W2941)+IF(AND(C2942&lt;&gt;"",T2942&lt;&gt;""),IF(C2942=WOCHE!$B$3,1,0),0)</f>
        <v/>
      </c>
      <c r="X2942">
        <f>N(X2941)+IF(AND(V2942&lt;&gt;"",T2942&lt;&gt;""),IF(V2942=MONAT!$AZ$3,1,0),0)</f>
        <v/>
      </c>
    </row>
    <row r="2943">
      <c r="A2943" s="19" t="n"/>
      <c r="B2943" s="20">
        <f>IF(A2943="","",CHOOSE(WEEKDAY(A2943,2),"Mo","Di","Mi","Do","Fr","Sa","So"))</f>
        <v/>
      </c>
      <c r="C2943" s="20">
        <f>IF(A2943="","",INT((A2943-DATE(YEAR(A2943-WEEKDAY(A2943-1)+4),1,3)+WEEKDAY(DATE(YEAR(A2943-WEEKDAY(A2943-1)+4),1,3))+5)/7))</f>
        <v/>
      </c>
      <c r="D2943" s="21" t="n"/>
      <c r="E2943" s="22" t="n"/>
      <c r="F2943" s="23" t="n"/>
      <c r="G2943" s="23" t="n"/>
      <c r="H2943" s="23" t="n"/>
      <c r="I2943" s="20">
        <f>IF(COUNT(F2943:H2943)=0,"",SUM(F2943:H2943))</f>
        <v/>
      </c>
      <c r="J2943" s="23" t="n"/>
      <c r="K2943" s="23" t="n"/>
      <c r="L2943" s="23" t="n"/>
      <c r="M2943" s="23" t="n"/>
      <c r="N2943" s="23" t="n"/>
      <c r="O2943" s="20">
        <f>IF(OR(I2943="",COUNT(J2943:N2943)=0),"",IF(SUM(J2943:N2943)=I2943,"✓","⚠ "&amp;SUM(J2943:N2943)&amp;" statt "&amp;I2943))</f>
        <v/>
      </c>
      <c r="P2943" s="21" t="n"/>
      <c r="Q2943" s="21" t="n"/>
      <c r="R2943" s="21" t="n"/>
      <c r="S2943" s="24" t="n"/>
      <c r="T2943" s="24" t="n"/>
      <c r="V2943">
        <f>IF(A2943="","",MONTH(A2943))</f>
        <v/>
      </c>
      <c r="W2943">
        <f>N(W2942)+IF(AND(C2943&lt;&gt;"",T2943&lt;&gt;""),IF(C2943=WOCHE!$B$3,1,0),0)</f>
        <v/>
      </c>
      <c r="X2943">
        <f>N(X2942)+IF(AND(V2943&lt;&gt;"",T2943&lt;&gt;""),IF(V2943=MONAT!$AZ$3,1,0),0)</f>
        <v/>
      </c>
    </row>
    <row r="2944">
      <c r="A2944" s="19" t="n"/>
      <c r="B2944" s="20">
        <f>IF(A2944="","",CHOOSE(WEEKDAY(A2944,2),"Mo","Di","Mi","Do","Fr","Sa","So"))</f>
        <v/>
      </c>
      <c r="C2944" s="20">
        <f>IF(A2944="","",INT((A2944-DATE(YEAR(A2944-WEEKDAY(A2944-1)+4),1,3)+WEEKDAY(DATE(YEAR(A2944-WEEKDAY(A2944-1)+4),1,3))+5)/7))</f>
        <v/>
      </c>
      <c r="D2944" s="21" t="n"/>
      <c r="E2944" s="22" t="n"/>
      <c r="F2944" s="23" t="n"/>
      <c r="G2944" s="23" t="n"/>
      <c r="H2944" s="23" t="n"/>
      <c r="I2944" s="20">
        <f>IF(COUNT(F2944:H2944)=0,"",SUM(F2944:H2944))</f>
        <v/>
      </c>
      <c r="J2944" s="23" t="n"/>
      <c r="K2944" s="23" t="n"/>
      <c r="L2944" s="23" t="n"/>
      <c r="M2944" s="23" t="n"/>
      <c r="N2944" s="23" t="n"/>
      <c r="O2944" s="20">
        <f>IF(OR(I2944="",COUNT(J2944:N2944)=0),"",IF(SUM(J2944:N2944)=I2944,"✓","⚠ "&amp;SUM(J2944:N2944)&amp;" statt "&amp;I2944))</f>
        <v/>
      </c>
      <c r="P2944" s="21" t="n"/>
      <c r="Q2944" s="21" t="n"/>
      <c r="R2944" s="21" t="n"/>
      <c r="S2944" s="24" t="n"/>
      <c r="T2944" s="24" t="n"/>
      <c r="V2944">
        <f>IF(A2944="","",MONTH(A2944))</f>
        <v/>
      </c>
      <c r="W2944">
        <f>N(W2943)+IF(AND(C2944&lt;&gt;"",T2944&lt;&gt;""),IF(C2944=WOCHE!$B$3,1,0),0)</f>
        <v/>
      </c>
      <c r="X2944">
        <f>N(X2943)+IF(AND(V2944&lt;&gt;"",T2944&lt;&gt;""),IF(V2944=MONAT!$AZ$3,1,0),0)</f>
        <v/>
      </c>
    </row>
    <row r="2945">
      <c r="A2945" s="19" t="n"/>
      <c r="B2945" s="20">
        <f>IF(A2945="","",CHOOSE(WEEKDAY(A2945,2),"Mo","Di","Mi","Do","Fr","Sa","So"))</f>
        <v/>
      </c>
      <c r="C2945" s="20">
        <f>IF(A2945="","",INT((A2945-DATE(YEAR(A2945-WEEKDAY(A2945-1)+4),1,3)+WEEKDAY(DATE(YEAR(A2945-WEEKDAY(A2945-1)+4),1,3))+5)/7))</f>
        <v/>
      </c>
      <c r="D2945" s="21" t="n"/>
      <c r="E2945" s="22" t="n"/>
      <c r="F2945" s="23" t="n"/>
      <c r="G2945" s="23" t="n"/>
      <c r="H2945" s="23" t="n"/>
      <c r="I2945" s="20">
        <f>IF(COUNT(F2945:H2945)=0,"",SUM(F2945:H2945))</f>
        <v/>
      </c>
      <c r="J2945" s="23" t="n"/>
      <c r="K2945" s="23" t="n"/>
      <c r="L2945" s="23" t="n"/>
      <c r="M2945" s="23" t="n"/>
      <c r="N2945" s="23" t="n"/>
      <c r="O2945" s="20">
        <f>IF(OR(I2945="",COUNT(J2945:N2945)=0),"",IF(SUM(J2945:N2945)=I2945,"✓","⚠ "&amp;SUM(J2945:N2945)&amp;" statt "&amp;I2945))</f>
        <v/>
      </c>
      <c r="P2945" s="21" t="n"/>
      <c r="Q2945" s="21" t="n"/>
      <c r="R2945" s="21" t="n"/>
      <c r="S2945" s="24" t="n"/>
      <c r="T2945" s="24" t="n"/>
      <c r="V2945">
        <f>IF(A2945="","",MONTH(A2945))</f>
        <v/>
      </c>
      <c r="W2945">
        <f>N(W2944)+IF(AND(C2945&lt;&gt;"",T2945&lt;&gt;""),IF(C2945=WOCHE!$B$3,1,0),0)</f>
        <v/>
      </c>
      <c r="X2945">
        <f>N(X2944)+IF(AND(V2945&lt;&gt;"",T2945&lt;&gt;""),IF(V2945=MONAT!$AZ$3,1,0),0)</f>
        <v/>
      </c>
    </row>
    <row r="2946">
      <c r="A2946" s="19" t="n"/>
      <c r="B2946" s="20">
        <f>IF(A2946="","",CHOOSE(WEEKDAY(A2946,2),"Mo","Di","Mi","Do","Fr","Sa","So"))</f>
        <v/>
      </c>
      <c r="C2946" s="20">
        <f>IF(A2946="","",INT((A2946-DATE(YEAR(A2946-WEEKDAY(A2946-1)+4),1,3)+WEEKDAY(DATE(YEAR(A2946-WEEKDAY(A2946-1)+4),1,3))+5)/7))</f>
        <v/>
      </c>
      <c r="D2946" s="21" t="n"/>
      <c r="E2946" s="22" t="n"/>
      <c r="F2946" s="23" t="n"/>
      <c r="G2946" s="23" t="n"/>
      <c r="H2946" s="23" t="n"/>
      <c r="I2946" s="20">
        <f>IF(COUNT(F2946:H2946)=0,"",SUM(F2946:H2946))</f>
        <v/>
      </c>
      <c r="J2946" s="23" t="n"/>
      <c r="K2946" s="23" t="n"/>
      <c r="L2946" s="23" t="n"/>
      <c r="M2946" s="23" t="n"/>
      <c r="N2946" s="23" t="n"/>
      <c r="O2946" s="20">
        <f>IF(OR(I2946="",COUNT(J2946:N2946)=0),"",IF(SUM(J2946:N2946)=I2946,"✓","⚠ "&amp;SUM(J2946:N2946)&amp;" statt "&amp;I2946))</f>
        <v/>
      </c>
      <c r="P2946" s="21" t="n"/>
      <c r="Q2946" s="21" t="n"/>
      <c r="R2946" s="21" t="n"/>
      <c r="S2946" s="24" t="n"/>
      <c r="T2946" s="24" t="n"/>
      <c r="V2946">
        <f>IF(A2946="","",MONTH(A2946))</f>
        <v/>
      </c>
      <c r="W2946">
        <f>N(W2945)+IF(AND(C2946&lt;&gt;"",T2946&lt;&gt;""),IF(C2946=WOCHE!$B$3,1,0),0)</f>
        <v/>
      </c>
      <c r="X2946">
        <f>N(X2945)+IF(AND(V2946&lt;&gt;"",T2946&lt;&gt;""),IF(V2946=MONAT!$AZ$3,1,0),0)</f>
        <v/>
      </c>
    </row>
    <row r="2947">
      <c r="A2947" s="19" t="n"/>
      <c r="B2947" s="20">
        <f>IF(A2947="","",CHOOSE(WEEKDAY(A2947,2),"Mo","Di","Mi","Do","Fr","Sa","So"))</f>
        <v/>
      </c>
      <c r="C2947" s="20">
        <f>IF(A2947="","",INT((A2947-DATE(YEAR(A2947-WEEKDAY(A2947-1)+4),1,3)+WEEKDAY(DATE(YEAR(A2947-WEEKDAY(A2947-1)+4),1,3))+5)/7))</f>
        <v/>
      </c>
      <c r="D2947" s="21" t="n"/>
      <c r="E2947" s="22" t="n"/>
      <c r="F2947" s="23" t="n"/>
      <c r="G2947" s="23" t="n"/>
      <c r="H2947" s="23" t="n"/>
      <c r="I2947" s="20">
        <f>IF(COUNT(F2947:H2947)=0,"",SUM(F2947:H2947))</f>
        <v/>
      </c>
      <c r="J2947" s="23" t="n"/>
      <c r="K2947" s="23" t="n"/>
      <c r="L2947" s="23" t="n"/>
      <c r="M2947" s="23" t="n"/>
      <c r="N2947" s="23" t="n"/>
      <c r="O2947" s="20">
        <f>IF(OR(I2947="",COUNT(J2947:N2947)=0),"",IF(SUM(J2947:N2947)=I2947,"✓","⚠ "&amp;SUM(J2947:N2947)&amp;" statt "&amp;I2947))</f>
        <v/>
      </c>
      <c r="P2947" s="21" t="n"/>
      <c r="Q2947" s="21" t="n"/>
      <c r="R2947" s="21" t="n"/>
      <c r="S2947" s="24" t="n"/>
      <c r="T2947" s="24" t="n"/>
      <c r="V2947">
        <f>IF(A2947="","",MONTH(A2947))</f>
        <v/>
      </c>
      <c r="W2947">
        <f>N(W2946)+IF(AND(C2947&lt;&gt;"",T2947&lt;&gt;""),IF(C2947=WOCHE!$B$3,1,0),0)</f>
        <v/>
      </c>
      <c r="X2947">
        <f>N(X2946)+IF(AND(V2947&lt;&gt;"",T2947&lt;&gt;""),IF(V2947=MONAT!$AZ$3,1,0),0)</f>
        <v/>
      </c>
    </row>
    <row r="2948">
      <c r="A2948" s="19" t="n"/>
      <c r="B2948" s="20">
        <f>IF(A2948="","",CHOOSE(WEEKDAY(A2948,2),"Mo","Di","Mi","Do","Fr","Sa","So"))</f>
        <v/>
      </c>
      <c r="C2948" s="20">
        <f>IF(A2948="","",INT((A2948-DATE(YEAR(A2948-WEEKDAY(A2948-1)+4),1,3)+WEEKDAY(DATE(YEAR(A2948-WEEKDAY(A2948-1)+4),1,3))+5)/7))</f>
        <v/>
      </c>
      <c r="D2948" s="21" t="n"/>
      <c r="E2948" s="22" t="n"/>
      <c r="F2948" s="23" t="n"/>
      <c r="G2948" s="23" t="n"/>
      <c r="H2948" s="23" t="n"/>
      <c r="I2948" s="20">
        <f>IF(COUNT(F2948:H2948)=0,"",SUM(F2948:H2948))</f>
        <v/>
      </c>
      <c r="J2948" s="23" t="n"/>
      <c r="K2948" s="23" t="n"/>
      <c r="L2948" s="23" t="n"/>
      <c r="M2948" s="23" t="n"/>
      <c r="N2948" s="23" t="n"/>
      <c r="O2948" s="20">
        <f>IF(OR(I2948="",COUNT(J2948:N2948)=0),"",IF(SUM(J2948:N2948)=I2948,"✓","⚠ "&amp;SUM(J2948:N2948)&amp;" statt "&amp;I2948))</f>
        <v/>
      </c>
      <c r="P2948" s="21" t="n"/>
      <c r="Q2948" s="21" t="n"/>
      <c r="R2948" s="21" t="n"/>
      <c r="S2948" s="24" t="n"/>
      <c r="T2948" s="24" t="n"/>
      <c r="V2948">
        <f>IF(A2948="","",MONTH(A2948))</f>
        <v/>
      </c>
      <c r="W2948">
        <f>N(W2947)+IF(AND(C2948&lt;&gt;"",T2948&lt;&gt;""),IF(C2948=WOCHE!$B$3,1,0),0)</f>
        <v/>
      </c>
      <c r="X2948">
        <f>N(X2947)+IF(AND(V2948&lt;&gt;"",T2948&lt;&gt;""),IF(V2948=MONAT!$AZ$3,1,0),0)</f>
        <v/>
      </c>
    </row>
    <row r="2949">
      <c r="A2949" s="19" t="n"/>
      <c r="B2949" s="20">
        <f>IF(A2949="","",CHOOSE(WEEKDAY(A2949,2),"Mo","Di","Mi","Do","Fr","Sa","So"))</f>
        <v/>
      </c>
      <c r="C2949" s="20">
        <f>IF(A2949="","",INT((A2949-DATE(YEAR(A2949-WEEKDAY(A2949-1)+4),1,3)+WEEKDAY(DATE(YEAR(A2949-WEEKDAY(A2949-1)+4),1,3))+5)/7))</f>
        <v/>
      </c>
      <c r="D2949" s="21" t="n"/>
      <c r="E2949" s="22" t="n"/>
      <c r="F2949" s="23" t="n"/>
      <c r="G2949" s="23" t="n"/>
      <c r="H2949" s="23" t="n"/>
      <c r="I2949" s="20">
        <f>IF(COUNT(F2949:H2949)=0,"",SUM(F2949:H2949))</f>
        <v/>
      </c>
      <c r="J2949" s="23" t="n"/>
      <c r="K2949" s="23" t="n"/>
      <c r="L2949" s="23" t="n"/>
      <c r="M2949" s="23" t="n"/>
      <c r="N2949" s="23" t="n"/>
      <c r="O2949" s="20">
        <f>IF(OR(I2949="",COUNT(J2949:N2949)=0),"",IF(SUM(J2949:N2949)=I2949,"✓","⚠ "&amp;SUM(J2949:N2949)&amp;" statt "&amp;I2949))</f>
        <v/>
      </c>
      <c r="P2949" s="21" t="n"/>
      <c r="Q2949" s="21" t="n"/>
      <c r="R2949" s="21" t="n"/>
      <c r="S2949" s="24" t="n"/>
      <c r="T2949" s="24" t="n"/>
      <c r="V2949">
        <f>IF(A2949="","",MONTH(A2949))</f>
        <v/>
      </c>
      <c r="W2949">
        <f>N(W2948)+IF(AND(C2949&lt;&gt;"",T2949&lt;&gt;""),IF(C2949=WOCHE!$B$3,1,0),0)</f>
        <v/>
      </c>
      <c r="X2949">
        <f>N(X2948)+IF(AND(V2949&lt;&gt;"",T2949&lt;&gt;""),IF(V2949=MONAT!$AZ$3,1,0),0)</f>
        <v/>
      </c>
    </row>
    <row r="2950">
      <c r="A2950" s="19" t="n"/>
      <c r="B2950" s="20">
        <f>IF(A2950="","",CHOOSE(WEEKDAY(A2950,2),"Mo","Di","Mi","Do","Fr","Sa","So"))</f>
        <v/>
      </c>
      <c r="C2950" s="20">
        <f>IF(A2950="","",INT((A2950-DATE(YEAR(A2950-WEEKDAY(A2950-1)+4),1,3)+WEEKDAY(DATE(YEAR(A2950-WEEKDAY(A2950-1)+4),1,3))+5)/7))</f>
        <v/>
      </c>
      <c r="D2950" s="21" t="n"/>
      <c r="E2950" s="22" t="n"/>
      <c r="F2950" s="23" t="n"/>
      <c r="G2950" s="23" t="n"/>
      <c r="H2950" s="23" t="n"/>
      <c r="I2950" s="20">
        <f>IF(COUNT(F2950:H2950)=0,"",SUM(F2950:H2950))</f>
        <v/>
      </c>
      <c r="J2950" s="23" t="n"/>
      <c r="K2950" s="23" t="n"/>
      <c r="L2950" s="23" t="n"/>
      <c r="M2950" s="23" t="n"/>
      <c r="N2950" s="23" t="n"/>
      <c r="O2950" s="20">
        <f>IF(OR(I2950="",COUNT(J2950:N2950)=0),"",IF(SUM(J2950:N2950)=I2950,"✓","⚠ "&amp;SUM(J2950:N2950)&amp;" statt "&amp;I2950))</f>
        <v/>
      </c>
      <c r="P2950" s="21" t="n"/>
      <c r="Q2950" s="21" t="n"/>
      <c r="R2950" s="21" t="n"/>
      <c r="S2950" s="24" t="n"/>
      <c r="T2950" s="24" t="n"/>
      <c r="V2950">
        <f>IF(A2950="","",MONTH(A2950))</f>
        <v/>
      </c>
      <c r="W2950">
        <f>N(W2949)+IF(AND(C2950&lt;&gt;"",T2950&lt;&gt;""),IF(C2950=WOCHE!$B$3,1,0),0)</f>
        <v/>
      </c>
      <c r="X2950">
        <f>N(X2949)+IF(AND(V2950&lt;&gt;"",T2950&lt;&gt;""),IF(V2950=MONAT!$AZ$3,1,0),0)</f>
        <v/>
      </c>
    </row>
    <row r="2951">
      <c r="A2951" s="19" t="n"/>
      <c r="B2951" s="20">
        <f>IF(A2951="","",CHOOSE(WEEKDAY(A2951,2),"Mo","Di","Mi","Do","Fr","Sa","So"))</f>
        <v/>
      </c>
      <c r="C2951" s="20">
        <f>IF(A2951="","",INT((A2951-DATE(YEAR(A2951-WEEKDAY(A2951-1)+4),1,3)+WEEKDAY(DATE(YEAR(A2951-WEEKDAY(A2951-1)+4),1,3))+5)/7))</f>
        <v/>
      </c>
      <c r="D2951" s="21" t="n"/>
      <c r="E2951" s="22" t="n"/>
      <c r="F2951" s="23" t="n"/>
      <c r="G2951" s="23" t="n"/>
      <c r="H2951" s="23" t="n"/>
      <c r="I2951" s="20">
        <f>IF(COUNT(F2951:H2951)=0,"",SUM(F2951:H2951))</f>
        <v/>
      </c>
      <c r="J2951" s="23" t="n"/>
      <c r="K2951" s="23" t="n"/>
      <c r="L2951" s="23" t="n"/>
      <c r="M2951" s="23" t="n"/>
      <c r="N2951" s="23" t="n"/>
      <c r="O2951" s="20">
        <f>IF(OR(I2951="",COUNT(J2951:N2951)=0),"",IF(SUM(J2951:N2951)=I2951,"✓","⚠ "&amp;SUM(J2951:N2951)&amp;" statt "&amp;I2951))</f>
        <v/>
      </c>
      <c r="P2951" s="21" t="n"/>
      <c r="Q2951" s="21" t="n"/>
      <c r="R2951" s="21" t="n"/>
      <c r="S2951" s="24" t="n"/>
      <c r="T2951" s="24" t="n"/>
      <c r="V2951">
        <f>IF(A2951="","",MONTH(A2951))</f>
        <v/>
      </c>
      <c r="W2951">
        <f>N(W2950)+IF(AND(C2951&lt;&gt;"",T2951&lt;&gt;""),IF(C2951=WOCHE!$B$3,1,0),0)</f>
        <v/>
      </c>
      <c r="X2951">
        <f>N(X2950)+IF(AND(V2951&lt;&gt;"",T2951&lt;&gt;""),IF(V2951=MONAT!$AZ$3,1,0),0)</f>
        <v/>
      </c>
    </row>
    <row r="2952">
      <c r="A2952" s="19" t="n"/>
      <c r="B2952" s="20">
        <f>IF(A2952="","",CHOOSE(WEEKDAY(A2952,2),"Mo","Di","Mi","Do","Fr","Sa","So"))</f>
        <v/>
      </c>
      <c r="C2952" s="20">
        <f>IF(A2952="","",INT((A2952-DATE(YEAR(A2952-WEEKDAY(A2952-1)+4),1,3)+WEEKDAY(DATE(YEAR(A2952-WEEKDAY(A2952-1)+4),1,3))+5)/7))</f>
        <v/>
      </c>
      <c r="D2952" s="21" t="n"/>
      <c r="E2952" s="22" t="n"/>
      <c r="F2952" s="23" t="n"/>
      <c r="G2952" s="23" t="n"/>
      <c r="H2952" s="23" t="n"/>
      <c r="I2952" s="20">
        <f>IF(COUNT(F2952:H2952)=0,"",SUM(F2952:H2952))</f>
        <v/>
      </c>
      <c r="J2952" s="23" t="n"/>
      <c r="K2952" s="23" t="n"/>
      <c r="L2952" s="23" t="n"/>
      <c r="M2952" s="23" t="n"/>
      <c r="N2952" s="23" t="n"/>
      <c r="O2952" s="20">
        <f>IF(OR(I2952="",COUNT(J2952:N2952)=0),"",IF(SUM(J2952:N2952)=I2952,"✓","⚠ "&amp;SUM(J2952:N2952)&amp;" statt "&amp;I2952))</f>
        <v/>
      </c>
      <c r="P2952" s="21" t="n"/>
      <c r="Q2952" s="21" t="n"/>
      <c r="R2952" s="21" t="n"/>
      <c r="S2952" s="24" t="n"/>
      <c r="T2952" s="24" t="n"/>
      <c r="V2952">
        <f>IF(A2952="","",MONTH(A2952))</f>
        <v/>
      </c>
      <c r="W2952">
        <f>N(W2951)+IF(AND(C2952&lt;&gt;"",T2952&lt;&gt;""),IF(C2952=WOCHE!$B$3,1,0),0)</f>
        <v/>
      </c>
      <c r="X2952">
        <f>N(X2951)+IF(AND(V2952&lt;&gt;"",T2952&lt;&gt;""),IF(V2952=MONAT!$AZ$3,1,0),0)</f>
        <v/>
      </c>
    </row>
    <row r="2953">
      <c r="A2953" s="19" t="n"/>
      <c r="B2953" s="20">
        <f>IF(A2953="","",CHOOSE(WEEKDAY(A2953,2),"Mo","Di","Mi","Do","Fr","Sa","So"))</f>
        <v/>
      </c>
      <c r="C2953" s="20">
        <f>IF(A2953="","",INT((A2953-DATE(YEAR(A2953-WEEKDAY(A2953-1)+4),1,3)+WEEKDAY(DATE(YEAR(A2953-WEEKDAY(A2953-1)+4),1,3))+5)/7))</f>
        <v/>
      </c>
      <c r="D2953" s="21" t="n"/>
      <c r="E2953" s="22" t="n"/>
      <c r="F2953" s="23" t="n"/>
      <c r="G2953" s="23" t="n"/>
      <c r="H2953" s="23" t="n"/>
      <c r="I2953" s="20">
        <f>IF(COUNT(F2953:H2953)=0,"",SUM(F2953:H2953))</f>
        <v/>
      </c>
      <c r="J2953" s="23" t="n"/>
      <c r="K2953" s="23" t="n"/>
      <c r="L2953" s="23" t="n"/>
      <c r="M2953" s="23" t="n"/>
      <c r="N2953" s="23" t="n"/>
      <c r="O2953" s="20">
        <f>IF(OR(I2953="",COUNT(J2953:N2953)=0),"",IF(SUM(J2953:N2953)=I2953,"✓","⚠ "&amp;SUM(J2953:N2953)&amp;" statt "&amp;I2953))</f>
        <v/>
      </c>
      <c r="P2953" s="21" t="n"/>
      <c r="Q2953" s="21" t="n"/>
      <c r="R2953" s="21" t="n"/>
      <c r="S2953" s="24" t="n"/>
      <c r="T2953" s="24" t="n"/>
      <c r="V2953">
        <f>IF(A2953="","",MONTH(A2953))</f>
        <v/>
      </c>
      <c r="W2953">
        <f>N(W2952)+IF(AND(C2953&lt;&gt;"",T2953&lt;&gt;""),IF(C2953=WOCHE!$B$3,1,0),0)</f>
        <v/>
      </c>
      <c r="X2953">
        <f>N(X2952)+IF(AND(V2953&lt;&gt;"",T2953&lt;&gt;""),IF(V2953=MONAT!$AZ$3,1,0),0)</f>
        <v/>
      </c>
    </row>
    <row r="2954">
      <c r="A2954" s="19" t="n"/>
      <c r="B2954" s="20">
        <f>IF(A2954="","",CHOOSE(WEEKDAY(A2954,2),"Mo","Di","Mi","Do","Fr","Sa","So"))</f>
        <v/>
      </c>
      <c r="C2954" s="20">
        <f>IF(A2954="","",INT((A2954-DATE(YEAR(A2954-WEEKDAY(A2954-1)+4),1,3)+WEEKDAY(DATE(YEAR(A2954-WEEKDAY(A2954-1)+4),1,3))+5)/7))</f>
        <v/>
      </c>
      <c r="D2954" s="21" t="n"/>
      <c r="E2954" s="22" t="n"/>
      <c r="F2954" s="23" t="n"/>
      <c r="G2954" s="23" t="n"/>
      <c r="H2954" s="23" t="n"/>
      <c r="I2954" s="20">
        <f>IF(COUNT(F2954:H2954)=0,"",SUM(F2954:H2954))</f>
        <v/>
      </c>
      <c r="J2954" s="23" t="n"/>
      <c r="K2954" s="23" t="n"/>
      <c r="L2954" s="23" t="n"/>
      <c r="M2954" s="23" t="n"/>
      <c r="N2954" s="23" t="n"/>
      <c r="O2954" s="20">
        <f>IF(OR(I2954="",COUNT(J2954:N2954)=0),"",IF(SUM(J2954:N2954)=I2954,"✓","⚠ "&amp;SUM(J2954:N2954)&amp;" statt "&amp;I2954))</f>
        <v/>
      </c>
      <c r="P2954" s="21" t="n"/>
      <c r="Q2954" s="21" t="n"/>
      <c r="R2954" s="21" t="n"/>
      <c r="S2954" s="24" t="n"/>
      <c r="T2954" s="24" t="n"/>
      <c r="V2954">
        <f>IF(A2954="","",MONTH(A2954))</f>
        <v/>
      </c>
      <c r="W2954">
        <f>N(W2953)+IF(AND(C2954&lt;&gt;"",T2954&lt;&gt;""),IF(C2954=WOCHE!$B$3,1,0),0)</f>
        <v/>
      </c>
      <c r="X2954">
        <f>N(X2953)+IF(AND(V2954&lt;&gt;"",T2954&lt;&gt;""),IF(V2954=MONAT!$AZ$3,1,0),0)</f>
        <v/>
      </c>
    </row>
    <row r="2955">
      <c r="A2955" s="19" t="n"/>
      <c r="B2955" s="20">
        <f>IF(A2955="","",CHOOSE(WEEKDAY(A2955,2),"Mo","Di","Mi","Do","Fr","Sa","So"))</f>
        <v/>
      </c>
      <c r="C2955" s="20">
        <f>IF(A2955="","",INT((A2955-DATE(YEAR(A2955-WEEKDAY(A2955-1)+4),1,3)+WEEKDAY(DATE(YEAR(A2955-WEEKDAY(A2955-1)+4),1,3))+5)/7))</f>
        <v/>
      </c>
      <c r="D2955" s="21" t="n"/>
      <c r="E2955" s="22" t="n"/>
      <c r="F2955" s="23" t="n"/>
      <c r="G2955" s="23" t="n"/>
      <c r="H2955" s="23" t="n"/>
      <c r="I2955" s="20">
        <f>IF(COUNT(F2955:H2955)=0,"",SUM(F2955:H2955))</f>
        <v/>
      </c>
      <c r="J2955" s="23" t="n"/>
      <c r="K2955" s="23" t="n"/>
      <c r="L2955" s="23" t="n"/>
      <c r="M2955" s="23" t="n"/>
      <c r="N2955" s="23" t="n"/>
      <c r="O2955" s="20">
        <f>IF(OR(I2955="",COUNT(J2955:N2955)=0),"",IF(SUM(J2955:N2955)=I2955,"✓","⚠ "&amp;SUM(J2955:N2955)&amp;" statt "&amp;I2955))</f>
        <v/>
      </c>
      <c r="P2955" s="21" t="n"/>
      <c r="Q2955" s="21" t="n"/>
      <c r="R2955" s="21" t="n"/>
      <c r="S2955" s="24" t="n"/>
      <c r="T2955" s="24" t="n"/>
      <c r="V2955">
        <f>IF(A2955="","",MONTH(A2955))</f>
        <v/>
      </c>
      <c r="W2955">
        <f>N(W2954)+IF(AND(C2955&lt;&gt;"",T2955&lt;&gt;""),IF(C2955=WOCHE!$B$3,1,0),0)</f>
        <v/>
      </c>
      <c r="X2955">
        <f>N(X2954)+IF(AND(V2955&lt;&gt;"",T2955&lt;&gt;""),IF(V2955=MONAT!$AZ$3,1,0),0)</f>
        <v/>
      </c>
    </row>
    <row r="2956">
      <c r="A2956" s="19" t="n"/>
      <c r="B2956" s="20">
        <f>IF(A2956="","",CHOOSE(WEEKDAY(A2956,2),"Mo","Di","Mi","Do","Fr","Sa","So"))</f>
        <v/>
      </c>
      <c r="C2956" s="20">
        <f>IF(A2956="","",INT((A2956-DATE(YEAR(A2956-WEEKDAY(A2956-1)+4),1,3)+WEEKDAY(DATE(YEAR(A2956-WEEKDAY(A2956-1)+4),1,3))+5)/7))</f>
        <v/>
      </c>
      <c r="D2956" s="21" t="n"/>
      <c r="E2956" s="22" t="n"/>
      <c r="F2956" s="23" t="n"/>
      <c r="G2956" s="23" t="n"/>
      <c r="H2956" s="23" t="n"/>
      <c r="I2956" s="20">
        <f>IF(COUNT(F2956:H2956)=0,"",SUM(F2956:H2956))</f>
        <v/>
      </c>
      <c r="J2956" s="23" t="n"/>
      <c r="K2956" s="23" t="n"/>
      <c r="L2956" s="23" t="n"/>
      <c r="M2956" s="23" t="n"/>
      <c r="N2956" s="23" t="n"/>
      <c r="O2956" s="20">
        <f>IF(OR(I2956="",COUNT(J2956:N2956)=0),"",IF(SUM(J2956:N2956)=I2956,"✓","⚠ "&amp;SUM(J2956:N2956)&amp;" statt "&amp;I2956))</f>
        <v/>
      </c>
      <c r="P2956" s="21" t="n"/>
      <c r="Q2956" s="21" t="n"/>
      <c r="R2956" s="21" t="n"/>
      <c r="S2956" s="24" t="n"/>
      <c r="T2956" s="24" t="n"/>
      <c r="V2956">
        <f>IF(A2956="","",MONTH(A2956))</f>
        <v/>
      </c>
      <c r="W2956">
        <f>N(W2955)+IF(AND(C2956&lt;&gt;"",T2956&lt;&gt;""),IF(C2956=WOCHE!$B$3,1,0),0)</f>
        <v/>
      </c>
      <c r="X2956">
        <f>N(X2955)+IF(AND(V2956&lt;&gt;"",T2956&lt;&gt;""),IF(V2956=MONAT!$AZ$3,1,0),0)</f>
        <v/>
      </c>
    </row>
    <row r="2957">
      <c r="A2957" s="19" t="n"/>
      <c r="B2957" s="20">
        <f>IF(A2957="","",CHOOSE(WEEKDAY(A2957,2),"Mo","Di","Mi","Do","Fr","Sa","So"))</f>
        <v/>
      </c>
      <c r="C2957" s="20">
        <f>IF(A2957="","",INT((A2957-DATE(YEAR(A2957-WEEKDAY(A2957-1)+4),1,3)+WEEKDAY(DATE(YEAR(A2957-WEEKDAY(A2957-1)+4),1,3))+5)/7))</f>
        <v/>
      </c>
      <c r="D2957" s="21" t="n"/>
      <c r="E2957" s="22" t="n"/>
      <c r="F2957" s="23" t="n"/>
      <c r="G2957" s="23" t="n"/>
      <c r="H2957" s="23" t="n"/>
      <c r="I2957" s="20">
        <f>IF(COUNT(F2957:H2957)=0,"",SUM(F2957:H2957))</f>
        <v/>
      </c>
      <c r="J2957" s="23" t="n"/>
      <c r="K2957" s="23" t="n"/>
      <c r="L2957" s="23" t="n"/>
      <c r="M2957" s="23" t="n"/>
      <c r="N2957" s="23" t="n"/>
      <c r="O2957" s="20">
        <f>IF(OR(I2957="",COUNT(J2957:N2957)=0),"",IF(SUM(J2957:N2957)=I2957,"✓","⚠ "&amp;SUM(J2957:N2957)&amp;" statt "&amp;I2957))</f>
        <v/>
      </c>
      <c r="P2957" s="21" t="n"/>
      <c r="Q2957" s="21" t="n"/>
      <c r="R2957" s="21" t="n"/>
      <c r="S2957" s="24" t="n"/>
      <c r="T2957" s="24" t="n"/>
      <c r="V2957">
        <f>IF(A2957="","",MONTH(A2957))</f>
        <v/>
      </c>
      <c r="W2957">
        <f>N(W2956)+IF(AND(C2957&lt;&gt;"",T2957&lt;&gt;""),IF(C2957=WOCHE!$B$3,1,0),0)</f>
        <v/>
      </c>
      <c r="X2957">
        <f>N(X2956)+IF(AND(V2957&lt;&gt;"",T2957&lt;&gt;""),IF(V2957=MONAT!$AZ$3,1,0),0)</f>
        <v/>
      </c>
    </row>
    <row r="2958">
      <c r="A2958" s="19" t="n"/>
      <c r="B2958" s="20">
        <f>IF(A2958="","",CHOOSE(WEEKDAY(A2958,2),"Mo","Di","Mi","Do","Fr","Sa","So"))</f>
        <v/>
      </c>
      <c r="C2958" s="20">
        <f>IF(A2958="","",INT((A2958-DATE(YEAR(A2958-WEEKDAY(A2958-1)+4),1,3)+WEEKDAY(DATE(YEAR(A2958-WEEKDAY(A2958-1)+4),1,3))+5)/7))</f>
        <v/>
      </c>
      <c r="D2958" s="21" t="n"/>
      <c r="E2958" s="22" t="n"/>
      <c r="F2958" s="23" t="n"/>
      <c r="G2958" s="23" t="n"/>
      <c r="H2958" s="23" t="n"/>
      <c r="I2958" s="20">
        <f>IF(COUNT(F2958:H2958)=0,"",SUM(F2958:H2958))</f>
        <v/>
      </c>
      <c r="J2958" s="23" t="n"/>
      <c r="K2958" s="23" t="n"/>
      <c r="L2958" s="23" t="n"/>
      <c r="M2958" s="23" t="n"/>
      <c r="N2958" s="23" t="n"/>
      <c r="O2958" s="20">
        <f>IF(OR(I2958="",COUNT(J2958:N2958)=0),"",IF(SUM(J2958:N2958)=I2958,"✓","⚠ "&amp;SUM(J2958:N2958)&amp;" statt "&amp;I2958))</f>
        <v/>
      </c>
      <c r="P2958" s="21" t="n"/>
      <c r="Q2958" s="21" t="n"/>
      <c r="R2958" s="21" t="n"/>
      <c r="S2958" s="24" t="n"/>
      <c r="T2958" s="24" t="n"/>
      <c r="V2958">
        <f>IF(A2958="","",MONTH(A2958))</f>
        <v/>
      </c>
      <c r="W2958">
        <f>N(W2957)+IF(AND(C2958&lt;&gt;"",T2958&lt;&gt;""),IF(C2958=WOCHE!$B$3,1,0),0)</f>
        <v/>
      </c>
      <c r="X2958">
        <f>N(X2957)+IF(AND(V2958&lt;&gt;"",T2958&lt;&gt;""),IF(V2958=MONAT!$AZ$3,1,0),0)</f>
        <v/>
      </c>
    </row>
    <row r="2959">
      <c r="A2959" s="19" t="n"/>
      <c r="B2959" s="20">
        <f>IF(A2959="","",CHOOSE(WEEKDAY(A2959,2),"Mo","Di","Mi","Do","Fr","Sa","So"))</f>
        <v/>
      </c>
      <c r="C2959" s="20">
        <f>IF(A2959="","",INT((A2959-DATE(YEAR(A2959-WEEKDAY(A2959-1)+4),1,3)+WEEKDAY(DATE(YEAR(A2959-WEEKDAY(A2959-1)+4),1,3))+5)/7))</f>
        <v/>
      </c>
      <c r="D2959" s="21" t="n"/>
      <c r="E2959" s="22" t="n"/>
      <c r="F2959" s="23" t="n"/>
      <c r="G2959" s="23" t="n"/>
      <c r="H2959" s="23" t="n"/>
      <c r="I2959" s="20">
        <f>IF(COUNT(F2959:H2959)=0,"",SUM(F2959:H2959))</f>
        <v/>
      </c>
      <c r="J2959" s="23" t="n"/>
      <c r="K2959" s="23" t="n"/>
      <c r="L2959" s="23" t="n"/>
      <c r="M2959" s="23" t="n"/>
      <c r="N2959" s="23" t="n"/>
      <c r="O2959" s="20">
        <f>IF(OR(I2959="",COUNT(J2959:N2959)=0),"",IF(SUM(J2959:N2959)=I2959,"✓","⚠ "&amp;SUM(J2959:N2959)&amp;" statt "&amp;I2959))</f>
        <v/>
      </c>
      <c r="P2959" s="21" t="n"/>
      <c r="Q2959" s="21" t="n"/>
      <c r="R2959" s="21" t="n"/>
      <c r="S2959" s="24" t="n"/>
      <c r="T2959" s="24" t="n"/>
      <c r="V2959">
        <f>IF(A2959="","",MONTH(A2959))</f>
        <v/>
      </c>
      <c r="W2959">
        <f>N(W2958)+IF(AND(C2959&lt;&gt;"",T2959&lt;&gt;""),IF(C2959=WOCHE!$B$3,1,0),0)</f>
        <v/>
      </c>
      <c r="X2959">
        <f>N(X2958)+IF(AND(V2959&lt;&gt;"",T2959&lt;&gt;""),IF(V2959=MONAT!$AZ$3,1,0),0)</f>
        <v/>
      </c>
    </row>
    <row r="2960">
      <c r="A2960" s="19" t="n"/>
      <c r="B2960" s="20">
        <f>IF(A2960="","",CHOOSE(WEEKDAY(A2960,2),"Mo","Di","Mi","Do","Fr","Sa","So"))</f>
        <v/>
      </c>
      <c r="C2960" s="20">
        <f>IF(A2960="","",INT((A2960-DATE(YEAR(A2960-WEEKDAY(A2960-1)+4),1,3)+WEEKDAY(DATE(YEAR(A2960-WEEKDAY(A2960-1)+4),1,3))+5)/7))</f>
        <v/>
      </c>
      <c r="D2960" s="21" t="n"/>
      <c r="E2960" s="22" t="n"/>
      <c r="F2960" s="23" t="n"/>
      <c r="G2960" s="23" t="n"/>
      <c r="H2960" s="23" t="n"/>
      <c r="I2960" s="20">
        <f>IF(COUNT(F2960:H2960)=0,"",SUM(F2960:H2960))</f>
        <v/>
      </c>
      <c r="J2960" s="23" t="n"/>
      <c r="K2960" s="23" t="n"/>
      <c r="L2960" s="23" t="n"/>
      <c r="M2960" s="23" t="n"/>
      <c r="N2960" s="23" t="n"/>
      <c r="O2960" s="20">
        <f>IF(OR(I2960="",COUNT(J2960:N2960)=0),"",IF(SUM(J2960:N2960)=I2960,"✓","⚠ "&amp;SUM(J2960:N2960)&amp;" statt "&amp;I2960))</f>
        <v/>
      </c>
      <c r="P2960" s="21" t="n"/>
      <c r="Q2960" s="21" t="n"/>
      <c r="R2960" s="21" t="n"/>
      <c r="S2960" s="24" t="n"/>
      <c r="T2960" s="24" t="n"/>
      <c r="V2960">
        <f>IF(A2960="","",MONTH(A2960))</f>
        <v/>
      </c>
      <c r="W2960">
        <f>N(W2959)+IF(AND(C2960&lt;&gt;"",T2960&lt;&gt;""),IF(C2960=WOCHE!$B$3,1,0),0)</f>
        <v/>
      </c>
      <c r="X2960">
        <f>N(X2959)+IF(AND(V2960&lt;&gt;"",T2960&lt;&gt;""),IF(V2960=MONAT!$AZ$3,1,0),0)</f>
        <v/>
      </c>
    </row>
    <row r="2961">
      <c r="A2961" s="19" t="n"/>
      <c r="B2961" s="20">
        <f>IF(A2961="","",CHOOSE(WEEKDAY(A2961,2),"Mo","Di","Mi","Do","Fr","Sa","So"))</f>
        <v/>
      </c>
      <c r="C2961" s="20">
        <f>IF(A2961="","",INT((A2961-DATE(YEAR(A2961-WEEKDAY(A2961-1)+4),1,3)+WEEKDAY(DATE(YEAR(A2961-WEEKDAY(A2961-1)+4),1,3))+5)/7))</f>
        <v/>
      </c>
      <c r="D2961" s="21" t="n"/>
      <c r="E2961" s="22" t="n"/>
      <c r="F2961" s="23" t="n"/>
      <c r="G2961" s="23" t="n"/>
      <c r="H2961" s="23" t="n"/>
      <c r="I2961" s="20">
        <f>IF(COUNT(F2961:H2961)=0,"",SUM(F2961:H2961))</f>
        <v/>
      </c>
      <c r="J2961" s="23" t="n"/>
      <c r="K2961" s="23" t="n"/>
      <c r="L2961" s="23" t="n"/>
      <c r="M2961" s="23" t="n"/>
      <c r="N2961" s="23" t="n"/>
      <c r="O2961" s="20">
        <f>IF(OR(I2961="",COUNT(J2961:N2961)=0),"",IF(SUM(J2961:N2961)=I2961,"✓","⚠ "&amp;SUM(J2961:N2961)&amp;" statt "&amp;I2961))</f>
        <v/>
      </c>
      <c r="P2961" s="21" t="n"/>
      <c r="Q2961" s="21" t="n"/>
      <c r="R2961" s="21" t="n"/>
      <c r="S2961" s="24" t="n"/>
      <c r="T2961" s="24" t="n"/>
      <c r="V2961">
        <f>IF(A2961="","",MONTH(A2961))</f>
        <v/>
      </c>
      <c r="W2961">
        <f>N(W2960)+IF(AND(C2961&lt;&gt;"",T2961&lt;&gt;""),IF(C2961=WOCHE!$B$3,1,0),0)</f>
        <v/>
      </c>
      <c r="X2961">
        <f>N(X2960)+IF(AND(V2961&lt;&gt;"",T2961&lt;&gt;""),IF(V2961=MONAT!$AZ$3,1,0),0)</f>
        <v/>
      </c>
    </row>
    <row r="2962">
      <c r="A2962" s="19" t="n"/>
      <c r="B2962" s="20">
        <f>IF(A2962="","",CHOOSE(WEEKDAY(A2962,2),"Mo","Di","Mi","Do","Fr","Sa","So"))</f>
        <v/>
      </c>
      <c r="C2962" s="20">
        <f>IF(A2962="","",INT((A2962-DATE(YEAR(A2962-WEEKDAY(A2962-1)+4),1,3)+WEEKDAY(DATE(YEAR(A2962-WEEKDAY(A2962-1)+4),1,3))+5)/7))</f>
        <v/>
      </c>
      <c r="D2962" s="21" t="n"/>
      <c r="E2962" s="22" t="n"/>
      <c r="F2962" s="23" t="n"/>
      <c r="G2962" s="23" t="n"/>
      <c r="H2962" s="23" t="n"/>
      <c r="I2962" s="20">
        <f>IF(COUNT(F2962:H2962)=0,"",SUM(F2962:H2962))</f>
        <v/>
      </c>
      <c r="J2962" s="23" t="n"/>
      <c r="K2962" s="23" t="n"/>
      <c r="L2962" s="23" t="n"/>
      <c r="M2962" s="23" t="n"/>
      <c r="N2962" s="23" t="n"/>
      <c r="O2962" s="20">
        <f>IF(OR(I2962="",COUNT(J2962:N2962)=0),"",IF(SUM(J2962:N2962)=I2962,"✓","⚠ "&amp;SUM(J2962:N2962)&amp;" statt "&amp;I2962))</f>
        <v/>
      </c>
      <c r="P2962" s="21" t="n"/>
      <c r="Q2962" s="21" t="n"/>
      <c r="R2962" s="21" t="n"/>
      <c r="S2962" s="24" t="n"/>
      <c r="T2962" s="24" t="n"/>
      <c r="V2962">
        <f>IF(A2962="","",MONTH(A2962))</f>
        <v/>
      </c>
      <c r="W2962">
        <f>N(W2961)+IF(AND(C2962&lt;&gt;"",T2962&lt;&gt;""),IF(C2962=WOCHE!$B$3,1,0),0)</f>
        <v/>
      </c>
      <c r="X2962">
        <f>N(X2961)+IF(AND(V2962&lt;&gt;"",T2962&lt;&gt;""),IF(V2962=MONAT!$AZ$3,1,0),0)</f>
        <v/>
      </c>
    </row>
    <row r="2963">
      <c r="A2963" s="19" t="n"/>
      <c r="B2963" s="20">
        <f>IF(A2963="","",CHOOSE(WEEKDAY(A2963,2),"Mo","Di","Mi","Do","Fr","Sa","So"))</f>
        <v/>
      </c>
      <c r="C2963" s="20">
        <f>IF(A2963="","",INT((A2963-DATE(YEAR(A2963-WEEKDAY(A2963-1)+4),1,3)+WEEKDAY(DATE(YEAR(A2963-WEEKDAY(A2963-1)+4),1,3))+5)/7))</f>
        <v/>
      </c>
      <c r="D2963" s="21" t="n"/>
      <c r="E2963" s="22" t="n"/>
      <c r="F2963" s="23" t="n"/>
      <c r="G2963" s="23" t="n"/>
      <c r="H2963" s="23" t="n"/>
      <c r="I2963" s="20">
        <f>IF(COUNT(F2963:H2963)=0,"",SUM(F2963:H2963))</f>
        <v/>
      </c>
      <c r="J2963" s="23" t="n"/>
      <c r="K2963" s="23" t="n"/>
      <c r="L2963" s="23" t="n"/>
      <c r="M2963" s="23" t="n"/>
      <c r="N2963" s="23" t="n"/>
      <c r="O2963" s="20">
        <f>IF(OR(I2963="",COUNT(J2963:N2963)=0),"",IF(SUM(J2963:N2963)=I2963,"✓","⚠ "&amp;SUM(J2963:N2963)&amp;" statt "&amp;I2963))</f>
        <v/>
      </c>
      <c r="P2963" s="21" t="n"/>
      <c r="Q2963" s="21" t="n"/>
      <c r="R2963" s="21" t="n"/>
      <c r="S2963" s="24" t="n"/>
      <c r="T2963" s="24" t="n"/>
      <c r="V2963">
        <f>IF(A2963="","",MONTH(A2963))</f>
        <v/>
      </c>
      <c r="W2963">
        <f>N(W2962)+IF(AND(C2963&lt;&gt;"",T2963&lt;&gt;""),IF(C2963=WOCHE!$B$3,1,0),0)</f>
        <v/>
      </c>
      <c r="X2963">
        <f>N(X2962)+IF(AND(V2963&lt;&gt;"",T2963&lt;&gt;""),IF(V2963=MONAT!$AZ$3,1,0),0)</f>
        <v/>
      </c>
    </row>
    <row r="2964">
      <c r="A2964" s="19" t="n"/>
      <c r="B2964" s="20">
        <f>IF(A2964="","",CHOOSE(WEEKDAY(A2964,2),"Mo","Di","Mi","Do","Fr","Sa","So"))</f>
        <v/>
      </c>
      <c r="C2964" s="20">
        <f>IF(A2964="","",INT((A2964-DATE(YEAR(A2964-WEEKDAY(A2964-1)+4),1,3)+WEEKDAY(DATE(YEAR(A2964-WEEKDAY(A2964-1)+4),1,3))+5)/7))</f>
        <v/>
      </c>
      <c r="D2964" s="21" t="n"/>
      <c r="E2964" s="22" t="n"/>
      <c r="F2964" s="23" t="n"/>
      <c r="G2964" s="23" t="n"/>
      <c r="H2964" s="23" t="n"/>
      <c r="I2964" s="20">
        <f>IF(COUNT(F2964:H2964)=0,"",SUM(F2964:H2964))</f>
        <v/>
      </c>
      <c r="J2964" s="23" t="n"/>
      <c r="K2964" s="23" t="n"/>
      <c r="L2964" s="23" t="n"/>
      <c r="M2964" s="23" t="n"/>
      <c r="N2964" s="23" t="n"/>
      <c r="O2964" s="20">
        <f>IF(OR(I2964="",COUNT(J2964:N2964)=0),"",IF(SUM(J2964:N2964)=I2964,"✓","⚠ "&amp;SUM(J2964:N2964)&amp;" statt "&amp;I2964))</f>
        <v/>
      </c>
      <c r="P2964" s="21" t="n"/>
      <c r="Q2964" s="21" t="n"/>
      <c r="R2964" s="21" t="n"/>
      <c r="S2964" s="24" t="n"/>
      <c r="T2964" s="24" t="n"/>
      <c r="V2964">
        <f>IF(A2964="","",MONTH(A2964))</f>
        <v/>
      </c>
      <c r="W2964">
        <f>N(W2963)+IF(AND(C2964&lt;&gt;"",T2964&lt;&gt;""),IF(C2964=WOCHE!$B$3,1,0),0)</f>
        <v/>
      </c>
      <c r="X2964">
        <f>N(X2963)+IF(AND(V2964&lt;&gt;"",T2964&lt;&gt;""),IF(V2964=MONAT!$AZ$3,1,0),0)</f>
        <v/>
      </c>
    </row>
    <row r="2965">
      <c r="A2965" s="19" t="n"/>
      <c r="B2965" s="20">
        <f>IF(A2965="","",CHOOSE(WEEKDAY(A2965,2),"Mo","Di","Mi","Do","Fr","Sa","So"))</f>
        <v/>
      </c>
      <c r="C2965" s="20">
        <f>IF(A2965="","",INT((A2965-DATE(YEAR(A2965-WEEKDAY(A2965-1)+4),1,3)+WEEKDAY(DATE(YEAR(A2965-WEEKDAY(A2965-1)+4),1,3))+5)/7))</f>
        <v/>
      </c>
      <c r="D2965" s="21" t="n"/>
      <c r="E2965" s="22" t="n"/>
      <c r="F2965" s="23" t="n"/>
      <c r="G2965" s="23" t="n"/>
      <c r="H2965" s="23" t="n"/>
      <c r="I2965" s="20">
        <f>IF(COUNT(F2965:H2965)=0,"",SUM(F2965:H2965))</f>
        <v/>
      </c>
      <c r="J2965" s="23" t="n"/>
      <c r="K2965" s="23" t="n"/>
      <c r="L2965" s="23" t="n"/>
      <c r="M2965" s="23" t="n"/>
      <c r="N2965" s="23" t="n"/>
      <c r="O2965" s="20">
        <f>IF(OR(I2965="",COUNT(J2965:N2965)=0),"",IF(SUM(J2965:N2965)=I2965,"✓","⚠ "&amp;SUM(J2965:N2965)&amp;" statt "&amp;I2965))</f>
        <v/>
      </c>
      <c r="P2965" s="21" t="n"/>
      <c r="Q2965" s="21" t="n"/>
      <c r="R2965" s="21" t="n"/>
      <c r="S2965" s="24" t="n"/>
      <c r="T2965" s="24" t="n"/>
      <c r="V2965">
        <f>IF(A2965="","",MONTH(A2965))</f>
        <v/>
      </c>
      <c r="W2965">
        <f>N(W2964)+IF(AND(C2965&lt;&gt;"",T2965&lt;&gt;""),IF(C2965=WOCHE!$B$3,1,0),0)</f>
        <v/>
      </c>
      <c r="X2965">
        <f>N(X2964)+IF(AND(V2965&lt;&gt;"",T2965&lt;&gt;""),IF(V2965=MONAT!$AZ$3,1,0),0)</f>
        <v/>
      </c>
    </row>
    <row r="2966">
      <c r="A2966" s="19" t="n"/>
      <c r="B2966" s="20">
        <f>IF(A2966="","",CHOOSE(WEEKDAY(A2966,2),"Mo","Di","Mi","Do","Fr","Sa","So"))</f>
        <v/>
      </c>
      <c r="C2966" s="20">
        <f>IF(A2966="","",INT((A2966-DATE(YEAR(A2966-WEEKDAY(A2966-1)+4),1,3)+WEEKDAY(DATE(YEAR(A2966-WEEKDAY(A2966-1)+4),1,3))+5)/7))</f>
        <v/>
      </c>
      <c r="D2966" s="21" t="n"/>
      <c r="E2966" s="22" t="n"/>
      <c r="F2966" s="23" t="n"/>
      <c r="G2966" s="23" t="n"/>
      <c r="H2966" s="23" t="n"/>
      <c r="I2966" s="20">
        <f>IF(COUNT(F2966:H2966)=0,"",SUM(F2966:H2966))</f>
        <v/>
      </c>
      <c r="J2966" s="23" t="n"/>
      <c r="K2966" s="23" t="n"/>
      <c r="L2966" s="23" t="n"/>
      <c r="M2966" s="23" t="n"/>
      <c r="N2966" s="23" t="n"/>
      <c r="O2966" s="20">
        <f>IF(OR(I2966="",COUNT(J2966:N2966)=0),"",IF(SUM(J2966:N2966)=I2966,"✓","⚠ "&amp;SUM(J2966:N2966)&amp;" statt "&amp;I2966))</f>
        <v/>
      </c>
      <c r="P2966" s="21" t="n"/>
      <c r="Q2966" s="21" t="n"/>
      <c r="R2966" s="21" t="n"/>
      <c r="S2966" s="24" t="n"/>
      <c r="T2966" s="24" t="n"/>
      <c r="V2966">
        <f>IF(A2966="","",MONTH(A2966))</f>
        <v/>
      </c>
      <c r="W2966">
        <f>N(W2965)+IF(AND(C2966&lt;&gt;"",T2966&lt;&gt;""),IF(C2966=WOCHE!$B$3,1,0),0)</f>
        <v/>
      </c>
      <c r="X2966">
        <f>N(X2965)+IF(AND(V2966&lt;&gt;"",T2966&lt;&gt;""),IF(V2966=MONAT!$AZ$3,1,0),0)</f>
        <v/>
      </c>
    </row>
    <row r="2967">
      <c r="A2967" s="19" t="n"/>
      <c r="B2967" s="20">
        <f>IF(A2967="","",CHOOSE(WEEKDAY(A2967,2),"Mo","Di","Mi","Do","Fr","Sa","So"))</f>
        <v/>
      </c>
      <c r="C2967" s="20">
        <f>IF(A2967="","",INT((A2967-DATE(YEAR(A2967-WEEKDAY(A2967-1)+4),1,3)+WEEKDAY(DATE(YEAR(A2967-WEEKDAY(A2967-1)+4),1,3))+5)/7))</f>
        <v/>
      </c>
      <c r="D2967" s="21" t="n"/>
      <c r="E2967" s="22" t="n"/>
      <c r="F2967" s="23" t="n"/>
      <c r="G2967" s="23" t="n"/>
      <c r="H2967" s="23" t="n"/>
      <c r="I2967" s="20">
        <f>IF(COUNT(F2967:H2967)=0,"",SUM(F2967:H2967))</f>
        <v/>
      </c>
      <c r="J2967" s="23" t="n"/>
      <c r="K2967" s="23" t="n"/>
      <c r="L2967" s="23" t="n"/>
      <c r="M2967" s="23" t="n"/>
      <c r="N2967" s="23" t="n"/>
      <c r="O2967" s="20">
        <f>IF(OR(I2967="",COUNT(J2967:N2967)=0),"",IF(SUM(J2967:N2967)=I2967,"✓","⚠ "&amp;SUM(J2967:N2967)&amp;" statt "&amp;I2967))</f>
        <v/>
      </c>
      <c r="P2967" s="21" t="n"/>
      <c r="Q2967" s="21" t="n"/>
      <c r="R2967" s="21" t="n"/>
      <c r="S2967" s="24" t="n"/>
      <c r="T2967" s="24" t="n"/>
      <c r="V2967">
        <f>IF(A2967="","",MONTH(A2967))</f>
        <v/>
      </c>
      <c r="W2967">
        <f>N(W2966)+IF(AND(C2967&lt;&gt;"",T2967&lt;&gt;""),IF(C2967=WOCHE!$B$3,1,0),0)</f>
        <v/>
      </c>
      <c r="X2967">
        <f>N(X2966)+IF(AND(V2967&lt;&gt;"",T2967&lt;&gt;""),IF(V2967=MONAT!$AZ$3,1,0),0)</f>
        <v/>
      </c>
    </row>
    <row r="2968">
      <c r="A2968" s="19" t="n"/>
      <c r="B2968" s="20">
        <f>IF(A2968="","",CHOOSE(WEEKDAY(A2968,2),"Mo","Di","Mi","Do","Fr","Sa","So"))</f>
        <v/>
      </c>
      <c r="C2968" s="20">
        <f>IF(A2968="","",INT((A2968-DATE(YEAR(A2968-WEEKDAY(A2968-1)+4),1,3)+WEEKDAY(DATE(YEAR(A2968-WEEKDAY(A2968-1)+4),1,3))+5)/7))</f>
        <v/>
      </c>
      <c r="D2968" s="21" t="n"/>
      <c r="E2968" s="22" t="n"/>
      <c r="F2968" s="23" t="n"/>
      <c r="G2968" s="23" t="n"/>
      <c r="H2968" s="23" t="n"/>
      <c r="I2968" s="20">
        <f>IF(COUNT(F2968:H2968)=0,"",SUM(F2968:H2968))</f>
        <v/>
      </c>
      <c r="J2968" s="23" t="n"/>
      <c r="K2968" s="23" t="n"/>
      <c r="L2968" s="23" t="n"/>
      <c r="M2968" s="23" t="n"/>
      <c r="N2968" s="23" t="n"/>
      <c r="O2968" s="20">
        <f>IF(OR(I2968="",COUNT(J2968:N2968)=0),"",IF(SUM(J2968:N2968)=I2968,"✓","⚠ "&amp;SUM(J2968:N2968)&amp;" statt "&amp;I2968))</f>
        <v/>
      </c>
      <c r="P2968" s="21" t="n"/>
      <c r="Q2968" s="21" t="n"/>
      <c r="R2968" s="21" t="n"/>
      <c r="S2968" s="24" t="n"/>
      <c r="T2968" s="24" t="n"/>
      <c r="V2968">
        <f>IF(A2968="","",MONTH(A2968))</f>
        <v/>
      </c>
      <c r="W2968">
        <f>N(W2967)+IF(AND(C2968&lt;&gt;"",T2968&lt;&gt;""),IF(C2968=WOCHE!$B$3,1,0),0)</f>
        <v/>
      </c>
      <c r="X2968">
        <f>N(X2967)+IF(AND(V2968&lt;&gt;"",T2968&lt;&gt;""),IF(V2968=MONAT!$AZ$3,1,0),0)</f>
        <v/>
      </c>
    </row>
    <row r="2969">
      <c r="A2969" s="19" t="n"/>
      <c r="B2969" s="20">
        <f>IF(A2969="","",CHOOSE(WEEKDAY(A2969,2),"Mo","Di","Mi","Do","Fr","Sa","So"))</f>
        <v/>
      </c>
      <c r="C2969" s="20">
        <f>IF(A2969="","",INT((A2969-DATE(YEAR(A2969-WEEKDAY(A2969-1)+4),1,3)+WEEKDAY(DATE(YEAR(A2969-WEEKDAY(A2969-1)+4),1,3))+5)/7))</f>
        <v/>
      </c>
      <c r="D2969" s="21" t="n"/>
      <c r="E2969" s="22" t="n"/>
      <c r="F2969" s="23" t="n"/>
      <c r="G2969" s="23" t="n"/>
      <c r="H2969" s="23" t="n"/>
      <c r="I2969" s="20">
        <f>IF(COUNT(F2969:H2969)=0,"",SUM(F2969:H2969))</f>
        <v/>
      </c>
      <c r="J2969" s="23" t="n"/>
      <c r="K2969" s="23" t="n"/>
      <c r="L2969" s="23" t="n"/>
      <c r="M2969" s="23" t="n"/>
      <c r="N2969" s="23" t="n"/>
      <c r="O2969" s="20">
        <f>IF(OR(I2969="",COUNT(J2969:N2969)=0),"",IF(SUM(J2969:N2969)=I2969,"✓","⚠ "&amp;SUM(J2969:N2969)&amp;" statt "&amp;I2969))</f>
        <v/>
      </c>
      <c r="P2969" s="21" t="n"/>
      <c r="Q2969" s="21" t="n"/>
      <c r="R2969" s="21" t="n"/>
      <c r="S2969" s="24" t="n"/>
      <c r="T2969" s="24" t="n"/>
      <c r="V2969">
        <f>IF(A2969="","",MONTH(A2969))</f>
        <v/>
      </c>
      <c r="W2969">
        <f>N(W2968)+IF(AND(C2969&lt;&gt;"",T2969&lt;&gt;""),IF(C2969=WOCHE!$B$3,1,0),0)</f>
        <v/>
      </c>
      <c r="X2969">
        <f>N(X2968)+IF(AND(V2969&lt;&gt;"",T2969&lt;&gt;""),IF(V2969=MONAT!$AZ$3,1,0),0)</f>
        <v/>
      </c>
    </row>
    <row r="2970">
      <c r="A2970" s="19" t="n"/>
      <c r="B2970" s="20">
        <f>IF(A2970="","",CHOOSE(WEEKDAY(A2970,2),"Mo","Di","Mi","Do","Fr","Sa","So"))</f>
        <v/>
      </c>
      <c r="C2970" s="20">
        <f>IF(A2970="","",INT((A2970-DATE(YEAR(A2970-WEEKDAY(A2970-1)+4),1,3)+WEEKDAY(DATE(YEAR(A2970-WEEKDAY(A2970-1)+4),1,3))+5)/7))</f>
        <v/>
      </c>
      <c r="D2970" s="21" t="n"/>
      <c r="E2970" s="22" t="n"/>
      <c r="F2970" s="23" t="n"/>
      <c r="G2970" s="23" t="n"/>
      <c r="H2970" s="23" t="n"/>
      <c r="I2970" s="20">
        <f>IF(COUNT(F2970:H2970)=0,"",SUM(F2970:H2970))</f>
        <v/>
      </c>
      <c r="J2970" s="23" t="n"/>
      <c r="K2970" s="23" t="n"/>
      <c r="L2970" s="23" t="n"/>
      <c r="M2970" s="23" t="n"/>
      <c r="N2970" s="23" t="n"/>
      <c r="O2970" s="20">
        <f>IF(OR(I2970="",COUNT(J2970:N2970)=0),"",IF(SUM(J2970:N2970)=I2970,"✓","⚠ "&amp;SUM(J2970:N2970)&amp;" statt "&amp;I2970))</f>
        <v/>
      </c>
      <c r="P2970" s="21" t="n"/>
      <c r="Q2970" s="21" t="n"/>
      <c r="R2970" s="21" t="n"/>
      <c r="S2970" s="24" t="n"/>
      <c r="T2970" s="24" t="n"/>
      <c r="V2970">
        <f>IF(A2970="","",MONTH(A2970))</f>
        <v/>
      </c>
      <c r="W2970">
        <f>N(W2969)+IF(AND(C2970&lt;&gt;"",T2970&lt;&gt;""),IF(C2970=WOCHE!$B$3,1,0),0)</f>
        <v/>
      </c>
      <c r="X2970">
        <f>N(X2969)+IF(AND(V2970&lt;&gt;"",T2970&lt;&gt;""),IF(V2970=MONAT!$AZ$3,1,0),0)</f>
        <v/>
      </c>
    </row>
    <row r="2971">
      <c r="A2971" s="19" t="n"/>
      <c r="B2971" s="20">
        <f>IF(A2971="","",CHOOSE(WEEKDAY(A2971,2),"Mo","Di","Mi","Do","Fr","Sa","So"))</f>
        <v/>
      </c>
      <c r="C2971" s="20">
        <f>IF(A2971="","",INT((A2971-DATE(YEAR(A2971-WEEKDAY(A2971-1)+4),1,3)+WEEKDAY(DATE(YEAR(A2971-WEEKDAY(A2971-1)+4),1,3))+5)/7))</f>
        <v/>
      </c>
      <c r="D2971" s="21" t="n"/>
      <c r="E2971" s="22" t="n"/>
      <c r="F2971" s="23" t="n"/>
      <c r="G2971" s="23" t="n"/>
      <c r="H2971" s="23" t="n"/>
      <c r="I2971" s="20">
        <f>IF(COUNT(F2971:H2971)=0,"",SUM(F2971:H2971))</f>
        <v/>
      </c>
      <c r="J2971" s="23" t="n"/>
      <c r="K2971" s="23" t="n"/>
      <c r="L2971" s="23" t="n"/>
      <c r="M2971" s="23" t="n"/>
      <c r="N2971" s="23" t="n"/>
      <c r="O2971" s="20">
        <f>IF(OR(I2971="",COUNT(J2971:N2971)=0),"",IF(SUM(J2971:N2971)=I2971,"✓","⚠ "&amp;SUM(J2971:N2971)&amp;" statt "&amp;I2971))</f>
        <v/>
      </c>
      <c r="P2971" s="21" t="n"/>
      <c r="Q2971" s="21" t="n"/>
      <c r="R2971" s="21" t="n"/>
      <c r="S2971" s="24" t="n"/>
      <c r="T2971" s="24" t="n"/>
      <c r="V2971">
        <f>IF(A2971="","",MONTH(A2971))</f>
        <v/>
      </c>
      <c r="W2971">
        <f>N(W2970)+IF(AND(C2971&lt;&gt;"",T2971&lt;&gt;""),IF(C2971=WOCHE!$B$3,1,0),0)</f>
        <v/>
      </c>
      <c r="X2971">
        <f>N(X2970)+IF(AND(V2971&lt;&gt;"",T2971&lt;&gt;""),IF(V2971=MONAT!$AZ$3,1,0),0)</f>
        <v/>
      </c>
    </row>
    <row r="2972">
      <c r="A2972" s="19" t="n"/>
      <c r="B2972" s="20">
        <f>IF(A2972="","",CHOOSE(WEEKDAY(A2972,2),"Mo","Di","Mi","Do","Fr","Sa","So"))</f>
        <v/>
      </c>
      <c r="C2972" s="20">
        <f>IF(A2972="","",INT((A2972-DATE(YEAR(A2972-WEEKDAY(A2972-1)+4),1,3)+WEEKDAY(DATE(YEAR(A2972-WEEKDAY(A2972-1)+4),1,3))+5)/7))</f>
        <v/>
      </c>
      <c r="D2972" s="21" t="n"/>
      <c r="E2972" s="22" t="n"/>
      <c r="F2972" s="23" t="n"/>
      <c r="G2972" s="23" t="n"/>
      <c r="H2972" s="23" t="n"/>
      <c r="I2972" s="20">
        <f>IF(COUNT(F2972:H2972)=0,"",SUM(F2972:H2972))</f>
        <v/>
      </c>
      <c r="J2972" s="23" t="n"/>
      <c r="K2972" s="23" t="n"/>
      <c r="L2972" s="23" t="n"/>
      <c r="M2972" s="23" t="n"/>
      <c r="N2972" s="23" t="n"/>
      <c r="O2972" s="20">
        <f>IF(OR(I2972="",COUNT(J2972:N2972)=0),"",IF(SUM(J2972:N2972)=I2972,"✓","⚠ "&amp;SUM(J2972:N2972)&amp;" statt "&amp;I2972))</f>
        <v/>
      </c>
      <c r="P2972" s="21" t="n"/>
      <c r="Q2972" s="21" t="n"/>
      <c r="R2972" s="21" t="n"/>
      <c r="S2972" s="24" t="n"/>
      <c r="T2972" s="24" t="n"/>
      <c r="V2972">
        <f>IF(A2972="","",MONTH(A2972))</f>
        <v/>
      </c>
      <c r="W2972">
        <f>N(W2971)+IF(AND(C2972&lt;&gt;"",T2972&lt;&gt;""),IF(C2972=WOCHE!$B$3,1,0),0)</f>
        <v/>
      </c>
      <c r="X2972">
        <f>N(X2971)+IF(AND(V2972&lt;&gt;"",T2972&lt;&gt;""),IF(V2972=MONAT!$AZ$3,1,0),0)</f>
        <v/>
      </c>
    </row>
    <row r="2973">
      <c r="A2973" s="19" t="n"/>
      <c r="B2973" s="20">
        <f>IF(A2973="","",CHOOSE(WEEKDAY(A2973,2),"Mo","Di","Mi","Do","Fr","Sa","So"))</f>
        <v/>
      </c>
      <c r="C2973" s="20">
        <f>IF(A2973="","",INT((A2973-DATE(YEAR(A2973-WEEKDAY(A2973-1)+4),1,3)+WEEKDAY(DATE(YEAR(A2973-WEEKDAY(A2973-1)+4),1,3))+5)/7))</f>
        <v/>
      </c>
      <c r="D2973" s="21" t="n"/>
      <c r="E2973" s="22" t="n"/>
      <c r="F2973" s="23" t="n"/>
      <c r="G2973" s="23" t="n"/>
      <c r="H2973" s="23" t="n"/>
      <c r="I2973" s="20">
        <f>IF(COUNT(F2973:H2973)=0,"",SUM(F2973:H2973))</f>
        <v/>
      </c>
      <c r="J2973" s="23" t="n"/>
      <c r="K2973" s="23" t="n"/>
      <c r="L2973" s="23" t="n"/>
      <c r="M2973" s="23" t="n"/>
      <c r="N2973" s="23" t="n"/>
      <c r="O2973" s="20">
        <f>IF(OR(I2973="",COUNT(J2973:N2973)=0),"",IF(SUM(J2973:N2973)=I2973,"✓","⚠ "&amp;SUM(J2973:N2973)&amp;" statt "&amp;I2973))</f>
        <v/>
      </c>
      <c r="P2973" s="21" t="n"/>
      <c r="Q2973" s="21" t="n"/>
      <c r="R2973" s="21" t="n"/>
      <c r="S2973" s="24" t="n"/>
      <c r="T2973" s="24" t="n"/>
      <c r="V2973">
        <f>IF(A2973="","",MONTH(A2973))</f>
        <v/>
      </c>
      <c r="W2973">
        <f>N(W2972)+IF(AND(C2973&lt;&gt;"",T2973&lt;&gt;""),IF(C2973=WOCHE!$B$3,1,0),0)</f>
        <v/>
      </c>
      <c r="X2973">
        <f>N(X2972)+IF(AND(V2973&lt;&gt;"",T2973&lt;&gt;""),IF(V2973=MONAT!$AZ$3,1,0),0)</f>
        <v/>
      </c>
    </row>
    <row r="2974">
      <c r="A2974" s="19" t="n"/>
      <c r="B2974" s="20">
        <f>IF(A2974="","",CHOOSE(WEEKDAY(A2974,2),"Mo","Di","Mi","Do","Fr","Sa","So"))</f>
        <v/>
      </c>
      <c r="C2974" s="20">
        <f>IF(A2974="","",INT((A2974-DATE(YEAR(A2974-WEEKDAY(A2974-1)+4),1,3)+WEEKDAY(DATE(YEAR(A2974-WEEKDAY(A2974-1)+4),1,3))+5)/7))</f>
        <v/>
      </c>
      <c r="D2974" s="21" t="n"/>
      <c r="E2974" s="22" t="n"/>
      <c r="F2974" s="23" t="n"/>
      <c r="G2974" s="23" t="n"/>
      <c r="H2974" s="23" t="n"/>
      <c r="I2974" s="20">
        <f>IF(COUNT(F2974:H2974)=0,"",SUM(F2974:H2974))</f>
        <v/>
      </c>
      <c r="J2974" s="23" t="n"/>
      <c r="K2974" s="23" t="n"/>
      <c r="L2974" s="23" t="n"/>
      <c r="M2974" s="23" t="n"/>
      <c r="N2974" s="23" t="n"/>
      <c r="O2974" s="20">
        <f>IF(OR(I2974="",COUNT(J2974:N2974)=0),"",IF(SUM(J2974:N2974)=I2974,"✓","⚠ "&amp;SUM(J2974:N2974)&amp;" statt "&amp;I2974))</f>
        <v/>
      </c>
      <c r="P2974" s="21" t="n"/>
      <c r="Q2974" s="21" t="n"/>
      <c r="R2974" s="21" t="n"/>
      <c r="S2974" s="24" t="n"/>
      <c r="T2974" s="24" t="n"/>
      <c r="V2974">
        <f>IF(A2974="","",MONTH(A2974))</f>
        <v/>
      </c>
      <c r="W2974">
        <f>N(W2973)+IF(AND(C2974&lt;&gt;"",T2974&lt;&gt;""),IF(C2974=WOCHE!$B$3,1,0),0)</f>
        <v/>
      </c>
      <c r="X2974">
        <f>N(X2973)+IF(AND(V2974&lt;&gt;"",T2974&lt;&gt;""),IF(V2974=MONAT!$AZ$3,1,0),0)</f>
        <v/>
      </c>
    </row>
    <row r="2975">
      <c r="A2975" s="19" t="n"/>
      <c r="B2975" s="20">
        <f>IF(A2975="","",CHOOSE(WEEKDAY(A2975,2),"Mo","Di","Mi","Do","Fr","Sa","So"))</f>
        <v/>
      </c>
      <c r="C2975" s="20">
        <f>IF(A2975="","",INT((A2975-DATE(YEAR(A2975-WEEKDAY(A2975-1)+4),1,3)+WEEKDAY(DATE(YEAR(A2975-WEEKDAY(A2975-1)+4),1,3))+5)/7))</f>
        <v/>
      </c>
      <c r="D2975" s="21" t="n"/>
      <c r="E2975" s="22" t="n"/>
      <c r="F2975" s="23" t="n"/>
      <c r="G2975" s="23" t="n"/>
      <c r="H2975" s="23" t="n"/>
      <c r="I2975" s="20">
        <f>IF(COUNT(F2975:H2975)=0,"",SUM(F2975:H2975))</f>
        <v/>
      </c>
      <c r="J2975" s="23" t="n"/>
      <c r="K2975" s="23" t="n"/>
      <c r="L2975" s="23" t="n"/>
      <c r="M2975" s="23" t="n"/>
      <c r="N2975" s="23" t="n"/>
      <c r="O2975" s="20">
        <f>IF(OR(I2975="",COUNT(J2975:N2975)=0),"",IF(SUM(J2975:N2975)=I2975,"✓","⚠ "&amp;SUM(J2975:N2975)&amp;" statt "&amp;I2975))</f>
        <v/>
      </c>
      <c r="P2975" s="21" t="n"/>
      <c r="Q2975" s="21" t="n"/>
      <c r="R2975" s="21" t="n"/>
      <c r="S2975" s="24" t="n"/>
      <c r="T2975" s="24" t="n"/>
      <c r="V2975">
        <f>IF(A2975="","",MONTH(A2975))</f>
        <v/>
      </c>
      <c r="W2975">
        <f>N(W2974)+IF(AND(C2975&lt;&gt;"",T2975&lt;&gt;""),IF(C2975=WOCHE!$B$3,1,0),0)</f>
        <v/>
      </c>
      <c r="X2975">
        <f>N(X2974)+IF(AND(V2975&lt;&gt;"",T2975&lt;&gt;""),IF(V2975=MONAT!$AZ$3,1,0),0)</f>
        <v/>
      </c>
    </row>
    <row r="2976">
      <c r="A2976" s="19" t="n"/>
      <c r="B2976" s="20">
        <f>IF(A2976="","",CHOOSE(WEEKDAY(A2976,2),"Mo","Di","Mi","Do","Fr","Sa","So"))</f>
        <v/>
      </c>
      <c r="C2976" s="20">
        <f>IF(A2976="","",INT((A2976-DATE(YEAR(A2976-WEEKDAY(A2976-1)+4),1,3)+WEEKDAY(DATE(YEAR(A2976-WEEKDAY(A2976-1)+4),1,3))+5)/7))</f>
        <v/>
      </c>
      <c r="D2976" s="21" t="n"/>
      <c r="E2976" s="22" t="n"/>
      <c r="F2976" s="23" t="n"/>
      <c r="G2976" s="23" t="n"/>
      <c r="H2976" s="23" t="n"/>
      <c r="I2976" s="20">
        <f>IF(COUNT(F2976:H2976)=0,"",SUM(F2976:H2976))</f>
        <v/>
      </c>
      <c r="J2976" s="23" t="n"/>
      <c r="K2976" s="23" t="n"/>
      <c r="L2976" s="23" t="n"/>
      <c r="M2976" s="23" t="n"/>
      <c r="N2976" s="23" t="n"/>
      <c r="O2976" s="20">
        <f>IF(OR(I2976="",COUNT(J2976:N2976)=0),"",IF(SUM(J2976:N2976)=I2976,"✓","⚠ "&amp;SUM(J2976:N2976)&amp;" statt "&amp;I2976))</f>
        <v/>
      </c>
      <c r="P2976" s="21" t="n"/>
      <c r="Q2976" s="21" t="n"/>
      <c r="R2976" s="21" t="n"/>
      <c r="S2976" s="24" t="n"/>
      <c r="T2976" s="24" t="n"/>
      <c r="V2976">
        <f>IF(A2976="","",MONTH(A2976))</f>
        <v/>
      </c>
      <c r="W2976">
        <f>N(W2975)+IF(AND(C2976&lt;&gt;"",T2976&lt;&gt;""),IF(C2976=WOCHE!$B$3,1,0),0)</f>
        <v/>
      </c>
      <c r="X2976">
        <f>N(X2975)+IF(AND(V2976&lt;&gt;"",T2976&lt;&gt;""),IF(V2976=MONAT!$AZ$3,1,0),0)</f>
        <v/>
      </c>
    </row>
    <row r="2977">
      <c r="A2977" s="19" t="n"/>
      <c r="B2977" s="20">
        <f>IF(A2977="","",CHOOSE(WEEKDAY(A2977,2),"Mo","Di","Mi","Do","Fr","Sa","So"))</f>
        <v/>
      </c>
      <c r="C2977" s="20">
        <f>IF(A2977="","",INT((A2977-DATE(YEAR(A2977-WEEKDAY(A2977-1)+4),1,3)+WEEKDAY(DATE(YEAR(A2977-WEEKDAY(A2977-1)+4),1,3))+5)/7))</f>
        <v/>
      </c>
      <c r="D2977" s="21" t="n"/>
      <c r="E2977" s="22" t="n"/>
      <c r="F2977" s="23" t="n"/>
      <c r="G2977" s="23" t="n"/>
      <c r="H2977" s="23" t="n"/>
      <c r="I2977" s="20">
        <f>IF(COUNT(F2977:H2977)=0,"",SUM(F2977:H2977))</f>
        <v/>
      </c>
      <c r="J2977" s="23" t="n"/>
      <c r="K2977" s="23" t="n"/>
      <c r="L2977" s="23" t="n"/>
      <c r="M2977" s="23" t="n"/>
      <c r="N2977" s="23" t="n"/>
      <c r="O2977" s="20">
        <f>IF(OR(I2977="",COUNT(J2977:N2977)=0),"",IF(SUM(J2977:N2977)=I2977,"✓","⚠ "&amp;SUM(J2977:N2977)&amp;" statt "&amp;I2977))</f>
        <v/>
      </c>
      <c r="P2977" s="21" t="n"/>
      <c r="Q2977" s="21" t="n"/>
      <c r="R2977" s="21" t="n"/>
      <c r="S2977" s="24" t="n"/>
      <c r="T2977" s="24" t="n"/>
      <c r="V2977">
        <f>IF(A2977="","",MONTH(A2977))</f>
        <v/>
      </c>
      <c r="W2977">
        <f>N(W2976)+IF(AND(C2977&lt;&gt;"",T2977&lt;&gt;""),IF(C2977=WOCHE!$B$3,1,0),0)</f>
        <v/>
      </c>
      <c r="X2977">
        <f>N(X2976)+IF(AND(V2977&lt;&gt;"",T2977&lt;&gt;""),IF(V2977=MONAT!$AZ$3,1,0),0)</f>
        <v/>
      </c>
    </row>
    <row r="2978">
      <c r="A2978" s="19" t="n"/>
      <c r="B2978" s="20">
        <f>IF(A2978="","",CHOOSE(WEEKDAY(A2978,2),"Mo","Di","Mi","Do","Fr","Sa","So"))</f>
        <v/>
      </c>
      <c r="C2978" s="20">
        <f>IF(A2978="","",INT((A2978-DATE(YEAR(A2978-WEEKDAY(A2978-1)+4),1,3)+WEEKDAY(DATE(YEAR(A2978-WEEKDAY(A2978-1)+4),1,3))+5)/7))</f>
        <v/>
      </c>
      <c r="D2978" s="21" t="n"/>
      <c r="E2978" s="22" t="n"/>
      <c r="F2978" s="23" t="n"/>
      <c r="G2978" s="23" t="n"/>
      <c r="H2978" s="23" t="n"/>
      <c r="I2978" s="20">
        <f>IF(COUNT(F2978:H2978)=0,"",SUM(F2978:H2978))</f>
        <v/>
      </c>
      <c r="J2978" s="23" t="n"/>
      <c r="K2978" s="23" t="n"/>
      <c r="L2978" s="23" t="n"/>
      <c r="M2978" s="23" t="n"/>
      <c r="N2978" s="23" t="n"/>
      <c r="O2978" s="20">
        <f>IF(OR(I2978="",COUNT(J2978:N2978)=0),"",IF(SUM(J2978:N2978)=I2978,"✓","⚠ "&amp;SUM(J2978:N2978)&amp;" statt "&amp;I2978))</f>
        <v/>
      </c>
      <c r="P2978" s="21" t="n"/>
      <c r="Q2978" s="21" t="n"/>
      <c r="R2978" s="21" t="n"/>
      <c r="S2978" s="24" t="n"/>
      <c r="T2978" s="24" t="n"/>
      <c r="V2978">
        <f>IF(A2978="","",MONTH(A2978))</f>
        <v/>
      </c>
      <c r="W2978">
        <f>N(W2977)+IF(AND(C2978&lt;&gt;"",T2978&lt;&gt;""),IF(C2978=WOCHE!$B$3,1,0),0)</f>
        <v/>
      </c>
      <c r="X2978">
        <f>N(X2977)+IF(AND(V2978&lt;&gt;"",T2978&lt;&gt;""),IF(V2978=MONAT!$AZ$3,1,0),0)</f>
        <v/>
      </c>
    </row>
    <row r="2979">
      <c r="A2979" s="19" t="n"/>
      <c r="B2979" s="20">
        <f>IF(A2979="","",CHOOSE(WEEKDAY(A2979,2),"Mo","Di","Mi","Do","Fr","Sa","So"))</f>
        <v/>
      </c>
      <c r="C2979" s="20">
        <f>IF(A2979="","",INT((A2979-DATE(YEAR(A2979-WEEKDAY(A2979-1)+4),1,3)+WEEKDAY(DATE(YEAR(A2979-WEEKDAY(A2979-1)+4),1,3))+5)/7))</f>
        <v/>
      </c>
      <c r="D2979" s="21" t="n"/>
      <c r="E2979" s="22" t="n"/>
      <c r="F2979" s="23" t="n"/>
      <c r="G2979" s="23" t="n"/>
      <c r="H2979" s="23" t="n"/>
      <c r="I2979" s="20">
        <f>IF(COUNT(F2979:H2979)=0,"",SUM(F2979:H2979))</f>
        <v/>
      </c>
      <c r="J2979" s="23" t="n"/>
      <c r="K2979" s="23" t="n"/>
      <c r="L2979" s="23" t="n"/>
      <c r="M2979" s="23" t="n"/>
      <c r="N2979" s="23" t="n"/>
      <c r="O2979" s="20">
        <f>IF(OR(I2979="",COUNT(J2979:N2979)=0),"",IF(SUM(J2979:N2979)=I2979,"✓","⚠ "&amp;SUM(J2979:N2979)&amp;" statt "&amp;I2979))</f>
        <v/>
      </c>
      <c r="P2979" s="21" t="n"/>
      <c r="Q2979" s="21" t="n"/>
      <c r="R2979" s="21" t="n"/>
      <c r="S2979" s="24" t="n"/>
      <c r="T2979" s="24" t="n"/>
      <c r="V2979">
        <f>IF(A2979="","",MONTH(A2979))</f>
        <v/>
      </c>
      <c r="W2979">
        <f>N(W2978)+IF(AND(C2979&lt;&gt;"",T2979&lt;&gt;""),IF(C2979=WOCHE!$B$3,1,0),0)</f>
        <v/>
      </c>
      <c r="X2979">
        <f>N(X2978)+IF(AND(V2979&lt;&gt;"",T2979&lt;&gt;""),IF(V2979=MONAT!$AZ$3,1,0),0)</f>
        <v/>
      </c>
    </row>
    <row r="2980">
      <c r="A2980" s="19" t="n"/>
      <c r="B2980" s="20">
        <f>IF(A2980="","",CHOOSE(WEEKDAY(A2980,2),"Mo","Di","Mi","Do","Fr","Sa","So"))</f>
        <v/>
      </c>
      <c r="C2980" s="20">
        <f>IF(A2980="","",INT((A2980-DATE(YEAR(A2980-WEEKDAY(A2980-1)+4),1,3)+WEEKDAY(DATE(YEAR(A2980-WEEKDAY(A2980-1)+4),1,3))+5)/7))</f>
        <v/>
      </c>
      <c r="D2980" s="21" t="n"/>
      <c r="E2980" s="22" t="n"/>
      <c r="F2980" s="23" t="n"/>
      <c r="G2980" s="23" t="n"/>
      <c r="H2980" s="23" t="n"/>
      <c r="I2980" s="20">
        <f>IF(COUNT(F2980:H2980)=0,"",SUM(F2980:H2980))</f>
        <v/>
      </c>
      <c r="J2980" s="23" t="n"/>
      <c r="K2980" s="23" t="n"/>
      <c r="L2980" s="23" t="n"/>
      <c r="M2980" s="23" t="n"/>
      <c r="N2980" s="23" t="n"/>
      <c r="O2980" s="20">
        <f>IF(OR(I2980="",COUNT(J2980:N2980)=0),"",IF(SUM(J2980:N2980)=I2980,"✓","⚠ "&amp;SUM(J2980:N2980)&amp;" statt "&amp;I2980))</f>
        <v/>
      </c>
      <c r="P2980" s="21" t="n"/>
      <c r="Q2980" s="21" t="n"/>
      <c r="R2980" s="21" t="n"/>
      <c r="S2980" s="24" t="n"/>
      <c r="T2980" s="24" t="n"/>
      <c r="V2980">
        <f>IF(A2980="","",MONTH(A2980))</f>
        <v/>
      </c>
      <c r="W2980">
        <f>N(W2979)+IF(AND(C2980&lt;&gt;"",T2980&lt;&gt;""),IF(C2980=WOCHE!$B$3,1,0),0)</f>
        <v/>
      </c>
      <c r="X2980">
        <f>N(X2979)+IF(AND(V2980&lt;&gt;"",T2980&lt;&gt;""),IF(V2980=MONAT!$AZ$3,1,0),0)</f>
        <v/>
      </c>
    </row>
    <row r="2981">
      <c r="A2981" s="19" t="n"/>
      <c r="B2981" s="20">
        <f>IF(A2981="","",CHOOSE(WEEKDAY(A2981,2),"Mo","Di","Mi","Do","Fr","Sa","So"))</f>
        <v/>
      </c>
      <c r="C2981" s="20">
        <f>IF(A2981="","",INT((A2981-DATE(YEAR(A2981-WEEKDAY(A2981-1)+4),1,3)+WEEKDAY(DATE(YEAR(A2981-WEEKDAY(A2981-1)+4),1,3))+5)/7))</f>
        <v/>
      </c>
      <c r="D2981" s="21" t="n"/>
      <c r="E2981" s="22" t="n"/>
      <c r="F2981" s="23" t="n"/>
      <c r="G2981" s="23" t="n"/>
      <c r="H2981" s="23" t="n"/>
      <c r="I2981" s="20">
        <f>IF(COUNT(F2981:H2981)=0,"",SUM(F2981:H2981))</f>
        <v/>
      </c>
      <c r="J2981" s="23" t="n"/>
      <c r="K2981" s="23" t="n"/>
      <c r="L2981" s="23" t="n"/>
      <c r="M2981" s="23" t="n"/>
      <c r="N2981" s="23" t="n"/>
      <c r="O2981" s="20">
        <f>IF(OR(I2981="",COUNT(J2981:N2981)=0),"",IF(SUM(J2981:N2981)=I2981,"✓","⚠ "&amp;SUM(J2981:N2981)&amp;" statt "&amp;I2981))</f>
        <v/>
      </c>
      <c r="P2981" s="21" t="n"/>
      <c r="Q2981" s="21" t="n"/>
      <c r="R2981" s="21" t="n"/>
      <c r="S2981" s="24" t="n"/>
      <c r="T2981" s="24" t="n"/>
      <c r="V2981">
        <f>IF(A2981="","",MONTH(A2981))</f>
        <v/>
      </c>
      <c r="W2981">
        <f>N(W2980)+IF(AND(C2981&lt;&gt;"",T2981&lt;&gt;""),IF(C2981=WOCHE!$B$3,1,0),0)</f>
        <v/>
      </c>
      <c r="X2981">
        <f>N(X2980)+IF(AND(V2981&lt;&gt;"",T2981&lt;&gt;""),IF(V2981=MONAT!$AZ$3,1,0),0)</f>
        <v/>
      </c>
    </row>
    <row r="2982">
      <c r="A2982" s="19" t="n"/>
      <c r="B2982" s="20">
        <f>IF(A2982="","",CHOOSE(WEEKDAY(A2982,2),"Mo","Di","Mi","Do","Fr","Sa","So"))</f>
        <v/>
      </c>
      <c r="C2982" s="20">
        <f>IF(A2982="","",INT((A2982-DATE(YEAR(A2982-WEEKDAY(A2982-1)+4),1,3)+WEEKDAY(DATE(YEAR(A2982-WEEKDAY(A2982-1)+4),1,3))+5)/7))</f>
        <v/>
      </c>
      <c r="D2982" s="21" t="n"/>
      <c r="E2982" s="22" t="n"/>
      <c r="F2982" s="23" t="n"/>
      <c r="G2982" s="23" t="n"/>
      <c r="H2982" s="23" t="n"/>
      <c r="I2982" s="20">
        <f>IF(COUNT(F2982:H2982)=0,"",SUM(F2982:H2982))</f>
        <v/>
      </c>
      <c r="J2982" s="23" t="n"/>
      <c r="K2982" s="23" t="n"/>
      <c r="L2982" s="23" t="n"/>
      <c r="M2982" s="23" t="n"/>
      <c r="N2982" s="23" t="n"/>
      <c r="O2982" s="20">
        <f>IF(OR(I2982="",COUNT(J2982:N2982)=0),"",IF(SUM(J2982:N2982)=I2982,"✓","⚠ "&amp;SUM(J2982:N2982)&amp;" statt "&amp;I2982))</f>
        <v/>
      </c>
      <c r="P2982" s="21" t="n"/>
      <c r="Q2982" s="21" t="n"/>
      <c r="R2982" s="21" t="n"/>
      <c r="S2982" s="24" t="n"/>
      <c r="T2982" s="24" t="n"/>
      <c r="V2982">
        <f>IF(A2982="","",MONTH(A2982))</f>
        <v/>
      </c>
      <c r="W2982">
        <f>N(W2981)+IF(AND(C2982&lt;&gt;"",T2982&lt;&gt;""),IF(C2982=WOCHE!$B$3,1,0),0)</f>
        <v/>
      </c>
      <c r="X2982">
        <f>N(X2981)+IF(AND(V2982&lt;&gt;"",T2982&lt;&gt;""),IF(V2982=MONAT!$AZ$3,1,0),0)</f>
        <v/>
      </c>
    </row>
    <row r="2983">
      <c r="A2983" s="19" t="n"/>
      <c r="B2983" s="20">
        <f>IF(A2983="","",CHOOSE(WEEKDAY(A2983,2),"Mo","Di","Mi","Do","Fr","Sa","So"))</f>
        <v/>
      </c>
      <c r="C2983" s="20">
        <f>IF(A2983="","",INT((A2983-DATE(YEAR(A2983-WEEKDAY(A2983-1)+4),1,3)+WEEKDAY(DATE(YEAR(A2983-WEEKDAY(A2983-1)+4),1,3))+5)/7))</f>
        <v/>
      </c>
      <c r="D2983" s="21" t="n"/>
      <c r="E2983" s="22" t="n"/>
      <c r="F2983" s="23" t="n"/>
      <c r="G2983" s="23" t="n"/>
      <c r="H2983" s="23" t="n"/>
      <c r="I2983" s="20">
        <f>IF(COUNT(F2983:H2983)=0,"",SUM(F2983:H2983))</f>
        <v/>
      </c>
      <c r="J2983" s="23" t="n"/>
      <c r="K2983" s="23" t="n"/>
      <c r="L2983" s="23" t="n"/>
      <c r="M2983" s="23" t="n"/>
      <c r="N2983" s="23" t="n"/>
      <c r="O2983" s="20">
        <f>IF(OR(I2983="",COUNT(J2983:N2983)=0),"",IF(SUM(J2983:N2983)=I2983,"✓","⚠ "&amp;SUM(J2983:N2983)&amp;" statt "&amp;I2983))</f>
        <v/>
      </c>
      <c r="P2983" s="21" t="n"/>
      <c r="Q2983" s="21" t="n"/>
      <c r="R2983" s="21" t="n"/>
      <c r="S2983" s="24" t="n"/>
      <c r="T2983" s="24" t="n"/>
      <c r="V2983">
        <f>IF(A2983="","",MONTH(A2983))</f>
        <v/>
      </c>
      <c r="W2983">
        <f>N(W2982)+IF(AND(C2983&lt;&gt;"",T2983&lt;&gt;""),IF(C2983=WOCHE!$B$3,1,0),0)</f>
        <v/>
      </c>
      <c r="X2983">
        <f>N(X2982)+IF(AND(V2983&lt;&gt;"",T2983&lt;&gt;""),IF(V2983=MONAT!$AZ$3,1,0),0)</f>
        <v/>
      </c>
    </row>
    <row r="2984">
      <c r="A2984" s="19" t="n"/>
      <c r="B2984" s="20">
        <f>IF(A2984="","",CHOOSE(WEEKDAY(A2984,2),"Mo","Di","Mi","Do","Fr","Sa","So"))</f>
        <v/>
      </c>
      <c r="C2984" s="20">
        <f>IF(A2984="","",INT((A2984-DATE(YEAR(A2984-WEEKDAY(A2984-1)+4),1,3)+WEEKDAY(DATE(YEAR(A2984-WEEKDAY(A2984-1)+4),1,3))+5)/7))</f>
        <v/>
      </c>
      <c r="D2984" s="21" t="n"/>
      <c r="E2984" s="22" t="n"/>
      <c r="F2984" s="23" t="n"/>
      <c r="G2984" s="23" t="n"/>
      <c r="H2984" s="23" t="n"/>
      <c r="I2984" s="20">
        <f>IF(COUNT(F2984:H2984)=0,"",SUM(F2984:H2984))</f>
        <v/>
      </c>
      <c r="J2984" s="23" t="n"/>
      <c r="K2984" s="23" t="n"/>
      <c r="L2984" s="23" t="n"/>
      <c r="M2984" s="23" t="n"/>
      <c r="N2984" s="23" t="n"/>
      <c r="O2984" s="20">
        <f>IF(OR(I2984="",COUNT(J2984:N2984)=0),"",IF(SUM(J2984:N2984)=I2984,"✓","⚠ "&amp;SUM(J2984:N2984)&amp;" statt "&amp;I2984))</f>
        <v/>
      </c>
      <c r="P2984" s="21" t="n"/>
      <c r="Q2984" s="21" t="n"/>
      <c r="R2984" s="21" t="n"/>
      <c r="S2984" s="24" t="n"/>
      <c r="T2984" s="24" t="n"/>
      <c r="V2984">
        <f>IF(A2984="","",MONTH(A2984))</f>
        <v/>
      </c>
      <c r="W2984">
        <f>N(W2983)+IF(AND(C2984&lt;&gt;"",T2984&lt;&gt;""),IF(C2984=WOCHE!$B$3,1,0),0)</f>
        <v/>
      </c>
      <c r="X2984">
        <f>N(X2983)+IF(AND(V2984&lt;&gt;"",T2984&lt;&gt;""),IF(V2984=MONAT!$AZ$3,1,0),0)</f>
        <v/>
      </c>
    </row>
    <row r="2985">
      <c r="A2985" s="19" t="n"/>
      <c r="B2985" s="20">
        <f>IF(A2985="","",CHOOSE(WEEKDAY(A2985,2),"Mo","Di","Mi","Do","Fr","Sa","So"))</f>
        <v/>
      </c>
      <c r="C2985" s="20">
        <f>IF(A2985="","",INT((A2985-DATE(YEAR(A2985-WEEKDAY(A2985-1)+4),1,3)+WEEKDAY(DATE(YEAR(A2985-WEEKDAY(A2985-1)+4),1,3))+5)/7))</f>
        <v/>
      </c>
      <c r="D2985" s="21" t="n"/>
      <c r="E2985" s="22" t="n"/>
      <c r="F2985" s="23" t="n"/>
      <c r="G2985" s="23" t="n"/>
      <c r="H2985" s="23" t="n"/>
      <c r="I2985" s="20">
        <f>IF(COUNT(F2985:H2985)=0,"",SUM(F2985:H2985))</f>
        <v/>
      </c>
      <c r="J2985" s="23" t="n"/>
      <c r="K2985" s="23" t="n"/>
      <c r="L2985" s="23" t="n"/>
      <c r="M2985" s="23" t="n"/>
      <c r="N2985" s="23" t="n"/>
      <c r="O2985" s="20">
        <f>IF(OR(I2985="",COUNT(J2985:N2985)=0),"",IF(SUM(J2985:N2985)=I2985,"✓","⚠ "&amp;SUM(J2985:N2985)&amp;" statt "&amp;I2985))</f>
        <v/>
      </c>
      <c r="P2985" s="21" t="n"/>
      <c r="Q2985" s="21" t="n"/>
      <c r="R2985" s="21" t="n"/>
      <c r="S2985" s="24" t="n"/>
      <c r="T2985" s="24" t="n"/>
      <c r="V2985">
        <f>IF(A2985="","",MONTH(A2985))</f>
        <v/>
      </c>
      <c r="W2985">
        <f>N(W2984)+IF(AND(C2985&lt;&gt;"",T2985&lt;&gt;""),IF(C2985=WOCHE!$B$3,1,0),0)</f>
        <v/>
      </c>
      <c r="X2985">
        <f>N(X2984)+IF(AND(V2985&lt;&gt;"",T2985&lt;&gt;""),IF(V2985=MONAT!$AZ$3,1,0),0)</f>
        <v/>
      </c>
    </row>
    <row r="2986">
      <c r="A2986" s="19" t="n"/>
      <c r="B2986" s="20">
        <f>IF(A2986="","",CHOOSE(WEEKDAY(A2986,2),"Mo","Di","Mi","Do","Fr","Sa","So"))</f>
        <v/>
      </c>
      <c r="C2986" s="20">
        <f>IF(A2986="","",INT((A2986-DATE(YEAR(A2986-WEEKDAY(A2986-1)+4),1,3)+WEEKDAY(DATE(YEAR(A2986-WEEKDAY(A2986-1)+4),1,3))+5)/7))</f>
        <v/>
      </c>
      <c r="D2986" s="21" t="n"/>
      <c r="E2986" s="22" t="n"/>
      <c r="F2986" s="23" t="n"/>
      <c r="G2986" s="23" t="n"/>
      <c r="H2986" s="23" t="n"/>
      <c r="I2986" s="20">
        <f>IF(COUNT(F2986:H2986)=0,"",SUM(F2986:H2986))</f>
        <v/>
      </c>
      <c r="J2986" s="23" t="n"/>
      <c r="K2986" s="23" t="n"/>
      <c r="L2986" s="23" t="n"/>
      <c r="M2986" s="23" t="n"/>
      <c r="N2986" s="23" t="n"/>
      <c r="O2986" s="20">
        <f>IF(OR(I2986="",COUNT(J2986:N2986)=0),"",IF(SUM(J2986:N2986)=I2986,"✓","⚠ "&amp;SUM(J2986:N2986)&amp;" statt "&amp;I2986))</f>
        <v/>
      </c>
      <c r="P2986" s="21" t="n"/>
      <c r="Q2986" s="21" t="n"/>
      <c r="R2986" s="21" t="n"/>
      <c r="S2986" s="24" t="n"/>
      <c r="T2986" s="24" t="n"/>
      <c r="V2986">
        <f>IF(A2986="","",MONTH(A2986))</f>
        <v/>
      </c>
      <c r="W2986">
        <f>N(W2985)+IF(AND(C2986&lt;&gt;"",T2986&lt;&gt;""),IF(C2986=WOCHE!$B$3,1,0),0)</f>
        <v/>
      </c>
      <c r="X2986">
        <f>N(X2985)+IF(AND(V2986&lt;&gt;"",T2986&lt;&gt;""),IF(V2986=MONAT!$AZ$3,1,0),0)</f>
        <v/>
      </c>
    </row>
    <row r="2987">
      <c r="A2987" s="19" t="n"/>
      <c r="B2987" s="20">
        <f>IF(A2987="","",CHOOSE(WEEKDAY(A2987,2),"Mo","Di","Mi","Do","Fr","Sa","So"))</f>
        <v/>
      </c>
      <c r="C2987" s="20">
        <f>IF(A2987="","",INT((A2987-DATE(YEAR(A2987-WEEKDAY(A2987-1)+4),1,3)+WEEKDAY(DATE(YEAR(A2987-WEEKDAY(A2987-1)+4),1,3))+5)/7))</f>
        <v/>
      </c>
      <c r="D2987" s="21" t="n"/>
      <c r="E2987" s="22" t="n"/>
      <c r="F2987" s="23" t="n"/>
      <c r="G2987" s="23" t="n"/>
      <c r="H2987" s="23" t="n"/>
      <c r="I2987" s="20">
        <f>IF(COUNT(F2987:H2987)=0,"",SUM(F2987:H2987))</f>
        <v/>
      </c>
      <c r="J2987" s="23" t="n"/>
      <c r="K2987" s="23" t="n"/>
      <c r="L2987" s="23" t="n"/>
      <c r="M2987" s="23" t="n"/>
      <c r="N2987" s="23" t="n"/>
      <c r="O2987" s="20">
        <f>IF(OR(I2987="",COUNT(J2987:N2987)=0),"",IF(SUM(J2987:N2987)=I2987,"✓","⚠ "&amp;SUM(J2987:N2987)&amp;" statt "&amp;I2987))</f>
        <v/>
      </c>
      <c r="P2987" s="21" t="n"/>
      <c r="Q2987" s="21" t="n"/>
      <c r="R2987" s="21" t="n"/>
      <c r="S2987" s="24" t="n"/>
      <c r="T2987" s="24" t="n"/>
      <c r="V2987">
        <f>IF(A2987="","",MONTH(A2987))</f>
        <v/>
      </c>
      <c r="W2987">
        <f>N(W2986)+IF(AND(C2987&lt;&gt;"",T2987&lt;&gt;""),IF(C2987=WOCHE!$B$3,1,0),0)</f>
        <v/>
      </c>
      <c r="X2987">
        <f>N(X2986)+IF(AND(V2987&lt;&gt;"",T2987&lt;&gt;""),IF(V2987=MONAT!$AZ$3,1,0),0)</f>
        <v/>
      </c>
    </row>
    <row r="2988">
      <c r="A2988" s="19" t="n"/>
      <c r="B2988" s="20">
        <f>IF(A2988="","",CHOOSE(WEEKDAY(A2988,2),"Mo","Di","Mi","Do","Fr","Sa","So"))</f>
        <v/>
      </c>
      <c r="C2988" s="20">
        <f>IF(A2988="","",INT((A2988-DATE(YEAR(A2988-WEEKDAY(A2988-1)+4),1,3)+WEEKDAY(DATE(YEAR(A2988-WEEKDAY(A2988-1)+4),1,3))+5)/7))</f>
        <v/>
      </c>
      <c r="D2988" s="21" t="n"/>
      <c r="E2988" s="22" t="n"/>
      <c r="F2988" s="23" t="n"/>
      <c r="G2988" s="23" t="n"/>
      <c r="H2988" s="23" t="n"/>
      <c r="I2988" s="20">
        <f>IF(COUNT(F2988:H2988)=0,"",SUM(F2988:H2988))</f>
        <v/>
      </c>
      <c r="J2988" s="23" t="n"/>
      <c r="K2988" s="23" t="n"/>
      <c r="L2988" s="23" t="n"/>
      <c r="M2988" s="23" t="n"/>
      <c r="N2988" s="23" t="n"/>
      <c r="O2988" s="20">
        <f>IF(OR(I2988="",COUNT(J2988:N2988)=0),"",IF(SUM(J2988:N2988)=I2988,"✓","⚠ "&amp;SUM(J2988:N2988)&amp;" statt "&amp;I2988))</f>
        <v/>
      </c>
      <c r="P2988" s="21" t="n"/>
      <c r="Q2988" s="21" t="n"/>
      <c r="R2988" s="21" t="n"/>
      <c r="S2988" s="24" t="n"/>
      <c r="T2988" s="24" t="n"/>
      <c r="V2988">
        <f>IF(A2988="","",MONTH(A2988))</f>
        <v/>
      </c>
      <c r="W2988">
        <f>N(W2987)+IF(AND(C2988&lt;&gt;"",T2988&lt;&gt;""),IF(C2988=WOCHE!$B$3,1,0),0)</f>
        <v/>
      </c>
      <c r="X2988">
        <f>N(X2987)+IF(AND(V2988&lt;&gt;"",T2988&lt;&gt;""),IF(V2988=MONAT!$AZ$3,1,0),0)</f>
        <v/>
      </c>
    </row>
    <row r="2989">
      <c r="A2989" s="19" t="n"/>
      <c r="B2989" s="20">
        <f>IF(A2989="","",CHOOSE(WEEKDAY(A2989,2),"Mo","Di","Mi","Do","Fr","Sa","So"))</f>
        <v/>
      </c>
      <c r="C2989" s="20">
        <f>IF(A2989="","",INT((A2989-DATE(YEAR(A2989-WEEKDAY(A2989-1)+4),1,3)+WEEKDAY(DATE(YEAR(A2989-WEEKDAY(A2989-1)+4),1,3))+5)/7))</f>
        <v/>
      </c>
      <c r="D2989" s="21" t="n"/>
      <c r="E2989" s="22" t="n"/>
      <c r="F2989" s="23" t="n"/>
      <c r="G2989" s="23" t="n"/>
      <c r="H2989" s="23" t="n"/>
      <c r="I2989" s="20">
        <f>IF(COUNT(F2989:H2989)=0,"",SUM(F2989:H2989))</f>
        <v/>
      </c>
      <c r="J2989" s="23" t="n"/>
      <c r="K2989" s="23" t="n"/>
      <c r="L2989" s="23" t="n"/>
      <c r="M2989" s="23" t="n"/>
      <c r="N2989" s="23" t="n"/>
      <c r="O2989" s="20">
        <f>IF(OR(I2989="",COUNT(J2989:N2989)=0),"",IF(SUM(J2989:N2989)=I2989,"✓","⚠ "&amp;SUM(J2989:N2989)&amp;" statt "&amp;I2989))</f>
        <v/>
      </c>
      <c r="P2989" s="21" t="n"/>
      <c r="Q2989" s="21" t="n"/>
      <c r="R2989" s="21" t="n"/>
      <c r="S2989" s="24" t="n"/>
      <c r="T2989" s="24" t="n"/>
      <c r="V2989">
        <f>IF(A2989="","",MONTH(A2989))</f>
        <v/>
      </c>
      <c r="W2989">
        <f>N(W2988)+IF(AND(C2989&lt;&gt;"",T2989&lt;&gt;""),IF(C2989=WOCHE!$B$3,1,0),0)</f>
        <v/>
      </c>
      <c r="X2989">
        <f>N(X2988)+IF(AND(V2989&lt;&gt;"",T2989&lt;&gt;""),IF(V2989=MONAT!$AZ$3,1,0),0)</f>
        <v/>
      </c>
    </row>
    <row r="2990">
      <c r="A2990" s="19" t="n"/>
      <c r="B2990" s="20">
        <f>IF(A2990="","",CHOOSE(WEEKDAY(A2990,2),"Mo","Di","Mi","Do","Fr","Sa","So"))</f>
        <v/>
      </c>
      <c r="C2990" s="20">
        <f>IF(A2990="","",INT((A2990-DATE(YEAR(A2990-WEEKDAY(A2990-1)+4),1,3)+WEEKDAY(DATE(YEAR(A2990-WEEKDAY(A2990-1)+4),1,3))+5)/7))</f>
        <v/>
      </c>
      <c r="D2990" s="21" t="n"/>
      <c r="E2990" s="22" t="n"/>
      <c r="F2990" s="23" t="n"/>
      <c r="G2990" s="23" t="n"/>
      <c r="H2990" s="23" t="n"/>
      <c r="I2990" s="20">
        <f>IF(COUNT(F2990:H2990)=0,"",SUM(F2990:H2990))</f>
        <v/>
      </c>
      <c r="J2990" s="23" t="n"/>
      <c r="K2990" s="23" t="n"/>
      <c r="L2990" s="23" t="n"/>
      <c r="M2990" s="23" t="n"/>
      <c r="N2990" s="23" t="n"/>
      <c r="O2990" s="20">
        <f>IF(OR(I2990="",COUNT(J2990:N2990)=0),"",IF(SUM(J2990:N2990)=I2990,"✓","⚠ "&amp;SUM(J2990:N2990)&amp;" statt "&amp;I2990))</f>
        <v/>
      </c>
      <c r="P2990" s="21" t="n"/>
      <c r="Q2990" s="21" t="n"/>
      <c r="R2990" s="21" t="n"/>
      <c r="S2990" s="24" t="n"/>
      <c r="T2990" s="24" t="n"/>
      <c r="V2990">
        <f>IF(A2990="","",MONTH(A2990))</f>
        <v/>
      </c>
      <c r="W2990">
        <f>N(W2989)+IF(AND(C2990&lt;&gt;"",T2990&lt;&gt;""),IF(C2990=WOCHE!$B$3,1,0),0)</f>
        <v/>
      </c>
      <c r="X2990">
        <f>N(X2989)+IF(AND(V2990&lt;&gt;"",T2990&lt;&gt;""),IF(V2990=MONAT!$AZ$3,1,0),0)</f>
        <v/>
      </c>
    </row>
    <row r="2991">
      <c r="A2991" s="19" t="n"/>
      <c r="B2991" s="20">
        <f>IF(A2991="","",CHOOSE(WEEKDAY(A2991,2),"Mo","Di","Mi","Do","Fr","Sa","So"))</f>
        <v/>
      </c>
      <c r="C2991" s="20">
        <f>IF(A2991="","",INT((A2991-DATE(YEAR(A2991-WEEKDAY(A2991-1)+4),1,3)+WEEKDAY(DATE(YEAR(A2991-WEEKDAY(A2991-1)+4),1,3))+5)/7))</f>
        <v/>
      </c>
      <c r="D2991" s="21" t="n"/>
      <c r="E2991" s="22" t="n"/>
      <c r="F2991" s="23" t="n"/>
      <c r="G2991" s="23" t="n"/>
      <c r="H2991" s="23" t="n"/>
      <c r="I2991" s="20">
        <f>IF(COUNT(F2991:H2991)=0,"",SUM(F2991:H2991))</f>
        <v/>
      </c>
      <c r="J2991" s="23" t="n"/>
      <c r="K2991" s="23" t="n"/>
      <c r="L2991" s="23" t="n"/>
      <c r="M2991" s="23" t="n"/>
      <c r="N2991" s="23" t="n"/>
      <c r="O2991" s="20">
        <f>IF(OR(I2991="",COUNT(J2991:N2991)=0),"",IF(SUM(J2991:N2991)=I2991,"✓","⚠ "&amp;SUM(J2991:N2991)&amp;" statt "&amp;I2991))</f>
        <v/>
      </c>
      <c r="P2991" s="21" t="n"/>
      <c r="Q2991" s="21" t="n"/>
      <c r="R2991" s="21" t="n"/>
      <c r="S2991" s="24" t="n"/>
      <c r="T2991" s="24" t="n"/>
      <c r="V2991">
        <f>IF(A2991="","",MONTH(A2991))</f>
        <v/>
      </c>
      <c r="W2991">
        <f>N(W2990)+IF(AND(C2991&lt;&gt;"",T2991&lt;&gt;""),IF(C2991=WOCHE!$B$3,1,0),0)</f>
        <v/>
      </c>
      <c r="X2991">
        <f>N(X2990)+IF(AND(V2991&lt;&gt;"",T2991&lt;&gt;""),IF(V2991=MONAT!$AZ$3,1,0),0)</f>
        <v/>
      </c>
    </row>
    <row r="2992">
      <c r="A2992" s="19" t="n"/>
      <c r="B2992" s="20">
        <f>IF(A2992="","",CHOOSE(WEEKDAY(A2992,2),"Mo","Di","Mi","Do","Fr","Sa","So"))</f>
        <v/>
      </c>
      <c r="C2992" s="20">
        <f>IF(A2992="","",INT((A2992-DATE(YEAR(A2992-WEEKDAY(A2992-1)+4),1,3)+WEEKDAY(DATE(YEAR(A2992-WEEKDAY(A2992-1)+4),1,3))+5)/7))</f>
        <v/>
      </c>
      <c r="D2992" s="21" t="n"/>
      <c r="E2992" s="22" t="n"/>
      <c r="F2992" s="23" t="n"/>
      <c r="G2992" s="23" t="n"/>
      <c r="H2992" s="23" t="n"/>
      <c r="I2992" s="20">
        <f>IF(COUNT(F2992:H2992)=0,"",SUM(F2992:H2992))</f>
        <v/>
      </c>
      <c r="J2992" s="23" t="n"/>
      <c r="K2992" s="23" t="n"/>
      <c r="L2992" s="23" t="n"/>
      <c r="M2992" s="23" t="n"/>
      <c r="N2992" s="23" t="n"/>
      <c r="O2992" s="20">
        <f>IF(OR(I2992="",COUNT(J2992:N2992)=0),"",IF(SUM(J2992:N2992)=I2992,"✓","⚠ "&amp;SUM(J2992:N2992)&amp;" statt "&amp;I2992))</f>
        <v/>
      </c>
      <c r="P2992" s="21" t="n"/>
      <c r="Q2992" s="21" t="n"/>
      <c r="R2992" s="21" t="n"/>
      <c r="S2992" s="24" t="n"/>
      <c r="T2992" s="24" t="n"/>
      <c r="V2992">
        <f>IF(A2992="","",MONTH(A2992))</f>
        <v/>
      </c>
      <c r="W2992">
        <f>N(W2991)+IF(AND(C2992&lt;&gt;"",T2992&lt;&gt;""),IF(C2992=WOCHE!$B$3,1,0),0)</f>
        <v/>
      </c>
      <c r="X2992">
        <f>N(X2991)+IF(AND(V2992&lt;&gt;"",T2992&lt;&gt;""),IF(V2992=MONAT!$AZ$3,1,0),0)</f>
        <v/>
      </c>
    </row>
    <row r="2993">
      <c r="A2993" s="19" t="n"/>
      <c r="B2993" s="20">
        <f>IF(A2993="","",CHOOSE(WEEKDAY(A2993,2),"Mo","Di","Mi","Do","Fr","Sa","So"))</f>
        <v/>
      </c>
      <c r="C2993" s="20">
        <f>IF(A2993="","",INT((A2993-DATE(YEAR(A2993-WEEKDAY(A2993-1)+4),1,3)+WEEKDAY(DATE(YEAR(A2993-WEEKDAY(A2993-1)+4),1,3))+5)/7))</f>
        <v/>
      </c>
      <c r="D2993" s="21" t="n"/>
      <c r="E2993" s="22" t="n"/>
      <c r="F2993" s="23" t="n"/>
      <c r="G2993" s="23" t="n"/>
      <c r="H2993" s="23" t="n"/>
      <c r="I2993" s="20">
        <f>IF(COUNT(F2993:H2993)=0,"",SUM(F2993:H2993))</f>
        <v/>
      </c>
      <c r="J2993" s="23" t="n"/>
      <c r="K2993" s="23" t="n"/>
      <c r="L2993" s="23" t="n"/>
      <c r="M2993" s="23" t="n"/>
      <c r="N2993" s="23" t="n"/>
      <c r="O2993" s="20">
        <f>IF(OR(I2993="",COUNT(J2993:N2993)=0),"",IF(SUM(J2993:N2993)=I2993,"✓","⚠ "&amp;SUM(J2993:N2993)&amp;" statt "&amp;I2993))</f>
        <v/>
      </c>
      <c r="P2993" s="21" t="n"/>
      <c r="Q2993" s="21" t="n"/>
      <c r="R2993" s="21" t="n"/>
      <c r="S2993" s="24" t="n"/>
      <c r="T2993" s="24" t="n"/>
      <c r="V2993">
        <f>IF(A2993="","",MONTH(A2993))</f>
        <v/>
      </c>
      <c r="W2993">
        <f>N(W2992)+IF(AND(C2993&lt;&gt;"",T2993&lt;&gt;""),IF(C2993=WOCHE!$B$3,1,0),0)</f>
        <v/>
      </c>
      <c r="X2993">
        <f>N(X2992)+IF(AND(V2993&lt;&gt;"",T2993&lt;&gt;""),IF(V2993=MONAT!$AZ$3,1,0),0)</f>
        <v/>
      </c>
    </row>
    <row r="2994">
      <c r="A2994" s="19" t="n"/>
      <c r="B2994" s="20">
        <f>IF(A2994="","",CHOOSE(WEEKDAY(A2994,2),"Mo","Di","Mi","Do","Fr","Sa","So"))</f>
        <v/>
      </c>
      <c r="C2994" s="20">
        <f>IF(A2994="","",INT((A2994-DATE(YEAR(A2994-WEEKDAY(A2994-1)+4),1,3)+WEEKDAY(DATE(YEAR(A2994-WEEKDAY(A2994-1)+4),1,3))+5)/7))</f>
        <v/>
      </c>
      <c r="D2994" s="21" t="n"/>
      <c r="E2994" s="22" t="n"/>
      <c r="F2994" s="23" t="n"/>
      <c r="G2994" s="23" t="n"/>
      <c r="H2994" s="23" t="n"/>
      <c r="I2994" s="20">
        <f>IF(COUNT(F2994:H2994)=0,"",SUM(F2994:H2994))</f>
        <v/>
      </c>
      <c r="J2994" s="23" t="n"/>
      <c r="K2994" s="23" t="n"/>
      <c r="L2994" s="23" t="n"/>
      <c r="M2994" s="23" t="n"/>
      <c r="N2994" s="23" t="n"/>
      <c r="O2994" s="20">
        <f>IF(OR(I2994="",COUNT(J2994:N2994)=0),"",IF(SUM(J2994:N2994)=I2994,"✓","⚠ "&amp;SUM(J2994:N2994)&amp;" statt "&amp;I2994))</f>
        <v/>
      </c>
      <c r="P2994" s="21" t="n"/>
      <c r="Q2994" s="21" t="n"/>
      <c r="R2994" s="21" t="n"/>
      <c r="S2994" s="24" t="n"/>
      <c r="T2994" s="24" t="n"/>
      <c r="V2994">
        <f>IF(A2994="","",MONTH(A2994))</f>
        <v/>
      </c>
      <c r="W2994">
        <f>N(W2993)+IF(AND(C2994&lt;&gt;"",T2994&lt;&gt;""),IF(C2994=WOCHE!$B$3,1,0),0)</f>
        <v/>
      </c>
      <c r="X2994">
        <f>N(X2993)+IF(AND(V2994&lt;&gt;"",T2994&lt;&gt;""),IF(V2994=MONAT!$AZ$3,1,0),0)</f>
        <v/>
      </c>
    </row>
    <row r="2995">
      <c r="A2995" s="19" t="n"/>
      <c r="B2995" s="20">
        <f>IF(A2995="","",CHOOSE(WEEKDAY(A2995,2),"Mo","Di","Mi","Do","Fr","Sa","So"))</f>
        <v/>
      </c>
      <c r="C2995" s="20">
        <f>IF(A2995="","",INT((A2995-DATE(YEAR(A2995-WEEKDAY(A2995-1)+4),1,3)+WEEKDAY(DATE(YEAR(A2995-WEEKDAY(A2995-1)+4),1,3))+5)/7))</f>
        <v/>
      </c>
      <c r="D2995" s="21" t="n"/>
      <c r="E2995" s="22" t="n"/>
      <c r="F2995" s="23" t="n"/>
      <c r="G2995" s="23" t="n"/>
      <c r="H2995" s="23" t="n"/>
      <c r="I2995" s="20">
        <f>IF(COUNT(F2995:H2995)=0,"",SUM(F2995:H2995))</f>
        <v/>
      </c>
      <c r="J2995" s="23" t="n"/>
      <c r="K2995" s="23" t="n"/>
      <c r="L2995" s="23" t="n"/>
      <c r="M2995" s="23" t="n"/>
      <c r="N2995" s="23" t="n"/>
      <c r="O2995" s="20">
        <f>IF(OR(I2995="",COUNT(J2995:N2995)=0),"",IF(SUM(J2995:N2995)=I2995,"✓","⚠ "&amp;SUM(J2995:N2995)&amp;" statt "&amp;I2995))</f>
        <v/>
      </c>
      <c r="P2995" s="21" t="n"/>
      <c r="Q2995" s="21" t="n"/>
      <c r="R2995" s="21" t="n"/>
      <c r="S2995" s="24" t="n"/>
      <c r="T2995" s="24" t="n"/>
      <c r="V2995">
        <f>IF(A2995="","",MONTH(A2995))</f>
        <v/>
      </c>
      <c r="W2995">
        <f>N(W2994)+IF(AND(C2995&lt;&gt;"",T2995&lt;&gt;""),IF(C2995=WOCHE!$B$3,1,0),0)</f>
        <v/>
      </c>
      <c r="X2995">
        <f>N(X2994)+IF(AND(V2995&lt;&gt;"",T2995&lt;&gt;""),IF(V2995=MONAT!$AZ$3,1,0),0)</f>
        <v/>
      </c>
    </row>
    <row r="2996">
      <c r="A2996" s="19" t="n"/>
      <c r="B2996" s="20">
        <f>IF(A2996="","",CHOOSE(WEEKDAY(A2996,2),"Mo","Di","Mi","Do","Fr","Sa","So"))</f>
        <v/>
      </c>
      <c r="C2996" s="20">
        <f>IF(A2996="","",INT((A2996-DATE(YEAR(A2996-WEEKDAY(A2996-1)+4),1,3)+WEEKDAY(DATE(YEAR(A2996-WEEKDAY(A2996-1)+4),1,3))+5)/7))</f>
        <v/>
      </c>
      <c r="D2996" s="21" t="n"/>
      <c r="E2996" s="22" t="n"/>
      <c r="F2996" s="23" t="n"/>
      <c r="G2996" s="23" t="n"/>
      <c r="H2996" s="23" t="n"/>
      <c r="I2996" s="20">
        <f>IF(COUNT(F2996:H2996)=0,"",SUM(F2996:H2996))</f>
        <v/>
      </c>
      <c r="J2996" s="23" t="n"/>
      <c r="K2996" s="23" t="n"/>
      <c r="L2996" s="23" t="n"/>
      <c r="M2996" s="23" t="n"/>
      <c r="N2996" s="23" t="n"/>
      <c r="O2996" s="20">
        <f>IF(OR(I2996="",COUNT(J2996:N2996)=0),"",IF(SUM(J2996:N2996)=I2996,"✓","⚠ "&amp;SUM(J2996:N2996)&amp;" statt "&amp;I2996))</f>
        <v/>
      </c>
      <c r="P2996" s="21" t="n"/>
      <c r="Q2996" s="21" t="n"/>
      <c r="R2996" s="21" t="n"/>
      <c r="S2996" s="24" t="n"/>
      <c r="T2996" s="24" t="n"/>
      <c r="V2996">
        <f>IF(A2996="","",MONTH(A2996))</f>
        <v/>
      </c>
      <c r="W2996">
        <f>N(W2995)+IF(AND(C2996&lt;&gt;"",T2996&lt;&gt;""),IF(C2996=WOCHE!$B$3,1,0),0)</f>
        <v/>
      </c>
      <c r="X2996">
        <f>N(X2995)+IF(AND(V2996&lt;&gt;"",T2996&lt;&gt;""),IF(V2996=MONAT!$AZ$3,1,0),0)</f>
        <v/>
      </c>
    </row>
    <row r="2997">
      <c r="A2997" s="19" t="n"/>
      <c r="B2997" s="20">
        <f>IF(A2997="","",CHOOSE(WEEKDAY(A2997,2),"Mo","Di","Mi","Do","Fr","Sa","So"))</f>
        <v/>
      </c>
      <c r="C2997" s="20">
        <f>IF(A2997="","",INT((A2997-DATE(YEAR(A2997-WEEKDAY(A2997-1)+4),1,3)+WEEKDAY(DATE(YEAR(A2997-WEEKDAY(A2997-1)+4),1,3))+5)/7))</f>
        <v/>
      </c>
      <c r="D2997" s="21" t="n"/>
      <c r="E2997" s="22" t="n"/>
      <c r="F2997" s="23" t="n"/>
      <c r="G2997" s="23" t="n"/>
      <c r="H2997" s="23" t="n"/>
      <c r="I2997" s="20">
        <f>IF(COUNT(F2997:H2997)=0,"",SUM(F2997:H2997))</f>
        <v/>
      </c>
      <c r="J2997" s="23" t="n"/>
      <c r="K2997" s="23" t="n"/>
      <c r="L2997" s="23" t="n"/>
      <c r="M2997" s="23" t="n"/>
      <c r="N2997" s="23" t="n"/>
      <c r="O2997" s="20">
        <f>IF(OR(I2997="",COUNT(J2997:N2997)=0),"",IF(SUM(J2997:N2997)=I2997,"✓","⚠ "&amp;SUM(J2997:N2997)&amp;" statt "&amp;I2997))</f>
        <v/>
      </c>
      <c r="P2997" s="21" t="n"/>
      <c r="Q2997" s="21" t="n"/>
      <c r="R2997" s="21" t="n"/>
      <c r="S2997" s="24" t="n"/>
      <c r="T2997" s="24" t="n"/>
      <c r="V2997">
        <f>IF(A2997="","",MONTH(A2997))</f>
        <v/>
      </c>
      <c r="W2997">
        <f>N(W2996)+IF(AND(C2997&lt;&gt;"",T2997&lt;&gt;""),IF(C2997=WOCHE!$B$3,1,0),0)</f>
        <v/>
      </c>
      <c r="X2997">
        <f>N(X2996)+IF(AND(V2997&lt;&gt;"",T2997&lt;&gt;""),IF(V2997=MONAT!$AZ$3,1,0),0)</f>
        <v/>
      </c>
    </row>
    <row r="2998">
      <c r="A2998" s="19" t="n"/>
      <c r="B2998" s="20">
        <f>IF(A2998="","",CHOOSE(WEEKDAY(A2998,2),"Mo","Di","Mi","Do","Fr","Sa","So"))</f>
        <v/>
      </c>
      <c r="C2998" s="20">
        <f>IF(A2998="","",INT((A2998-DATE(YEAR(A2998-WEEKDAY(A2998-1)+4),1,3)+WEEKDAY(DATE(YEAR(A2998-WEEKDAY(A2998-1)+4),1,3))+5)/7))</f>
        <v/>
      </c>
      <c r="D2998" s="21" t="n"/>
      <c r="E2998" s="22" t="n"/>
      <c r="F2998" s="23" t="n"/>
      <c r="G2998" s="23" t="n"/>
      <c r="H2998" s="23" t="n"/>
      <c r="I2998" s="20">
        <f>IF(COUNT(F2998:H2998)=0,"",SUM(F2998:H2998))</f>
        <v/>
      </c>
      <c r="J2998" s="23" t="n"/>
      <c r="K2998" s="23" t="n"/>
      <c r="L2998" s="23" t="n"/>
      <c r="M2998" s="23" t="n"/>
      <c r="N2998" s="23" t="n"/>
      <c r="O2998" s="20">
        <f>IF(OR(I2998="",COUNT(J2998:N2998)=0),"",IF(SUM(J2998:N2998)=I2998,"✓","⚠ "&amp;SUM(J2998:N2998)&amp;" statt "&amp;I2998))</f>
        <v/>
      </c>
      <c r="P2998" s="21" t="n"/>
      <c r="Q2998" s="21" t="n"/>
      <c r="R2998" s="21" t="n"/>
      <c r="S2998" s="24" t="n"/>
      <c r="T2998" s="24" t="n"/>
      <c r="V2998">
        <f>IF(A2998="","",MONTH(A2998))</f>
        <v/>
      </c>
      <c r="W2998">
        <f>N(W2997)+IF(AND(C2998&lt;&gt;"",T2998&lt;&gt;""),IF(C2998=WOCHE!$B$3,1,0),0)</f>
        <v/>
      </c>
      <c r="X2998">
        <f>N(X2997)+IF(AND(V2998&lt;&gt;"",T2998&lt;&gt;""),IF(V2998=MONAT!$AZ$3,1,0),0)</f>
        <v/>
      </c>
    </row>
    <row r="2999">
      <c r="A2999" s="19" t="n"/>
      <c r="B2999" s="20">
        <f>IF(A2999="","",CHOOSE(WEEKDAY(A2999,2),"Mo","Di","Mi","Do","Fr","Sa","So"))</f>
        <v/>
      </c>
      <c r="C2999" s="20">
        <f>IF(A2999="","",INT((A2999-DATE(YEAR(A2999-WEEKDAY(A2999-1)+4),1,3)+WEEKDAY(DATE(YEAR(A2999-WEEKDAY(A2999-1)+4),1,3))+5)/7))</f>
        <v/>
      </c>
      <c r="D2999" s="21" t="n"/>
      <c r="E2999" s="22" t="n"/>
      <c r="F2999" s="23" t="n"/>
      <c r="G2999" s="23" t="n"/>
      <c r="H2999" s="23" t="n"/>
      <c r="I2999" s="20">
        <f>IF(COUNT(F2999:H2999)=0,"",SUM(F2999:H2999))</f>
        <v/>
      </c>
      <c r="J2999" s="23" t="n"/>
      <c r="K2999" s="23" t="n"/>
      <c r="L2999" s="23" t="n"/>
      <c r="M2999" s="23" t="n"/>
      <c r="N2999" s="23" t="n"/>
      <c r="O2999" s="20">
        <f>IF(OR(I2999="",COUNT(J2999:N2999)=0),"",IF(SUM(J2999:N2999)=I2999,"✓","⚠ "&amp;SUM(J2999:N2999)&amp;" statt "&amp;I2999))</f>
        <v/>
      </c>
      <c r="P2999" s="21" t="n"/>
      <c r="Q2999" s="21" t="n"/>
      <c r="R2999" s="21" t="n"/>
      <c r="S2999" s="24" t="n"/>
      <c r="T2999" s="24" t="n"/>
      <c r="V2999">
        <f>IF(A2999="","",MONTH(A2999))</f>
        <v/>
      </c>
      <c r="W2999">
        <f>N(W2998)+IF(AND(C2999&lt;&gt;"",T2999&lt;&gt;""),IF(C2999=WOCHE!$B$3,1,0),0)</f>
        <v/>
      </c>
      <c r="X2999">
        <f>N(X2998)+IF(AND(V2999&lt;&gt;"",T2999&lt;&gt;""),IF(V2999=MONAT!$AZ$3,1,0),0)</f>
        <v/>
      </c>
    </row>
    <row r="3000">
      <c r="A3000" s="19" t="n"/>
      <c r="B3000" s="20">
        <f>IF(A3000="","",CHOOSE(WEEKDAY(A3000,2),"Mo","Di","Mi","Do","Fr","Sa","So"))</f>
        <v/>
      </c>
      <c r="C3000" s="20">
        <f>IF(A3000="","",INT((A3000-DATE(YEAR(A3000-WEEKDAY(A3000-1)+4),1,3)+WEEKDAY(DATE(YEAR(A3000-WEEKDAY(A3000-1)+4),1,3))+5)/7))</f>
        <v/>
      </c>
      <c r="D3000" s="21" t="n"/>
      <c r="E3000" s="22" t="n"/>
      <c r="F3000" s="23" t="n"/>
      <c r="G3000" s="23" t="n"/>
      <c r="H3000" s="23" t="n"/>
      <c r="I3000" s="20">
        <f>IF(COUNT(F3000:H3000)=0,"",SUM(F3000:H3000))</f>
        <v/>
      </c>
      <c r="J3000" s="23" t="n"/>
      <c r="K3000" s="23" t="n"/>
      <c r="L3000" s="23" t="n"/>
      <c r="M3000" s="23" t="n"/>
      <c r="N3000" s="23" t="n"/>
      <c r="O3000" s="20">
        <f>IF(OR(I3000="",COUNT(J3000:N3000)=0),"",IF(SUM(J3000:N3000)=I3000,"✓","⚠ "&amp;SUM(J3000:N3000)&amp;" statt "&amp;I3000))</f>
        <v/>
      </c>
      <c r="P3000" s="21" t="n"/>
      <c r="Q3000" s="21" t="n"/>
      <c r="R3000" s="21" t="n"/>
      <c r="S3000" s="24" t="n"/>
      <c r="T3000" s="24" t="n"/>
      <c r="V3000">
        <f>IF(A3000="","",MONTH(A3000))</f>
        <v/>
      </c>
      <c r="W3000">
        <f>N(W2999)+IF(AND(C3000&lt;&gt;"",T3000&lt;&gt;""),IF(C3000=WOCHE!$B$3,1,0),0)</f>
        <v/>
      </c>
      <c r="X3000">
        <f>N(X2999)+IF(AND(V3000&lt;&gt;"",T3000&lt;&gt;""),IF(V3000=MONAT!$AZ$3,1,0),0)</f>
        <v/>
      </c>
    </row>
    <row r="3001">
      <c r="A3001" s="19" t="n"/>
      <c r="B3001" s="20">
        <f>IF(A3001="","",CHOOSE(WEEKDAY(A3001,2),"Mo","Di","Mi","Do","Fr","Sa","So"))</f>
        <v/>
      </c>
      <c r="C3001" s="20">
        <f>IF(A3001="","",INT((A3001-DATE(YEAR(A3001-WEEKDAY(A3001-1)+4),1,3)+WEEKDAY(DATE(YEAR(A3001-WEEKDAY(A3001-1)+4),1,3))+5)/7))</f>
        <v/>
      </c>
      <c r="D3001" s="21" t="n"/>
      <c r="E3001" s="22" t="n"/>
      <c r="F3001" s="23" t="n"/>
      <c r="G3001" s="23" t="n"/>
      <c r="H3001" s="23" t="n"/>
      <c r="I3001" s="20">
        <f>IF(COUNT(F3001:H3001)=0,"",SUM(F3001:H3001))</f>
        <v/>
      </c>
      <c r="J3001" s="23" t="n"/>
      <c r="K3001" s="23" t="n"/>
      <c r="L3001" s="23" t="n"/>
      <c r="M3001" s="23" t="n"/>
      <c r="N3001" s="23" t="n"/>
      <c r="O3001" s="20">
        <f>IF(OR(I3001="",COUNT(J3001:N3001)=0),"",IF(SUM(J3001:N3001)=I3001,"✓","⚠ "&amp;SUM(J3001:N3001)&amp;" statt "&amp;I3001))</f>
        <v/>
      </c>
      <c r="P3001" s="21" t="n"/>
      <c r="Q3001" s="21" t="n"/>
      <c r="R3001" s="21" t="n"/>
      <c r="S3001" s="24" t="n"/>
      <c r="T3001" s="24" t="n"/>
      <c r="V3001">
        <f>IF(A3001="","",MONTH(A3001))</f>
        <v/>
      </c>
      <c r="W3001">
        <f>N(W3000)+IF(AND(C3001&lt;&gt;"",T3001&lt;&gt;""),IF(C3001=WOCHE!$B$3,1,0),0)</f>
        <v/>
      </c>
      <c r="X3001">
        <f>N(X3000)+IF(AND(V3001&lt;&gt;"",T3001&lt;&gt;""),IF(V3001=MONAT!$AZ$3,1,0),0)</f>
        <v/>
      </c>
    </row>
    <row r="3002">
      <c r="A3002" s="19" t="n"/>
      <c r="B3002" s="20">
        <f>IF(A3002="","",CHOOSE(WEEKDAY(A3002,2),"Mo","Di","Mi","Do","Fr","Sa","So"))</f>
        <v/>
      </c>
      <c r="C3002" s="20">
        <f>IF(A3002="","",INT((A3002-DATE(YEAR(A3002-WEEKDAY(A3002-1)+4),1,3)+WEEKDAY(DATE(YEAR(A3002-WEEKDAY(A3002-1)+4),1,3))+5)/7))</f>
        <v/>
      </c>
      <c r="D3002" s="21" t="n"/>
      <c r="E3002" s="22" t="n"/>
      <c r="F3002" s="23" t="n"/>
      <c r="G3002" s="23" t="n"/>
      <c r="H3002" s="23" t="n"/>
      <c r="I3002" s="20">
        <f>IF(COUNT(F3002:H3002)=0,"",SUM(F3002:H3002))</f>
        <v/>
      </c>
      <c r="J3002" s="23" t="n"/>
      <c r="K3002" s="23" t="n"/>
      <c r="L3002" s="23" t="n"/>
      <c r="M3002" s="23" t="n"/>
      <c r="N3002" s="23" t="n"/>
      <c r="O3002" s="20">
        <f>IF(OR(I3002="",COUNT(J3002:N3002)=0),"",IF(SUM(J3002:N3002)=I3002,"✓","⚠ "&amp;SUM(J3002:N3002)&amp;" statt "&amp;I3002))</f>
        <v/>
      </c>
      <c r="P3002" s="21" t="n"/>
      <c r="Q3002" s="21" t="n"/>
      <c r="R3002" s="21" t="n"/>
      <c r="S3002" s="24" t="n"/>
      <c r="T3002" s="24" t="n"/>
      <c r="V3002">
        <f>IF(A3002="","",MONTH(A3002))</f>
        <v/>
      </c>
      <c r="W3002">
        <f>N(W3001)+IF(AND(C3002&lt;&gt;"",T3002&lt;&gt;""),IF(C3002=WOCHE!$B$3,1,0),0)</f>
        <v/>
      </c>
      <c r="X3002">
        <f>N(X3001)+IF(AND(V3002&lt;&gt;"",T3002&lt;&gt;""),IF(V3002=MONAT!$AZ$3,1,0),0)</f>
        <v/>
      </c>
    </row>
    <row r="3003">
      <c r="A3003" s="19" t="n"/>
      <c r="B3003" s="20">
        <f>IF(A3003="","",CHOOSE(WEEKDAY(A3003,2),"Mo","Di","Mi","Do","Fr","Sa","So"))</f>
        <v/>
      </c>
      <c r="C3003" s="20">
        <f>IF(A3003="","",INT((A3003-DATE(YEAR(A3003-WEEKDAY(A3003-1)+4),1,3)+WEEKDAY(DATE(YEAR(A3003-WEEKDAY(A3003-1)+4),1,3))+5)/7))</f>
        <v/>
      </c>
      <c r="D3003" s="21" t="n"/>
      <c r="E3003" s="22" t="n"/>
      <c r="F3003" s="23" t="n"/>
      <c r="G3003" s="23" t="n"/>
      <c r="H3003" s="23" t="n"/>
      <c r="I3003" s="20">
        <f>IF(COUNT(F3003:H3003)=0,"",SUM(F3003:H3003))</f>
        <v/>
      </c>
      <c r="J3003" s="23" t="n"/>
      <c r="K3003" s="23" t="n"/>
      <c r="L3003" s="23" t="n"/>
      <c r="M3003" s="23" t="n"/>
      <c r="N3003" s="23" t="n"/>
      <c r="O3003" s="20">
        <f>IF(OR(I3003="",COUNT(J3003:N3003)=0),"",IF(SUM(J3003:N3003)=I3003,"✓","⚠ "&amp;SUM(J3003:N3003)&amp;" statt "&amp;I3003))</f>
        <v/>
      </c>
      <c r="P3003" s="21" t="n"/>
      <c r="Q3003" s="21" t="n"/>
      <c r="R3003" s="21" t="n"/>
      <c r="S3003" s="24" t="n"/>
      <c r="T3003" s="24" t="n"/>
      <c r="V3003">
        <f>IF(A3003="","",MONTH(A3003))</f>
        <v/>
      </c>
      <c r="W3003">
        <f>N(W3002)+IF(AND(C3003&lt;&gt;"",T3003&lt;&gt;""),IF(C3003=WOCHE!$B$3,1,0),0)</f>
        <v/>
      </c>
      <c r="X3003">
        <f>N(X3002)+IF(AND(V3003&lt;&gt;"",T3003&lt;&gt;""),IF(V3003=MONAT!$AZ$3,1,0),0)</f>
        <v/>
      </c>
    </row>
    <row r="3004">
      <c r="A3004" s="19" t="n"/>
      <c r="B3004" s="20">
        <f>IF(A3004="","",CHOOSE(WEEKDAY(A3004,2),"Mo","Di","Mi","Do","Fr","Sa","So"))</f>
        <v/>
      </c>
      <c r="C3004" s="20">
        <f>IF(A3004="","",INT((A3004-DATE(YEAR(A3004-WEEKDAY(A3004-1)+4),1,3)+WEEKDAY(DATE(YEAR(A3004-WEEKDAY(A3004-1)+4),1,3))+5)/7))</f>
        <v/>
      </c>
      <c r="D3004" s="21" t="n"/>
      <c r="E3004" s="22" t="n"/>
      <c r="F3004" s="23" t="n"/>
      <c r="G3004" s="23" t="n"/>
      <c r="H3004" s="23" t="n"/>
      <c r="I3004" s="20">
        <f>IF(COUNT(F3004:H3004)=0,"",SUM(F3004:H3004))</f>
        <v/>
      </c>
      <c r="J3004" s="23" t="n"/>
      <c r="K3004" s="23" t="n"/>
      <c r="L3004" s="23" t="n"/>
      <c r="M3004" s="23" t="n"/>
      <c r="N3004" s="23" t="n"/>
      <c r="O3004" s="20">
        <f>IF(OR(I3004="",COUNT(J3004:N3004)=0),"",IF(SUM(J3004:N3004)=I3004,"✓","⚠ "&amp;SUM(J3004:N3004)&amp;" statt "&amp;I3004))</f>
        <v/>
      </c>
      <c r="P3004" s="21" t="n"/>
      <c r="Q3004" s="21" t="n"/>
      <c r="R3004" s="21" t="n"/>
      <c r="S3004" s="24" t="n"/>
      <c r="T3004" s="24" t="n"/>
      <c r="V3004">
        <f>IF(A3004="","",MONTH(A3004))</f>
        <v/>
      </c>
      <c r="W3004">
        <f>N(W3003)+IF(AND(C3004&lt;&gt;"",T3004&lt;&gt;""),IF(C3004=WOCHE!$B$3,1,0),0)</f>
        <v/>
      </c>
      <c r="X3004">
        <f>N(X3003)+IF(AND(V3004&lt;&gt;"",T3004&lt;&gt;""),IF(V3004=MONAT!$AZ$3,1,0),0)</f>
        <v/>
      </c>
    </row>
    <row r="3005">
      <c r="A3005" s="19" t="n"/>
      <c r="B3005" s="20">
        <f>IF(A3005="","",CHOOSE(WEEKDAY(A3005,2),"Mo","Di","Mi","Do","Fr","Sa","So"))</f>
        <v/>
      </c>
      <c r="C3005" s="20">
        <f>IF(A3005="","",INT((A3005-DATE(YEAR(A3005-WEEKDAY(A3005-1)+4),1,3)+WEEKDAY(DATE(YEAR(A3005-WEEKDAY(A3005-1)+4),1,3))+5)/7))</f>
        <v/>
      </c>
      <c r="D3005" s="21" t="n"/>
      <c r="E3005" s="22" t="n"/>
      <c r="F3005" s="23" t="n"/>
      <c r="G3005" s="23" t="n"/>
      <c r="H3005" s="23" t="n"/>
      <c r="I3005" s="20">
        <f>IF(COUNT(F3005:H3005)=0,"",SUM(F3005:H3005))</f>
        <v/>
      </c>
      <c r="J3005" s="23" t="n"/>
      <c r="K3005" s="23" t="n"/>
      <c r="L3005" s="23" t="n"/>
      <c r="M3005" s="23" t="n"/>
      <c r="N3005" s="23" t="n"/>
      <c r="O3005" s="20">
        <f>IF(OR(I3005="",COUNT(J3005:N3005)=0),"",IF(SUM(J3005:N3005)=I3005,"✓","⚠ "&amp;SUM(J3005:N3005)&amp;" statt "&amp;I3005))</f>
        <v/>
      </c>
      <c r="P3005" s="21" t="n"/>
      <c r="Q3005" s="21" t="n"/>
      <c r="R3005" s="21" t="n"/>
      <c r="S3005" s="24" t="n"/>
      <c r="T3005" s="24" t="n"/>
      <c r="V3005">
        <f>IF(A3005="","",MONTH(A3005))</f>
        <v/>
      </c>
      <c r="W3005">
        <f>N(W3004)+IF(AND(C3005&lt;&gt;"",T3005&lt;&gt;""),IF(C3005=WOCHE!$B$3,1,0),0)</f>
        <v/>
      </c>
      <c r="X3005">
        <f>N(X3004)+IF(AND(V3005&lt;&gt;"",T3005&lt;&gt;""),IF(V3005=MONAT!$AZ$3,1,0),0)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5:T3005"/>
  <conditionalFormatting sqref="A6:N3005">
    <cfRule type="expression" priority="1" dxfId="0">
      <formula>AND(ISNUMBER($A6),MOD($A6,2)=1)</formula>
    </cfRule>
  </conditionalFormatting>
  <conditionalFormatting sqref="O6:O3005">
    <cfRule type="expression" priority="2" dxfId="1">
      <formula>LEFT($O6,1)="⚠"</formula>
    </cfRule>
  </conditionalFormatting>
  <dataValidations count="5">
    <dataValidation sqref="A6:A3005" showDropDown="0" showInputMessage="0" showErrorMessage="1" allowBlank="0" errorTitle="Datum" error="Bitte ein Datum im eingestellten Jahr (TT.MM.JJJJ)." type="date" operator="between">
      <formula1>DATE(LISTEN!$F$2,1,1)</formula1>
      <formula2>DATE(LISTEN!$F$2,12,31)</formula2>
    </dataValidation>
    <dataValidation sqref="D6:D3005" showDropDown="0" showInputMessage="0" showErrorMessage="1" allowBlank="0" errorTitle="Angebot" error="Bitte Angebot aus der Liste wählen – neue Angebote im Blatt LISTEN ergänzen." type="list">
      <formula1>LISTEN!$A$2:$A$31</formula1>
    </dataValidation>
    <dataValidation sqref="P6:R3005" showDropDown="0" showInputMessage="0" showErrorMessage="1" allowBlank="0" errorTitle="Dienst" error="Bitte Namen aus der Liste wählen – neue Namen im Blatt LISTEN ergänzen." type="list">
      <formula1>LISTEN!$C$2:$C$31</formula1>
    </dataValidation>
    <dataValidation sqref="F6:H3005 J6:N3005" showDropDown="0" showInputMessage="0" showErrorMessage="1" allowBlank="0" error="Bitte eine ganze Zahl ≥ 0 eingeben." type="whole" operator="greaterThanOrEqual">
      <formula1>0</formula1>
    </dataValidation>
    <dataValidation sqref="E6:E3005" showDropDown="0" showInputMessage="0" showErrorMessage="1" allowBlank="0" error="Stunden zwischen 0 und 24 (z. B. 3,5)." type="decimal" operator="between">
      <formula1>0</formula1>
      <formula2>24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AY8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3" customWidth="1" min="17" max="17"/>
    <col hidden="1" width="13" customWidth="1" min="51" max="51"/>
  </cols>
  <sheetData>
    <row r="1">
      <c r="A1" s="15">
        <f>"Wochenübersicht "&amp;LISTEN!$F$3</f>
        <v/>
      </c>
    </row>
    <row r="2">
      <c r="A2" s="16" t="inlineStr">
        <is>
          <t>Kalenderwoche in der gelben Zelle eintragen – alles andere rechnet automatisch.</t>
        </is>
      </c>
    </row>
    <row r="3">
      <c r="A3" s="25" t="inlineStr">
        <is>
          <t>Kalenderwoche:</t>
        </is>
      </c>
      <c r="B3" s="26" t="n">
        <v>39</v>
      </c>
      <c r="C3" s="27" t="inlineStr">
        <is>
          <t>von</t>
        </is>
      </c>
      <c r="D3" s="28">
        <f>DATE(LISTEN!$F$2,1,4)-WEEKDAY(DATE(LISTEN!$F$2,1,4),2)+1+($B$3-1)*7</f>
        <v/>
      </c>
      <c r="E3" s="29" t="n"/>
      <c r="F3" s="27" t="inlineStr">
        <is>
          <t>bis</t>
        </is>
      </c>
      <c r="G3" s="28">
        <f>D3+6</f>
        <v/>
      </c>
      <c r="H3" s="29" t="n"/>
    </row>
    <row r="5">
      <c r="A5" s="30" t="inlineStr">
        <is>
          <t>Öffnungstage</t>
        </is>
      </c>
      <c r="B5" s="31" t="n"/>
      <c r="C5" s="30" t="inlineStr">
        <is>
          <t>Einträge (Angebote)</t>
        </is>
      </c>
      <c r="D5" s="31" t="n"/>
      <c r="E5" s="30" t="inlineStr">
        <is>
          <t>Kontakte gesamt</t>
        </is>
      </c>
      <c r="F5" s="31" t="n"/>
      <c r="G5" s="30" t="inlineStr">
        <is>
          <t>Ø Kontakte pro Öffnungstag</t>
        </is>
      </c>
      <c r="H5" s="31" t="n"/>
      <c r="I5" s="30" t="inlineStr">
        <is>
          <t>Stunden</t>
        </is>
      </c>
      <c r="J5" s="31" t="n"/>
      <c r="K5" s="30" t="inlineStr">
        <is>
          <t>weiblich</t>
        </is>
      </c>
      <c r="L5" s="31" t="n"/>
      <c r="M5" s="30" t="inlineStr">
        <is>
          <t>divers</t>
        </is>
      </c>
      <c r="N5" s="31" t="n"/>
      <c r="O5" s="30" t="inlineStr">
        <is>
          <t>männlich</t>
        </is>
      </c>
      <c r="P5" s="31" t="n"/>
    </row>
    <row r="6" ht="28" customHeight="1">
      <c r="A6" s="32">
        <f>COUNTIF($C$10:$C$16,"&gt;0")</f>
        <v/>
      </c>
      <c r="B6" s="31" t="n"/>
      <c r="C6" s="32">
        <f>$C$17</f>
        <v/>
      </c>
      <c r="D6" s="31" t="n"/>
      <c r="E6" s="32">
        <f>($E$17+$F$17+$G$17)</f>
        <v/>
      </c>
      <c r="F6" s="31" t="n"/>
      <c r="G6" s="33">
        <f>IF(N(COUNTIF($C$10:$C$16,"&gt;0"))=0,0,($E$17+$F$17+$G$17)/COUNTIF($C$10:$C$16,"&gt;0"))</f>
        <v/>
      </c>
      <c r="H6" s="31" t="n"/>
      <c r="I6" s="34">
        <f>$D$17</f>
        <v/>
      </c>
      <c r="J6" s="31" t="n"/>
      <c r="K6" s="35">
        <f>IF(($E$17+$F$17+$G$17)=0,0,$E$17/($E$17+$F$17+$G$17))</f>
        <v/>
      </c>
      <c r="L6" s="31" t="n"/>
      <c r="M6" s="35">
        <f>IF(($E$17+$F$17+$G$17)=0,0,$F$17/($E$17+$F$17+$G$17))</f>
        <v/>
      </c>
      <c r="N6" s="31" t="n"/>
      <c r="O6" s="35">
        <f>IF(($E$17+$F$17+$G$17)=0,0,$G$17/($E$17+$F$17+$G$17))</f>
        <v/>
      </c>
      <c r="P6" s="31" t="n"/>
    </row>
    <row r="8">
      <c r="A8" s="5" t="inlineStr">
        <is>
          <t>Tage der Woche</t>
        </is>
      </c>
    </row>
    <row r="9">
      <c r="A9" s="6" t="inlineStr">
        <is>
          <t>Tag</t>
        </is>
      </c>
      <c r="B9" s="6" t="inlineStr">
        <is>
          <t>Datum</t>
        </is>
      </c>
      <c r="C9" s="6" t="inlineStr">
        <is>
          <t>Einträge</t>
        </is>
      </c>
      <c r="D9" s="6" t="inlineStr">
        <is>
          <t>Stunden</t>
        </is>
      </c>
      <c r="E9" s="6" t="inlineStr">
        <is>
          <t>w</t>
        </is>
      </c>
      <c r="F9" s="6" t="inlineStr">
        <is>
          <t>d</t>
        </is>
      </c>
      <c r="G9" s="6" t="inlineStr">
        <is>
          <t>m</t>
        </is>
      </c>
      <c r="H9" s="6" t="inlineStr">
        <is>
          <t>gesamt</t>
        </is>
      </c>
      <c r="I9" s="6" t="inlineStr">
        <is>
          <t>unter 10</t>
        </is>
      </c>
      <c r="J9" s="6" t="inlineStr">
        <is>
          <t>ab 10</t>
        </is>
      </c>
      <c r="K9" s="6" t="inlineStr">
        <is>
          <t>ab 14</t>
        </is>
      </c>
      <c r="L9" s="6" t="inlineStr">
        <is>
          <t>ab 16</t>
        </is>
      </c>
      <c r="M9" s="6" t="inlineStr">
        <is>
          <t>ab 18</t>
        </is>
      </c>
    </row>
    <row r="10">
      <c r="A10" s="7">
        <f>CHOOSE(1,"Mo","Di","Mi","Do","Fr","Sa","So")&amp;" "&amp;DAY(B10)&amp;"."&amp;MONTH(B10)&amp;"."</f>
        <v/>
      </c>
      <c r="B10" s="36">
        <f>$D$3+0</f>
        <v/>
      </c>
      <c r="C10" s="7">
        <f>SUMIFS(KALENDER!$F$5:$F$370,KALENDER!$A$5:$A$370,B10)</f>
        <v/>
      </c>
      <c r="D10" s="37">
        <f>SUMIFS(KALENDER!$H$5:$H$370,KALENDER!$A$5:$A$370,B10)</f>
        <v/>
      </c>
      <c r="E10" s="7">
        <f>SUMIFS(KALENDER!$I$5:$I$370,KALENDER!$A$5:$A$370,B10)</f>
        <v/>
      </c>
      <c r="F10" s="7">
        <f>SUMIFS(KALENDER!$J$5:$J$370,KALENDER!$A$5:$A$370,B10)</f>
        <v/>
      </c>
      <c r="G10" s="7">
        <f>SUMIFS(KALENDER!$K$5:$K$370,KALENDER!$A$5:$A$370,B10)</f>
        <v/>
      </c>
      <c r="H10" s="7">
        <f>SUMIFS(KALENDER!$L$5:$L$370,KALENDER!$A$5:$A$370,B10)</f>
        <v/>
      </c>
      <c r="I10" s="7">
        <f>SUMIFS(KALENDER!$M$5:$M$370,KALENDER!$A$5:$A$370,B10)</f>
        <v/>
      </c>
      <c r="J10" s="7">
        <f>SUMIFS(KALENDER!$N$5:$N$370,KALENDER!$A$5:$A$370,B10)</f>
        <v/>
      </c>
      <c r="K10" s="7">
        <f>SUMIFS(KALENDER!$O$5:$O$370,KALENDER!$A$5:$A$370,B10)</f>
        <v/>
      </c>
      <c r="L10" s="7">
        <f>SUMIFS(KALENDER!$P$5:$P$370,KALENDER!$A$5:$A$370,B10)</f>
        <v/>
      </c>
      <c r="M10" s="7">
        <f>SUMIFS(KALENDER!$Q$5:$Q$370,KALENDER!$A$5:$A$370,B10)</f>
        <v/>
      </c>
    </row>
    <row r="11">
      <c r="A11" s="7">
        <f>CHOOSE(2,"Mo","Di","Mi","Do","Fr","Sa","So")&amp;" "&amp;DAY(B11)&amp;"."&amp;MONTH(B11)&amp;"."</f>
        <v/>
      </c>
      <c r="B11" s="36">
        <f>$D$3+1</f>
        <v/>
      </c>
      <c r="C11" s="7">
        <f>SUMIFS(KALENDER!$F$5:$F$370,KALENDER!$A$5:$A$370,B11)</f>
        <v/>
      </c>
      <c r="D11" s="37">
        <f>SUMIFS(KALENDER!$H$5:$H$370,KALENDER!$A$5:$A$370,B11)</f>
        <v/>
      </c>
      <c r="E11" s="7">
        <f>SUMIFS(KALENDER!$I$5:$I$370,KALENDER!$A$5:$A$370,B11)</f>
        <v/>
      </c>
      <c r="F11" s="7">
        <f>SUMIFS(KALENDER!$J$5:$J$370,KALENDER!$A$5:$A$370,B11)</f>
        <v/>
      </c>
      <c r="G11" s="7">
        <f>SUMIFS(KALENDER!$K$5:$K$370,KALENDER!$A$5:$A$370,B11)</f>
        <v/>
      </c>
      <c r="H11" s="7">
        <f>SUMIFS(KALENDER!$L$5:$L$370,KALENDER!$A$5:$A$370,B11)</f>
        <v/>
      </c>
      <c r="I11" s="7">
        <f>SUMIFS(KALENDER!$M$5:$M$370,KALENDER!$A$5:$A$370,B11)</f>
        <v/>
      </c>
      <c r="J11" s="7">
        <f>SUMIFS(KALENDER!$N$5:$N$370,KALENDER!$A$5:$A$370,B11)</f>
        <v/>
      </c>
      <c r="K11" s="7">
        <f>SUMIFS(KALENDER!$O$5:$O$370,KALENDER!$A$5:$A$370,B11)</f>
        <v/>
      </c>
      <c r="L11" s="7">
        <f>SUMIFS(KALENDER!$P$5:$P$370,KALENDER!$A$5:$A$370,B11)</f>
        <v/>
      </c>
      <c r="M11" s="7">
        <f>SUMIFS(KALENDER!$Q$5:$Q$370,KALENDER!$A$5:$A$370,B11)</f>
        <v/>
      </c>
    </row>
    <row r="12">
      <c r="A12" s="7">
        <f>CHOOSE(3,"Mo","Di","Mi","Do","Fr","Sa","So")&amp;" "&amp;DAY(B12)&amp;"."&amp;MONTH(B12)&amp;"."</f>
        <v/>
      </c>
      <c r="B12" s="36">
        <f>$D$3+2</f>
        <v/>
      </c>
      <c r="C12" s="7">
        <f>SUMIFS(KALENDER!$F$5:$F$370,KALENDER!$A$5:$A$370,B12)</f>
        <v/>
      </c>
      <c r="D12" s="37">
        <f>SUMIFS(KALENDER!$H$5:$H$370,KALENDER!$A$5:$A$370,B12)</f>
        <v/>
      </c>
      <c r="E12" s="7">
        <f>SUMIFS(KALENDER!$I$5:$I$370,KALENDER!$A$5:$A$370,B12)</f>
        <v/>
      </c>
      <c r="F12" s="7">
        <f>SUMIFS(KALENDER!$J$5:$J$370,KALENDER!$A$5:$A$370,B12)</f>
        <v/>
      </c>
      <c r="G12" s="7">
        <f>SUMIFS(KALENDER!$K$5:$K$370,KALENDER!$A$5:$A$370,B12)</f>
        <v/>
      </c>
      <c r="H12" s="7">
        <f>SUMIFS(KALENDER!$L$5:$L$370,KALENDER!$A$5:$A$370,B12)</f>
        <v/>
      </c>
      <c r="I12" s="7">
        <f>SUMIFS(KALENDER!$M$5:$M$370,KALENDER!$A$5:$A$370,B12)</f>
        <v/>
      </c>
      <c r="J12" s="7">
        <f>SUMIFS(KALENDER!$N$5:$N$370,KALENDER!$A$5:$A$370,B12)</f>
        <v/>
      </c>
      <c r="K12" s="7">
        <f>SUMIFS(KALENDER!$O$5:$O$370,KALENDER!$A$5:$A$370,B12)</f>
        <v/>
      </c>
      <c r="L12" s="7">
        <f>SUMIFS(KALENDER!$P$5:$P$370,KALENDER!$A$5:$A$370,B12)</f>
        <v/>
      </c>
      <c r="M12" s="7">
        <f>SUMIFS(KALENDER!$Q$5:$Q$370,KALENDER!$A$5:$A$370,B12)</f>
        <v/>
      </c>
    </row>
    <row r="13">
      <c r="A13" s="7">
        <f>CHOOSE(4,"Mo","Di","Mi","Do","Fr","Sa","So")&amp;" "&amp;DAY(B13)&amp;"."&amp;MONTH(B13)&amp;"."</f>
        <v/>
      </c>
      <c r="B13" s="36">
        <f>$D$3+3</f>
        <v/>
      </c>
      <c r="C13" s="7">
        <f>SUMIFS(KALENDER!$F$5:$F$370,KALENDER!$A$5:$A$370,B13)</f>
        <v/>
      </c>
      <c r="D13" s="37">
        <f>SUMIFS(KALENDER!$H$5:$H$370,KALENDER!$A$5:$A$370,B13)</f>
        <v/>
      </c>
      <c r="E13" s="7">
        <f>SUMIFS(KALENDER!$I$5:$I$370,KALENDER!$A$5:$A$370,B13)</f>
        <v/>
      </c>
      <c r="F13" s="7">
        <f>SUMIFS(KALENDER!$J$5:$J$370,KALENDER!$A$5:$A$370,B13)</f>
        <v/>
      </c>
      <c r="G13" s="7">
        <f>SUMIFS(KALENDER!$K$5:$K$370,KALENDER!$A$5:$A$370,B13)</f>
        <v/>
      </c>
      <c r="H13" s="7">
        <f>SUMIFS(KALENDER!$L$5:$L$370,KALENDER!$A$5:$A$370,B13)</f>
        <v/>
      </c>
      <c r="I13" s="7">
        <f>SUMIFS(KALENDER!$M$5:$M$370,KALENDER!$A$5:$A$370,B13)</f>
        <v/>
      </c>
      <c r="J13" s="7">
        <f>SUMIFS(KALENDER!$N$5:$N$370,KALENDER!$A$5:$A$370,B13)</f>
        <v/>
      </c>
      <c r="K13" s="7">
        <f>SUMIFS(KALENDER!$O$5:$O$370,KALENDER!$A$5:$A$370,B13)</f>
        <v/>
      </c>
      <c r="L13" s="7">
        <f>SUMIFS(KALENDER!$P$5:$P$370,KALENDER!$A$5:$A$370,B13)</f>
        <v/>
      </c>
      <c r="M13" s="7">
        <f>SUMIFS(KALENDER!$Q$5:$Q$370,KALENDER!$A$5:$A$370,B13)</f>
        <v/>
      </c>
    </row>
    <row r="14">
      <c r="A14" s="7">
        <f>CHOOSE(5,"Mo","Di","Mi","Do","Fr","Sa","So")&amp;" "&amp;DAY(B14)&amp;"."&amp;MONTH(B14)&amp;"."</f>
        <v/>
      </c>
      <c r="B14" s="36">
        <f>$D$3+4</f>
        <v/>
      </c>
      <c r="C14" s="7">
        <f>SUMIFS(KALENDER!$F$5:$F$370,KALENDER!$A$5:$A$370,B14)</f>
        <v/>
      </c>
      <c r="D14" s="37">
        <f>SUMIFS(KALENDER!$H$5:$H$370,KALENDER!$A$5:$A$370,B14)</f>
        <v/>
      </c>
      <c r="E14" s="7">
        <f>SUMIFS(KALENDER!$I$5:$I$370,KALENDER!$A$5:$A$370,B14)</f>
        <v/>
      </c>
      <c r="F14" s="7">
        <f>SUMIFS(KALENDER!$J$5:$J$370,KALENDER!$A$5:$A$370,B14)</f>
        <v/>
      </c>
      <c r="G14" s="7">
        <f>SUMIFS(KALENDER!$K$5:$K$370,KALENDER!$A$5:$A$370,B14)</f>
        <v/>
      </c>
      <c r="H14" s="7">
        <f>SUMIFS(KALENDER!$L$5:$L$370,KALENDER!$A$5:$A$370,B14)</f>
        <v/>
      </c>
      <c r="I14" s="7">
        <f>SUMIFS(KALENDER!$M$5:$M$370,KALENDER!$A$5:$A$370,B14)</f>
        <v/>
      </c>
      <c r="J14" s="7">
        <f>SUMIFS(KALENDER!$N$5:$N$370,KALENDER!$A$5:$A$370,B14)</f>
        <v/>
      </c>
      <c r="K14" s="7">
        <f>SUMIFS(KALENDER!$O$5:$O$370,KALENDER!$A$5:$A$370,B14)</f>
        <v/>
      </c>
      <c r="L14" s="7">
        <f>SUMIFS(KALENDER!$P$5:$P$370,KALENDER!$A$5:$A$370,B14)</f>
        <v/>
      </c>
      <c r="M14" s="7">
        <f>SUMIFS(KALENDER!$Q$5:$Q$370,KALENDER!$A$5:$A$370,B14)</f>
        <v/>
      </c>
    </row>
    <row r="15">
      <c r="A15" s="7">
        <f>CHOOSE(6,"Mo","Di","Mi","Do","Fr","Sa","So")&amp;" "&amp;DAY(B15)&amp;"."&amp;MONTH(B15)&amp;"."</f>
        <v/>
      </c>
      <c r="B15" s="36">
        <f>$D$3+5</f>
        <v/>
      </c>
      <c r="C15" s="7">
        <f>SUMIFS(KALENDER!$F$5:$F$370,KALENDER!$A$5:$A$370,B15)</f>
        <v/>
      </c>
      <c r="D15" s="37">
        <f>SUMIFS(KALENDER!$H$5:$H$370,KALENDER!$A$5:$A$370,B15)</f>
        <v/>
      </c>
      <c r="E15" s="7">
        <f>SUMIFS(KALENDER!$I$5:$I$370,KALENDER!$A$5:$A$370,B15)</f>
        <v/>
      </c>
      <c r="F15" s="7">
        <f>SUMIFS(KALENDER!$J$5:$J$370,KALENDER!$A$5:$A$370,B15)</f>
        <v/>
      </c>
      <c r="G15" s="7">
        <f>SUMIFS(KALENDER!$K$5:$K$370,KALENDER!$A$5:$A$370,B15)</f>
        <v/>
      </c>
      <c r="H15" s="7">
        <f>SUMIFS(KALENDER!$L$5:$L$370,KALENDER!$A$5:$A$370,B15)</f>
        <v/>
      </c>
      <c r="I15" s="7">
        <f>SUMIFS(KALENDER!$M$5:$M$370,KALENDER!$A$5:$A$370,B15)</f>
        <v/>
      </c>
      <c r="J15" s="7">
        <f>SUMIFS(KALENDER!$N$5:$N$370,KALENDER!$A$5:$A$370,B15)</f>
        <v/>
      </c>
      <c r="K15" s="7">
        <f>SUMIFS(KALENDER!$O$5:$O$370,KALENDER!$A$5:$A$370,B15)</f>
        <v/>
      </c>
      <c r="L15" s="7">
        <f>SUMIFS(KALENDER!$P$5:$P$370,KALENDER!$A$5:$A$370,B15)</f>
        <v/>
      </c>
      <c r="M15" s="7">
        <f>SUMIFS(KALENDER!$Q$5:$Q$370,KALENDER!$A$5:$A$370,B15)</f>
        <v/>
      </c>
    </row>
    <row r="16">
      <c r="A16" s="7">
        <f>CHOOSE(7,"Mo","Di","Mi","Do","Fr","Sa","So")&amp;" "&amp;DAY(B16)&amp;"."&amp;MONTH(B16)&amp;"."</f>
        <v/>
      </c>
      <c r="B16" s="36">
        <f>$D$3+6</f>
        <v/>
      </c>
      <c r="C16" s="7">
        <f>SUMIFS(KALENDER!$F$5:$F$370,KALENDER!$A$5:$A$370,B16)</f>
        <v/>
      </c>
      <c r="D16" s="37">
        <f>SUMIFS(KALENDER!$H$5:$H$370,KALENDER!$A$5:$A$370,B16)</f>
        <v/>
      </c>
      <c r="E16" s="7">
        <f>SUMIFS(KALENDER!$I$5:$I$370,KALENDER!$A$5:$A$370,B16)</f>
        <v/>
      </c>
      <c r="F16" s="7">
        <f>SUMIFS(KALENDER!$J$5:$J$370,KALENDER!$A$5:$A$370,B16)</f>
        <v/>
      </c>
      <c r="G16" s="7">
        <f>SUMIFS(KALENDER!$K$5:$K$370,KALENDER!$A$5:$A$370,B16)</f>
        <v/>
      </c>
      <c r="H16" s="7">
        <f>SUMIFS(KALENDER!$L$5:$L$370,KALENDER!$A$5:$A$370,B16)</f>
        <v/>
      </c>
      <c r="I16" s="7">
        <f>SUMIFS(KALENDER!$M$5:$M$370,KALENDER!$A$5:$A$370,B16)</f>
        <v/>
      </c>
      <c r="J16" s="7">
        <f>SUMIFS(KALENDER!$N$5:$N$370,KALENDER!$A$5:$A$370,B16)</f>
        <v/>
      </c>
      <c r="K16" s="7">
        <f>SUMIFS(KALENDER!$O$5:$O$370,KALENDER!$A$5:$A$370,B16)</f>
        <v/>
      </c>
      <c r="L16" s="7">
        <f>SUMIFS(KALENDER!$P$5:$P$370,KALENDER!$A$5:$A$370,B16)</f>
        <v/>
      </c>
      <c r="M16" s="7">
        <f>SUMIFS(KALENDER!$Q$5:$Q$370,KALENDER!$A$5:$A$370,B16)</f>
        <v/>
      </c>
    </row>
    <row r="17">
      <c r="A17" s="38" t="inlineStr">
        <is>
          <t>SUMME</t>
        </is>
      </c>
      <c r="B17" s="18" t="n"/>
      <c r="C17" s="18">
        <f>SUM(C10:C16)</f>
        <v/>
      </c>
      <c r="D17" s="18">
        <f>SUM(D10:D16)</f>
        <v/>
      </c>
      <c r="E17" s="18">
        <f>SUM(E10:E16)</f>
        <v/>
      </c>
      <c r="F17" s="18">
        <f>SUM(F10:F16)</f>
        <v/>
      </c>
      <c r="G17" s="18">
        <f>SUM(G10:G16)</f>
        <v/>
      </c>
      <c r="H17" s="18">
        <f>SUM(H10:H16)</f>
        <v/>
      </c>
      <c r="I17" s="18">
        <f>SUM(I10:I16)</f>
        <v/>
      </c>
      <c r="J17" s="18">
        <f>SUM(J10:J16)</f>
        <v/>
      </c>
      <c r="K17" s="18">
        <f>SUM(K10:K16)</f>
        <v/>
      </c>
      <c r="L17" s="18">
        <f>SUM(L10:L16)</f>
        <v/>
      </c>
      <c r="M17" s="18">
        <f>SUM(M10:M16)</f>
        <v/>
      </c>
    </row>
    <row r="19">
      <c r="A19" s="5" t="inlineStr">
        <is>
          <t>Angebote dieser Woche</t>
        </is>
      </c>
    </row>
    <row r="20">
      <c r="A20" s="6" t="inlineStr">
        <is>
          <t>Angebot</t>
        </is>
      </c>
      <c r="B20" s="6" t="inlineStr">
        <is>
          <t>Einträge</t>
        </is>
      </c>
      <c r="C20" s="6" t="inlineStr">
        <is>
          <t>Stunden</t>
        </is>
      </c>
      <c r="D20" s="6" t="inlineStr">
        <is>
          <t>w</t>
        </is>
      </c>
      <c r="E20" s="6" t="inlineStr">
        <is>
          <t>d</t>
        </is>
      </c>
      <c r="F20" s="6" t="inlineStr">
        <is>
          <t>m</t>
        </is>
      </c>
      <c r="G20" s="6" t="inlineStr">
        <is>
          <t>gesamt</t>
        </is>
      </c>
      <c r="H20" s="6" t="inlineStr">
        <is>
          <t>unter 10</t>
        </is>
      </c>
      <c r="I20" s="6" t="inlineStr">
        <is>
          <t>ab 10</t>
        </is>
      </c>
      <c r="J20" s="6" t="inlineStr">
        <is>
          <t>ab 14</t>
        </is>
      </c>
      <c r="K20" s="6" t="inlineStr">
        <is>
          <t>ab 16</t>
        </is>
      </c>
      <c r="L20" s="6" t="inlineStr">
        <is>
          <t>ab 18</t>
        </is>
      </c>
      <c r="M20" s="6" t="inlineStr">
        <is>
          <t>Anteil</t>
        </is>
      </c>
    </row>
    <row r="21">
      <c r="A21" s="39">
        <f>IF(LISTEN!$A$2="","",LISTEN!$A$2)</f>
        <v/>
      </c>
      <c r="B21" s="7">
        <f>IF($A21="","",COUNTIFS(ERFASSUNG!$D$6:$D$3005,$A21,ERFASSUNG!$C$6:$C$3005,$B$3))</f>
        <v/>
      </c>
      <c r="C21" s="7">
        <f>IF($A21="","",SUMIFS(ERFASSUNG!$E$6:$E$3005,ERFASSUNG!$D$6:$D$3005,$A21,ERFASSUNG!$C$6:$C$3005,$B$3))</f>
        <v/>
      </c>
      <c r="D21" s="7">
        <f>IF($A21="","",SUMIFS(ERFASSUNG!$F$6:$F$3005,ERFASSUNG!$D$6:$D$3005,$A21,ERFASSUNG!$C$6:$C$3005,$B$3))</f>
        <v/>
      </c>
      <c r="E21" s="7">
        <f>IF($A21="","",SUMIFS(ERFASSUNG!$G$6:$G$3005,ERFASSUNG!$D$6:$D$3005,$A21,ERFASSUNG!$C$6:$C$3005,$B$3))</f>
        <v/>
      </c>
      <c r="F21" s="7">
        <f>IF($A21="","",SUMIFS(ERFASSUNG!$H$6:$H$3005,ERFASSUNG!$D$6:$D$3005,$A21,ERFASSUNG!$C$6:$C$3005,$B$3))</f>
        <v/>
      </c>
      <c r="G21" s="7">
        <f>IF($A21="","",SUMIFS(ERFASSUNG!$I$6:$I$3005,ERFASSUNG!$D$6:$D$3005,$A21,ERFASSUNG!$C$6:$C$3005,$B$3))</f>
        <v/>
      </c>
      <c r="H21" s="7">
        <f>IF($A21="","",SUMIFS(ERFASSUNG!$J$6:$J$3005,ERFASSUNG!$D$6:$D$3005,$A21,ERFASSUNG!$C$6:$C$3005,$B$3))</f>
        <v/>
      </c>
      <c r="I21" s="7">
        <f>IF($A21="","",SUMIFS(ERFASSUNG!$K$6:$K$3005,ERFASSUNG!$D$6:$D$3005,$A21,ERFASSUNG!$C$6:$C$3005,$B$3))</f>
        <v/>
      </c>
      <c r="J21" s="7">
        <f>IF($A21="","",SUMIFS(ERFASSUNG!$L$6:$L$3005,ERFASSUNG!$D$6:$D$3005,$A21,ERFASSUNG!$C$6:$C$3005,$B$3))</f>
        <v/>
      </c>
      <c r="K21" s="7">
        <f>IF($A21="","",SUMIFS(ERFASSUNG!$M$6:$M$3005,ERFASSUNG!$D$6:$D$3005,$A21,ERFASSUNG!$C$6:$C$3005,$B$3))</f>
        <v/>
      </c>
      <c r="L21" s="7">
        <f>IF($A21="","",SUMIFS(ERFASSUNG!$N$6:$N$3005,ERFASSUNG!$D$6:$D$3005,$A21,ERFASSUNG!$C$6:$C$3005,$B$3))</f>
        <v/>
      </c>
      <c r="M21" s="40">
        <f>IF(OR($A21="",N($G$51)=0),"",G21/$G$51)</f>
        <v/>
      </c>
    </row>
    <row r="22">
      <c r="A22" s="41">
        <f>IF(LISTEN!$A$3="","",LISTEN!$A$3)</f>
        <v/>
      </c>
      <c r="B22" s="42">
        <f>IF($A22="","",COUNTIFS(ERFASSUNG!$D$6:$D$3005,$A22,ERFASSUNG!$C$6:$C$3005,$B$3))</f>
        <v/>
      </c>
      <c r="C22" s="42">
        <f>IF($A22="","",SUMIFS(ERFASSUNG!$E$6:$E$3005,ERFASSUNG!$D$6:$D$3005,$A22,ERFASSUNG!$C$6:$C$3005,$B$3))</f>
        <v/>
      </c>
      <c r="D22" s="42">
        <f>IF($A22="","",SUMIFS(ERFASSUNG!$F$6:$F$3005,ERFASSUNG!$D$6:$D$3005,$A22,ERFASSUNG!$C$6:$C$3005,$B$3))</f>
        <v/>
      </c>
      <c r="E22" s="42">
        <f>IF($A22="","",SUMIFS(ERFASSUNG!$G$6:$G$3005,ERFASSUNG!$D$6:$D$3005,$A22,ERFASSUNG!$C$6:$C$3005,$B$3))</f>
        <v/>
      </c>
      <c r="F22" s="42">
        <f>IF($A22="","",SUMIFS(ERFASSUNG!$H$6:$H$3005,ERFASSUNG!$D$6:$D$3005,$A22,ERFASSUNG!$C$6:$C$3005,$B$3))</f>
        <v/>
      </c>
      <c r="G22" s="42">
        <f>IF($A22="","",SUMIFS(ERFASSUNG!$I$6:$I$3005,ERFASSUNG!$D$6:$D$3005,$A22,ERFASSUNG!$C$6:$C$3005,$B$3))</f>
        <v/>
      </c>
      <c r="H22" s="42">
        <f>IF($A22="","",SUMIFS(ERFASSUNG!$J$6:$J$3005,ERFASSUNG!$D$6:$D$3005,$A22,ERFASSUNG!$C$6:$C$3005,$B$3))</f>
        <v/>
      </c>
      <c r="I22" s="42">
        <f>IF($A22="","",SUMIFS(ERFASSUNG!$K$6:$K$3005,ERFASSUNG!$D$6:$D$3005,$A22,ERFASSUNG!$C$6:$C$3005,$B$3))</f>
        <v/>
      </c>
      <c r="J22" s="42">
        <f>IF($A22="","",SUMIFS(ERFASSUNG!$L$6:$L$3005,ERFASSUNG!$D$6:$D$3005,$A22,ERFASSUNG!$C$6:$C$3005,$B$3))</f>
        <v/>
      </c>
      <c r="K22" s="42">
        <f>IF($A22="","",SUMIFS(ERFASSUNG!$M$6:$M$3005,ERFASSUNG!$D$6:$D$3005,$A22,ERFASSUNG!$C$6:$C$3005,$B$3))</f>
        <v/>
      </c>
      <c r="L22" s="42">
        <f>IF($A22="","",SUMIFS(ERFASSUNG!$N$6:$N$3005,ERFASSUNG!$D$6:$D$3005,$A22,ERFASSUNG!$C$6:$C$3005,$B$3))</f>
        <v/>
      </c>
      <c r="M22" s="43">
        <f>IF(OR($A22="",N($G$51)=0),"",G22/$G$51)</f>
        <v/>
      </c>
    </row>
    <row r="23">
      <c r="A23" s="39">
        <f>IF(LISTEN!$A$4="","",LISTEN!$A$4)</f>
        <v/>
      </c>
      <c r="B23" s="7">
        <f>IF($A23="","",COUNTIFS(ERFASSUNG!$D$6:$D$3005,$A23,ERFASSUNG!$C$6:$C$3005,$B$3))</f>
        <v/>
      </c>
      <c r="C23" s="7">
        <f>IF($A23="","",SUMIFS(ERFASSUNG!$E$6:$E$3005,ERFASSUNG!$D$6:$D$3005,$A23,ERFASSUNG!$C$6:$C$3005,$B$3))</f>
        <v/>
      </c>
      <c r="D23" s="7">
        <f>IF($A23="","",SUMIFS(ERFASSUNG!$F$6:$F$3005,ERFASSUNG!$D$6:$D$3005,$A23,ERFASSUNG!$C$6:$C$3005,$B$3))</f>
        <v/>
      </c>
      <c r="E23" s="7">
        <f>IF($A23="","",SUMIFS(ERFASSUNG!$G$6:$G$3005,ERFASSUNG!$D$6:$D$3005,$A23,ERFASSUNG!$C$6:$C$3005,$B$3))</f>
        <v/>
      </c>
      <c r="F23" s="7">
        <f>IF($A23="","",SUMIFS(ERFASSUNG!$H$6:$H$3005,ERFASSUNG!$D$6:$D$3005,$A23,ERFASSUNG!$C$6:$C$3005,$B$3))</f>
        <v/>
      </c>
      <c r="G23" s="7">
        <f>IF($A23="","",SUMIFS(ERFASSUNG!$I$6:$I$3005,ERFASSUNG!$D$6:$D$3005,$A23,ERFASSUNG!$C$6:$C$3005,$B$3))</f>
        <v/>
      </c>
      <c r="H23" s="7">
        <f>IF($A23="","",SUMIFS(ERFASSUNG!$J$6:$J$3005,ERFASSUNG!$D$6:$D$3005,$A23,ERFASSUNG!$C$6:$C$3005,$B$3))</f>
        <v/>
      </c>
      <c r="I23" s="7">
        <f>IF($A23="","",SUMIFS(ERFASSUNG!$K$6:$K$3005,ERFASSUNG!$D$6:$D$3005,$A23,ERFASSUNG!$C$6:$C$3005,$B$3))</f>
        <v/>
      </c>
      <c r="J23" s="7">
        <f>IF($A23="","",SUMIFS(ERFASSUNG!$L$6:$L$3005,ERFASSUNG!$D$6:$D$3005,$A23,ERFASSUNG!$C$6:$C$3005,$B$3))</f>
        <v/>
      </c>
      <c r="K23" s="7">
        <f>IF($A23="","",SUMIFS(ERFASSUNG!$M$6:$M$3005,ERFASSUNG!$D$6:$D$3005,$A23,ERFASSUNG!$C$6:$C$3005,$B$3))</f>
        <v/>
      </c>
      <c r="L23" s="7">
        <f>IF($A23="","",SUMIFS(ERFASSUNG!$N$6:$N$3005,ERFASSUNG!$D$6:$D$3005,$A23,ERFASSUNG!$C$6:$C$3005,$B$3))</f>
        <v/>
      </c>
      <c r="M23" s="40">
        <f>IF(OR($A23="",N($G$51)=0),"",G23/$G$51)</f>
        <v/>
      </c>
    </row>
    <row r="24">
      <c r="A24" s="41">
        <f>IF(LISTEN!$A$5="","",LISTEN!$A$5)</f>
        <v/>
      </c>
      <c r="B24" s="42">
        <f>IF($A24="","",COUNTIFS(ERFASSUNG!$D$6:$D$3005,$A24,ERFASSUNG!$C$6:$C$3005,$B$3))</f>
        <v/>
      </c>
      <c r="C24" s="42">
        <f>IF($A24="","",SUMIFS(ERFASSUNG!$E$6:$E$3005,ERFASSUNG!$D$6:$D$3005,$A24,ERFASSUNG!$C$6:$C$3005,$B$3))</f>
        <v/>
      </c>
      <c r="D24" s="42">
        <f>IF($A24="","",SUMIFS(ERFASSUNG!$F$6:$F$3005,ERFASSUNG!$D$6:$D$3005,$A24,ERFASSUNG!$C$6:$C$3005,$B$3))</f>
        <v/>
      </c>
      <c r="E24" s="42">
        <f>IF($A24="","",SUMIFS(ERFASSUNG!$G$6:$G$3005,ERFASSUNG!$D$6:$D$3005,$A24,ERFASSUNG!$C$6:$C$3005,$B$3))</f>
        <v/>
      </c>
      <c r="F24" s="42">
        <f>IF($A24="","",SUMIFS(ERFASSUNG!$H$6:$H$3005,ERFASSUNG!$D$6:$D$3005,$A24,ERFASSUNG!$C$6:$C$3005,$B$3))</f>
        <v/>
      </c>
      <c r="G24" s="42">
        <f>IF($A24="","",SUMIFS(ERFASSUNG!$I$6:$I$3005,ERFASSUNG!$D$6:$D$3005,$A24,ERFASSUNG!$C$6:$C$3005,$B$3))</f>
        <v/>
      </c>
      <c r="H24" s="42">
        <f>IF($A24="","",SUMIFS(ERFASSUNG!$J$6:$J$3005,ERFASSUNG!$D$6:$D$3005,$A24,ERFASSUNG!$C$6:$C$3005,$B$3))</f>
        <v/>
      </c>
      <c r="I24" s="42">
        <f>IF($A24="","",SUMIFS(ERFASSUNG!$K$6:$K$3005,ERFASSUNG!$D$6:$D$3005,$A24,ERFASSUNG!$C$6:$C$3005,$B$3))</f>
        <v/>
      </c>
      <c r="J24" s="42">
        <f>IF($A24="","",SUMIFS(ERFASSUNG!$L$6:$L$3005,ERFASSUNG!$D$6:$D$3005,$A24,ERFASSUNG!$C$6:$C$3005,$B$3))</f>
        <v/>
      </c>
      <c r="K24" s="42">
        <f>IF($A24="","",SUMIFS(ERFASSUNG!$M$6:$M$3005,ERFASSUNG!$D$6:$D$3005,$A24,ERFASSUNG!$C$6:$C$3005,$B$3))</f>
        <v/>
      </c>
      <c r="L24" s="42">
        <f>IF($A24="","",SUMIFS(ERFASSUNG!$N$6:$N$3005,ERFASSUNG!$D$6:$D$3005,$A24,ERFASSUNG!$C$6:$C$3005,$B$3))</f>
        <v/>
      </c>
      <c r="M24" s="43">
        <f>IF(OR($A24="",N($G$51)=0),"",G24/$G$51)</f>
        <v/>
      </c>
    </row>
    <row r="25">
      <c r="A25" s="39">
        <f>IF(LISTEN!$A$6="","",LISTEN!$A$6)</f>
        <v/>
      </c>
      <c r="B25" s="7">
        <f>IF($A25="","",COUNTIFS(ERFASSUNG!$D$6:$D$3005,$A25,ERFASSUNG!$C$6:$C$3005,$B$3))</f>
        <v/>
      </c>
      <c r="C25" s="7">
        <f>IF($A25="","",SUMIFS(ERFASSUNG!$E$6:$E$3005,ERFASSUNG!$D$6:$D$3005,$A25,ERFASSUNG!$C$6:$C$3005,$B$3))</f>
        <v/>
      </c>
      <c r="D25" s="7">
        <f>IF($A25="","",SUMIFS(ERFASSUNG!$F$6:$F$3005,ERFASSUNG!$D$6:$D$3005,$A25,ERFASSUNG!$C$6:$C$3005,$B$3))</f>
        <v/>
      </c>
      <c r="E25" s="7">
        <f>IF($A25="","",SUMIFS(ERFASSUNG!$G$6:$G$3005,ERFASSUNG!$D$6:$D$3005,$A25,ERFASSUNG!$C$6:$C$3005,$B$3))</f>
        <v/>
      </c>
      <c r="F25" s="7">
        <f>IF($A25="","",SUMIFS(ERFASSUNG!$H$6:$H$3005,ERFASSUNG!$D$6:$D$3005,$A25,ERFASSUNG!$C$6:$C$3005,$B$3))</f>
        <v/>
      </c>
      <c r="G25" s="7">
        <f>IF($A25="","",SUMIFS(ERFASSUNG!$I$6:$I$3005,ERFASSUNG!$D$6:$D$3005,$A25,ERFASSUNG!$C$6:$C$3005,$B$3))</f>
        <v/>
      </c>
      <c r="H25" s="7">
        <f>IF($A25="","",SUMIFS(ERFASSUNG!$J$6:$J$3005,ERFASSUNG!$D$6:$D$3005,$A25,ERFASSUNG!$C$6:$C$3005,$B$3))</f>
        <v/>
      </c>
      <c r="I25" s="7">
        <f>IF($A25="","",SUMIFS(ERFASSUNG!$K$6:$K$3005,ERFASSUNG!$D$6:$D$3005,$A25,ERFASSUNG!$C$6:$C$3005,$B$3))</f>
        <v/>
      </c>
      <c r="J25" s="7">
        <f>IF($A25="","",SUMIFS(ERFASSUNG!$L$6:$L$3005,ERFASSUNG!$D$6:$D$3005,$A25,ERFASSUNG!$C$6:$C$3005,$B$3))</f>
        <v/>
      </c>
      <c r="K25" s="7">
        <f>IF($A25="","",SUMIFS(ERFASSUNG!$M$6:$M$3005,ERFASSUNG!$D$6:$D$3005,$A25,ERFASSUNG!$C$6:$C$3005,$B$3))</f>
        <v/>
      </c>
      <c r="L25" s="7">
        <f>IF($A25="","",SUMIFS(ERFASSUNG!$N$6:$N$3005,ERFASSUNG!$D$6:$D$3005,$A25,ERFASSUNG!$C$6:$C$3005,$B$3))</f>
        <v/>
      </c>
      <c r="M25" s="40">
        <f>IF(OR($A25="",N($G$51)=0),"",G25/$G$51)</f>
        <v/>
      </c>
    </row>
    <row r="26">
      <c r="A26" s="41">
        <f>IF(LISTEN!$A$7="","",LISTEN!$A$7)</f>
        <v/>
      </c>
      <c r="B26" s="42">
        <f>IF($A26="","",COUNTIFS(ERFASSUNG!$D$6:$D$3005,$A26,ERFASSUNG!$C$6:$C$3005,$B$3))</f>
        <v/>
      </c>
      <c r="C26" s="42">
        <f>IF($A26="","",SUMIFS(ERFASSUNG!$E$6:$E$3005,ERFASSUNG!$D$6:$D$3005,$A26,ERFASSUNG!$C$6:$C$3005,$B$3))</f>
        <v/>
      </c>
      <c r="D26" s="42">
        <f>IF($A26="","",SUMIFS(ERFASSUNG!$F$6:$F$3005,ERFASSUNG!$D$6:$D$3005,$A26,ERFASSUNG!$C$6:$C$3005,$B$3))</f>
        <v/>
      </c>
      <c r="E26" s="42">
        <f>IF($A26="","",SUMIFS(ERFASSUNG!$G$6:$G$3005,ERFASSUNG!$D$6:$D$3005,$A26,ERFASSUNG!$C$6:$C$3005,$B$3))</f>
        <v/>
      </c>
      <c r="F26" s="42">
        <f>IF($A26="","",SUMIFS(ERFASSUNG!$H$6:$H$3005,ERFASSUNG!$D$6:$D$3005,$A26,ERFASSUNG!$C$6:$C$3005,$B$3))</f>
        <v/>
      </c>
      <c r="G26" s="42">
        <f>IF($A26="","",SUMIFS(ERFASSUNG!$I$6:$I$3005,ERFASSUNG!$D$6:$D$3005,$A26,ERFASSUNG!$C$6:$C$3005,$B$3))</f>
        <v/>
      </c>
      <c r="H26" s="42">
        <f>IF($A26="","",SUMIFS(ERFASSUNG!$J$6:$J$3005,ERFASSUNG!$D$6:$D$3005,$A26,ERFASSUNG!$C$6:$C$3005,$B$3))</f>
        <v/>
      </c>
      <c r="I26" s="42">
        <f>IF($A26="","",SUMIFS(ERFASSUNG!$K$6:$K$3005,ERFASSUNG!$D$6:$D$3005,$A26,ERFASSUNG!$C$6:$C$3005,$B$3))</f>
        <v/>
      </c>
      <c r="J26" s="42">
        <f>IF($A26="","",SUMIFS(ERFASSUNG!$L$6:$L$3005,ERFASSUNG!$D$6:$D$3005,$A26,ERFASSUNG!$C$6:$C$3005,$B$3))</f>
        <v/>
      </c>
      <c r="K26" s="42">
        <f>IF($A26="","",SUMIFS(ERFASSUNG!$M$6:$M$3005,ERFASSUNG!$D$6:$D$3005,$A26,ERFASSUNG!$C$6:$C$3005,$B$3))</f>
        <v/>
      </c>
      <c r="L26" s="42">
        <f>IF($A26="","",SUMIFS(ERFASSUNG!$N$6:$N$3005,ERFASSUNG!$D$6:$D$3005,$A26,ERFASSUNG!$C$6:$C$3005,$B$3))</f>
        <v/>
      </c>
      <c r="M26" s="43">
        <f>IF(OR($A26="",N($G$51)=0),"",G26/$G$51)</f>
        <v/>
      </c>
    </row>
    <row r="27">
      <c r="A27" s="39">
        <f>IF(LISTEN!$A$8="","",LISTEN!$A$8)</f>
        <v/>
      </c>
      <c r="B27" s="7">
        <f>IF($A27="","",COUNTIFS(ERFASSUNG!$D$6:$D$3005,$A27,ERFASSUNG!$C$6:$C$3005,$B$3))</f>
        <v/>
      </c>
      <c r="C27" s="7">
        <f>IF($A27="","",SUMIFS(ERFASSUNG!$E$6:$E$3005,ERFASSUNG!$D$6:$D$3005,$A27,ERFASSUNG!$C$6:$C$3005,$B$3))</f>
        <v/>
      </c>
      <c r="D27" s="7">
        <f>IF($A27="","",SUMIFS(ERFASSUNG!$F$6:$F$3005,ERFASSUNG!$D$6:$D$3005,$A27,ERFASSUNG!$C$6:$C$3005,$B$3))</f>
        <v/>
      </c>
      <c r="E27" s="7">
        <f>IF($A27="","",SUMIFS(ERFASSUNG!$G$6:$G$3005,ERFASSUNG!$D$6:$D$3005,$A27,ERFASSUNG!$C$6:$C$3005,$B$3))</f>
        <v/>
      </c>
      <c r="F27" s="7">
        <f>IF($A27="","",SUMIFS(ERFASSUNG!$H$6:$H$3005,ERFASSUNG!$D$6:$D$3005,$A27,ERFASSUNG!$C$6:$C$3005,$B$3))</f>
        <v/>
      </c>
      <c r="G27" s="7">
        <f>IF($A27="","",SUMIFS(ERFASSUNG!$I$6:$I$3005,ERFASSUNG!$D$6:$D$3005,$A27,ERFASSUNG!$C$6:$C$3005,$B$3))</f>
        <v/>
      </c>
      <c r="H27" s="7">
        <f>IF($A27="","",SUMIFS(ERFASSUNG!$J$6:$J$3005,ERFASSUNG!$D$6:$D$3005,$A27,ERFASSUNG!$C$6:$C$3005,$B$3))</f>
        <v/>
      </c>
      <c r="I27" s="7">
        <f>IF($A27="","",SUMIFS(ERFASSUNG!$K$6:$K$3005,ERFASSUNG!$D$6:$D$3005,$A27,ERFASSUNG!$C$6:$C$3005,$B$3))</f>
        <v/>
      </c>
      <c r="J27" s="7">
        <f>IF($A27="","",SUMIFS(ERFASSUNG!$L$6:$L$3005,ERFASSUNG!$D$6:$D$3005,$A27,ERFASSUNG!$C$6:$C$3005,$B$3))</f>
        <v/>
      </c>
      <c r="K27" s="7">
        <f>IF($A27="","",SUMIFS(ERFASSUNG!$M$6:$M$3005,ERFASSUNG!$D$6:$D$3005,$A27,ERFASSUNG!$C$6:$C$3005,$B$3))</f>
        <v/>
      </c>
      <c r="L27" s="7">
        <f>IF($A27="","",SUMIFS(ERFASSUNG!$N$6:$N$3005,ERFASSUNG!$D$6:$D$3005,$A27,ERFASSUNG!$C$6:$C$3005,$B$3))</f>
        <v/>
      </c>
      <c r="M27" s="40">
        <f>IF(OR($A27="",N($G$51)=0),"",G27/$G$51)</f>
        <v/>
      </c>
    </row>
    <row r="28">
      <c r="A28" s="41">
        <f>IF(LISTEN!$A$9="","",LISTEN!$A$9)</f>
        <v/>
      </c>
      <c r="B28" s="42">
        <f>IF($A28="","",COUNTIFS(ERFASSUNG!$D$6:$D$3005,$A28,ERFASSUNG!$C$6:$C$3005,$B$3))</f>
        <v/>
      </c>
      <c r="C28" s="42">
        <f>IF($A28="","",SUMIFS(ERFASSUNG!$E$6:$E$3005,ERFASSUNG!$D$6:$D$3005,$A28,ERFASSUNG!$C$6:$C$3005,$B$3))</f>
        <v/>
      </c>
      <c r="D28" s="42">
        <f>IF($A28="","",SUMIFS(ERFASSUNG!$F$6:$F$3005,ERFASSUNG!$D$6:$D$3005,$A28,ERFASSUNG!$C$6:$C$3005,$B$3))</f>
        <v/>
      </c>
      <c r="E28" s="42">
        <f>IF($A28="","",SUMIFS(ERFASSUNG!$G$6:$G$3005,ERFASSUNG!$D$6:$D$3005,$A28,ERFASSUNG!$C$6:$C$3005,$B$3))</f>
        <v/>
      </c>
      <c r="F28" s="42">
        <f>IF($A28="","",SUMIFS(ERFASSUNG!$H$6:$H$3005,ERFASSUNG!$D$6:$D$3005,$A28,ERFASSUNG!$C$6:$C$3005,$B$3))</f>
        <v/>
      </c>
      <c r="G28" s="42">
        <f>IF($A28="","",SUMIFS(ERFASSUNG!$I$6:$I$3005,ERFASSUNG!$D$6:$D$3005,$A28,ERFASSUNG!$C$6:$C$3005,$B$3))</f>
        <v/>
      </c>
      <c r="H28" s="42">
        <f>IF($A28="","",SUMIFS(ERFASSUNG!$J$6:$J$3005,ERFASSUNG!$D$6:$D$3005,$A28,ERFASSUNG!$C$6:$C$3005,$B$3))</f>
        <v/>
      </c>
      <c r="I28" s="42">
        <f>IF($A28="","",SUMIFS(ERFASSUNG!$K$6:$K$3005,ERFASSUNG!$D$6:$D$3005,$A28,ERFASSUNG!$C$6:$C$3005,$B$3))</f>
        <v/>
      </c>
      <c r="J28" s="42">
        <f>IF($A28="","",SUMIFS(ERFASSUNG!$L$6:$L$3005,ERFASSUNG!$D$6:$D$3005,$A28,ERFASSUNG!$C$6:$C$3005,$B$3))</f>
        <v/>
      </c>
      <c r="K28" s="42">
        <f>IF($A28="","",SUMIFS(ERFASSUNG!$M$6:$M$3005,ERFASSUNG!$D$6:$D$3005,$A28,ERFASSUNG!$C$6:$C$3005,$B$3))</f>
        <v/>
      </c>
      <c r="L28" s="42">
        <f>IF($A28="","",SUMIFS(ERFASSUNG!$N$6:$N$3005,ERFASSUNG!$D$6:$D$3005,$A28,ERFASSUNG!$C$6:$C$3005,$B$3))</f>
        <v/>
      </c>
      <c r="M28" s="43">
        <f>IF(OR($A28="",N($G$51)=0),"",G28/$G$51)</f>
        <v/>
      </c>
    </row>
    <row r="29">
      <c r="A29" s="39">
        <f>IF(LISTEN!$A$10="","",LISTEN!$A$10)</f>
        <v/>
      </c>
      <c r="B29" s="7">
        <f>IF($A29="","",COUNTIFS(ERFASSUNG!$D$6:$D$3005,$A29,ERFASSUNG!$C$6:$C$3005,$B$3))</f>
        <v/>
      </c>
      <c r="C29" s="7">
        <f>IF($A29="","",SUMIFS(ERFASSUNG!$E$6:$E$3005,ERFASSUNG!$D$6:$D$3005,$A29,ERFASSUNG!$C$6:$C$3005,$B$3))</f>
        <v/>
      </c>
      <c r="D29" s="7">
        <f>IF($A29="","",SUMIFS(ERFASSUNG!$F$6:$F$3005,ERFASSUNG!$D$6:$D$3005,$A29,ERFASSUNG!$C$6:$C$3005,$B$3))</f>
        <v/>
      </c>
      <c r="E29" s="7">
        <f>IF($A29="","",SUMIFS(ERFASSUNG!$G$6:$G$3005,ERFASSUNG!$D$6:$D$3005,$A29,ERFASSUNG!$C$6:$C$3005,$B$3))</f>
        <v/>
      </c>
      <c r="F29" s="7">
        <f>IF($A29="","",SUMIFS(ERFASSUNG!$H$6:$H$3005,ERFASSUNG!$D$6:$D$3005,$A29,ERFASSUNG!$C$6:$C$3005,$B$3))</f>
        <v/>
      </c>
      <c r="G29" s="7">
        <f>IF($A29="","",SUMIFS(ERFASSUNG!$I$6:$I$3005,ERFASSUNG!$D$6:$D$3005,$A29,ERFASSUNG!$C$6:$C$3005,$B$3))</f>
        <v/>
      </c>
      <c r="H29" s="7">
        <f>IF($A29="","",SUMIFS(ERFASSUNG!$J$6:$J$3005,ERFASSUNG!$D$6:$D$3005,$A29,ERFASSUNG!$C$6:$C$3005,$B$3))</f>
        <v/>
      </c>
      <c r="I29" s="7">
        <f>IF($A29="","",SUMIFS(ERFASSUNG!$K$6:$K$3005,ERFASSUNG!$D$6:$D$3005,$A29,ERFASSUNG!$C$6:$C$3005,$B$3))</f>
        <v/>
      </c>
      <c r="J29" s="7">
        <f>IF($A29="","",SUMIFS(ERFASSUNG!$L$6:$L$3005,ERFASSUNG!$D$6:$D$3005,$A29,ERFASSUNG!$C$6:$C$3005,$B$3))</f>
        <v/>
      </c>
      <c r="K29" s="7">
        <f>IF($A29="","",SUMIFS(ERFASSUNG!$M$6:$M$3005,ERFASSUNG!$D$6:$D$3005,$A29,ERFASSUNG!$C$6:$C$3005,$B$3))</f>
        <v/>
      </c>
      <c r="L29" s="7">
        <f>IF($A29="","",SUMIFS(ERFASSUNG!$N$6:$N$3005,ERFASSUNG!$D$6:$D$3005,$A29,ERFASSUNG!$C$6:$C$3005,$B$3))</f>
        <v/>
      </c>
      <c r="M29" s="40">
        <f>IF(OR($A29="",N($G$51)=0),"",G29/$G$51)</f>
        <v/>
      </c>
    </row>
    <row r="30">
      <c r="A30" s="41">
        <f>IF(LISTEN!$A$11="","",LISTEN!$A$11)</f>
        <v/>
      </c>
      <c r="B30" s="42">
        <f>IF($A30="","",COUNTIFS(ERFASSUNG!$D$6:$D$3005,$A30,ERFASSUNG!$C$6:$C$3005,$B$3))</f>
        <v/>
      </c>
      <c r="C30" s="42">
        <f>IF($A30="","",SUMIFS(ERFASSUNG!$E$6:$E$3005,ERFASSUNG!$D$6:$D$3005,$A30,ERFASSUNG!$C$6:$C$3005,$B$3))</f>
        <v/>
      </c>
      <c r="D30" s="42">
        <f>IF($A30="","",SUMIFS(ERFASSUNG!$F$6:$F$3005,ERFASSUNG!$D$6:$D$3005,$A30,ERFASSUNG!$C$6:$C$3005,$B$3))</f>
        <v/>
      </c>
      <c r="E30" s="42">
        <f>IF($A30="","",SUMIFS(ERFASSUNG!$G$6:$G$3005,ERFASSUNG!$D$6:$D$3005,$A30,ERFASSUNG!$C$6:$C$3005,$B$3))</f>
        <v/>
      </c>
      <c r="F30" s="42">
        <f>IF($A30="","",SUMIFS(ERFASSUNG!$H$6:$H$3005,ERFASSUNG!$D$6:$D$3005,$A30,ERFASSUNG!$C$6:$C$3005,$B$3))</f>
        <v/>
      </c>
      <c r="G30" s="42">
        <f>IF($A30="","",SUMIFS(ERFASSUNG!$I$6:$I$3005,ERFASSUNG!$D$6:$D$3005,$A30,ERFASSUNG!$C$6:$C$3005,$B$3))</f>
        <v/>
      </c>
      <c r="H30" s="42">
        <f>IF($A30="","",SUMIFS(ERFASSUNG!$J$6:$J$3005,ERFASSUNG!$D$6:$D$3005,$A30,ERFASSUNG!$C$6:$C$3005,$B$3))</f>
        <v/>
      </c>
      <c r="I30" s="42">
        <f>IF($A30="","",SUMIFS(ERFASSUNG!$K$6:$K$3005,ERFASSUNG!$D$6:$D$3005,$A30,ERFASSUNG!$C$6:$C$3005,$B$3))</f>
        <v/>
      </c>
      <c r="J30" s="42">
        <f>IF($A30="","",SUMIFS(ERFASSUNG!$L$6:$L$3005,ERFASSUNG!$D$6:$D$3005,$A30,ERFASSUNG!$C$6:$C$3005,$B$3))</f>
        <v/>
      </c>
      <c r="K30" s="42">
        <f>IF($A30="","",SUMIFS(ERFASSUNG!$M$6:$M$3005,ERFASSUNG!$D$6:$D$3005,$A30,ERFASSUNG!$C$6:$C$3005,$B$3))</f>
        <v/>
      </c>
      <c r="L30" s="42">
        <f>IF($A30="","",SUMIFS(ERFASSUNG!$N$6:$N$3005,ERFASSUNG!$D$6:$D$3005,$A30,ERFASSUNG!$C$6:$C$3005,$B$3))</f>
        <v/>
      </c>
      <c r="M30" s="43">
        <f>IF(OR($A30="",N($G$51)=0),"",G30/$G$51)</f>
        <v/>
      </c>
    </row>
    <row r="31">
      <c r="A31" s="39">
        <f>IF(LISTEN!$A$12="","",LISTEN!$A$12)</f>
        <v/>
      </c>
      <c r="B31" s="7">
        <f>IF($A31="","",COUNTIFS(ERFASSUNG!$D$6:$D$3005,$A31,ERFASSUNG!$C$6:$C$3005,$B$3))</f>
        <v/>
      </c>
      <c r="C31" s="7">
        <f>IF($A31="","",SUMIFS(ERFASSUNG!$E$6:$E$3005,ERFASSUNG!$D$6:$D$3005,$A31,ERFASSUNG!$C$6:$C$3005,$B$3))</f>
        <v/>
      </c>
      <c r="D31" s="7">
        <f>IF($A31="","",SUMIFS(ERFASSUNG!$F$6:$F$3005,ERFASSUNG!$D$6:$D$3005,$A31,ERFASSUNG!$C$6:$C$3005,$B$3))</f>
        <v/>
      </c>
      <c r="E31" s="7">
        <f>IF($A31="","",SUMIFS(ERFASSUNG!$G$6:$G$3005,ERFASSUNG!$D$6:$D$3005,$A31,ERFASSUNG!$C$6:$C$3005,$B$3))</f>
        <v/>
      </c>
      <c r="F31" s="7">
        <f>IF($A31="","",SUMIFS(ERFASSUNG!$H$6:$H$3005,ERFASSUNG!$D$6:$D$3005,$A31,ERFASSUNG!$C$6:$C$3005,$B$3))</f>
        <v/>
      </c>
      <c r="G31" s="7">
        <f>IF($A31="","",SUMIFS(ERFASSUNG!$I$6:$I$3005,ERFASSUNG!$D$6:$D$3005,$A31,ERFASSUNG!$C$6:$C$3005,$B$3))</f>
        <v/>
      </c>
      <c r="H31" s="7">
        <f>IF($A31="","",SUMIFS(ERFASSUNG!$J$6:$J$3005,ERFASSUNG!$D$6:$D$3005,$A31,ERFASSUNG!$C$6:$C$3005,$B$3))</f>
        <v/>
      </c>
      <c r="I31" s="7">
        <f>IF($A31="","",SUMIFS(ERFASSUNG!$K$6:$K$3005,ERFASSUNG!$D$6:$D$3005,$A31,ERFASSUNG!$C$6:$C$3005,$B$3))</f>
        <v/>
      </c>
      <c r="J31" s="7">
        <f>IF($A31="","",SUMIFS(ERFASSUNG!$L$6:$L$3005,ERFASSUNG!$D$6:$D$3005,$A31,ERFASSUNG!$C$6:$C$3005,$B$3))</f>
        <v/>
      </c>
      <c r="K31" s="7">
        <f>IF($A31="","",SUMIFS(ERFASSUNG!$M$6:$M$3005,ERFASSUNG!$D$6:$D$3005,$A31,ERFASSUNG!$C$6:$C$3005,$B$3))</f>
        <v/>
      </c>
      <c r="L31" s="7">
        <f>IF($A31="","",SUMIFS(ERFASSUNG!$N$6:$N$3005,ERFASSUNG!$D$6:$D$3005,$A31,ERFASSUNG!$C$6:$C$3005,$B$3))</f>
        <v/>
      </c>
      <c r="M31" s="40">
        <f>IF(OR($A31="",N($G$51)=0),"",G31/$G$51)</f>
        <v/>
      </c>
    </row>
    <row r="32">
      <c r="A32" s="41">
        <f>IF(LISTEN!$A$13="","",LISTEN!$A$13)</f>
        <v/>
      </c>
      <c r="B32" s="42">
        <f>IF($A32="","",COUNTIFS(ERFASSUNG!$D$6:$D$3005,$A32,ERFASSUNG!$C$6:$C$3005,$B$3))</f>
        <v/>
      </c>
      <c r="C32" s="42">
        <f>IF($A32="","",SUMIFS(ERFASSUNG!$E$6:$E$3005,ERFASSUNG!$D$6:$D$3005,$A32,ERFASSUNG!$C$6:$C$3005,$B$3))</f>
        <v/>
      </c>
      <c r="D32" s="42">
        <f>IF($A32="","",SUMIFS(ERFASSUNG!$F$6:$F$3005,ERFASSUNG!$D$6:$D$3005,$A32,ERFASSUNG!$C$6:$C$3005,$B$3))</f>
        <v/>
      </c>
      <c r="E32" s="42">
        <f>IF($A32="","",SUMIFS(ERFASSUNG!$G$6:$G$3005,ERFASSUNG!$D$6:$D$3005,$A32,ERFASSUNG!$C$6:$C$3005,$B$3))</f>
        <v/>
      </c>
      <c r="F32" s="42">
        <f>IF($A32="","",SUMIFS(ERFASSUNG!$H$6:$H$3005,ERFASSUNG!$D$6:$D$3005,$A32,ERFASSUNG!$C$6:$C$3005,$B$3))</f>
        <v/>
      </c>
      <c r="G32" s="42">
        <f>IF($A32="","",SUMIFS(ERFASSUNG!$I$6:$I$3005,ERFASSUNG!$D$6:$D$3005,$A32,ERFASSUNG!$C$6:$C$3005,$B$3))</f>
        <v/>
      </c>
      <c r="H32" s="42">
        <f>IF($A32="","",SUMIFS(ERFASSUNG!$J$6:$J$3005,ERFASSUNG!$D$6:$D$3005,$A32,ERFASSUNG!$C$6:$C$3005,$B$3))</f>
        <v/>
      </c>
      <c r="I32" s="42">
        <f>IF($A32="","",SUMIFS(ERFASSUNG!$K$6:$K$3005,ERFASSUNG!$D$6:$D$3005,$A32,ERFASSUNG!$C$6:$C$3005,$B$3))</f>
        <v/>
      </c>
      <c r="J32" s="42">
        <f>IF($A32="","",SUMIFS(ERFASSUNG!$L$6:$L$3005,ERFASSUNG!$D$6:$D$3005,$A32,ERFASSUNG!$C$6:$C$3005,$B$3))</f>
        <v/>
      </c>
      <c r="K32" s="42">
        <f>IF($A32="","",SUMIFS(ERFASSUNG!$M$6:$M$3005,ERFASSUNG!$D$6:$D$3005,$A32,ERFASSUNG!$C$6:$C$3005,$B$3))</f>
        <v/>
      </c>
      <c r="L32" s="42">
        <f>IF($A32="","",SUMIFS(ERFASSUNG!$N$6:$N$3005,ERFASSUNG!$D$6:$D$3005,$A32,ERFASSUNG!$C$6:$C$3005,$B$3))</f>
        <v/>
      </c>
      <c r="M32" s="43">
        <f>IF(OR($A32="",N($G$51)=0),"",G32/$G$51)</f>
        <v/>
      </c>
    </row>
    <row r="33">
      <c r="A33" s="39">
        <f>IF(LISTEN!$A$14="","",LISTEN!$A$14)</f>
        <v/>
      </c>
      <c r="B33" s="7">
        <f>IF($A33="","",COUNTIFS(ERFASSUNG!$D$6:$D$3005,$A33,ERFASSUNG!$C$6:$C$3005,$B$3))</f>
        <v/>
      </c>
      <c r="C33" s="7">
        <f>IF($A33="","",SUMIFS(ERFASSUNG!$E$6:$E$3005,ERFASSUNG!$D$6:$D$3005,$A33,ERFASSUNG!$C$6:$C$3005,$B$3))</f>
        <v/>
      </c>
      <c r="D33" s="7">
        <f>IF($A33="","",SUMIFS(ERFASSUNG!$F$6:$F$3005,ERFASSUNG!$D$6:$D$3005,$A33,ERFASSUNG!$C$6:$C$3005,$B$3))</f>
        <v/>
      </c>
      <c r="E33" s="7">
        <f>IF($A33="","",SUMIFS(ERFASSUNG!$G$6:$G$3005,ERFASSUNG!$D$6:$D$3005,$A33,ERFASSUNG!$C$6:$C$3005,$B$3))</f>
        <v/>
      </c>
      <c r="F33" s="7">
        <f>IF($A33="","",SUMIFS(ERFASSUNG!$H$6:$H$3005,ERFASSUNG!$D$6:$D$3005,$A33,ERFASSUNG!$C$6:$C$3005,$B$3))</f>
        <v/>
      </c>
      <c r="G33" s="7">
        <f>IF($A33="","",SUMIFS(ERFASSUNG!$I$6:$I$3005,ERFASSUNG!$D$6:$D$3005,$A33,ERFASSUNG!$C$6:$C$3005,$B$3))</f>
        <v/>
      </c>
      <c r="H33" s="7">
        <f>IF($A33="","",SUMIFS(ERFASSUNG!$J$6:$J$3005,ERFASSUNG!$D$6:$D$3005,$A33,ERFASSUNG!$C$6:$C$3005,$B$3))</f>
        <v/>
      </c>
      <c r="I33" s="7">
        <f>IF($A33="","",SUMIFS(ERFASSUNG!$K$6:$K$3005,ERFASSUNG!$D$6:$D$3005,$A33,ERFASSUNG!$C$6:$C$3005,$B$3))</f>
        <v/>
      </c>
      <c r="J33" s="7">
        <f>IF($A33="","",SUMIFS(ERFASSUNG!$L$6:$L$3005,ERFASSUNG!$D$6:$D$3005,$A33,ERFASSUNG!$C$6:$C$3005,$B$3))</f>
        <v/>
      </c>
      <c r="K33" s="7">
        <f>IF($A33="","",SUMIFS(ERFASSUNG!$M$6:$M$3005,ERFASSUNG!$D$6:$D$3005,$A33,ERFASSUNG!$C$6:$C$3005,$B$3))</f>
        <v/>
      </c>
      <c r="L33" s="7">
        <f>IF($A33="","",SUMIFS(ERFASSUNG!$N$6:$N$3005,ERFASSUNG!$D$6:$D$3005,$A33,ERFASSUNG!$C$6:$C$3005,$B$3))</f>
        <v/>
      </c>
      <c r="M33" s="40">
        <f>IF(OR($A33="",N($G$51)=0),"",G33/$G$51)</f>
        <v/>
      </c>
    </row>
    <row r="34">
      <c r="A34" s="41">
        <f>IF(LISTEN!$A$15="","",LISTEN!$A$15)</f>
        <v/>
      </c>
      <c r="B34" s="42">
        <f>IF($A34="","",COUNTIFS(ERFASSUNG!$D$6:$D$3005,$A34,ERFASSUNG!$C$6:$C$3005,$B$3))</f>
        <v/>
      </c>
      <c r="C34" s="42">
        <f>IF($A34="","",SUMIFS(ERFASSUNG!$E$6:$E$3005,ERFASSUNG!$D$6:$D$3005,$A34,ERFASSUNG!$C$6:$C$3005,$B$3))</f>
        <v/>
      </c>
      <c r="D34" s="42">
        <f>IF($A34="","",SUMIFS(ERFASSUNG!$F$6:$F$3005,ERFASSUNG!$D$6:$D$3005,$A34,ERFASSUNG!$C$6:$C$3005,$B$3))</f>
        <v/>
      </c>
      <c r="E34" s="42">
        <f>IF($A34="","",SUMIFS(ERFASSUNG!$G$6:$G$3005,ERFASSUNG!$D$6:$D$3005,$A34,ERFASSUNG!$C$6:$C$3005,$B$3))</f>
        <v/>
      </c>
      <c r="F34" s="42">
        <f>IF($A34="","",SUMIFS(ERFASSUNG!$H$6:$H$3005,ERFASSUNG!$D$6:$D$3005,$A34,ERFASSUNG!$C$6:$C$3005,$B$3))</f>
        <v/>
      </c>
      <c r="G34" s="42">
        <f>IF($A34="","",SUMIFS(ERFASSUNG!$I$6:$I$3005,ERFASSUNG!$D$6:$D$3005,$A34,ERFASSUNG!$C$6:$C$3005,$B$3))</f>
        <v/>
      </c>
      <c r="H34" s="42">
        <f>IF($A34="","",SUMIFS(ERFASSUNG!$J$6:$J$3005,ERFASSUNG!$D$6:$D$3005,$A34,ERFASSUNG!$C$6:$C$3005,$B$3))</f>
        <v/>
      </c>
      <c r="I34" s="42">
        <f>IF($A34="","",SUMIFS(ERFASSUNG!$K$6:$K$3005,ERFASSUNG!$D$6:$D$3005,$A34,ERFASSUNG!$C$6:$C$3005,$B$3))</f>
        <v/>
      </c>
      <c r="J34" s="42">
        <f>IF($A34="","",SUMIFS(ERFASSUNG!$L$6:$L$3005,ERFASSUNG!$D$6:$D$3005,$A34,ERFASSUNG!$C$6:$C$3005,$B$3))</f>
        <v/>
      </c>
      <c r="K34" s="42">
        <f>IF($A34="","",SUMIFS(ERFASSUNG!$M$6:$M$3005,ERFASSUNG!$D$6:$D$3005,$A34,ERFASSUNG!$C$6:$C$3005,$B$3))</f>
        <v/>
      </c>
      <c r="L34" s="42">
        <f>IF($A34="","",SUMIFS(ERFASSUNG!$N$6:$N$3005,ERFASSUNG!$D$6:$D$3005,$A34,ERFASSUNG!$C$6:$C$3005,$B$3))</f>
        <v/>
      </c>
      <c r="M34" s="43">
        <f>IF(OR($A34="",N($G$51)=0),"",G34/$G$51)</f>
        <v/>
      </c>
    </row>
    <row r="35">
      <c r="A35" s="39">
        <f>IF(LISTEN!$A$16="","",LISTEN!$A$16)</f>
        <v/>
      </c>
      <c r="B35" s="7">
        <f>IF($A35="","",COUNTIFS(ERFASSUNG!$D$6:$D$3005,$A35,ERFASSUNG!$C$6:$C$3005,$B$3))</f>
        <v/>
      </c>
      <c r="C35" s="7">
        <f>IF($A35="","",SUMIFS(ERFASSUNG!$E$6:$E$3005,ERFASSUNG!$D$6:$D$3005,$A35,ERFASSUNG!$C$6:$C$3005,$B$3))</f>
        <v/>
      </c>
      <c r="D35" s="7">
        <f>IF($A35="","",SUMIFS(ERFASSUNG!$F$6:$F$3005,ERFASSUNG!$D$6:$D$3005,$A35,ERFASSUNG!$C$6:$C$3005,$B$3))</f>
        <v/>
      </c>
      <c r="E35" s="7">
        <f>IF($A35="","",SUMIFS(ERFASSUNG!$G$6:$G$3005,ERFASSUNG!$D$6:$D$3005,$A35,ERFASSUNG!$C$6:$C$3005,$B$3))</f>
        <v/>
      </c>
      <c r="F35" s="7">
        <f>IF($A35="","",SUMIFS(ERFASSUNG!$H$6:$H$3005,ERFASSUNG!$D$6:$D$3005,$A35,ERFASSUNG!$C$6:$C$3005,$B$3))</f>
        <v/>
      </c>
      <c r="G35" s="7">
        <f>IF($A35="","",SUMIFS(ERFASSUNG!$I$6:$I$3005,ERFASSUNG!$D$6:$D$3005,$A35,ERFASSUNG!$C$6:$C$3005,$B$3))</f>
        <v/>
      </c>
      <c r="H35" s="7">
        <f>IF($A35="","",SUMIFS(ERFASSUNG!$J$6:$J$3005,ERFASSUNG!$D$6:$D$3005,$A35,ERFASSUNG!$C$6:$C$3005,$B$3))</f>
        <v/>
      </c>
      <c r="I35" s="7">
        <f>IF($A35="","",SUMIFS(ERFASSUNG!$K$6:$K$3005,ERFASSUNG!$D$6:$D$3005,$A35,ERFASSUNG!$C$6:$C$3005,$B$3))</f>
        <v/>
      </c>
      <c r="J35" s="7">
        <f>IF($A35="","",SUMIFS(ERFASSUNG!$L$6:$L$3005,ERFASSUNG!$D$6:$D$3005,$A35,ERFASSUNG!$C$6:$C$3005,$B$3))</f>
        <v/>
      </c>
      <c r="K35" s="7">
        <f>IF($A35="","",SUMIFS(ERFASSUNG!$M$6:$M$3005,ERFASSUNG!$D$6:$D$3005,$A35,ERFASSUNG!$C$6:$C$3005,$B$3))</f>
        <v/>
      </c>
      <c r="L35" s="7">
        <f>IF($A35="","",SUMIFS(ERFASSUNG!$N$6:$N$3005,ERFASSUNG!$D$6:$D$3005,$A35,ERFASSUNG!$C$6:$C$3005,$B$3))</f>
        <v/>
      </c>
      <c r="M35" s="40">
        <f>IF(OR($A35="",N($G$51)=0),"",G35/$G$51)</f>
        <v/>
      </c>
    </row>
    <row r="36">
      <c r="A36" s="41">
        <f>IF(LISTEN!$A$17="","",LISTEN!$A$17)</f>
        <v/>
      </c>
      <c r="B36" s="42">
        <f>IF($A36="","",COUNTIFS(ERFASSUNG!$D$6:$D$3005,$A36,ERFASSUNG!$C$6:$C$3005,$B$3))</f>
        <v/>
      </c>
      <c r="C36" s="42">
        <f>IF($A36="","",SUMIFS(ERFASSUNG!$E$6:$E$3005,ERFASSUNG!$D$6:$D$3005,$A36,ERFASSUNG!$C$6:$C$3005,$B$3))</f>
        <v/>
      </c>
      <c r="D36" s="42">
        <f>IF($A36="","",SUMIFS(ERFASSUNG!$F$6:$F$3005,ERFASSUNG!$D$6:$D$3005,$A36,ERFASSUNG!$C$6:$C$3005,$B$3))</f>
        <v/>
      </c>
      <c r="E36" s="42">
        <f>IF($A36="","",SUMIFS(ERFASSUNG!$G$6:$G$3005,ERFASSUNG!$D$6:$D$3005,$A36,ERFASSUNG!$C$6:$C$3005,$B$3))</f>
        <v/>
      </c>
      <c r="F36" s="42">
        <f>IF($A36="","",SUMIFS(ERFASSUNG!$H$6:$H$3005,ERFASSUNG!$D$6:$D$3005,$A36,ERFASSUNG!$C$6:$C$3005,$B$3))</f>
        <v/>
      </c>
      <c r="G36" s="42">
        <f>IF($A36="","",SUMIFS(ERFASSUNG!$I$6:$I$3005,ERFASSUNG!$D$6:$D$3005,$A36,ERFASSUNG!$C$6:$C$3005,$B$3))</f>
        <v/>
      </c>
      <c r="H36" s="42">
        <f>IF($A36="","",SUMIFS(ERFASSUNG!$J$6:$J$3005,ERFASSUNG!$D$6:$D$3005,$A36,ERFASSUNG!$C$6:$C$3005,$B$3))</f>
        <v/>
      </c>
      <c r="I36" s="42">
        <f>IF($A36="","",SUMIFS(ERFASSUNG!$K$6:$K$3005,ERFASSUNG!$D$6:$D$3005,$A36,ERFASSUNG!$C$6:$C$3005,$B$3))</f>
        <v/>
      </c>
      <c r="J36" s="42">
        <f>IF($A36="","",SUMIFS(ERFASSUNG!$L$6:$L$3005,ERFASSUNG!$D$6:$D$3005,$A36,ERFASSUNG!$C$6:$C$3005,$B$3))</f>
        <v/>
      </c>
      <c r="K36" s="42">
        <f>IF($A36="","",SUMIFS(ERFASSUNG!$M$6:$M$3005,ERFASSUNG!$D$6:$D$3005,$A36,ERFASSUNG!$C$6:$C$3005,$B$3))</f>
        <v/>
      </c>
      <c r="L36" s="42">
        <f>IF($A36="","",SUMIFS(ERFASSUNG!$N$6:$N$3005,ERFASSUNG!$D$6:$D$3005,$A36,ERFASSUNG!$C$6:$C$3005,$B$3))</f>
        <v/>
      </c>
      <c r="M36" s="43">
        <f>IF(OR($A36="",N($G$51)=0),"",G36/$G$51)</f>
        <v/>
      </c>
    </row>
    <row r="37">
      <c r="A37" s="39">
        <f>IF(LISTEN!$A$18="","",LISTEN!$A$18)</f>
        <v/>
      </c>
      <c r="B37" s="7">
        <f>IF($A37="","",COUNTIFS(ERFASSUNG!$D$6:$D$3005,$A37,ERFASSUNG!$C$6:$C$3005,$B$3))</f>
        <v/>
      </c>
      <c r="C37" s="7">
        <f>IF($A37="","",SUMIFS(ERFASSUNG!$E$6:$E$3005,ERFASSUNG!$D$6:$D$3005,$A37,ERFASSUNG!$C$6:$C$3005,$B$3))</f>
        <v/>
      </c>
      <c r="D37" s="7">
        <f>IF($A37="","",SUMIFS(ERFASSUNG!$F$6:$F$3005,ERFASSUNG!$D$6:$D$3005,$A37,ERFASSUNG!$C$6:$C$3005,$B$3))</f>
        <v/>
      </c>
      <c r="E37" s="7">
        <f>IF($A37="","",SUMIFS(ERFASSUNG!$G$6:$G$3005,ERFASSUNG!$D$6:$D$3005,$A37,ERFASSUNG!$C$6:$C$3005,$B$3))</f>
        <v/>
      </c>
      <c r="F37" s="7">
        <f>IF($A37="","",SUMIFS(ERFASSUNG!$H$6:$H$3005,ERFASSUNG!$D$6:$D$3005,$A37,ERFASSUNG!$C$6:$C$3005,$B$3))</f>
        <v/>
      </c>
      <c r="G37" s="7">
        <f>IF($A37="","",SUMIFS(ERFASSUNG!$I$6:$I$3005,ERFASSUNG!$D$6:$D$3005,$A37,ERFASSUNG!$C$6:$C$3005,$B$3))</f>
        <v/>
      </c>
      <c r="H37" s="7">
        <f>IF($A37="","",SUMIFS(ERFASSUNG!$J$6:$J$3005,ERFASSUNG!$D$6:$D$3005,$A37,ERFASSUNG!$C$6:$C$3005,$B$3))</f>
        <v/>
      </c>
      <c r="I37" s="7">
        <f>IF($A37="","",SUMIFS(ERFASSUNG!$K$6:$K$3005,ERFASSUNG!$D$6:$D$3005,$A37,ERFASSUNG!$C$6:$C$3005,$B$3))</f>
        <v/>
      </c>
      <c r="J37" s="7">
        <f>IF($A37="","",SUMIFS(ERFASSUNG!$L$6:$L$3005,ERFASSUNG!$D$6:$D$3005,$A37,ERFASSUNG!$C$6:$C$3005,$B$3))</f>
        <v/>
      </c>
      <c r="K37" s="7">
        <f>IF($A37="","",SUMIFS(ERFASSUNG!$M$6:$M$3005,ERFASSUNG!$D$6:$D$3005,$A37,ERFASSUNG!$C$6:$C$3005,$B$3))</f>
        <v/>
      </c>
      <c r="L37" s="7">
        <f>IF($A37="","",SUMIFS(ERFASSUNG!$N$6:$N$3005,ERFASSUNG!$D$6:$D$3005,$A37,ERFASSUNG!$C$6:$C$3005,$B$3))</f>
        <v/>
      </c>
      <c r="M37" s="40">
        <f>IF(OR($A37="",N($G$51)=0),"",G37/$G$51)</f>
        <v/>
      </c>
    </row>
    <row r="38">
      <c r="A38" s="41">
        <f>IF(LISTEN!$A$19="","",LISTEN!$A$19)</f>
        <v/>
      </c>
      <c r="B38" s="42">
        <f>IF($A38="","",COUNTIFS(ERFASSUNG!$D$6:$D$3005,$A38,ERFASSUNG!$C$6:$C$3005,$B$3))</f>
        <v/>
      </c>
      <c r="C38" s="42">
        <f>IF($A38="","",SUMIFS(ERFASSUNG!$E$6:$E$3005,ERFASSUNG!$D$6:$D$3005,$A38,ERFASSUNG!$C$6:$C$3005,$B$3))</f>
        <v/>
      </c>
      <c r="D38" s="42">
        <f>IF($A38="","",SUMIFS(ERFASSUNG!$F$6:$F$3005,ERFASSUNG!$D$6:$D$3005,$A38,ERFASSUNG!$C$6:$C$3005,$B$3))</f>
        <v/>
      </c>
      <c r="E38" s="42">
        <f>IF($A38="","",SUMIFS(ERFASSUNG!$G$6:$G$3005,ERFASSUNG!$D$6:$D$3005,$A38,ERFASSUNG!$C$6:$C$3005,$B$3))</f>
        <v/>
      </c>
      <c r="F38" s="42">
        <f>IF($A38="","",SUMIFS(ERFASSUNG!$H$6:$H$3005,ERFASSUNG!$D$6:$D$3005,$A38,ERFASSUNG!$C$6:$C$3005,$B$3))</f>
        <v/>
      </c>
      <c r="G38" s="42">
        <f>IF($A38="","",SUMIFS(ERFASSUNG!$I$6:$I$3005,ERFASSUNG!$D$6:$D$3005,$A38,ERFASSUNG!$C$6:$C$3005,$B$3))</f>
        <v/>
      </c>
      <c r="H38" s="42">
        <f>IF($A38="","",SUMIFS(ERFASSUNG!$J$6:$J$3005,ERFASSUNG!$D$6:$D$3005,$A38,ERFASSUNG!$C$6:$C$3005,$B$3))</f>
        <v/>
      </c>
      <c r="I38" s="42">
        <f>IF($A38="","",SUMIFS(ERFASSUNG!$K$6:$K$3005,ERFASSUNG!$D$6:$D$3005,$A38,ERFASSUNG!$C$6:$C$3005,$B$3))</f>
        <v/>
      </c>
      <c r="J38" s="42">
        <f>IF($A38="","",SUMIFS(ERFASSUNG!$L$6:$L$3005,ERFASSUNG!$D$6:$D$3005,$A38,ERFASSUNG!$C$6:$C$3005,$B$3))</f>
        <v/>
      </c>
      <c r="K38" s="42">
        <f>IF($A38="","",SUMIFS(ERFASSUNG!$M$6:$M$3005,ERFASSUNG!$D$6:$D$3005,$A38,ERFASSUNG!$C$6:$C$3005,$B$3))</f>
        <v/>
      </c>
      <c r="L38" s="42">
        <f>IF($A38="","",SUMIFS(ERFASSUNG!$N$6:$N$3005,ERFASSUNG!$D$6:$D$3005,$A38,ERFASSUNG!$C$6:$C$3005,$B$3))</f>
        <v/>
      </c>
      <c r="M38" s="43">
        <f>IF(OR($A38="",N($G$51)=0),"",G38/$G$51)</f>
        <v/>
      </c>
    </row>
    <row r="39">
      <c r="A39" s="39">
        <f>IF(LISTEN!$A$20="","",LISTEN!$A$20)</f>
        <v/>
      </c>
      <c r="B39" s="7">
        <f>IF($A39="","",COUNTIFS(ERFASSUNG!$D$6:$D$3005,$A39,ERFASSUNG!$C$6:$C$3005,$B$3))</f>
        <v/>
      </c>
      <c r="C39" s="7">
        <f>IF($A39="","",SUMIFS(ERFASSUNG!$E$6:$E$3005,ERFASSUNG!$D$6:$D$3005,$A39,ERFASSUNG!$C$6:$C$3005,$B$3))</f>
        <v/>
      </c>
      <c r="D39" s="7">
        <f>IF($A39="","",SUMIFS(ERFASSUNG!$F$6:$F$3005,ERFASSUNG!$D$6:$D$3005,$A39,ERFASSUNG!$C$6:$C$3005,$B$3))</f>
        <v/>
      </c>
      <c r="E39" s="7">
        <f>IF($A39="","",SUMIFS(ERFASSUNG!$G$6:$G$3005,ERFASSUNG!$D$6:$D$3005,$A39,ERFASSUNG!$C$6:$C$3005,$B$3))</f>
        <v/>
      </c>
      <c r="F39" s="7">
        <f>IF($A39="","",SUMIFS(ERFASSUNG!$H$6:$H$3005,ERFASSUNG!$D$6:$D$3005,$A39,ERFASSUNG!$C$6:$C$3005,$B$3))</f>
        <v/>
      </c>
      <c r="G39" s="7">
        <f>IF($A39="","",SUMIFS(ERFASSUNG!$I$6:$I$3005,ERFASSUNG!$D$6:$D$3005,$A39,ERFASSUNG!$C$6:$C$3005,$B$3))</f>
        <v/>
      </c>
      <c r="H39" s="7">
        <f>IF($A39="","",SUMIFS(ERFASSUNG!$J$6:$J$3005,ERFASSUNG!$D$6:$D$3005,$A39,ERFASSUNG!$C$6:$C$3005,$B$3))</f>
        <v/>
      </c>
      <c r="I39" s="7">
        <f>IF($A39="","",SUMIFS(ERFASSUNG!$K$6:$K$3005,ERFASSUNG!$D$6:$D$3005,$A39,ERFASSUNG!$C$6:$C$3005,$B$3))</f>
        <v/>
      </c>
      <c r="J39" s="7">
        <f>IF($A39="","",SUMIFS(ERFASSUNG!$L$6:$L$3005,ERFASSUNG!$D$6:$D$3005,$A39,ERFASSUNG!$C$6:$C$3005,$B$3))</f>
        <v/>
      </c>
      <c r="K39" s="7">
        <f>IF($A39="","",SUMIFS(ERFASSUNG!$M$6:$M$3005,ERFASSUNG!$D$6:$D$3005,$A39,ERFASSUNG!$C$6:$C$3005,$B$3))</f>
        <v/>
      </c>
      <c r="L39" s="7">
        <f>IF($A39="","",SUMIFS(ERFASSUNG!$N$6:$N$3005,ERFASSUNG!$D$6:$D$3005,$A39,ERFASSUNG!$C$6:$C$3005,$B$3))</f>
        <v/>
      </c>
      <c r="M39" s="40">
        <f>IF(OR($A39="",N($G$51)=0),"",G39/$G$51)</f>
        <v/>
      </c>
    </row>
    <row r="40">
      <c r="A40" s="41">
        <f>IF(LISTEN!$A$21="","",LISTEN!$A$21)</f>
        <v/>
      </c>
      <c r="B40" s="42">
        <f>IF($A40="","",COUNTIFS(ERFASSUNG!$D$6:$D$3005,$A40,ERFASSUNG!$C$6:$C$3005,$B$3))</f>
        <v/>
      </c>
      <c r="C40" s="42">
        <f>IF($A40="","",SUMIFS(ERFASSUNG!$E$6:$E$3005,ERFASSUNG!$D$6:$D$3005,$A40,ERFASSUNG!$C$6:$C$3005,$B$3))</f>
        <v/>
      </c>
      <c r="D40" s="42">
        <f>IF($A40="","",SUMIFS(ERFASSUNG!$F$6:$F$3005,ERFASSUNG!$D$6:$D$3005,$A40,ERFASSUNG!$C$6:$C$3005,$B$3))</f>
        <v/>
      </c>
      <c r="E40" s="42">
        <f>IF($A40="","",SUMIFS(ERFASSUNG!$G$6:$G$3005,ERFASSUNG!$D$6:$D$3005,$A40,ERFASSUNG!$C$6:$C$3005,$B$3))</f>
        <v/>
      </c>
      <c r="F40" s="42">
        <f>IF($A40="","",SUMIFS(ERFASSUNG!$H$6:$H$3005,ERFASSUNG!$D$6:$D$3005,$A40,ERFASSUNG!$C$6:$C$3005,$B$3))</f>
        <v/>
      </c>
      <c r="G40" s="42">
        <f>IF($A40="","",SUMIFS(ERFASSUNG!$I$6:$I$3005,ERFASSUNG!$D$6:$D$3005,$A40,ERFASSUNG!$C$6:$C$3005,$B$3))</f>
        <v/>
      </c>
      <c r="H40" s="42">
        <f>IF($A40="","",SUMIFS(ERFASSUNG!$J$6:$J$3005,ERFASSUNG!$D$6:$D$3005,$A40,ERFASSUNG!$C$6:$C$3005,$B$3))</f>
        <v/>
      </c>
      <c r="I40" s="42">
        <f>IF($A40="","",SUMIFS(ERFASSUNG!$K$6:$K$3005,ERFASSUNG!$D$6:$D$3005,$A40,ERFASSUNG!$C$6:$C$3005,$B$3))</f>
        <v/>
      </c>
      <c r="J40" s="42">
        <f>IF($A40="","",SUMIFS(ERFASSUNG!$L$6:$L$3005,ERFASSUNG!$D$6:$D$3005,$A40,ERFASSUNG!$C$6:$C$3005,$B$3))</f>
        <v/>
      </c>
      <c r="K40" s="42">
        <f>IF($A40="","",SUMIFS(ERFASSUNG!$M$6:$M$3005,ERFASSUNG!$D$6:$D$3005,$A40,ERFASSUNG!$C$6:$C$3005,$B$3))</f>
        <v/>
      </c>
      <c r="L40" s="42">
        <f>IF($A40="","",SUMIFS(ERFASSUNG!$N$6:$N$3005,ERFASSUNG!$D$6:$D$3005,$A40,ERFASSUNG!$C$6:$C$3005,$B$3))</f>
        <v/>
      </c>
      <c r="M40" s="43">
        <f>IF(OR($A40="",N($G$51)=0),"",G40/$G$51)</f>
        <v/>
      </c>
    </row>
    <row r="41">
      <c r="A41" s="39">
        <f>IF(LISTEN!$A$22="","",LISTEN!$A$22)</f>
        <v/>
      </c>
      <c r="B41" s="7">
        <f>IF($A41="","",COUNTIFS(ERFASSUNG!$D$6:$D$3005,$A41,ERFASSUNG!$C$6:$C$3005,$B$3))</f>
        <v/>
      </c>
      <c r="C41" s="7">
        <f>IF($A41="","",SUMIFS(ERFASSUNG!$E$6:$E$3005,ERFASSUNG!$D$6:$D$3005,$A41,ERFASSUNG!$C$6:$C$3005,$B$3))</f>
        <v/>
      </c>
      <c r="D41" s="7">
        <f>IF($A41="","",SUMIFS(ERFASSUNG!$F$6:$F$3005,ERFASSUNG!$D$6:$D$3005,$A41,ERFASSUNG!$C$6:$C$3005,$B$3))</f>
        <v/>
      </c>
      <c r="E41" s="7">
        <f>IF($A41="","",SUMIFS(ERFASSUNG!$G$6:$G$3005,ERFASSUNG!$D$6:$D$3005,$A41,ERFASSUNG!$C$6:$C$3005,$B$3))</f>
        <v/>
      </c>
      <c r="F41" s="7">
        <f>IF($A41="","",SUMIFS(ERFASSUNG!$H$6:$H$3005,ERFASSUNG!$D$6:$D$3005,$A41,ERFASSUNG!$C$6:$C$3005,$B$3))</f>
        <v/>
      </c>
      <c r="G41" s="7">
        <f>IF($A41="","",SUMIFS(ERFASSUNG!$I$6:$I$3005,ERFASSUNG!$D$6:$D$3005,$A41,ERFASSUNG!$C$6:$C$3005,$B$3))</f>
        <v/>
      </c>
      <c r="H41" s="7">
        <f>IF($A41="","",SUMIFS(ERFASSUNG!$J$6:$J$3005,ERFASSUNG!$D$6:$D$3005,$A41,ERFASSUNG!$C$6:$C$3005,$B$3))</f>
        <v/>
      </c>
      <c r="I41" s="7">
        <f>IF($A41="","",SUMIFS(ERFASSUNG!$K$6:$K$3005,ERFASSUNG!$D$6:$D$3005,$A41,ERFASSUNG!$C$6:$C$3005,$B$3))</f>
        <v/>
      </c>
      <c r="J41" s="7">
        <f>IF($A41="","",SUMIFS(ERFASSUNG!$L$6:$L$3005,ERFASSUNG!$D$6:$D$3005,$A41,ERFASSUNG!$C$6:$C$3005,$B$3))</f>
        <v/>
      </c>
      <c r="K41" s="7">
        <f>IF($A41="","",SUMIFS(ERFASSUNG!$M$6:$M$3005,ERFASSUNG!$D$6:$D$3005,$A41,ERFASSUNG!$C$6:$C$3005,$B$3))</f>
        <v/>
      </c>
      <c r="L41" s="7">
        <f>IF($A41="","",SUMIFS(ERFASSUNG!$N$6:$N$3005,ERFASSUNG!$D$6:$D$3005,$A41,ERFASSUNG!$C$6:$C$3005,$B$3))</f>
        <v/>
      </c>
      <c r="M41" s="40">
        <f>IF(OR($A41="",N($G$51)=0),"",G41/$G$51)</f>
        <v/>
      </c>
    </row>
    <row r="42">
      <c r="A42" s="41">
        <f>IF(LISTEN!$A$23="","",LISTEN!$A$23)</f>
        <v/>
      </c>
      <c r="B42" s="42">
        <f>IF($A42="","",COUNTIFS(ERFASSUNG!$D$6:$D$3005,$A42,ERFASSUNG!$C$6:$C$3005,$B$3))</f>
        <v/>
      </c>
      <c r="C42" s="42">
        <f>IF($A42="","",SUMIFS(ERFASSUNG!$E$6:$E$3005,ERFASSUNG!$D$6:$D$3005,$A42,ERFASSUNG!$C$6:$C$3005,$B$3))</f>
        <v/>
      </c>
      <c r="D42" s="42">
        <f>IF($A42="","",SUMIFS(ERFASSUNG!$F$6:$F$3005,ERFASSUNG!$D$6:$D$3005,$A42,ERFASSUNG!$C$6:$C$3005,$B$3))</f>
        <v/>
      </c>
      <c r="E42" s="42">
        <f>IF($A42="","",SUMIFS(ERFASSUNG!$G$6:$G$3005,ERFASSUNG!$D$6:$D$3005,$A42,ERFASSUNG!$C$6:$C$3005,$B$3))</f>
        <v/>
      </c>
      <c r="F42" s="42">
        <f>IF($A42="","",SUMIFS(ERFASSUNG!$H$6:$H$3005,ERFASSUNG!$D$6:$D$3005,$A42,ERFASSUNG!$C$6:$C$3005,$B$3))</f>
        <v/>
      </c>
      <c r="G42" s="42">
        <f>IF($A42="","",SUMIFS(ERFASSUNG!$I$6:$I$3005,ERFASSUNG!$D$6:$D$3005,$A42,ERFASSUNG!$C$6:$C$3005,$B$3))</f>
        <v/>
      </c>
      <c r="H42" s="42">
        <f>IF($A42="","",SUMIFS(ERFASSUNG!$J$6:$J$3005,ERFASSUNG!$D$6:$D$3005,$A42,ERFASSUNG!$C$6:$C$3005,$B$3))</f>
        <v/>
      </c>
      <c r="I42" s="42">
        <f>IF($A42="","",SUMIFS(ERFASSUNG!$K$6:$K$3005,ERFASSUNG!$D$6:$D$3005,$A42,ERFASSUNG!$C$6:$C$3005,$B$3))</f>
        <v/>
      </c>
      <c r="J42" s="42">
        <f>IF($A42="","",SUMIFS(ERFASSUNG!$L$6:$L$3005,ERFASSUNG!$D$6:$D$3005,$A42,ERFASSUNG!$C$6:$C$3005,$B$3))</f>
        <v/>
      </c>
      <c r="K42" s="42">
        <f>IF($A42="","",SUMIFS(ERFASSUNG!$M$6:$M$3005,ERFASSUNG!$D$6:$D$3005,$A42,ERFASSUNG!$C$6:$C$3005,$B$3))</f>
        <v/>
      </c>
      <c r="L42" s="42">
        <f>IF($A42="","",SUMIFS(ERFASSUNG!$N$6:$N$3005,ERFASSUNG!$D$6:$D$3005,$A42,ERFASSUNG!$C$6:$C$3005,$B$3))</f>
        <v/>
      </c>
      <c r="M42" s="43">
        <f>IF(OR($A42="",N($G$51)=0),"",G42/$G$51)</f>
        <v/>
      </c>
    </row>
    <row r="43">
      <c r="A43" s="39">
        <f>IF(LISTEN!$A$24="","",LISTEN!$A$24)</f>
        <v/>
      </c>
      <c r="B43" s="7">
        <f>IF($A43="","",COUNTIFS(ERFASSUNG!$D$6:$D$3005,$A43,ERFASSUNG!$C$6:$C$3005,$B$3))</f>
        <v/>
      </c>
      <c r="C43" s="7">
        <f>IF($A43="","",SUMIFS(ERFASSUNG!$E$6:$E$3005,ERFASSUNG!$D$6:$D$3005,$A43,ERFASSUNG!$C$6:$C$3005,$B$3))</f>
        <v/>
      </c>
      <c r="D43" s="7">
        <f>IF($A43="","",SUMIFS(ERFASSUNG!$F$6:$F$3005,ERFASSUNG!$D$6:$D$3005,$A43,ERFASSUNG!$C$6:$C$3005,$B$3))</f>
        <v/>
      </c>
      <c r="E43" s="7">
        <f>IF($A43="","",SUMIFS(ERFASSUNG!$G$6:$G$3005,ERFASSUNG!$D$6:$D$3005,$A43,ERFASSUNG!$C$6:$C$3005,$B$3))</f>
        <v/>
      </c>
      <c r="F43" s="7">
        <f>IF($A43="","",SUMIFS(ERFASSUNG!$H$6:$H$3005,ERFASSUNG!$D$6:$D$3005,$A43,ERFASSUNG!$C$6:$C$3005,$B$3))</f>
        <v/>
      </c>
      <c r="G43" s="7">
        <f>IF($A43="","",SUMIFS(ERFASSUNG!$I$6:$I$3005,ERFASSUNG!$D$6:$D$3005,$A43,ERFASSUNG!$C$6:$C$3005,$B$3))</f>
        <v/>
      </c>
      <c r="H43" s="7">
        <f>IF($A43="","",SUMIFS(ERFASSUNG!$J$6:$J$3005,ERFASSUNG!$D$6:$D$3005,$A43,ERFASSUNG!$C$6:$C$3005,$B$3))</f>
        <v/>
      </c>
      <c r="I43" s="7">
        <f>IF($A43="","",SUMIFS(ERFASSUNG!$K$6:$K$3005,ERFASSUNG!$D$6:$D$3005,$A43,ERFASSUNG!$C$6:$C$3005,$B$3))</f>
        <v/>
      </c>
      <c r="J43" s="7">
        <f>IF($A43="","",SUMIFS(ERFASSUNG!$L$6:$L$3005,ERFASSUNG!$D$6:$D$3005,$A43,ERFASSUNG!$C$6:$C$3005,$B$3))</f>
        <v/>
      </c>
      <c r="K43" s="7">
        <f>IF($A43="","",SUMIFS(ERFASSUNG!$M$6:$M$3005,ERFASSUNG!$D$6:$D$3005,$A43,ERFASSUNG!$C$6:$C$3005,$B$3))</f>
        <v/>
      </c>
      <c r="L43" s="7">
        <f>IF($A43="","",SUMIFS(ERFASSUNG!$N$6:$N$3005,ERFASSUNG!$D$6:$D$3005,$A43,ERFASSUNG!$C$6:$C$3005,$B$3))</f>
        <v/>
      </c>
      <c r="M43" s="40">
        <f>IF(OR($A43="",N($G$51)=0),"",G43/$G$51)</f>
        <v/>
      </c>
    </row>
    <row r="44">
      <c r="A44" s="41">
        <f>IF(LISTEN!$A$25="","",LISTEN!$A$25)</f>
        <v/>
      </c>
      <c r="B44" s="42">
        <f>IF($A44="","",COUNTIFS(ERFASSUNG!$D$6:$D$3005,$A44,ERFASSUNG!$C$6:$C$3005,$B$3))</f>
        <v/>
      </c>
      <c r="C44" s="42">
        <f>IF($A44="","",SUMIFS(ERFASSUNG!$E$6:$E$3005,ERFASSUNG!$D$6:$D$3005,$A44,ERFASSUNG!$C$6:$C$3005,$B$3))</f>
        <v/>
      </c>
      <c r="D44" s="42">
        <f>IF($A44="","",SUMIFS(ERFASSUNG!$F$6:$F$3005,ERFASSUNG!$D$6:$D$3005,$A44,ERFASSUNG!$C$6:$C$3005,$B$3))</f>
        <v/>
      </c>
      <c r="E44" s="42">
        <f>IF($A44="","",SUMIFS(ERFASSUNG!$G$6:$G$3005,ERFASSUNG!$D$6:$D$3005,$A44,ERFASSUNG!$C$6:$C$3005,$B$3))</f>
        <v/>
      </c>
      <c r="F44" s="42">
        <f>IF($A44="","",SUMIFS(ERFASSUNG!$H$6:$H$3005,ERFASSUNG!$D$6:$D$3005,$A44,ERFASSUNG!$C$6:$C$3005,$B$3))</f>
        <v/>
      </c>
      <c r="G44" s="42">
        <f>IF($A44="","",SUMIFS(ERFASSUNG!$I$6:$I$3005,ERFASSUNG!$D$6:$D$3005,$A44,ERFASSUNG!$C$6:$C$3005,$B$3))</f>
        <v/>
      </c>
      <c r="H44" s="42">
        <f>IF($A44="","",SUMIFS(ERFASSUNG!$J$6:$J$3005,ERFASSUNG!$D$6:$D$3005,$A44,ERFASSUNG!$C$6:$C$3005,$B$3))</f>
        <v/>
      </c>
      <c r="I44" s="42">
        <f>IF($A44="","",SUMIFS(ERFASSUNG!$K$6:$K$3005,ERFASSUNG!$D$6:$D$3005,$A44,ERFASSUNG!$C$6:$C$3005,$B$3))</f>
        <v/>
      </c>
      <c r="J44" s="42">
        <f>IF($A44="","",SUMIFS(ERFASSUNG!$L$6:$L$3005,ERFASSUNG!$D$6:$D$3005,$A44,ERFASSUNG!$C$6:$C$3005,$B$3))</f>
        <v/>
      </c>
      <c r="K44" s="42">
        <f>IF($A44="","",SUMIFS(ERFASSUNG!$M$6:$M$3005,ERFASSUNG!$D$6:$D$3005,$A44,ERFASSUNG!$C$6:$C$3005,$B$3))</f>
        <v/>
      </c>
      <c r="L44" s="42">
        <f>IF($A44="","",SUMIFS(ERFASSUNG!$N$6:$N$3005,ERFASSUNG!$D$6:$D$3005,$A44,ERFASSUNG!$C$6:$C$3005,$B$3))</f>
        <v/>
      </c>
      <c r="M44" s="43">
        <f>IF(OR($A44="",N($G$51)=0),"",G44/$G$51)</f>
        <v/>
      </c>
    </row>
    <row r="45">
      <c r="A45" s="39">
        <f>IF(LISTEN!$A$26="","",LISTEN!$A$26)</f>
        <v/>
      </c>
      <c r="B45" s="7">
        <f>IF($A45="","",COUNTIFS(ERFASSUNG!$D$6:$D$3005,$A45,ERFASSUNG!$C$6:$C$3005,$B$3))</f>
        <v/>
      </c>
      <c r="C45" s="7">
        <f>IF($A45="","",SUMIFS(ERFASSUNG!$E$6:$E$3005,ERFASSUNG!$D$6:$D$3005,$A45,ERFASSUNG!$C$6:$C$3005,$B$3))</f>
        <v/>
      </c>
      <c r="D45" s="7">
        <f>IF($A45="","",SUMIFS(ERFASSUNG!$F$6:$F$3005,ERFASSUNG!$D$6:$D$3005,$A45,ERFASSUNG!$C$6:$C$3005,$B$3))</f>
        <v/>
      </c>
      <c r="E45" s="7">
        <f>IF($A45="","",SUMIFS(ERFASSUNG!$G$6:$G$3005,ERFASSUNG!$D$6:$D$3005,$A45,ERFASSUNG!$C$6:$C$3005,$B$3))</f>
        <v/>
      </c>
      <c r="F45" s="7">
        <f>IF($A45="","",SUMIFS(ERFASSUNG!$H$6:$H$3005,ERFASSUNG!$D$6:$D$3005,$A45,ERFASSUNG!$C$6:$C$3005,$B$3))</f>
        <v/>
      </c>
      <c r="G45" s="7">
        <f>IF($A45="","",SUMIFS(ERFASSUNG!$I$6:$I$3005,ERFASSUNG!$D$6:$D$3005,$A45,ERFASSUNG!$C$6:$C$3005,$B$3))</f>
        <v/>
      </c>
      <c r="H45" s="7">
        <f>IF($A45="","",SUMIFS(ERFASSUNG!$J$6:$J$3005,ERFASSUNG!$D$6:$D$3005,$A45,ERFASSUNG!$C$6:$C$3005,$B$3))</f>
        <v/>
      </c>
      <c r="I45" s="7">
        <f>IF($A45="","",SUMIFS(ERFASSUNG!$K$6:$K$3005,ERFASSUNG!$D$6:$D$3005,$A45,ERFASSUNG!$C$6:$C$3005,$B$3))</f>
        <v/>
      </c>
      <c r="J45" s="7">
        <f>IF($A45="","",SUMIFS(ERFASSUNG!$L$6:$L$3005,ERFASSUNG!$D$6:$D$3005,$A45,ERFASSUNG!$C$6:$C$3005,$B$3))</f>
        <v/>
      </c>
      <c r="K45" s="7">
        <f>IF($A45="","",SUMIFS(ERFASSUNG!$M$6:$M$3005,ERFASSUNG!$D$6:$D$3005,$A45,ERFASSUNG!$C$6:$C$3005,$B$3))</f>
        <v/>
      </c>
      <c r="L45" s="7">
        <f>IF($A45="","",SUMIFS(ERFASSUNG!$N$6:$N$3005,ERFASSUNG!$D$6:$D$3005,$A45,ERFASSUNG!$C$6:$C$3005,$B$3))</f>
        <v/>
      </c>
      <c r="M45" s="40">
        <f>IF(OR($A45="",N($G$51)=0),"",G45/$G$51)</f>
        <v/>
      </c>
    </row>
    <row r="46">
      <c r="A46" s="41">
        <f>IF(LISTEN!$A$27="","",LISTEN!$A$27)</f>
        <v/>
      </c>
      <c r="B46" s="42">
        <f>IF($A46="","",COUNTIFS(ERFASSUNG!$D$6:$D$3005,$A46,ERFASSUNG!$C$6:$C$3005,$B$3))</f>
        <v/>
      </c>
      <c r="C46" s="42">
        <f>IF($A46="","",SUMIFS(ERFASSUNG!$E$6:$E$3005,ERFASSUNG!$D$6:$D$3005,$A46,ERFASSUNG!$C$6:$C$3005,$B$3))</f>
        <v/>
      </c>
      <c r="D46" s="42">
        <f>IF($A46="","",SUMIFS(ERFASSUNG!$F$6:$F$3005,ERFASSUNG!$D$6:$D$3005,$A46,ERFASSUNG!$C$6:$C$3005,$B$3))</f>
        <v/>
      </c>
      <c r="E46" s="42">
        <f>IF($A46="","",SUMIFS(ERFASSUNG!$G$6:$G$3005,ERFASSUNG!$D$6:$D$3005,$A46,ERFASSUNG!$C$6:$C$3005,$B$3))</f>
        <v/>
      </c>
      <c r="F46" s="42">
        <f>IF($A46="","",SUMIFS(ERFASSUNG!$H$6:$H$3005,ERFASSUNG!$D$6:$D$3005,$A46,ERFASSUNG!$C$6:$C$3005,$B$3))</f>
        <v/>
      </c>
      <c r="G46" s="42">
        <f>IF($A46="","",SUMIFS(ERFASSUNG!$I$6:$I$3005,ERFASSUNG!$D$6:$D$3005,$A46,ERFASSUNG!$C$6:$C$3005,$B$3))</f>
        <v/>
      </c>
      <c r="H46" s="42">
        <f>IF($A46="","",SUMIFS(ERFASSUNG!$J$6:$J$3005,ERFASSUNG!$D$6:$D$3005,$A46,ERFASSUNG!$C$6:$C$3005,$B$3))</f>
        <v/>
      </c>
      <c r="I46" s="42">
        <f>IF($A46="","",SUMIFS(ERFASSUNG!$K$6:$K$3005,ERFASSUNG!$D$6:$D$3005,$A46,ERFASSUNG!$C$6:$C$3005,$B$3))</f>
        <v/>
      </c>
      <c r="J46" s="42">
        <f>IF($A46="","",SUMIFS(ERFASSUNG!$L$6:$L$3005,ERFASSUNG!$D$6:$D$3005,$A46,ERFASSUNG!$C$6:$C$3005,$B$3))</f>
        <v/>
      </c>
      <c r="K46" s="42">
        <f>IF($A46="","",SUMIFS(ERFASSUNG!$M$6:$M$3005,ERFASSUNG!$D$6:$D$3005,$A46,ERFASSUNG!$C$6:$C$3005,$B$3))</f>
        <v/>
      </c>
      <c r="L46" s="42">
        <f>IF($A46="","",SUMIFS(ERFASSUNG!$N$6:$N$3005,ERFASSUNG!$D$6:$D$3005,$A46,ERFASSUNG!$C$6:$C$3005,$B$3))</f>
        <v/>
      </c>
      <c r="M46" s="43">
        <f>IF(OR($A46="",N($G$51)=0),"",G46/$G$51)</f>
        <v/>
      </c>
    </row>
    <row r="47">
      <c r="A47" s="39">
        <f>IF(LISTEN!$A$28="","",LISTEN!$A$28)</f>
        <v/>
      </c>
      <c r="B47" s="7">
        <f>IF($A47="","",COUNTIFS(ERFASSUNG!$D$6:$D$3005,$A47,ERFASSUNG!$C$6:$C$3005,$B$3))</f>
        <v/>
      </c>
      <c r="C47" s="7">
        <f>IF($A47="","",SUMIFS(ERFASSUNG!$E$6:$E$3005,ERFASSUNG!$D$6:$D$3005,$A47,ERFASSUNG!$C$6:$C$3005,$B$3))</f>
        <v/>
      </c>
      <c r="D47" s="7">
        <f>IF($A47="","",SUMIFS(ERFASSUNG!$F$6:$F$3005,ERFASSUNG!$D$6:$D$3005,$A47,ERFASSUNG!$C$6:$C$3005,$B$3))</f>
        <v/>
      </c>
      <c r="E47" s="7">
        <f>IF($A47="","",SUMIFS(ERFASSUNG!$G$6:$G$3005,ERFASSUNG!$D$6:$D$3005,$A47,ERFASSUNG!$C$6:$C$3005,$B$3))</f>
        <v/>
      </c>
      <c r="F47" s="7">
        <f>IF($A47="","",SUMIFS(ERFASSUNG!$H$6:$H$3005,ERFASSUNG!$D$6:$D$3005,$A47,ERFASSUNG!$C$6:$C$3005,$B$3))</f>
        <v/>
      </c>
      <c r="G47" s="7">
        <f>IF($A47="","",SUMIFS(ERFASSUNG!$I$6:$I$3005,ERFASSUNG!$D$6:$D$3005,$A47,ERFASSUNG!$C$6:$C$3005,$B$3))</f>
        <v/>
      </c>
      <c r="H47" s="7">
        <f>IF($A47="","",SUMIFS(ERFASSUNG!$J$6:$J$3005,ERFASSUNG!$D$6:$D$3005,$A47,ERFASSUNG!$C$6:$C$3005,$B$3))</f>
        <v/>
      </c>
      <c r="I47" s="7">
        <f>IF($A47="","",SUMIFS(ERFASSUNG!$K$6:$K$3005,ERFASSUNG!$D$6:$D$3005,$A47,ERFASSUNG!$C$6:$C$3005,$B$3))</f>
        <v/>
      </c>
      <c r="J47" s="7">
        <f>IF($A47="","",SUMIFS(ERFASSUNG!$L$6:$L$3005,ERFASSUNG!$D$6:$D$3005,$A47,ERFASSUNG!$C$6:$C$3005,$B$3))</f>
        <v/>
      </c>
      <c r="K47" s="7">
        <f>IF($A47="","",SUMIFS(ERFASSUNG!$M$6:$M$3005,ERFASSUNG!$D$6:$D$3005,$A47,ERFASSUNG!$C$6:$C$3005,$B$3))</f>
        <v/>
      </c>
      <c r="L47" s="7">
        <f>IF($A47="","",SUMIFS(ERFASSUNG!$N$6:$N$3005,ERFASSUNG!$D$6:$D$3005,$A47,ERFASSUNG!$C$6:$C$3005,$B$3))</f>
        <v/>
      </c>
      <c r="M47" s="40">
        <f>IF(OR($A47="",N($G$51)=0),"",G47/$G$51)</f>
        <v/>
      </c>
    </row>
    <row r="48">
      <c r="A48" s="41">
        <f>IF(LISTEN!$A$29="","",LISTEN!$A$29)</f>
        <v/>
      </c>
      <c r="B48" s="42">
        <f>IF($A48="","",COUNTIFS(ERFASSUNG!$D$6:$D$3005,$A48,ERFASSUNG!$C$6:$C$3005,$B$3))</f>
        <v/>
      </c>
      <c r="C48" s="42">
        <f>IF($A48="","",SUMIFS(ERFASSUNG!$E$6:$E$3005,ERFASSUNG!$D$6:$D$3005,$A48,ERFASSUNG!$C$6:$C$3005,$B$3))</f>
        <v/>
      </c>
      <c r="D48" s="42">
        <f>IF($A48="","",SUMIFS(ERFASSUNG!$F$6:$F$3005,ERFASSUNG!$D$6:$D$3005,$A48,ERFASSUNG!$C$6:$C$3005,$B$3))</f>
        <v/>
      </c>
      <c r="E48" s="42">
        <f>IF($A48="","",SUMIFS(ERFASSUNG!$G$6:$G$3005,ERFASSUNG!$D$6:$D$3005,$A48,ERFASSUNG!$C$6:$C$3005,$B$3))</f>
        <v/>
      </c>
      <c r="F48" s="42">
        <f>IF($A48="","",SUMIFS(ERFASSUNG!$H$6:$H$3005,ERFASSUNG!$D$6:$D$3005,$A48,ERFASSUNG!$C$6:$C$3005,$B$3))</f>
        <v/>
      </c>
      <c r="G48" s="42">
        <f>IF($A48="","",SUMIFS(ERFASSUNG!$I$6:$I$3005,ERFASSUNG!$D$6:$D$3005,$A48,ERFASSUNG!$C$6:$C$3005,$B$3))</f>
        <v/>
      </c>
      <c r="H48" s="42">
        <f>IF($A48="","",SUMIFS(ERFASSUNG!$J$6:$J$3005,ERFASSUNG!$D$6:$D$3005,$A48,ERFASSUNG!$C$6:$C$3005,$B$3))</f>
        <v/>
      </c>
      <c r="I48" s="42">
        <f>IF($A48="","",SUMIFS(ERFASSUNG!$K$6:$K$3005,ERFASSUNG!$D$6:$D$3005,$A48,ERFASSUNG!$C$6:$C$3005,$B$3))</f>
        <v/>
      </c>
      <c r="J48" s="42">
        <f>IF($A48="","",SUMIFS(ERFASSUNG!$L$6:$L$3005,ERFASSUNG!$D$6:$D$3005,$A48,ERFASSUNG!$C$6:$C$3005,$B$3))</f>
        <v/>
      </c>
      <c r="K48" s="42">
        <f>IF($A48="","",SUMIFS(ERFASSUNG!$M$6:$M$3005,ERFASSUNG!$D$6:$D$3005,$A48,ERFASSUNG!$C$6:$C$3005,$B$3))</f>
        <v/>
      </c>
      <c r="L48" s="42">
        <f>IF($A48="","",SUMIFS(ERFASSUNG!$N$6:$N$3005,ERFASSUNG!$D$6:$D$3005,$A48,ERFASSUNG!$C$6:$C$3005,$B$3))</f>
        <v/>
      </c>
      <c r="M48" s="43">
        <f>IF(OR($A48="",N($G$51)=0),"",G48/$G$51)</f>
        <v/>
      </c>
    </row>
    <row r="49">
      <c r="A49" s="39">
        <f>IF(LISTEN!$A$30="","",LISTEN!$A$30)</f>
        <v/>
      </c>
      <c r="B49" s="7">
        <f>IF($A49="","",COUNTIFS(ERFASSUNG!$D$6:$D$3005,$A49,ERFASSUNG!$C$6:$C$3005,$B$3))</f>
        <v/>
      </c>
      <c r="C49" s="7">
        <f>IF($A49="","",SUMIFS(ERFASSUNG!$E$6:$E$3005,ERFASSUNG!$D$6:$D$3005,$A49,ERFASSUNG!$C$6:$C$3005,$B$3))</f>
        <v/>
      </c>
      <c r="D49" s="7">
        <f>IF($A49="","",SUMIFS(ERFASSUNG!$F$6:$F$3005,ERFASSUNG!$D$6:$D$3005,$A49,ERFASSUNG!$C$6:$C$3005,$B$3))</f>
        <v/>
      </c>
      <c r="E49" s="7">
        <f>IF($A49="","",SUMIFS(ERFASSUNG!$G$6:$G$3005,ERFASSUNG!$D$6:$D$3005,$A49,ERFASSUNG!$C$6:$C$3005,$B$3))</f>
        <v/>
      </c>
      <c r="F49" s="7">
        <f>IF($A49="","",SUMIFS(ERFASSUNG!$H$6:$H$3005,ERFASSUNG!$D$6:$D$3005,$A49,ERFASSUNG!$C$6:$C$3005,$B$3))</f>
        <v/>
      </c>
      <c r="G49" s="7">
        <f>IF($A49="","",SUMIFS(ERFASSUNG!$I$6:$I$3005,ERFASSUNG!$D$6:$D$3005,$A49,ERFASSUNG!$C$6:$C$3005,$B$3))</f>
        <v/>
      </c>
      <c r="H49" s="7">
        <f>IF($A49="","",SUMIFS(ERFASSUNG!$J$6:$J$3005,ERFASSUNG!$D$6:$D$3005,$A49,ERFASSUNG!$C$6:$C$3005,$B$3))</f>
        <v/>
      </c>
      <c r="I49" s="7">
        <f>IF($A49="","",SUMIFS(ERFASSUNG!$K$6:$K$3005,ERFASSUNG!$D$6:$D$3005,$A49,ERFASSUNG!$C$6:$C$3005,$B$3))</f>
        <v/>
      </c>
      <c r="J49" s="7">
        <f>IF($A49="","",SUMIFS(ERFASSUNG!$L$6:$L$3005,ERFASSUNG!$D$6:$D$3005,$A49,ERFASSUNG!$C$6:$C$3005,$B$3))</f>
        <v/>
      </c>
      <c r="K49" s="7">
        <f>IF($A49="","",SUMIFS(ERFASSUNG!$M$6:$M$3005,ERFASSUNG!$D$6:$D$3005,$A49,ERFASSUNG!$C$6:$C$3005,$B$3))</f>
        <v/>
      </c>
      <c r="L49" s="7">
        <f>IF($A49="","",SUMIFS(ERFASSUNG!$N$6:$N$3005,ERFASSUNG!$D$6:$D$3005,$A49,ERFASSUNG!$C$6:$C$3005,$B$3))</f>
        <v/>
      </c>
      <c r="M49" s="40">
        <f>IF(OR($A49="",N($G$51)=0),"",G49/$G$51)</f>
        <v/>
      </c>
    </row>
    <row r="50">
      <c r="A50" s="41">
        <f>IF(LISTEN!$A$31="","",LISTEN!$A$31)</f>
        <v/>
      </c>
      <c r="B50" s="42">
        <f>IF($A50="","",COUNTIFS(ERFASSUNG!$D$6:$D$3005,$A50,ERFASSUNG!$C$6:$C$3005,$B$3))</f>
        <v/>
      </c>
      <c r="C50" s="42">
        <f>IF($A50="","",SUMIFS(ERFASSUNG!$E$6:$E$3005,ERFASSUNG!$D$6:$D$3005,$A50,ERFASSUNG!$C$6:$C$3005,$B$3))</f>
        <v/>
      </c>
      <c r="D50" s="42">
        <f>IF($A50="","",SUMIFS(ERFASSUNG!$F$6:$F$3005,ERFASSUNG!$D$6:$D$3005,$A50,ERFASSUNG!$C$6:$C$3005,$B$3))</f>
        <v/>
      </c>
      <c r="E50" s="42">
        <f>IF($A50="","",SUMIFS(ERFASSUNG!$G$6:$G$3005,ERFASSUNG!$D$6:$D$3005,$A50,ERFASSUNG!$C$6:$C$3005,$B$3))</f>
        <v/>
      </c>
      <c r="F50" s="42">
        <f>IF($A50="","",SUMIFS(ERFASSUNG!$H$6:$H$3005,ERFASSUNG!$D$6:$D$3005,$A50,ERFASSUNG!$C$6:$C$3005,$B$3))</f>
        <v/>
      </c>
      <c r="G50" s="42">
        <f>IF($A50="","",SUMIFS(ERFASSUNG!$I$6:$I$3005,ERFASSUNG!$D$6:$D$3005,$A50,ERFASSUNG!$C$6:$C$3005,$B$3))</f>
        <v/>
      </c>
      <c r="H50" s="42">
        <f>IF($A50="","",SUMIFS(ERFASSUNG!$J$6:$J$3005,ERFASSUNG!$D$6:$D$3005,$A50,ERFASSUNG!$C$6:$C$3005,$B$3))</f>
        <v/>
      </c>
      <c r="I50" s="42">
        <f>IF($A50="","",SUMIFS(ERFASSUNG!$K$6:$K$3005,ERFASSUNG!$D$6:$D$3005,$A50,ERFASSUNG!$C$6:$C$3005,$B$3))</f>
        <v/>
      </c>
      <c r="J50" s="42">
        <f>IF($A50="","",SUMIFS(ERFASSUNG!$L$6:$L$3005,ERFASSUNG!$D$6:$D$3005,$A50,ERFASSUNG!$C$6:$C$3005,$B$3))</f>
        <v/>
      </c>
      <c r="K50" s="42">
        <f>IF($A50="","",SUMIFS(ERFASSUNG!$M$6:$M$3005,ERFASSUNG!$D$6:$D$3005,$A50,ERFASSUNG!$C$6:$C$3005,$B$3))</f>
        <v/>
      </c>
      <c r="L50" s="42">
        <f>IF($A50="","",SUMIFS(ERFASSUNG!$N$6:$N$3005,ERFASSUNG!$D$6:$D$3005,$A50,ERFASSUNG!$C$6:$C$3005,$B$3))</f>
        <v/>
      </c>
      <c r="M50" s="43">
        <f>IF(OR($A50="",N($G$51)=0),"",G50/$G$51)</f>
        <v/>
      </c>
    </row>
    <row r="51">
      <c r="A51" s="38" t="inlineStr">
        <is>
          <t>SUMME</t>
        </is>
      </c>
      <c r="B51" s="18">
        <f>SUM(B21:B50)</f>
        <v/>
      </c>
      <c r="C51" s="18">
        <f>SUM(C21:C50)</f>
        <v/>
      </c>
      <c r="D51" s="18">
        <f>SUM(D21:D50)</f>
        <v/>
      </c>
      <c r="E51" s="18">
        <f>SUM(E21:E50)</f>
        <v/>
      </c>
      <c r="F51" s="18">
        <f>SUM(F21:F50)</f>
        <v/>
      </c>
      <c r="G51" s="18">
        <f>SUM(G21:G50)</f>
        <v/>
      </c>
      <c r="H51" s="18">
        <f>SUM(H21:H50)</f>
        <v/>
      </c>
      <c r="I51" s="18">
        <f>SUM(I21:I50)</f>
        <v/>
      </c>
      <c r="J51" s="18">
        <f>SUM(J21:J50)</f>
        <v/>
      </c>
      <c r="K51" s="18">
        <f>SUM(K21:K50)</f>
        <v/>
      </c>
      <c r="L51" s="18">
        <f>SUM(L21:L50)</f>
        <v/>
      </c>
      <c r="M51" s="18" t="n"/>
    </row>
    <row r="53">
      <c r="A53" s="5" t="inlineStr">
        <is>
          <t>Team diese Woche</t>
        </is>
      </c>
      <c r="E53" s="5" t="inlineStr">
        <is>
          <t>Wichtiges der Woche (aus Spalte 'Wichtig / Vorkommnisse')</t>
        </is>
      </c>
    </row>
    <row r="54">
      <c r="A54" s="6" t="inlineStr">
        <is>
          <t>Team</t>
        </is>
      </c>
      <c r="B54" s="6" t="inlineStr">
        <is>
          <t>Einsätze</t>
        </is>
      </c>
      <c r="C54" s="6" t="inlineStr">
        <is>
          <t>Stunden</t>
        </is>
      </c>
      <c r="E54" s="6" t="inlineStr">
        <is>
          <t>Datum</t>
        </is>
      </c>
      <c r="F54" s="6" t="inlineStr">
        <is>
          <t>Angebot</t>
        </is>
      </c>
      <c r="G54" s="6" t="n"/>
      <c r="H54" s="6" t="inlineStr">
        <is>
          <t>Dienst</t>
        </is>
      </c>
      <c r="I54" s="6" t="n"/>
      <c r="J54" s="6" t="inlineStr">
        <is>
          <t>Wichtig / Vorkommnisse</t>
        </is>
      </c>
      <c r="K54" s="6" t="n"/>
      <c r="L54" s="6" t="n"/>
      <c r="M54" s="6" t="n"/>
      <c r="N54" s="6" t="n"/>
      <c r="O54" s="6" t="n"/>
    </row>
    <row r="55">
      <c r="A55" s="39">
        <f>IF(LISTEN!$C$2="","",LISTEN!$C$2)</f>
        <v/>
      </c>
      <c r="B55" s="7">
        <f>IF($A55="","",COUNTIFS(ERFASSUNG!$P$6:$P$3005,$A55,ERFASSUNG!$C$6:$C$3005,$B$3)+COUNTIFS(ERFASSUNG!$Q$6:$Q$3005,$A55,ERFASSUNG!$C$6:$C$3005,$B$3)+COUNTIFS(ERFASSUNG!$R$6:$R$3005,$A55,ERFASSUNG!$C$6:$C$3005,$B$3))</f>
        <v/>
      </c>
      <c r="C55" s="37">
        <f>IF($A55="","",SUMIFS(ERFASSUNG!$E$6:$E$3005,ERFASSUNG!$P$6:$P$3005,$A55,ERFASSUNG!$C$6:$C$3005,$B$3)+SUMIFS(ERFASSUNG!$E$6:$E$3005,ERFASSUNG!$Q$6:$Q$3005,$A55,ERFASSUNG!$C$6:$C$3005,$B$3)+SUMIFS(ERFASSUNG!$E$6:$E$3005,ERFASSUNG!$R$6:$R$3005,$A55,ERFASSUNG!$C$6:$C$3005,$B$3))</f>
        <v/>
      </c>
      <c r="E55" s="44">
        <f>IF($AY55="","",INDEX(ERFASSUNG!$A$6:$A$3005,$AY55))</f>
        <v/>
      </c>
      <c r="F55" s="45">
        <f>IF($AY55="","",INDEX(ERFASSUNG!$D$6:$D$3005,$AY55))</f>
        <v/>
      </c>
      <c r="G55" s="45" t="n"/>
      <c r="H55" s="45">
        <f>IF($AY55="","",INDEX(ERFASSUNG!$P$6:$P$3005,$AY55))</f>
        <v/>
      </c>
      <c r="I55" s="45" t="n"/>
      <c r="J55" s="46">
        <f>IF($AY55="","",INDEX(ERFASSUNG!$T$6:$T$3005,$AY55))</f>
        <v/>
      </c>
      <c r="K55" s="46" t="n"/>
      <c r="L55" s="46" t="n"/>
      <c r="M55" s="46" t="n"/>
      <c r="N55" s="46" t="n"/>
      <c r="O55" s="46" t="n"/>
      <c r="AY55">
        <f>IFERROR(MATCH(1,ERFASSUNG!$W$6:$W$3005,0),"")</f>
        <v/>
      </c>
    </row>
    <row r="56">
      <c r="A56" s="41">
        <f>IF(LISTEN!$C$3="","",LISTEN!$C$3)</f>
        <v/>
      </c>
      <c r="B56" s="42">
        <f>IF($A56="","",COUNTIFS(ERFASSUNG!$P$6:$P$3005,$A56,ERFASSUNG!$C$6:$C$3005,$B$3)+COUNTIFS(ERFASSUNG!$Q$6:$Q$3005,$A56,ERFASSUNG!$C$6:$C$3005,$B$3)+COUNTIFS(ERFASSUNG!$R$6:$R$3005,$A56,ERFASSUNG!$C$6:$C$3005,$B$3))</f>
        <v/>
      </c>
      <c r="C56" s="47">
        <f>IF($A56="","",SUMIFS(ERFASSUNG!$E$6:$E$3005,ERFASSUNG!$P$6:$P$3005,$A56,ERFASSUNG!$C$6:$C$3005,$B$3)+SUMIFS(ERFASSUNG!$E$6:$E$3005,ERFASSUNG!$Q$6:$Q$3005,$A56,ERFASSUNG!$C$6:$C$3005,$B$3)+SUMIFS(ERFASSUNG!$E$6:$E$3005,ERFASSUNG!$R$6:$R$3005,$A56,ERFASSUNG!$C$6:$C$3005,$B$3))</f>
        <v/>
      </c>
      <c r="E56" s="44">
        <f>IF($AY56="","",INDEX(ERFASSUNG!$A$6:$A$3005,$AY56))</f>
        <v/>
      </c>
      <c r="F56" s="45">
        <f>IF($AY56="","",INDEX(ERFASSUNG!$D$6:$D$3005,$AY56))</f>
        <v/>
      </c>
      <c r="G56" s="45" t="n"/>
      <c r="H56" s="45">
        <f>IF($AY56="","",INDEX(ERFASSUNG!$P$6:$P$3005,$AY56))</f>
        <v/>
      </c>
      <c r="I56" s="45" t="n"/>
      <c r="J56" s="46">
        <f>IF($AY56="","",INDEX(ERFASSUNG!$T$6:$T$3005,$AY56))</f>
        <v/>
      </c>
      <c r="K56" s="46" t="n"/>
      <c r="L56" s="46" t="n"/>
      <c r="M56" s="46" t="n"/>
      <c r="N56" s="46" t="n"/>
      <c r="O56" s="46" t="n"/>
      <c r="AY56">
        <f>IFERROR(MATCH(2,ERFASSUNG!$W$6:$W$3005,0),"")</f>
        <v/>
      </c>
    </row>
    <row r="57">
      <c r="A57" s="39">
        <f>IF(LISTEN!$C$4="","",LISTEN!$C$4)</f>
        <v/>
      </c>
      <c r="B57" s="7">
        <f>IF($A57="","",COUNTIFS(ERFASSUNG!$P$6:$P$3005,$A57,ERFASSUNG!$C$6:$C$3005,$B$3)+COUNTIFS(ERFASSUNG!$Q$6:$Q$3005,$A57,ERFASSUNG!$C$6:$C$3005,$B$3)+COUNTIFS(ERFASSUNG!$R$6:$R$3005,$A57,ERFASSUNG!$C$6:$C$3005,$B$3))</f>
        <v/>
      </c>
      <c r="C57" s="37">
        <f>IF($A57="","",SUMIFS(ERFASSUNG!$E$6:$E$3005,ERFASSUNG!$P$6:$P$3005,$A57,ERFASSUNG!$C$6:$C$3005,$B$3)+SUMIFS(ERFASSUNG!$E$6:$E$3005,ERFASSUNG!$Q$6:$Q$3005,$A57,ERFASSUNG!$C$6:$C$3005,$B$3)+SUMIFS(ERFASSUNG!$E$6:$E$3005,ERFASSUNG!$R$6:$R$3005,$A57,ERFASSUNG!$C$6:$C$3005,$B$3))</f>
        <v/>
      </c>
      <c r="E57" s="44">
        <f>IF($AY57="","",INDEX(ERFASSUNG!$A$6:$A$3005,$AY57))</f>
        <v/>
      </c>
      <c r="F57" s="45">
        <f>IF($AY57="","",INDEX(ERFASSUNG!$D$6:$D$3005,$AY57))</f>
        <v/>
      </c>
      <c r="G57" s="45" t="n"/>
      <c r="H57" s="45">
        <f>IF($AY57="","",INDEX(ERFASSUNG!$P$6:$P$3005,$AY57))</f>
        <v/>
      </c>
      <c r="I57" s="45" t="n"/>
      <c r="J57" s="46">
        <f>IF($AY57="","",INDEX(ERFASSUNG!$T$6:$T$3005,$AY57))</f>
        <v/>
      </c>
      <c r="K57" s="46" t="n"/>
      <c r="L57" s="46" t="n"/>
      <c r="M57" s="46" t="n"/>
      <c r="N57" s="46" t="n"/>
      <c r="O57" s="46" t="n"/>
      <c r="AY57">
        <f>IFERROR(MATCH(3,ERFASSUNG!$W$6:$W$3005,0),"")</f>
        <v/>
      </c>
    </row>
    <row r="58">
      <c r="A58" s="41">
        <f>IF(LISTEN!$C$5="","",LISTEN!$C$5)</f>
        <v/>
      </c>
      <c r="B58" s="42">
        <f>IF($A58="","",COUNTIFS(ERFASSUNG!$P$6:$P$3005,$A58,ERFASSUNG!$C$6:$C$3005,$B$3)+COUNTIFS(ERFASSUNG!$Q$6:$Q$3005,$A58,ERFASSUNG!$C$6:$C$3005,$B$3)+COUNTIFS(ERFASSUNG!$R$6:$R$3005,$A58,ERFASSUNG!$C$6:$C$3005,$B$3))</f>
        <v/>
      </c>
      <c r="C58" s="47">
        <f>IF($A58="","",SUMIFS(ERFASSUNG!$E$6:$E$3005,ERFASSUNG!$P$6:$P$3005,$A58,ERFASSUNG!$C$6:$C$3005,$B$3)+SUMIFS(ERFASSUNG!$E$6:$E$3005,ERFASSUNG!$Q$6:$Q$3005,$A58,ERFASSUNG!$C$6:$C$3005,$B$3)+SUMIFS(ERFASSUNG!$E$6:$E$3005,ERFASSUNG!$R$6:$R$3005,$A58,ERFASSUNG!$C$6:$C$3005,$B$3))</f>
        <v/>
      </c>
      <c r="E58" s="44">
        <f>IF($AY58="","",INDEX(ERFASSUNG!$A$6:$A$3005,$AY58))</f>
        <v/>
      </c>
      <c r="F58" s="45">
        <f>IF($AY58="","",INDEX(ERFASSUNG!$D$6:$D$3005,$AY58))</f>
        <v/>
      </c>
      <c r="G58" s="45" t="n"/>
      <c r="H58" s="45">
        <f>IF($AY58="","",INDEX(ERFASSUNG!$P$6:$P$3005,$AY58))</f>
        <v/>
      </c>
      <c r="I58" s="45" t="n"/>
      <c r="J58" s="46">
        <f>IF($AY58="","",INDEX(ERFASSUNG!$T$6:$T$3005,$AY58))</f>
        <v/>
      </c>
      <c r="K58" s="46" t="n"/>
      <c r="L58" s="46" t="n"/>
      <c r="M58" s="46" t="n"/>
      <c r="N58" s="46" t="n"/>
      <c r="O58" s="46" t="n"/>
      <c r="AY58">
        <f>IFERROR(MATCH(4,ERFASSUNG!$W$6:$W$3005,0),"")</f>
        <v/>
      </c>
    </row>
    <row r="59">
      <c r="A59" s="39">
        <f>IF(LISTEN!$C$6="","",LISTEN!$C$6)</f>
        <v/>
      </c>
      <c r="B59" s="7">
        <f>IF($A59="","",COUNTIFS(ERFASSUNG!$P$6:$P$3005,$A59,ERFASSUNG!$C$6:$C$3005,$B$3)+COUNTIFS(ERFASSUNG!$Q$6:$Q$3005,$A59,ERFASSUNG!$C$6:$C$3005,$B$3)+COUNTIFS(ERFASSUNG!$R$6:$R$3005,$A59,ERFASSUNG!$C$6:$C$3005,$B$3))</f>
        <v/>
      </c>
      <c r="C59" s="37">
        <f>IF($A59="","",SUMIFS(ERFASSUNG!$E$6:$E$3005,ERFASSUNG!$P$6:$P$3005,$A59,ERFASSUNG!$C$6:$C$3005,$B$3)+SUMIFS(ERFASSUNG!$E$6:$E$3005,ERFASSUNG!$Q$6:$Q$3005,$A59,ERFASSUNG!$C$6:$C$3005,$B$3)+SUMIFS(ERFASSUNG!$E$6:$E$3005,ERFASSUNG!$R$6:$R$3005,$A59,ERFASSUNG!$C$6:$C$3005,$B$3))</f>
        <v/>
      </c>
      <c r="E59" s="44">
        <f>IF($AY59="","",INDEX(ERFASSUNG!$A$6:$A$3005,$AY59))</f>
        <v/>
      </c>
      <c r="F59" s="45">
        <f>IF($AY59="","",INDEX(ERFASSUNG!$D$6:$D$3005,$AY59))</f>
        <v/>
      </c>
      <c r="G59" s="45" t="n"/>
      <c r="H59" s="45">
        <f>IF($AY59="","",INDEX(ERFASSUNG!$P$6:$P$3005,$AY59))</f>
        <v/>
      </c>
      <c r="I59" s="45" t="n"/>
      <c r="J59" s="46">
        <f>IF($AY59="","",INDEX(ERFASSUNG!$T$6:$T$3005,$AY59))</f>
        <v/>
      </c>
      <c r="K59" s="46" t="n"/>
      <c r="L59" s="46" t="n"/>
      <c r="M59" s="46" t="n"/>
      <c r="N59" s="46" t="n"/>
      <c r="O59" s="46" t="n"/>
      <c r="AY59">
        <f>IFERROR(MATCH(5,ERFASSUNG!$W$6:$W$3005,0),"")</f>
        <v/>
      </c>
    </row>
    <row r="60">
      <c r="A60" s="41">
        <f>IF(LISTEN!$C$7="","",LISTEN!$C$7)</f>
        <v/>
      </c>
      <c r="B60" s="42">
        <f>IF($A60="","",COUNTIFS(ERFASSUNG!$P$6:$P$3005,$A60,ERFASSUNG!$C$6:$C$3005,$B$3)+COUNTIFS(ERFASSUNG!$Q$6:$Q$3005,$A60,ERFASSUNG!$C$6:$C$3005,$B$3)+COUNTIFS(ERFASSUNG!$R$6:$R$3005,$A60,ERFASSUNG!$C$6:$C$3005,$B$3))</f>
        <v/>
      </c>
      <c r="C60" s="47">
        <f>IF($A60="","",SUMIFS(ERFASSUNG!$E$6:$E$3005,ERFASSUNG!$P$6:$P$3005,$A60,ERFASSUNG!$C$6:$C$3005,$B$3)+SUMIFS(ERFASSUNG!$E$6:$E$3005,ERFASSUNG!$Q$6:$Q$3005,$A60,ERFASSUNG!$C$6:$C$3005,$B$3)+SUMIFS(ERFASSUNG!$E$6:$E$3005,ERFASSUNG!$R$6:$R$3005,$A60,ERFASSUNG!$C$6:$C$3005,$B$3))</f>
        <v/>
      </c>
      <c r="E60" s="44">
        <f>IF($AY60="","",INDEX(ERFASSUNG!$A$6:$A$3005,$AY60))</f>
        <v/>
      </c>
      <c r="F60" s="45">
        <f>IF($AY60="","",INDEX(ERFASSUNG!$D$6:$D$3005,$AY60))</f>
        <v/>
      </c>
      <c r="G60" s="45" t="n"/>
      <c r="H60" s="45">
        <f>IF($AY60="","",INDEX(ERFASSUNG!$P$6:$P$3005,$AY60))</f>
        <v/>
      </c>
      <c r="I60" s="45" t="n"/>
      <c r="J60" s="46">
        <f>IF($AY60="","",INDEX(ERFASSUNG!$T$6:$T$3005,$AY60))</f>
        <v/>
      </c>
      <c r="K60" s="46" t="n"/>
      <c r="L60" s="46" t="n"/>
      <c r="M60" s="46" t="n"/>
      <c r="N60" s="46" t="n"/>
      <c r="O60" s="46" t="n"/>
      <c r="AY60">
        <f>IFERROR(MATCH(6,ERFASSUNG!$W$6:$W$3005,0),"")</f>
        <v/>
      </c>
    </row>
    <row r="61">
      <c r="A61" s="39">
        <f>IF(LISTEN!$C$8="","",LISTEN!$C$8)</f>
        <v/>
      </c>
      <c r="B61" s="7">
        <f>IF($A61="","",COUNTIFS(ERFASSUNG!$P$6:$P$3005,$A61,ERFASSUNG!$C$6:$C$3005,$B$3)+COUNTIFS(ERFASSUNG!$Q$6:$Q$3005,$A61,ERFASSUNG!$C$6:$C$3005,$B$3)+COUNTIFS(ERFASSUNG!$R$6:$R$3005,$A61,ERFASSUNG!$C$6:$C$3005,$B$3))</f>
        <v/>
      </c>
      <c r="C61" s="37">
        <f>IF($A61="","",SUMIFS(ERFASSUNG!$E$6:$E$3005,ERFASSUNG!$P$6:$P$3005,$A61,ERFASSUNG!$C$6:$C$3005,$B$3)+SUMIFS(ERFASSUNG!$E$6:$E$3005,ERFASSUNG!$Q$6:$Q$3005,$A61,ERFASSUNG!$C$6:$C$3005,$B$3)+SUMIFS(ERFASSUNG!$E$6:$E$3005,ERFASSUNG!$R$6:$R$3005,$A61,ERFASSUNG!$C$6:$C$3005,$B$3))</f>
        <v/>
      </c>
      <c r="E61" s="44">
        <f>IF($AY61="","",INDEX(ERFASSUNG!$A$6:$A$3005,$AY61))</f>
        <v/>
      </c>
      <c r="F61" s="45">
        <f>IF($AY61="","",INDEX(ERFASSUNG!$D$6:$D$3005,$AY61))</f>
        <v/>
      </c>
      <c r="G61" s="45" t="n"/>
      <c r="H61" s="45">
        <f>IF($AY61="","",INDEX(ERFASSUNG!$P$6:$P$3005,$AY61))</f>
        <v/>
      </c>
      <c r="I61" s="45" t="n"/>
      <c r="J61" s="46">
        <f>IF($AY61="","",INDEX(ERFASSUNG!$T$6:$T$3005,$AY61))</f>
        <v/>
      </c>
      <c r="K61" s="46" t="n"/>
      <c r="L61" s="46" t="n"/>
      <c r="M61" s="46" t="n"/>
      <c r="N61" s="46" t="n"/>
      <c r="O61" s="46" t="n"/>
      <c r="AY61">
        <f>IFERROR(MATCH(7,ERFASSUNG!$W$6:$W$3005,0),"")</f>
        <v/>
      </c>
    </row>
    <row r="62">
      <c r="A62" s="41">
        <f>IF(LISTEN!$C$9="","",LISTEN!$C$9)</f>
        <v/>
      </c>
      <c r="B62" s="42">
        <f>IF($A62="","",COUNTIFS(ERFASSUNG!$P$6:$P$3005,$A62,ERFASSUNG!$C$6:$C$3005,$B$3)+COUNTIFS(ERFASSUNG!$Q$6:$Q$3005,$A62,ERFASSUNG!$C$6:$C$3005,$B$3)+COUNTIFS(ERFASSUNG!$R$6:$R$3005,$A62,ERFASSUNG!$C$6:$C$3005,$B$3))</f>
        <v/>
      </c>
      <c r="C62" s="47">
        <f>IF($A62="","",SUMIFS(ERFASSUNG!$E$6:$E$3005,ERFASSUNG!$P$6:$P$3005,$A62,ERFASSUNG!$C$6:$C$3005,$B$3)+SUMIFS(ERFASSUNG!$E$6:$E$3005,ERFASSUNG!$Q$6:$Q$3005,$A62,ERFASSUNG!$C$6:$C$3005,$B$3)+SUMIFS(ERFASSUNG!$E$6:$E$3005,ERFASSUNG!$R$6:$R$3005,$A62,ERFASSUNG!$C$6:$C$3005,$B$3))</f>
        <v/>
      </c>
      <c r="E62" s="44">
        <f>IF($AY62="","",INDEX(ERFASSUNG!$A$6:$A$3005,$AY62))</f>
        <v/>
      </c>
      <c r="F62" s="45">
        <f>IF($AY62="","",INDEX(ERFASSUNG!$D$6:$D$3005,$AY62))</f>
        <v/>
      </c>
      <c r="G62" s="45" t="n"/>
      <c r="H62" s="45">
        <f>IF($AY62="","",INDEX(ERFASSUNG!$P$6:$P$3005,$AY62))</f>
        <v/>
      </c>
      <c r="I62" s="45" t="n"/>
      <c r="J62" s="46">
        <f>IF($AY62="","",INDEX(ERFASSUNG!$T$6:$T$3005,$AY62))</f>
        <v/>
      </c>
      <c r="K62" s="46" t="n"/>
      <c r="L62" s="46" t="n"/>
      <c r="M62" s="46" t="n"/>
      <c r="N62" s="46" t="n"/>
      <c r="O62" s="46" t="n"/>
      <c r="AY62">
        <f>IFERROR(MATCH(8,ERFASSUNG!$W$6:$W$3005,0),"")</f>
        <v/>
      </c>
    </row>
    <row r="63">
      <c r="A63" s="39">
        <f>IF(LISTEN!$C$10="","",LISTEN!$C$10)</f>
        <v/>
      </c>
      <c r="B63" s="7">
        <f>IF($A63="","",COUNTIFS(ERFASSUNG!$P$6:$P$3005,$A63,ERFASSUNG!$C$6:$C$3005,$B$3)+COUNTIFS(ERFASSUNG!$Q$6:$Q$3005,$A63,ERFASSUNG!$C$6:$C$3005,$B$3)+COUNTIFS(ERFASSUNG!$R$6:$R$3005,$A63,ERFASSUNG!$C$6:$C$3005,$B$3))</f>
        <v/>
      </c>
      <c r="C63" s="37">
        <f>IF($A63="","",SUMIFS(ERFASSUNG!$E$6:$E$3005,ERFASSUNG!$P$6:$P$3005,$A63,ERFASSUNG!$C$6:$C$3005,$B$3)+SUMIFS(ERFASSUNG!$E$6:$E$3005,ERFASSUNG!$Q$6:$Q$3005,$A63,ERFASSUNG!$C$6:$C$3005,$B$3)+SUMIFS(ERFASSUNG!$E$6:$E$3005,ERFASSUNG!$R$6:$R$3005,$A63,ERFASSUNG!$C$6:$C$3005,$B$3))</f>
        <v/>
      </c>
      <c r="E63" s="44">
        <f>IF($AY63="","",INDEX(ERFASSUNG!$A$6:$A$3005,$AY63))</f>
        <v/>
      </c>
      <c r="F63" s="45">
        <f>IF($AY63="","",INDEX(ERFASSUNG!$D$6:$D$3005,$AY63))</f>
        <v/>
      </c>
      <c r="G63" s="45" t="n"/>
      <c r="H63" s="45">
        <f>IF($AY63="","",INDEX(ERFASSUNG!$P$6:$P$3005,$AY63))</f>
        <v/>
      </c>
      <c r="I63" s="45" t="n"/>
      <c r="J63" s="46">
        <f>IF($AY63="","",INDEX(ERFASSUNG!$T$6:$T$3005,$AY63))</f>
        <v/>
      </c>
      <c r="K63" s="46" t="n"/>
      <c r="L63" s="46" t="n"/>
      <c r="M63" s="46" t="n"/>
      <c r="N63" s="46" t="n"/>
      <c r="O63" s="46" t="n"/>
      <c r="AY63">
        <f>IFERROR(MATCH(9,ERFASSUNG!$W$6:$W$3005,0),"")</f>
        <v/>
      </c>
    </row>
    <row r="64">
      <c r="A64" s="41">
        <f>IF(LISTEN!$C$11="","",LISTEN!$C$11)</f>
        <v/>
      </c>
      <c r="B64" s="42">
        <f>IF($A64="","",COUNTIFS(ERFASSUNG!$P$6:$P$3005,$A64,ERFASSUNG!$C$6:$C$3005,$B$3)+COUNTIFS(ERFASSUNG!$Q$6:$Q$3005,$A64,ERFASSUNG!$C$6:$C$3005,$B$3)+COUNTIFS(ERFASSUNG!$R$6:$R$3005,$A64,ERFASSUNG!$C$6:$C$3005,$B$3))</f>
        <v/>
      </c>
      <c r="C64" s="47">
        <f>IF($A64="","",SUMIFS(ERFASSUNG!$E$6:$E$3005,ERFASSUNG!$P$6:$P$3005,$A64,ERFASSUNG!$C$6:$C$3005,$B$3)+SUMIFS(ERFASSUNG!$E$6:$E$3005,ERFASSUNG!$Q$6:$Q$3005,$A64,ERFASSUNG!$C$6:$C$3005,$B$3)+SUMIFS(ERFASSUNG!$E$6:$E$3005,ERFASSUNG!$R$6:$R$3005,$A64,ERFASSUNG!$C$6:$C$3005,$B$3))</f>
        <v/>
      </c>
      <c r="E64" s="44">
        <f>IF($AY64="","",INDEX(ERFASSUNG!$A$6:$A$3005,$AY64))</f>
        <v/>
      </c>
      <c r="F64" s="45">
        <f>IF($AY64="","",INDEX(ERFASSUNG!$D$6:$D$3005,$AY64))</f>
        <v/>
      </c>
      <c r="G64" s="45" t="n"/>
      <c r="H64" s="45">
        <f>IF($AY64="","",INDEX(ERFASSUNG!$P$6:$P$3005,$AY64))</f>
        <v/>
      </c>
      <c r="I64" s="45" t="n"/>
      <c r="J64" s="46">
        <f>IF($AY64="","",INDEX(ERFASSUNG!$T$6:$T$3005,$AY64))</f>
        <v/>
      </c>
      <c r="K64" s="46" t="n"/>
      <c r="L64" s="46" t="n"/>
      <c r="M64" s="46" t="n"/>
      <c r="N64" s="46" t="n"/>
      <c r="O64" s="46" t="n"/>
      <c r="AY64">
        <f>IFERROR(MATCH(10,ERFASSUNG!$W$6:$W$3005,0),"")</f>
        <v/>
      </c>
    </row>
    <row r="65">
      <c r="A65" s="39">
        <f>IF(LISTEN!$C$12="","",LISTEN!$C$12)</f>
        <v/>
      </c>
      <c r="B65" s="7">
        <f>IF($A65="","",COUNTIFS(ERFASSUNG!$P$6:$P$3005,$A65,ERFASSUNG!$C$6:$C$3005,$B$3)+COUNTIFS(ERFASSUNG!$Q$6:$Q$3005,$A65,ERFASSUNG!$C$6:$C$3005,$B$3)+COUNTIFS(ERFASSUNG!$R$6:$R$3005,$A65,ERFASSUNG!$C$6:$C$3005,$B$3))</f>
        <v/>
      </c>
      <c r="C65" s="37">
        <f>IF($A65="","",SUMIFS(ERFASSUNG!$E$6:$E$3005,ERFASSUNG!$P$6:$P$3005,$A65,ERFASSUNG!$C$6:$C$3005,$B$3)+SUMIFS(ERFASSUNG!$E$6:$E$3005,ERFASSUNG!$Q$6:$Q$3005,$A65,ERFASSUNG!$C$6:$C$3005,$B$3)+SUMIFS(ERFASSUNG!$E$6:$E$3005,ERFASSUNG!$R$6:$R$3005,$A65,ERFASSUNG!$C$6:$C$3005,$B$3))</f>
        <v/>
      </c>
      <c r="E65" s="44">
        <f>IF($AY65="","",INDEX(ERFASSUNG!$A$6:$A$3005,$AY65))</f>
        <v/>
      </c>
      <c r="F65" s="45">
        <f>IF($AY65="","",INDEX(ERFASSUNG!$D$6:$D$3005,$AY65))</f>
        <v/>
      </c>
      <c r="G65" s="45" t="n"/>
      <c r="H65" s="45">
        <f>IF($AY65="","",INDEX(ERFASSUNG!$P$6:$P$3005,$AY65))</f>
        <v/>
      </c>
      <c r="I65" s="45" t="n"/>
      <c r="J65" s="46">
        <f>IF($AY65="","",INDEX(ERFASSUNG!$T$6:$T$3005,$AY65))</f>
        <v/>
      </c>
      <c r="K65" s="46" t="n"/>
      <c r="L65" s="46" t="n"/>
      <c r="M65" s="46" t="n"/>
      <c r="N65" s="46" t="n"/>
      <c r="O65" s="46" t="n"/>
      <c r="AY65">
        <f>IFERROR(MATCH(11,ERFASSUNG!$W$6:$W$3005,0),"")</f>
        <v/>
      </c>
    </row>
    <row r="66">
      <c r="A66" s="41">
        <f>IF(LISTEN!$C$13="","",LISTEN!$C$13)</f>
        <v/>
      </c>
      <c r="B66" s="42">
        <f>IF($A66="","",COUNTIFS(ERFASSUNG!$P$6:$P$3005,$A66,ERFASSUNG!$C$6:$C$3005,$B$3)+COUNTIFS(ERFASSUNG!$Q$6:$Q$3005,$A66,ERFASSUNG!$C$6:$C$3005,$B$3)+COUNTIFS(ERFASSUNG!$R$6:$R$3005,$A66,ERFASSUNG!$C$6:$C$3005,$B$3))</f>
        <v/>
      </c>
      <c r="C66" s="47">
        <f>IF($A66="","",SUMIFS(ERFASSUNG!$E$6:$E$3005,ERFASSUNG!$P$6:$P$3005,$A66,ERFASSUNG!$C$6:$C$3005,$B$3)+SUMIFS(ERFASSUNG!$E$6:$E$3005,ERFASSUNG!$Q$6:$Q$3005,$A66,ERFASSUNG!$C$6:$C$3005,$B$3)+SUMIFS(ERFASSUNG!$E$6:$E$3005,ERFASSUNG!$R$6:$R$3005,$A66,ERFASSUNG!$C$6:$C$3005,$B$3))</f>
        <v/>
      </c>
      <c r="E66" s="44">
        <f>IF($AY66="","",INDEX(ERFASSUNG!$A$6:$A$3005,$AY66))</f>
        <v/>
      </c>
      <c r="F66" s="45">
        <f>IF($AY66="","",INDEX(ERFASSUNG!$D$6:$D$3005,$AY66))</f>
        <v/>
      </c>
      <c r="G66" s="45" t="n"/>
      <c r="H66" s="45">
        <f>IF($AY66="","",INDEX(ERFASSUNG!$P$6:$P$3005,$AY66))</f>
        <v/>
      </c>
      <c r="I66" s="45" t="n"/>
      <c r="J66" s="46">
        <f>IF($AY66="","",INDEX(ERFASSUNG!$T$6:$T$3005,$AY66))</f>
        <v/>
      </c>
      <c r="K66" s="46" t="n"/>
      <c r="L66" s="46" t="n"/>
      <c r="M66" s="46" t="n"/>
      <c r="N66" s="46" t="n"/>
      <c r="O66" s="46" t="n"/>
      <c r="AY66">
        <f>IFERROR(MATCH(12,ERFASSUNG!$W$6:$W$3005,0),"")</f>
        <v/>
      </c>
    </row>
    <row r="67">
      <c r="A67" s="39">
        <f>IF(LISTEN!$C$14="","",LISTEN!$C$14)</f>
        <v/>
      </c>
      <c r="B67" s="7">
        <f>IF($A67="","",COUNTIFS(ERFASSUNG!$P$6:$P$3005,$A67,ERFASSUNG!$C$6:$C$3005,$B$3)+COUNTIFS(ERFASSUNG!$Q$6:$Q$3005,$A67,ERFASSUNG!$C$6:$C$3005,$B$3)+COUNTIFS(ERFASSUNG!$R$6:$R$3005,$A67,ERFASSUNG!$C$6:$C$3005,$B$3))</f>
        <v/>
      </c>
      <c r="C67" s="37">
        <f>IF($A67="","",SUMIFS(ERFASSUNG!$E$6:$E$3005,ERFASSUNG!$P$6:$P$3005,$A67,ERFASSUNG!$C$6:$C$3005,$B$3)+SUMIFS(ERFASSUNG!$E$6:$E$3005,ERFASSUNG!$Q$6:$Q$3005,$A67,ERFASSUNG!$C$6:$C$3005,$B$3)+SUMIFS(ERFASSUNG!$E$6:$E$3005,ERFASSUNG!$R$6:$R$3005,$A67,ERFASSUNG!$C$6:$C$3005,$B$3))</f>
        <v/>
      </c>
      <c r="E67" s="44">
        <f>IF($AY67="","",INDEX(ERFASSUNG!$A$6:$A$3005,$AY67))</f>
        <v/>
      </c>
      <c r="F67" s="45">
        <f>IF($AY67="","",INDEX(ERFASSUNG!$D$6:$D$3005,$AY67))</f>
        <v/>
      </c>
      <c r="G67" s="45" t="n"/>
      <c r="H67" s="45">
        <f>IF($AY67="","",INDEX(ERFASSUNG!$P$6:$P$3005,$AY67))</f>
        <v/>
      </c>
      <c r="I67" s="45" t="n"/>
      <c r="J67" s="46">
        <f>IF($AY67="","",INDEX(ERFASSUNG!$T$6:$T$3005,$AY67))</f>
        <v/>
      </c>
      <c r="K67" s="46" t="n"/>
      <c r="L67" s="46" t="n"/>
      <c r="M67" s="46" t="n"/>
      <c r="N67" s="46" t="n"/>
      <c r="O67" s="46" t="n"/>
      <c r="AY67">
        <f>IFERROR(MATCH(13,ERFASSUNG!$W$6:$W$3005,0),"")</f>
        <v/>
      </c>
    </row>
    <row r="68">
      <c r="A68" s="41">
        <f>IF(LISTEN!$C$15="","",LISTEN!$C$15)</f>
        <v/>
      </c>
      <c r="B68" s="42">
        <f>IF($A68="","",COUNTIFS(ERFASSUNG!$P$6:$P$3005,$A68,ERFASSUNG!$C$6:$C$3005,$B$3)+COUNTIFS(ERFASSUNG!$Q$6:$Q$3005,$A68,ERFASSUNG!$C$6:$C$3005,$B$3)+COUNTIFS(ERFASSUNG!$R$6:$R$3005,$A68,ERFASSUNG!$C$6:$C$3005,$B$3))</f>
        <v/>
      </c>
      <c r="C68" s="47">
        <f>IF($A68="","",SUMIFS(ERFASSUNG!$E$6:$E$3005,ERFASSUNG!$P$6:$P$3005,$A68,ERFASSUNG!$C$6:$C$3005,$B$3)+SUMIFS(ERFASSUNG!$E$6:$E$3005,ERFASSUNG!$Q$6:$Q$3005,$A68,ERFASSUNG!$C$6:$C$3005,$B$3)+SUMIFS(ERFASSUNG!$E$6:$E$3005,ERFASSUNG!$R$6:$R$3005,$A68,ERFASSUNG!$C$6:$C$3005,$B$3))</f>
        <v/>
      </c>
      <c r="E68" s="44">
        <f>IF($AY68="","",INDEX(ERFASSUNG!$A$6:$A$3005,$AY68))</f>
        <v/>
      </c>
      <c r="F68" s="45">
        <f>IF($AY68="","",INDEX(ERFASSUNG!$D$6:$D$3005,$AY68))</f>
        <v/>
      </c>
      <c r="G68" s="45" t="n"/>
      <c r="H68" s="45">
        <f>IF($AY68="","",INDEX(ERFASSUNG!$P$6:$P$3005,$AY68))</f>
        <v/>
      </c>
      <c r="I68" s="45" t="n"/>
      <c r="J68" s="46">
        <f>IF($AY68="","",INDEX(ERFASSUNG!$T$6:$T$3005,$AY68))</f>
        <v/>
      </c>
      <c r="K68" s="46" t="n"/>
      <c r="L68" s="46" t="n"/>
      <c r="M68" s="46" t="n"/>
      <c r="N68" s="46" t="n"/>
      <c r="O68" s="46" t="n"/>
      <c r="AY68">
        <f>IFERROR(MATCH(14,ERFASSUNG!$W$6:$W$3005,0),"")</f>
        <v/>
      </c>
    </row>
    <row r="69">
      <c r="A69" s="39">
        <f>IF(LISTEN!$C$16="","",LISTEN!$C$16)</f>
        <v/>
      </c>
      <c r="B69" s="7">
        <f>IF($A69="","",COUNTIFS(ERFASSUNG!$P$6:$P$3005,$A69,ERFASSUNG!$C$6:$C$3005,$B$3)+COUNTIFS(ERFASSUNG!$Q$6:$Q$3005,$A69,ERFASSUNG!$C$6:$C$3005,$B$3)+COUNTIFS(ERFASSUNG!$R$6:$R$3005,$A69,ERFASSUNG!$C$6:$C$3005,$B$3))</f>
        <v/>
      </c>
      <c r="C69" s="37">
        <f>IF($A69="","",SUMIFS(ERFASSUNG!$E$6:$E$3005,ERFASSUNG!$P$6:$P$3005,$A69,ERFASSUNG!$C$6:$C$3005,$B$3)+SUMIFS(ERFASSUNG!$E$6:$E$3005,ERFASSUNG!$Q$6:$Q$3005,$A69,ERFASSUNG!$C$6:$C$3005,$B$3)+SUMIFS(ERFASSUNG!$E$6:$E$3005,ERFASSUNG!$R$6:$R$3005,$A69,ERFASSUNG!$C$6:$C$3005,$B$3))</f>
        <v/>
      </c>
      <c r="E69" s="44">
        <f>IF($AY69="","",INDEX(ERFASSUNG!$A$6:$A$3005,$AY69))</f>
        <v/>
      </c>
      <c r="F69" s="45">
        <f>IF($AY69="","",INDEX(ERFASSUNG!$D$6:$D$3005,$AY69))</f>
        <v/>
      </c>
      <c r="G69" s="45" t="n"/>
      <c r="H69" s="45">
        <f>IF($AY69="","",INDEX(ERFASSUNG!$P$6:$P$3005,$AY69))</f>
        <v/>
      </c>
      <c r="I69" s="45" t="n"/>
      <c r="J69" s="46">
        <f>IF($AY69="","",INDEX(ERFASSUNG!$T$6:$T$3005,$AY69))</f>
        <v/>
      </c>
      <c r="K69" s="46" t="n"/>
      <c r="L69" s="46" t="n"/>
      <c r="M69" s="46" t="n"/>
      <c r="N69" s="46" t="n"/>
      <c r="O69" s="46" t="n"/>
      <c r="AY69">
        <f>IFERROR(MATCH(15,ERFASSUNG!$W$6:$W$3005,0),"")</f>
        <v/>
      </c>
    </row>
    <row r="70">
      <c r="A70" s="41">
        <f>IF(LISTEN!$C$17="","",LISTEN!$C$17)</f>
        <v/>
      </c>
      <c r="B70" s="42">
        <f>IF($A70="","",COUNTIFS(ERFASSUNG!$P$6:$P$3005,$A70,ERFASSUNG!$C$6:$C$3005,$B$3)+COUNTIFS(ERFASSUNG!$Q$6:$Q$3005,$A70,ERFASSUNG!$C$6:$C$3005,$B$3)+COUNTIFS(ERFASSUNG!$R$6:$R$3005,$A70,ERFASSUNG!$C$6:$C$3005,$B$3))</f>
        <v/>
      </c>
      <c r="C70" s="47">
        <f>IF($A70="","",SUMIFS(ERFASSUNG!$E$6:$E$3005,ERFASSUNG!$P$6:$P$3005,$A70,ERFASSUNG!$C$6:$C$3005,$B$3)+SUMIFS(ERFASSUNG!$E$6:$E$3005,ERFASSUNG!$Q$6:$Q$3005,$A70,ERFASSUNG!$C$6:$C$3005,$B$3)+SUMIFS(ERFASSUNG!$E$6:$E$3005,ERFASSUNG!$R$6:$R$3005,$A70,ERFASSUNG!$C$6:$C$3005,$B$3))</f>
        <v/>
      </c>
      <c r="E70" s="44">
        <f>IF($AY70="","",INDEX(ERFASSUNG!$A$6:$A$3005,$AY70))</f>
        <v/>
      </c>
      <c r="F70" s="45">
        <f>IF($AY70="","",INDEX(ERFASSUNG!$D$6:$D$3005,$AY70))</f>
        <v/>
      </c>
      <c r="G70" s="45" t="n"/>
      <c r="H70" s="45">
        <f>IF($AY70="","",INDEX(ERFASSUNG!$P$6:$P$3005,$AY70))</f>
        <v/>
      </c>
      <c r="I70" s="45" t="n"/>
      <c r="J70" s="46">
        <f>IF($AY70="","",INDEX(ERFASSUNG!$T$6:$T$3005,$AY70))</f>
        <v/>
      </c>
      <c r="K70" s="46" t="n"/>
      <c r="L70" s="46" t="n"/>
      <c r="M70" s="46" t="n"/>
      <c r="N70" s="46" t="n"/>
      <c r="O70" s="46" t="n"/>
      <c r="AY70">
        <f>IFERROR(MATCH(16,ERFASSUNG!$W$6:$W$3005,0),"")</f>
        <v/>
      </c>
    </row>
    <row r="71">
      <c r="A71" s="39">
        <f>IF(LISTEN!$C$18="","",LISTEN!$C$18)</f>
        <v/>
      </c>
      <c r="B71" s="7">
        <f>IF($A71="","",COUNTIFS(ERFASSUNG!$P$6:$P$3005,$A71,ERFASSUNG!$C$6:$C$3005,$B$3)+COUNTIFS(ERFASSUNG!$Q$6:$Q$3005,$A71,ERFASSUNG!$C$6:$C$3005,$B$3)+COUNTIFS(ERFASSUNG!$R$6:$R$3005,$A71,ERFASSUNG!$C$6:$C$3005,$B$3))</f>
        <v/>
      </c>
      <c r="C71" s="37">
        <f>IF($A71="","",SUMIFS(ERFASSUNG!$E$6:$E$3005,ERFASSUNG!$P$6:$P$3005,$A71,ERFASSUNG!$C$6:$C$3005,$B$3)+SUMIFS(ERFASSUNG!$E$6:$E$3005,ERFASSUNG!$Q$6:$Q$3005,$A71,ERFASSUNG!$C$6:$C$3005,$B$3)+SUMIFS(ERFASSUNG!$E$6:$E$3005,ERFASSUNG!$R$6:$R$3005,$A71,ERFASSUNG!$C$6:$C$3005,$B$3))</f>
        <v/>
      </c>
      <c r="E71" s="44">
        <f>IF($AY71="","",INDEX(ERFASSUNG!$A$6:$A$3005,$AY71))</f>
        <v/>
      </c>
      <c r="F71" s="45">
        <f>IF($AY71="","",INDEX(ERFASSUNG!$D$6:$D$3005,$AY71))</f>
        <v/>
      </c>
      <c r="G71" s="45" t="n"/>
      <c r="H71" s="45">
        <f>IF($AY71="","",INDEX(ERFASSUNG!$P$6:$P$3005,$AY71))</f>
        <v/>
      </c>
      <c r="I71" s="45" t="n"/>
      <c r="J71" s="46">
        <f>IF($AY71="","",INDEX(ERFASSUNG!$T$6:$T$3005,$AY71))</f>
        <v/>
      </c>
      <c r="K71" s="46" t="n"/>
      <c r="L71" s="46" t="n"/>
      <c r="M71" s="46" t="n"/>
      <c r="N71" s="46" t="n"/>
      <c r="O71" s="46" t="n"/>
      <c r="AY71">
        <f>IFERROR(MATCH(17,ERFASSUNG!$W$6:$W$3005,0),"")</f>
        <v/>
      </c>
    </row>
    <row r="72">
      <c r="A72" s="41">
        <f>IF(LISTEN!$C$19="","",LISTEN!$C$19)</f>
        <v/>
      </c>
      <c r="B72" s="42">
        <f>IF($A72="","",COUNTIFS(ERFASSUNG!$P$6:$P$3005,$A72,ERFASSUNG!$C$6:$C$3005,$B$3)+COUNTIFS(ERFASSUNG!$Q$6:$Q$3005,$A72,ERFASSUNG!$C$6:$C$3005,$B$3)+COUNTIFS(ERFASSUNG!$R$6:$R$3005,$A72,ERFASSUNG!$C$6:$C$3005,$B$3))</f>
        <v/>
      </c>
      <c r="C72" s="47">
        <f>IF($A72="","",SUMIFS(ERFASSUNG!$E$6:$E$3005,ERFASSUNG!$P$6:$P$3005,$A72,ERFASSUNG!$C$6:$C$3005,$B$3)+SUMIFS(ERFASSUNG!$E$6:$E$3005,ERFASSUNG!$Q$6:$Q$3005,$A72,ERFASSUNG!$C$6:$C$3005,$B$3)+SUMIFS(ERFASSUNG!$E$6:$E$3005,ERFASSUNG!$R$6:$R$3005,$A72,ERFASSUNG!$C$6:$C$3005,$B$3))</f>
        <v/>
      </c>
      <c r="E72" s="44">
        <f>IF($AY72="","",INDEX(ERFASSUNG!$A$6:$A$3005,$AY72))</f>
        <v/>
      </c>
      <c r="F72" s="45">
        <f>IF($AY72="","",INDEX(ERFASSUNG!$D$6:$D$3005,$AY72))</f>
        <v/>
      </c>
      <c r="G72" s="45" t="n"/>
      <c r="H72" s="45">
        <f>IF($AY72="","",INDEX(ERFASSUNG!$P$6:$P$3005,$AY72))</f>
        <v/>
      </c>
      <c r="I72" s="45" t="n"/>
      <c r="J72" s="46">
        <f>IF($AY72="","",INDEX(ERFASSUNG!$T$6:$T$3005,$AY72))</f>
        <v/>
      </c>
      <c r="K72" s="46" t="n"/>
      <c r="L72" s="46" t="n"/>
      <c r="M72" s="46" t="n"/>
      <c r="N72" s="46" t="n"/>
      <c r="O72" s="46" t="n"/>
      <c r="AY72">
        <f>IFERROR(MATCH(18,ERFASSUNG!$W$6:$W$3005,0),"")</f>
        <v/>
      </c>
    </row>
    <row r="73">
      <c r="A73" s="39">
        <f>IF(LISTEN!$C$20="","",LISTEN!$C$20)</f>
        <v/>
      </c>
      <c r="B73" s="7">
        <f>IF($A73="","",COUNTIFS(ERFASSUNG!$P$6:$P$3005,$A73,ERFASSUNG!$C$6:$C$3005,$B$3)+COUNTIFS(ERFASSUNG!$Q$6:$Q$3005,$A73,ERFASSUNG!$C$6:$C$3005,$B$3)+COUNTIFS(ERFASSUNG!$R$6:$R$3005,$A73,ERFASSUNG!$C$6:$C$3005,$B$3))</f>
        <v/>
      </c>
      <c r="C73" s="37">
        <f>IF($A73="","",SUMIFS(ERFASSUNG!$E$6:$E$3005,ERFASSUNG!$P$6:$P$3005,$A73,ERFASSUNG!$C$6:$C$3005,$B$3)+SUMIFS(ERFASSUNG!$E$6:$E$3005,ERFASSUNG!$Q$6:$Q$3005,$A73,ERFASSUNG!$C$6:$C$3005,$B$3)+SUMIFS(ERFASSUNG!$E$6:$E$3005,ERFASSUNG!$R$6:$R$3005,$A73,ERFASSUNG!$C$6:$C$3005,$B$3))</f>
        <v/>
      </c>
      <c r="E73" s="44">
        <f>IF($AY73="","",INDEX(ERFASSUNG!$A$6:$A$3005,$AY73))</f>
        <v/>
      </c>
      <c r="F73" s="45">
        <f>IF($AY73="","",INDEX(ERFASSUNG!$D$6:$D$3005,$AY73))</f>
        <v/>
      </c>
      <c r="G73" s="45" t="n"/>
      <c r="H73" s="45">
        <f>IF($AY73="","",INDEX(ERFASSUNG!$P$6:$P$3005,$AY73))</f>
        <v/>
      </c>
      <c r="I73" s="45" t="n"/>
      <c r="J73" s="46">
        <f>IF($AY73="","",INDEX(ERFASSUNG!$T$6:$T$3005,$AY73))</f>
        <v/>
      </c>
      <c r="K73" s="46" t="n"/>
      <c r="L73" s="46" t="n"/>
      <c r="M73" s="46" t="n"/>
      <c r="N73" s="46" t="n"/>
      <c r="O73" s="46" t="n"/>
      <c r="AY73">
        <f>IFERROR(MATCH(19,ERFASSUNG!$W$6:$W$3005,0),"")</f>
        <v/>
      </c>
    </row>
    <row r="74">
      <c r="A74" s="41">
        <f>IF(LISTEN!$C$21="","",LISTEN!$C$21)</f>
        <v/>
      </c>
      <c r="B74" s="42">
        <f>IF($A74="","",COUNTIFS(ERFASSUNG!$P$6:$P$3005,$A74,ERFASSUNG!$C$6:$C$3005,$B$3)+COUNTIFS(ERFASSUNG!$Q$6:$Q$3005,$A74,ERFASSUNG!$C$6:$C$3005,$B$3)+COUNTIFS(ERFASSUNG!$R$6:$R$3005,$A74,ERFASSUNG!$C$6:$C$3005,$B$3))</f>
        <v/>
      </c>
      <c r="C74" s="47">
        <f>IF($A74="","",SUMIFS(ERFASSUNG!$E$6:$E$3005,ERFASSUNG!$P$6:$P$3005,$A74,ERFASSUNG!$C$6:$C$3005,$B$3)+SUMIFS(ERFASSUNG!$E$6:$E$3005,ERFASSUNG!$Q$6:$Q$3005,$A74,ERFASSUNG!$C$6:$C$3005,$B$3)+SUMIFS(ERFASSUNG!$E$6:$E$3005,ERFASSUNG!$R$6:$R$3005,$A74,ERFASSUNG!$C$6:$C$3005,$B$3))</f>
        <v/>
      </c>
      <c r="E74" s="44">
        <f>IF($AY74="","",INDEX(ERFASSUNG!$A$6:$A$3005,$AY74))</f>
        <v/>
      </c>
      <c r="F74" s="45">
        <f>IF($AY74="","",INDEX(ERFASSUNG!$D$6:$D$3005,$AY74))</f>
        <v/>
      </c>
      <c r="G74" s="45" t="n"/>
      <c r="H74" s="45">
        <f>IF($AY74="","",INDEX(ERFASSUNG!$P$6:$P$3005,$AY74))</f>
        <v/>
      </c>
      <c r="I74" s="45" t="n"/>
      <c r="J74" s="46">
        <f>IF($AY74="","",INDEX(ERFASSUNG!$T$6:$T$3005,$AY74))</f>
        <v/>
      </c>
      <c r="K74" s="46" t="n"/>
      <c r="L74" s="46" t="n"/>
      <c r="M74" s="46" t="n"/>
      <c r="N74" s="46" t="n"/>
      <c r="O74" s="46" t="n"/>
      <c r="AY74">
        <f>IFERROR(MATCH(20,ERFASSUNG!$W$6:$W$3005,0),"")</f>
        <v/>
      </c>
    </row>
    <row r="75">
      <c r="A75" s="39">
        <f>IF(LISTEN!$C$22="","",LISTEN!$C$22)</f>
        <v/>
      </c>
      <c r="B75" s="7">
        <f>IF($A75="","",COUNTIFS(ERFASSUNG!$P$6:$P$3005,$A75,ERFASSUNG!$C$6:$C$3005,$B$3)+COUNTIFS(ERFASSUNG!$Q$6:$Q$3005,$A75,ERFASSUNG!$C$6:$C$3005,$B$3)+COUNTIFS(ERFASSUNG!$R$6:$R$3005,$A75,ERFASSUNG!$C$6:$C$3005,$B$3))</f>
        <v/>
      </c>
      <c r="C75" s="37">
        <f>IF($A75="","",SUMIFS(ERFASSUNG!$E$6:$E$3005,ERFASSUNG!$P$6:$P$3005,$A75,ERFASSUNG!$C$6:$C$3005,$B$3)+SUMIFS(ERFASSUNG!$E$6:$E$3005,ERFASSUNG!$Q$6:$Q$3005,$A75,ERFASSUNG!$C$6:$C$3005,$B$3)+SUMIFS(ERFASSUNG!$E$6:$E$3005,ERFASSUNG!$R$6:$R$3005,$A75,ERFASSUNG!$C$6:$C$3005,$B$3))</f>
        <v/>
      </c>
      <c r="E75" s="44">
        <f>IF($AY75="","",INDEX(ERFASSUNG!$A$6:$A$3005,$AY75))</f>
        <v/>
      </c>
      <c r="F75" s="45">
        <f>IF($AY75="","",INDEX(ERFASSUNG!$D$6:$D$3005,$AY75))</f>
        <v/>
      </c>
      <c r="G75" s="45" t="n"/>
      <c r="H75" s="45">
        <f>IF($AY75="","",INDEX(ERFASSUNG!$P$6:$P$3005,$AY75))</f>
        <v/>
      </c>
      <c r="I75" s="45" t="n"/>
      <c r="J75" s="46">
        <f>IF($AY75="","",INDEX(ERFASSUNG!$T$6:$T$3005,$AY75))</f>
        <v/>
      </c>
      <c r="K75" s="46" t="n"/>
      <c r="L75" s="46" t="n"/>
      <c r="M75" s="46" t="n"/>
      <c r="N75" s="46" t="n"/>
      <c r="O75" s="46" t="n"/>
      <c r="AY75">
        <f>IFERROR(MATCH(21,ERFASSUNG!$W$6:$W$3005,0),"")</f>
        <v/>
      </c>
    </row>
    <row r="76">
      <c r="A76" s="41">
        <f>IF(LISTEN!$C$23="","",LISTEN!$C$23)</f>
        <v/>
      </c>
      <c r="B76" s="42">
        <f>IF($A76="","",COUNTIFS(ERFASSUNG!$P$6:$P$3005,$A76,ERFASSUNG!$C$6:$C$3005,$B$3)+COUNTIFS(ERFASSUNG!$Q$6:$Q$3005,$A76,ERFASSUNG!$C$6:$C$3005,$B$3)+COUNTIFS(ERFASSUNG!$R$6:$R$3005,$A76,ERFASSUNG!$C$6:$C$3005,$B$3))</f>
        <v/>
      </c>
      <c r="C76" s="47">
        <f>IF($A76="","",SUMIFS(ERFASSUNG!$E$6:$E$3005,ERFASSUNG!$P$6:$P$3005,$A76,ERFASSUNG!$C$6:$C$3005,$B$3)+SUMIFS(ERFASSUNG!$E$6:$E$3005,ERFASSUNG!$Q$6:$Q$3005,$A76,ERFASSUNG!$C$6:$C$3005,$B$3)+SUMIFS(ERFASSUNG!$E$6:$E$3005,ERFASSUNG!$R$6:$R$3005,$A76,ERFASSUNG!$C$6:$C$3005,$B$3))</f>
        <v/>
      </c>
      <c r="E76" s="44">
        <f>IF($AY76="","",INDEX(ERFASSUNG!$A$6:$A$3005,$AY76))</f>
        <v/>
      </c>
      <c r="F76" s="45">
        <f>IF($AY76="","",INDEX(ERFASSUNG!$D$6:$D$3005,$AY76))</f>
        <v/>
      </c>
      <c r="G76" s="45" t="n"/>
      <c r="H76" s="45">
        <f>IF($AY76="","",INDEX(ERFASSUNG!$P$6:$P$3005,$AY76))</f>
        <v/>
      </c>
      <c r="I76" s="45" t="n"/>
      <c r="J76" s="46">
        <f>IF($AY76="","",INDEX(ERFASSUNG!$T$6:$T$3005,$AY76))</f>
        <v/>
      </c>
      <c r="K76" s="46" t="n"/>
      <c r="L76" s="46" t="n"/>
      <c r="M76" s="46" t="n"/>
      <c r="N76" s="46" t="n"/>
      <c r="O76" s="46" t="n"/>
      <c r="AY76">
        <f>IFERROR(MATCH(22,ERFASSUNG!$W$6:$W$3005,0),"")</f>
        <v/>
      </c>
    </row>
    <row r="77">
      <c r="A77" s="39">
        <f>IF(LISTEN!$C$24="","",LISTEN!$C$24)</f>
        <v/>
      </c>
      <c r="B77" s="7">
        <f>IF($A77="","",COUNTIFS(ERFASSUNG!$P$6:$P$3005,$A77,ERFASSUNG!$C$6:$C$3005,$B$3)+COUNTIFS(ERFASSUNG!$Q$6:$Q$3005,$A77,ERFASSUNG!$C$6:$C$3005,$B$3)+COUNTIFS(ERFASSUNG!$R$6:$R$3005,$A77,ERFASSUNG!$C$6:$C$3005,$B$3))</f>
        <v/>
      </c>
      <c r="C77" s="37">
        <f>IF($A77="","",SUMIFS(ERFASSUNG!$E$6:$E$3005,ERFASSUNG!$P$6:$P$3005,$A77,ERFASSUNG!$C$6:$C$3005,$B$3)+SUMIFS(ERFASSUNG!$E$6:$E$3005,ERFASSUNG!$Q$6:$Q$3005,$A77,ERFASSUNG!$C$6:$C$3005,$B$3)+SUMIFS(ERFASSUNG!$E$6:$E$3005,ERFASSUNG!$R$6:$R$3005,$A77,ERFASSUNG!$C$6:$C$3005,$B$3))</f>
        <v/>
      </c>
      <c r="E77" s="44">
        <f>IF($AY77="","",INDEX(ERFASSUNG!$A$6:$A$3005,$AY77))</f>
        <v/>
      </c>
      <c r="F77" s="45">
        <f>IF($AY77="","",INDEX(ERFASSUNG!$D$6:$D$3005,$AY77))</f>
        <v/>
      </c>
      <c r="G77" s="45" t="n"/>
      <c r="H77" s="45">
        <f>IF($AY77="","",INDEX(ERFASSUNG!$P$6:$P$3005,$AY77))</f>
        <v/>
      </c>
      <c r="I77" s="45" t="n"/>
      <c r="J77" s="46">
        <f>IF($AY77="","",INDEX(ERFASSUNG!$T$6:$T$3005,$AY77))</f>
        <v/>
      </c>
      <c r="K77" s="46" t="n"/>
      <c r="L77" s="46" t="n"/>
      <c r="M77" s="46" t="n"/>
      <c r="N77" s="46" t="n"/>
      <c r="O77" s="46" t="n"/>
      <c r="AY77">
        <f>IFERROR(MATCH(23,ERFASSUNG!$W$6:$W$3005,0),"")</f>
        <v/>
      </c>
    </row>
    <row r="78">
      <c r="A78" s="41">
        <f>IF(LISTEN!$C$25="","",LISTEN!$C$25)</f>
        <v/>
      </c>
      <c r="B78" s="42">
        <f>IF($A78="","",COUNTIFS(ERFASSUNG!$P$6:$P$3005,$A78,ERFASSUNG!$C$6:$C$3005,$B$3)+COUNTIFS(ERFASSUNG!$Q$6:$Q$3005,$A78,ERFASSUNG!$C$6:$C$3005,$B$3)+COUNTIFS(ERFASSUNG!$R$6:$R$3005,$A78,ERFASSUNG!$C$6:$C$3005,$B$3))</f>
        <v/>
      </c>
      <c r="C78" s="47">
        <f>IF($A78="","",SUMIFS(ERFASSUNG!$E$6:$E$3005,ERFASSUNG!$P$6:$P$3005,$A78,ERFASSUNG!$C$6:$C$3005,$B$3)+SUMIFS(ERFASSUNG!$E$6:$E$3005,ERFASSUNG!$Q$6:$Q$3005,$A78,ERFASSUNG!$C$6:$C$3005,$B$3)+SUMIFS(ERFASSUNG!$E$6:$E$3005,ERFASSUNG!$R$6:$R$3005,$A78,ERFASSUNG!$C$6:$C$3005,$B$3))</f>
        <v/>
      </c>
      <c r="E78" s="44">
        <f>IF($AY78="","",INDEX(ERFASSUNG!$A$6:$A$3005,$AY78))</f>
        <v/>
      </c>
      <c r="F78" s="45">
        <f>IF($AY78="","",INDEX(ERFASSUNG!$D$6:$D$3005,$AY78))</f>
        <v/>
      </c>
      <c r="G78" s="45" t="n"/>
      <c r="H78" s="45">
        <f>IF($AY78="","",INDEX(ERFASSUNG!$P$6:$P$3005,$AY78))</f>
        <v/>
      </c>
      <c r="I78" s="45" t="n"/>
      <c r="J78" s="46">
        <f>IF($AY78="","",INDEX(ERFASSUNG!$T$6:$T$3005,$AY78))</f>
        <v/>
      </c>
      <c r="K78" s="46" t="n"/>
      <c r="L78" s="46" t="n"/>
      <c r="M78" s="46" t="n"/>
      <c r="N78" s="46" t="n"/>
      <c r="O78" s="46" t="n"/>
      <c r="AY78">
        <f>IFERROR(MATCH(24,ERFASSUNG!$W$6:$W$3005,0),"")</f>
        <v/>
      </c>
    </row>
    <row r="79">
      <c r="A79" s="39">
        <f>IF(LISTEN!$C$26="","",LISTEN!$C$26)</f>
        <v/>
      </c>
      <c r="B79" s="7">
        <f>IF($A79="","",COUNTIFS(ERFASSUNG!$P$6:$P$3005,$A79,ERFASSUNG!$C$6:$C$3005,$B$3)+COUNTIFS(ERFASSUNG!$Q$6:$Q$3005,$A79,ERFASSUNG!$C$6:$C$3005,$B$3)+COUNTIFS(ERFASSUNG!$R$6:$R$3005,$A79,ERFASSUNG!$C$6:$C$3005,$B$3))</f>
        <v/>
      </c>
      <c r="C79" s="37">
        <f>IF($A79="","",SUMIFS(ERFASSUNG!$E$6:$E$3005,ERFASSUNG!$P$6:$P$3005,$A79,ERFASSUNG!$C$6:$C$3005,$B$3)+SUMIFS(ERFASSUNG!$E$6:$E$3005,ERFASSUNG!$Q$6:$Q$3005,$A79,ERFASSUNG!$C$6:$C$3005,$B$3)+SUMIFS(ERFASSUNG!$E$6:$E$3005,ERFASSUNG!$R$6:$R$3005,$A79,ERFASSUNG!$C$6:$C$3005,$B$3))</f>
        <v/>
      </c>
      <c r="E79" s="44">
        <f>IF($AY79="","",INDEX(ERFASSUNG!$A$6:$A$3005,$AY79))</f>
        <v/>
      </c>
      <c r="F79" s="45">
        <f>IF($AY79="","",INDEX(ERFASSUNG!$D$6:$D$3005,$AY79))</f>
        <v/>
      </c>
      <c r="G79" s="45" t="n"/>
      <c r="H79" s="45">
        <f>IF($AY79="","",INDEX(ERFASSUNG!$P$6:$P$3005,$AY79))</f>
        <v/>
      </c>
      <c r="I79" s="45" t="n"/>
      <c r="J79" s="46">
        <f>IF($AY79="","",INDEX(ERFASSUNG!$T$6:$T$3005,$AY79))</f>
        <v/>
      </c>
      <c r="K79" s="46" t="n"/>
      <c r="L79" s="46" t="n"/>
      <c r="M79" s="46" t="n"/>
      <c r="N79" s="46" t="n"/>
      <c r="O79" s="46" t="n"/>
      <c r="AY79">
        <f>IFERROR(MATCH(25,ERFASSUNG!$W$6:$W$3005,0),"")</f>
        <v/>
      </c>
    </row>
    <row r="80">
      <c r="A80" s="41">
        <f>IF(LISTEN!$C$27="","",LISTEN!$C$27)</f>
        <v/>
      </c>
      <c r="B80" s="42">
        <f>IF($A80="","",COUNTIFS(ERFASSUNG!$P$6:$P$3005,$A80,ERFASSUNG!$C$6:$C$3005,$B$3)+COUNTIFS(ERFASSUNG!$Q$6:$Q$3005,$A80,ERFASSUNG!$C$6:$C$3005,$B$3)+COUNTIFS(ERFASSUNG!$R$6:$R$3005,$A80,ERFASSUNG!$C$6:$C$3005,$B$3))</f>
        <v/>
      </c>
      <c r="C80" s="47">
        <f>IF($A80="","",SUMIFS(ERFASSUNG!$E$6:$E$3005,ERFASSUNG!$P$6:$P$3005,$A80,ERFASSUNG!$C$6:$C$3005,$B$3)+SUMIFS(ERFASSUNG!$E$6:$E$3005,ERFASSUNG!$Q$6:$Q$3005,$A80,ERFASSUNG!$C$6:$C$3005,$B$3)+SUMIFS(ERFASSUNG!$E$6:$E$3005,ERFASSUNG!$R$6:$R$3005,$A80,ERFASSUNG!$C$6:$C$3005,$B$3))</f>
        <v/>
      </c>
    </row>
    <row r="81">
      <c r="A81" s="39">
        <f>IF(LISTEN!$C$28="","",LISTEN!$C$28)</f>
        <v/>
      </c>
      <c r="B81" s="7">
        <f>IF($A81="","",COUNTIFS(ERFASSUNG!$P$6:$P$3005,$A81,ERFASSUNG!$C$6:$C$3005,$B$3)+COUNTIFS(ERFASSUNG!$Q$6:$Q$3005,$A81,ERFASSUNG!$C$6:$C$3005,$B$3)+COUNTIFS(ERFASSUNG!$R$6:$R$3005,$A81,ERFASSUNG!$C$6:$C$3005,$B$3))</f>
        <v/>
      </c>
      <c r="C81" s="37">
        <f>IF($A81="","",SUMIFS(ERFASSUNG!$E$6:$E$3005,ERFASSUNG!$P$6:$P$3005,$A81,ERFASSUNG!$C$6:$C$3005,$B$3)+SUMIFS(ERFASSUNG!$E$6:$E$3005,ERFASSUNG!$Q$6:$Q$3005,$A81,ERFASSUNG!$C$6:$C$3005,$B$3)+SUMIFS(ERFASSUNG!$E$6:$E$3005,ERFASSUNG!$R$6:$R$3005,$A81,ERFASSUNG!$C$6:$C$3005,$B$3))</f>
        <v/>
      </c>
    </row>
    <row r="82">
      <c r="A82" s="41">
        <f>IF(LISTEN!$C$29="","",LISTEN!$C$29)</f>
        <v/>
      </c>
      <c r="B82" s="42">
        <f>IF($A82="","",COUNTIFS(ERFASSUNG!$P$6:$P$3005,$A82,ERFASSUNG!$C$6:$C$3005,$B$3)+COUNTIFS(ERFASSUNG!$Q$6:$Q$3005,$A82,ERFASSUNG!$C$6:$C$3005,$B$3)+COUNTIFS(ERFASSUNG!$R$6:$R$3005,$A82,ERFASSUNG!$C$6:$C$3005,$B$3))</f>
        <v/>
      </c>
      <c r="C82" s="47">
        <f>IF($A82="","",SUMIFS(ERFASSUNG!$E$6:$E$3005,ERFASSUNG!$P$6:$P$3005,$A82,ERFASSUNG!$C$6:$C$3005,$B$3)+SUMIFS(ERFASSUNG!$E$6:$E$3005,ERFASSUNG!$Q$6:$Q$3005,$A82,ERFASSUNG!$C$6:$C$3005,$B$3)+SUMIFS(ERFASSUNG!$E$6:$E$3005,ERFASSUNG!$R$6:$R$3005,$A82,ERFASSUNG!$C$6:$C$3005,$B$3))</f>
        <v/>
      </c>
    </row>
    <row r="83">
      <c r="A83" s="39">
        <f>IF(LISTEN!$C$30="","",LISTEN!$C$30)</f>
        <v/>
      </c>
      <c r="B83" s="7">
        <f>IF($A83="","",COUNTIFS(ERFASSUNG!$P$6:$P$3005,$A83,ERFASSUNG!$C$6:$C$3005,$B$3)+COUNTIFS(ERFASSUNG!$Q$6:$Q$3005,$A83,ERFASSUNG!$C$6:$C$3005,$B$3)+COUNTIFS(ERFASSUNG!$R$6:$R$3005,$A83,ERFASSUNG!$C$6:$C$3005,$B$3))</f>
        <v/>
      </c>
      <c r="C83" s="37">
        <f>IF($A83="","",SUMIFS(ERFASSUNG!$E$6:$E$3005,ERFASSUNG!$P$6:$P$3005,$A83,ERFASSUNG!$C$6:$C$3005,$B$3)+SUMIFS(ERFASSUNG!$E$6:$E$3005,ERFASSUNG!$Q$6:$Q$3005,$A83,ERFASSUNG!$C$6:$C$3005,$B$3)+SUMIFS(ERFASSUNG!$E$6:$E$3005,ERFASSUNG!$R$6:$R$3005,$A83,ERFASSUNG!$C$6:$C$3005,$B$3))</f>
        <v/>
      </c>
    </row>
    <row r="84">
      <c r="A84" s="41">
        <f>IF(LISTEN!$C$31="","",LISTEN!$C$31)</f>
        <v/>
      </c>
      <c r="B84" s="42">
        <f>IF($A84="","",COUNTIFS(ERFASSUNG!$P$6:$P$3005,$A84,ERFASSUNG!$C$6:$C$3005,$B$3)+COUNTIFS(ERFASSUNG!$Q$6:$Q$3005,$A84,ERFASSUNG!$C$6:$C$3005,$B$3)+COUNTIFS(ERFASSUNG!$R$6:$R$3005,$A84,ERFASSUNG!$C$6:$C$3005,$B$3))</f>
        <v/>
      </c>
      <c r="C84" s="47">
        <f>IF($A84="","",SUMIFS(ERFASSUNG!$E$6:$E$3005,ERFASSUNG!$P$6:$P$3005,$A84,ERFASSUNG!$C$6:$C$3005,$B$3)+SUMIFS(ERFASSUNG!$E$6:$E$3005,ERFASSUNG!$Q$6:$Q$3005,$A84,ERFASSUNG!$C$6:$C$3005,$B$3)+SUMIFS(ERFASSUNG!$E$6:$E$3005,ERFASSUNG!$R$6:$R$3005,$A84,ERFASSUNG!$C$6:$C$3005,$B$3))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96">
    <mergeCell ref="C6:D6"/>
    <mergeCell ref="F68:G68"/>
    <mergeCell ref="O6:P6"/>
    <mergeCell ref="H55:I55"/>
    <mergeCell ref="J70:O70"/>
    <mergeCell ref="J79:O79"/>
    <mergeCell ref="J54:O54"/>
    <mergeCell ref="J63:O63"/>
    <mergeCell ref="J56:O56"/>
    <mergeCell ref="F70:G70"/>
    <mergeCell ref="F79:G79"/>
    <mergeCell ref="H79:I79"/>
    <mergeCell ref="F72:G72"/>
    <mergeCell ref="H72:I72"/>
    <mergeCell ref="F56:G56"/>
    <mergeCell ref="F71:G71"/>
    <mergeCell ref="H65:I65"/>
    <mergeCell ref="J67:O67"/>
    <mergeCell ref="H62:I62"/>
    <mergeCell ref="J59:O59"/>
    <mergeCell ref="H71:I71"/>
    <mergeCell ref="J60:O60"/>
    <mergeCell ref="J69:O69"/>
    <mergeCell ref="F57:G57"/>
    <mergeCell ref="I6:J6"/>
    <mergeCell ref="F54:G54"/>
    <mergeCell ref="H54:I54"/>
    <mergeCell ref="F63:G63"/>
    <mergeCell ref="C5:D5"/>
    <mergeCell ref="H63:I63"/>
    <mergeCell ref="E5:F5"/>
    <mergeCell ref="J55:O55"/>
    <mergeCell ref="F74:G74"/>
    <mergeCell ref="H74:I74"/>
    <mergeCell ref="H56:I56"/>
    <mergeCell ref="H68:I68"/>
    <mergeCell ref="F76:G76"/>
    <mergeCell ref="F66:G66"/>
    <mergeCell ref="F75:G75"/>
    <mergeCell ref="H69:I69"/>
    <mergeCell ref="F62:G62"/>
    <mergeCell ref="J71:O71"/>
    <mergeCell ref="J58:O58"/>
    <mergeCell ref="J76:O76"/>
    <mergeCell ref="H75:I75"/>
    <mergeCell ref="J64:O64"/>
    <mergeCell ref="J73:O73"/>
    <mergeCell ref="F61:G61"/>
    <mergeCell ref="J57:O57"/>
    <mergeCell ref="K6:L6"/>
    <mergeCell ref="J77:O77"/>
    <mergeCell ref="F64:G64"/>
    <mergeCell ref="J68:O68"/>
    <mergeCell ref="F73:G73"/>
    <mergeCell ref="K5:L5"/>
    <mergeCell ref="M5:N5"/>
    <mergeCell ref="H58:I58"/>
    <mergeCell ref="H73:I73"/>
    <mergeCell ref="O5:P5"/>
    <mergeCell ref="H60:I60"/>
    <mergeCell ref="J75:O75"/>
    <mergeCell ref="E6:F6"/>
    <mergeCell ref="J62:O62"/>
    <mergeCell ref="A5:B5"/>
    <mergeCell ref="H57:I57"/>
    <mergeCell ref="H66:I66"/>
    <mergeCell ref="D3:E3"/>
    <mergeCell ref="F77:G77"/>
    <mergeCell ref="H77:I77"/>
    <mergeCell ref="H67:I67"/>
    <mergeCell ref="F69:G69"/>
    <mergeCell ref="F78:G78"/>
    <mergeCell ref="H78:I78"/>
    <mergeCell ref="J65:O65"/>
    <mergeCell ref="F65:G65"/>
    <mergeCell ref="J74:O74"/>
    <mergeCell ref="A6:B6"/>
    <mergeCell ref="F59:G59"/>
    <mergeCell ref="F55:G55"/>
    <mergeCell ref="H59:I59"/>
    <mergeCell ref="H64:I64"/>
    <mergeCell ref="J66:O66"/>
    <mergeCell ref="G6:H6"/>
    <mergeCell ref="H61:I61"/>
    <mergeCell ref="G3:H3"/>
    <mergeCell ref="H70:I70"/>
    <mergeCell ref="M6:N6"/>
    <mergeCell ref="G5:H5"/>
    <mergeCell ref="I5:J5"/>
    <mergeCell ref="J61:O61"/>
    <mergeCell ref="F58:G58"/>
    <mergeCell ref="F67:G67"/>
    <mergeCell ref="J72:O72"/>
    <mergeCell ref="F60:G60"/>
    <mergeCell ref="H76:I76"/>
    <mergeCell ref="J78:O78"/>
  </mergeCells>
  <dataValidations count="1">
    <dataValidation sqref="B3" showDropDown="0" showInputMessage="0" showErrorMessage="1" allowBlank="0" error="Kalenderwoche 1–53" type="whole" operator="between">
      <formula1>1</formula1>
      <formula2>53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AZ1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3" customWidth="1" min="17" max="17"/>
    <col hidden="1" width="13" customWidth="1" min="51" max="51"/>
    <col hidden="1" width="13" customWidth="1" min="52" max="52"/>
  </cols>
  <sheetData>
    <row r="1">
      <c r="A1" s="15">
        <f>"Monatsübersicht "&amp;LISTEN!$F$3</f>
        <v/>
      </c>
    </row>
    <row r="2">
      <c r="A2" s="16" t="inlineStr">
        <is>
          <t>Monat in der gelben Zelle auswählen – alles andere rechnet automatisch.</t>
        </is>
      </c>
    </row>
    <row r="3">
      <c r="A3" s="25" t="inlineStr">
        <is>
          <t>Monat:</t>
        </is>
      </c>
      <c r="B3" s="26" t="inlineStr">
        <is>
          <t>September</t>
        </is>
      </c>
      <c r="D3" s="27" t="inlineStr">
        <is>
          <t>von</t>
        </is>
      </c>
      <c r="E3" s="28">
        <f>DATE(LISTEN!$F$2,$AZ$3,1)</f>
        <v/>
      </c>
      <c r="F3" s="29" t="n"/>
      <c r="G3" s="27" t="inlineStr">
        <is>
          <t>bis</t>
        </is>
      </c>
      <c r="H3" s="28">
        <f>DATE(LISTEN!$F$2,$AZ$3+1,0)</f>
        <v/>
      </c>
      <c r="I3" s="29" t="n"/>
      <c r="AZ3">
        <f>IFERROR(MATCH($B$3,LISTEN!$H$2:$H$13,0),1)</f>
        <v/>
      </c>
    </row>
    <row r="5">
      <c r="A5" s="30" t="inlineStr">
        <is>
          <t>Öffnungstage</t>
        </is>
      </c>
      <c r="B5" s="31" t="n"/>
      <c r="C5" s="30" t="inlineStr">
        <is>
          <t>Einträge (Angebote)</t>
        </is>
      </c>
      <c r="D5" s="31" t="n"/>
      <c r="E5" s="30" t="inlineStr">
        <is>
          <t>Kontakte gesamt</t>
        </is>
      </c>
      <c r="F5" s="31" t="n"/>
      <c r="G5" s="30" t="inlineStr">
        <is>
          <t>Ø Kontakte pro Öffnungstag</t>
        </is>
      </c>
      <c r="H5" s="31" t="n"/>
      <c r="I5" s="30" t="inlineStr">
        <is>
          <t>Stunden</t>
        </is>
      </c>
      <c r="J5" s="31" t="n"/>
      <c r="K5" s="30" t="inlineStr">
        <is>
          <t>weiblich</t>
        </is>
      </c>
      <c r="L5" s="31" t="n"/>
      <c r="M5" s="30" t="inlineStr">
        <is>
          <t>divers</t>
        </is>
      </c>
      <c r="N5" s="31" t="n"/>
      <c r="O5" s="30" t="inlineStr">
        <is>
          <t>männlich</t>
        </is>
      </c>
      <c r="P5" s="31" t="n"/>
    </row>
    <row r="6" ht="28" customHeight="1">
      <c r="A6" s="32">
        <f>SUMIFS(KALENDER!$G$5:$G$370,KALENDER!$D$5:$D$370,$AZ$3)</f>
        <v/>
      </c>
      <c r="B6" s="31" t="n"/>
      <c r="C6" s="32">
        <f>SUMIFS(KALENDER!$F$5:$F$370,KALENDER!$D$5:$D$370,$AZ$3)</f>
        <v/>
      </c>
      <c r="D6" s="31" t="n"/>
      <c r="E6" s="32">
        <f>($B$10+$C$10+$D$10)</f>
        <v/>
      </c>
      <c r="F6" s="31" t="n"/>
      <c r="G6" s="33">
        <f>IF(N(SUMIFS(KALENDER!$G$5:$G$370,KALENDER!$D$5:$D$370,$AZ$3))=0,0,($B$10+$C$10+$D$10)/SUMIFS(KALENDER!$G$5:$G$370,KALENDER!$D$5:$D$370,$AZ$3))</f>
        <v/>
      </c>
      <c r="H6" s="31" t="n"/>
      <c r="I6" s="34">
        <f>SUMIFS(KALENDER!$H$5:$H$370,KALENDER!$D$5:$D$370,$AZ$3)</f>
        <v/>
      </c>
      <c r="J6" s="31" t="n"/>
      <c r="K6" s="35">
        <f>IF(($B$10+$C$10+$D$10)=0,0,$B$10/($B$10+$C$10+$D$10))</f>
        <v/>
      </c>
      <c r="L6" s="31" t="n"/>
      <c r="M6" s="35">
        <f>IF(($B$10+$C$10+$D$10)=0,0,$C$10/($B$10+$C$10+$D$10))</f>
        <v/>
      </c>
      <c r="N6" s="31" t="n"/>
      <c r="O6" s="35">
        <f>IF(($B$10+$C$10+$D$10)=0,0,$D$10/($B$10+$C$10+$D$10))</f>
        <v/>
      </c>
      <c r="P6" s="31" t="n"/>
    </row>
    <row r="8">
      <c r="A8" s="5" t="inlineStr">
        <is>
          <t>Geschlecht &amp; Alter</t>
        </is>
      </c>
    </row>
    <row r="9">
      <c r="A9" s="6" t="inlineStr">
        <is>
          <t>Merkmal</t>
        </is>
      </c>
      <c r="B9" s="6" t="inlineStr">
        <is>
          <t>weiblich</t>
        </is>
      </c>
      <c r="C9" s="6" t="inlineStr">
        <is>
          <t>divers</t>
        </is>
      </c>
      <c r="D9" s="6" t="inlineStr">
        <is>
          <t>männlich</t>
        </is>
      </c>
      <c r="E9" s="6" t="inlineStr">
        <is>
          <t>unter 10</t>
        </is>
      </c>
      <c r="F9" s="6" t="inlineStr">
        <is>
          <t>ab 10</t>
        </is>
      </c>
      <c r="G9" s="6" t="inlineStr">
        <is>
          <t>ab 14</t>
        </is>
      </c>
      <c r="H9" s="6" t="inlineStr">
        <is>
          <t>ab 16</t>
        </is>
      </c>
      <c r="I9" s="6" t="inlineStr">
        <is>
          <t>ab 18</t>
        </is>
      </c>
    </row>
    <row r="10">
      <c r="A10" s="48" t="inlineStr">
        <is>
          <t>Anzahl</t>
        </is>
      </c>
      <c r="B10" s="49">
        <f>SUMIFS(KALENDER!$I$5:$I$370,KALENDER!$D$5:$D$370,$AZ$3)</f>
        <v/>
      </c>
      <c r="C10" s="49">
        <f>SUMIFS(KALENDER!$J$5:$J$370,KALENDER!$D$5:$D$370,$AZ$3)</f>
        <v/>
      </c>
      <c r="D10" s="49">
        <f>SUMIFS(KALENDER!$K$5:$K$370,KALENDER!$D$5:$D$370,$AZ$3)</f>
        <v/>
      </c>
      <c r="E10" s="49">
        <f>SUMIFS(KALENDER!$M$5:$M$370,KALENDER!$D$5:$D$370,$AZ$3)</f>
        <v/>
      </c>
      <c r="F10" s="49">
        <f>SUMIFS(KALENDER!$N$5:$N$370,KALENDER!$D$5:$D$370,$AZ$3)</f>
        <v/>
      </c>
      <c r="G10" s="49">
        <f>SUMIFS(KALENDER!$O$5:$O$370,KALENDER!$D$5:$D$370,$AZ$3)</f>
        <v/>
      </c>
      <c r="H10" s="49">
        <f>SUMIFS(KALENDER!$P$5:$P$370,KALENDER!$D$5:$D$370,$AZ$3)</f>
        <v/>
      </c>
      <c r="I10" s="49">
        <f>SUMIFS(KALENDER!$Q$5:$Q$370,KALENDER!$D$5:$D$370,$AZ$3)</f>
        <v/>
      </c>
    </row>
    <row r="11">
      <c r="A11" s="48" t="inlineStr">
        <is>
          <t>Anteil</t>
        </is>
      </c>
      <c r="B11" s="50">
        <f>IF(SUM($B$10:$D$10)=0,0,B10/SUM($B$10:$D$10))</f>
        <v/>
      </c>
      <c r="C11" s="50">
        <f>IF(SUM($B$10:$D$10)=0,0,C10/SUM($B$10:$D$10))</f>
        <v/>
      </c>
      <c r="D11" s="50">
        <f>IF(SUM($B$10:$D$10)=0,0,D10/SUM($B$10:$D$10))</f>
        <v/>
      </c>
      <c r="E11" s="50">
        <f>IF(SUM($E$10:$I$10)=0,0,E10/SUM($E$10:$I$10))</f>
        <v/>
      </c>
      <c r="F11" s="50">
        <f>IF(SUM($E$10:$I$10)=0,0,F10/SUM($E$10:$I$10))</f>
        <v/>
      </c>
      <c r="G11" s="50">
        <f>IF(SUM($E$10:$I$10)=0,0,G10/SUM($E$10:$I$10))</f>
        <v/>
      </c>
      <c r="H11" s="50">
        <f>IF(SUM($E$10:$I$10)=0,0,H10/SUM($E$10:$I$10))</f>
        <v/>
      </c>
      <c r="I11" s="50">
        <f>IF(SUM($E$10:$I$10)=0,0,I10/SUM($E$10:$I$10))</f>
        <v/>
      </c>
    </row>
    <row r="13">
      <c r="A13" s="5" t="inlineStr">
        <is>
          <t>Angebote im Monat</t>
        </is>
      </c>
    </row>
    <row r="14">
      <c r="A14" s="6" t="inlineStr">
        <is>
          <t>Angebot</t>
        </is>
      </c>
      <c r="B14" s="6" t="inlineStr">
        <is>
          <t>Einträge</t>
        </is>
      </c>
      <c r="C14" s="6" t="inlineStr">
        <is>
          <t>Stunden</t>
        </is>
      </c>
      <c r="D14" s="6" t="inlineStr">
        <is>
          <t>w</t>
        </is>
      </c>
      <c r="E14" s="6" t="inlineStr">
        <is>
          <t>d</t>
        </is>
      </c>
      <c r="F14" s="6" t="inlineStr">
        <is>
          <t>m</t>
        </is>
      </c>
      <c r="G14" s="6" t="inlineStr">
        <is>
          <t>gesamt</t>
        </is>
      </c>
      <c r="H14" s="6" t="inlineStr">
        <is>
          <t>unter 10</t>
        </is>
      </c>
      <c r="I14" s="6" t="inlineStr">
        <is>
          <t>ab 10</t>
        </is>
      </c>
      <c r="J14" s="6" t="inlineStr">
        <is>
          <t>ab 14</t>
        </is>
      </c>
      <c r="K14" s="6" t="inlineStr">
        <is>
          <t>ab 16</t>
        </is>
      </c>
      <c r="L14" s="6" t="inlineStr">
        <is>
          <t>ab 18</t>
        </is>
      </c>
      <c r="M14" s="6" t="inlineStr">
        <is>
          <t>Anteil</t>
        </is>
      </c>
    </row>
    <row r="15">
      <c r="A15" s="39">
        <f>IF(LISTEN!$A$2="","",LISTEN!$A$2)</f>
        <v/>
      </c>
      <c r="B15" s="7">
        <f>IF($A15="","",COUNTIFS(ERFASSUNG!$D$6:$D$3005,$A15,ERFASSUNG!$V$6:$V$3005,$AZ$3))</f>
        <v/>
      </c>
      <c r="C15" s="7">
        <f>IF($A15="","",SUMIFS(ERFASSUNG!$E$6:$E$3005,ERFASSUNG!$D$6:$D$3005,$A15,ERFASSUNG!$V$6:$V$3005,$AZ$3))</f>
        <v/>
      </c>
      <c r="D15" s="7">
        <f>IF($A15="","",SUMIFS(ERFASSUNG!$F$6:$F$3005,ERFASSUNG!$D$6:$D$3005,$A15,ERFASSUNG!$V$6:$V$3005,$AZ$3))</f>
        <v/>
      </c>
      <c r="E15" s="7">
        <f>IF($A15="","",SUMIFS(ERFASSUNG!$G$6:$G$3005,ERFASSUNG!$D$6:$D$3005,$A15,ERFASSUNG!$V$6:$V$3005,$AZ$3))</f>
        <v/>
      </c>
      <c r="F15" s="7">
        <f>IF($A15="","",SUMIFS(ERFASSUNG!$H$6:$H$3005,ERFASSUNG!$D$6:$D$3005,$A15,ERFASSUNG!$V$6:$V$3005,$AZ$3))</f>
        <v/>
      </c>
      <c r="G15" s="7">
        <f>IF($A15="","",SUMIFS(ERFASSUNG!$I$6:$I$3005,ERFASSUNG!$D$6:$D$3005,$A15,ERFASSUNG!$V$6:$V$3005,$AZ$3))</f>
        <v/>
      </c>
      <c r="H15" s="7">
        <f>IF($A15="","",SUMIFS(ERFASSUNG!$J$6:$J$3005,ERFASSUNG!$D$6:$D$3005,$A15,ERFASSUNG!$V$6:$V$3005,$AZ$3))</f>
        <v/>
      </c>
      <c r="I15" s="7">
        <f>IF($A15="","",SUMIFS(ERFASSUNG!$K$6:$K$3005,ERFASSUNG!$D$6:$D$3005,$A15,ERFASSUNG!$V$6:$V$3005,$AZ$3))</f>
        <v/>
      </c>
      <c r="J15" s="7">
        <f>IF($A15="","",SUMIFS(ERFASSUNG!$L$6:$L$3005,ERFASSUNG!$D$6:$D$3005,$A15,ERFASSUNG!$V$6:$V$3005,$AZ$3))</f>
        <v/>
      </c>
      <c r="K15" s="7">
        <f>IF($A15="","",SUMIFS(ERFASSUNG!$M$6:$M$3005,ERFASSUNG!$D$6:$D$3005,$A15,ERFASSUNG!$V$6:$V$3005,$AZ$3))</f>
        <v/>
      </c>
      <c r="L15" s="7">
        <f>IF($A15="","",SUMIFS(ERFASSUNG!$N$6:$N$3005,ERFASSUNG!$D$6:$D$3005,$A15,ERFASSUNG!$V$6:$V$3005,$AZ$3))</f>
        <v/>
      </c>
      <c r="M15" s="40">
        <f>IF(OR($A15="",N($G$45)=0),"",G15/$G$45)</f>
        <v/>
      </c>
    </row>
    <row r="16">
      <c r="A16" s="41">
        <f>IF(LISTEN!$A$3="","",LISTEN!$A$3)</f>
        <v/>
      </c>
      <c r="B16" s="42">
        <f>IF($A16="","",COUNTIFS(ERFASSUNG!$D$6:$D$3005,$A16,ERFASSUNG!$V$6:$V$3005,$AZ$3))</f>
        <v/>
      </c>
      <c r="C16" s="42">
        <f>IF($A16="","",SUMIFS(ERFASSUNG!$E$6:$E$3005,ERFASSUNG!$D$6:$D$3005,$A16,ERFASSUNG!$V$6:$V$3005,$AZ$3))</f>
        <v/>
      </c>
      <c r="D16" s="42">
        <f>IF($A16="","",SUMIFS(ERFASSUNG!$F$6:$F$3005,ERFASSUNG!$D$6:$D$3005,$A16,ERFASSUNG!$V$6:$V$3005,$AZ$3))</f>
        <v/>
      </c>
      <c r="E16" s="42">
        <f>IF($A16="","",SUMIFS(ERFASSUNG!$G$6:$G$3005,ERFASSUNG!$D$6:$D$3005,$A16,ERFASSUNG!$V$6:$V$3005,$AZ$3))</f>
        <v/>
      </c>
      <c r="F16" s="42">
        <f>IF($A16="","",SUMIFS(ERFASSUNG!$H$6:$H$3005,ERFASSUNG!$D$6:$D$3005,$A16,ERFASSUNG!$V$6:$V$3005,$AZ$3))</f>
        <v/>
      </c>
      <c r="G16" s="42">
        <f>IF($A16="","",SUMIFS(ERFASSUNG!$I$6:$I$3005,ERFASSUNG!$D$6:$D$3005,$A16,ERFASSUNG!$V$6:$V$3005,$AZ$3))</f>
        <v/>
      </c>
      <c r="H16" s="42">
        <f>IF($A16="","",SUMIFS(ERFASSUNG!$J$6:$J$3005,ERFASSUNG!$D$6:$D$3005,$A16,ERFASSUNG!$V$6:$V$3005,$AZ$3))</f>
        <v/>
      </c>
      <c r="I16" s="42">
        <f>IF($A16="","",SUMIFS(ERFASSUNG!$K$6:$K$3005,ERFASSUNG!$D$6:$D$3005,$A16,ERFASSUNG!$V$6:$V$3005,$AZ$3))</f>
        <v/>
      </c>
      <c r="J16" s="42">
        <f>IF($A16="","",SUMIFS(ERFASSUNG!$L$6:$L$3005,ERFASSUNG!$D$6:$D$3005,$A16,ERFASSUNG!$V$6:$V$3005,$AZ$3))</f>
        <v/>
      </c>
      <c r="K16" s="42">
        <f>IF($A16="","",SUMIFS(ERFASSUNG!$M$6:$M$3005,ERFASSUNG!$D$6:$D$3005,$A16,ERFASSUNG!$V$6:$V$3005,$AZ$3))</f>
        <v/>
      </c>
      <c r="L16" s="42">
        <f>IF($A16="","",SUMIFS(ERFASSUNG!$N$6:$N$3005,ERFASSUNG!$D$6:$D$3005,$A16,ERFASSUNG!$V$6:$V$3005,$AZ$3))</f>
        <v/>
      </c>
      <c r="M16" s="43">
        <f>IF(OR($A16="",N($G$45)=0),"",G16/$G$45)</f>
        <v/>
      </c>
    </row>
    <row r="17">
      <c r="A17" s="39">
        <f>IF(LISTEN!$A$4="","",LISTEN!$A$4)</f>
        <v/>
      </c>
      <c r="B17" s="7">
        <f>IF($A17="","",COUNTIFS(ERFASSUNG!$D$6:$D$3005,$A17,ERFASSUNG!$V$6:$V$3005,$AZ$3))</f>
        <v/>
      </c>
      <c r="C17" s="7">
        <f>IF($A17="","",SUMIFS(ERFASSUNG!$E$6:$E$3005,ERFASSUNG!$D$6:$D$3005,$A17,ERFASSUNG!$V$6:$V$3005,$AZ$3))</f>
        <v/>
      </c>
      <c r="D17" s="7">
        <f>IF($A17="","",SUMIFS(ERFASSUNG!$F$6:$F$3005,ERFASSUNG!$D$6:$D$3005,$A17,ERFASSUNG!$V$6:$V$3005,$AZ$3))</f>
        <v/>
      </c>
      <c r="E17" s="7">
        <f>IF($A17="","",SUMIFS(ERFASSUNG!$G$6:$G$3005,ERFASSUNG!$D$6:$D$3005,$A17,ERFASSUNG!$V$6:$V$3005,$AZ$3))</f>
        <v/>
      </c>
      <c r="F17" s="7">
        <f>IF($A17="","",SUMIFS(ERFASSUNG!$H$6:$H$3005,ERFASSUNG!$D$6:$D$3005,$A17,ERFASSUNG!$V$6:$V$3005,$AZ$3))</f>
        <v/>
      </c>
      <c r="G17" s="7">
        <f>IF($A17="","",SUMIFS(ERFASSUNG!$I$6:$I$3005,ERFASSUNG!$D$6:$D$3005,$A17,ERFASSUNG!$V$6:$V$3005,$AZ$3))</f>
        <v/>
      </c>
      <c r="H17" s="7">
        <f>IF($A17="","",SUMIFS(ERFASSUNG!$J$6:$J$3005,ERFASSUNG!$D$6:$D$3005,$A17,ERFASSUNG!$V$6:$V$3005,$AZ$3))</f>
        <v/>
      </c>
      <c r="I17" s="7">
        <f>IF($A17="","",SUMIFS(ERFASSUNG!$K$6:$K$3005,ERFASSUNG!$D$6:$D$3005,$A17,ERFASSUNG!$V$6:$V$3005,$AZ$3))</f>
        <v/>
      </c>
      <c r="J17" s="7">
        <f>IF($A17="","",SUMIFS(ERFASSUNG!$L$6:$L$3005,ERFASSUNG!$D$6:$D$3005,$A17,ERFASSUNG!$V$6:$V$3005,$AZ$3))</f>
        <v/>
      </c>
      <c r="K17" s="7">
        <f>IF($A17="","",SUMIFS(ERFASSUNG!$M$6:$M$3005,ERFASSUNG!$D$6:$D$3005,$A17,ERFASSUNG!$V$6:$V$3005,$AZ$3))</f>
        <v/>
      </c>
      <c r="L17" s="7">
        <f>IF($A17="","",SUMIFS(ERFASSUNG!$N$6:$N$3005,ERFASSUNG!$D$6:$D$3005,$A17,ERFASSUNG!$V$6:$V$3005,$AZ$3))</f>
        <v/>
      </c>
      <c r="M17" s="40">
        <f>IF(OR($A17="",N($G$45)=0),"",G17/$G$45)</f>
        <v/>
      </c>
    </row>
    <row r="18">
      <c r="A18" s="41">
        <f>IF(LISTEN!$A$5="","",LISTEN!$A$5)</f>
        <v/>
      </c>
      <c r="B18" s="42">
        <f>IF($A18="","",COUNTIFS(ERFASSUNG!$D$6:$D$3005,$A18,ERFASSUNG!$V$6:$V$3005,$AZ$3))</f>
        <v/>
      </c>
      <c r="C18" s="42">
        <f>IF($A18="","",SUMIFS(ERFASSUNG!$E$6:$E$3005,ERFASSUNG!$D$6:$D$3005,$A18,ERFASSUNG!$V$6:$V$3005,$AZ$3))</f>
        <v/>
      </c>
      <c r="D18" s="42">
        <f>IF($A18="","",SUMIFS(ERFASSUNG!$F$6:$F$3005,ERFASSUNG!$D$6:$D$3005,$A18,ERFASSUNG!$V$6:$V$3005,$AZ$3))</f>
        <v/>
      </c>
      <c r="E18" s="42">
        <f>IF($A18="","",SUMIFS(ERFASSUNG!$G$6:$G$3005,ERFASSUNG!$D$6:$D$3005,$A18,ERFASSUNG!$V$6:$V$3005,$AZ$3))</f>
        <v/>
      </c>
      <c r="F18" s="42">
        <f>IF($A18="","",SUMIFS(ERFASSUNG!$H$6:$H$3005,ERFASSUNG!$D$6:$D$3005,$A18,ERFASSUNG!$V$6:$V$3005,$AZ$3))</f>
        <v/>
      </c>
      <c r="G18" s="42">
        <f>IF($A18="","",SUMIFS(ERFASSUNG!$I$6:$I$3005,ERFASSUNG!$D$6:$D$3005,$A18,ERFASSUNG!$V$6:$V$3005,$AZ$3))</f>
        <v/>
      </c>
      <c r="H18" s="42">
        <f>IF($A18="","",SUMIFS(ERFASSUNG!$J$6:$J$3005,ERFASSUNG!$D$6:$D$3005,$A18,ERFASSUNG!$V$6:$V$3005,$AZ$3))</f>
        <v/>
      </c>
      <c r="I18" s="42">
        <f>IF($A18="","",SUMIFS(ERFASSUNG!$K$6:$K$3005,ERFASSUNG!$D$6:$D$3005,$A18,ERFASSUNG!$V$6:$V$3005,$AZ$3))</f>
        <v/>
      </c>
      <c r="J18" s="42">
        <f>IF($A18="","",SUMIFS(ERFASSUNG!$L$6:$L$3005,ERFASSUNG!$D$6:$D$3005,$A18,ERFASSUNG!$V$6:$V$3005,$AZ$3))</f>
        <v/>
      </c>
      <c r="K18" s="42">
        <f>IF($A18="","",SUMIFS(ERFASSUNG!$M$6:$M$3005,ERFASSUNG!$D$6:$D$3005,$A18,ERFASSUNG!$V$6:$V$3005,$AZ$3))</f>
        <v/>
      </c>
      <c r="L18" s="42">
        <f>IF($A18="","",SUMIFS(ERFASSUNG!$N$6:$N$3005,ERFASSUNG!$D$6:$D$3005,$A18,ERFASSUNG!$V$6:$V$3005,$AZ$3))</f>
        <v/>
      </c>
      <c r="M18" s="43">
        <f>IF(OR($A18="",N($G$45)=0),"",G18/$G$45)</f>
        <v/>
      </c>
    </row>
    <row r="19">
      <c r="A19" s="39">
        <f>IF(LISTEN!$A$6="","",LISTEN!$A$6)</f>
        <v/>
      </c>
      <c r="B19" s="7">
        <f>IF($A19="","",COUNTIFS(ERFASSUNG!$D$6:$D$3005,$A19,ERFASSUNG!$V$6:$V$3005,$AZ$3))</f>
        <v/>
      </c>
      <c r="C19" s="7">
        <f>IF($A19="","",SUMIFS(ERFASSUNG!$E$6:$E$3005,ERFASSUNG!$D$6:$D$3005,$A19,ERFASSUNG!$V$6:$V$3005,$AZ$3))</f>
        <v/>
      </c>
      <c r="D19" s="7">
        <f>IF($A19="","",SUMIFS(ERFASSUNG!$F$6:$F$3005,ERFASSUNG!$D$6:$D$3005,$A19,ERFASSUNG!$V$6:$V$3005,$AZ$3))</f>
        <v/>
      </c>
      <c r="E19" s="7">
        <f>IF($A19="","",SUMIFS(ERFASSUNG!$G$6:$G$3005,ERFASSUNG!$D$6:$D$3005,$A19,ERFASSUNG!$V$6:$V$3005,$AZ$3))</f>
        <v/>
      </c>
      <c r="F19" s="7">
        <f>IF($A19="","",SUMIFS(ERFASSUNG!$H$6:$H$3005,ERFASSUNG!$D$6:$D$3005,$A19,ERFASSUNG!$V$6:$V$3005,$AZ$3))</f>
        <v/>
      </c>
      <c r="G19" s="7">
        <f>IF($A19="","",SUMIFS(ERFASSUNG!$I$6:$I$3005,ERFASSUNG!$D$6:$D$3005,$A19,ERFASSUNG!$V$6:$V$3005,$AZ$3))</f>
        <v/>
      </c>
      <c r="H19" s="7">
        <f>IF($A19="","",SUMIFS(ERFASSUNG!$J$6:$J$3005,ERFASSUNG!$D$6:$D$3005,$A19,ERFASSUNG!$V$6:$V$3005,$AZ$3))</f>
        <v/>
      </c>
      <c r="I19" s="7">
        <f>IF($A19="","",SUMIFS(ERFASSUNG!$K$6:$K$3005,ERFASSUNG!$D$6:$D$3005,$A19,ERFASSUNG!$V$6:$V$3005,$AZ$3))</f>
        <v/>
      </c>
      <c r="J19" s="7">
        <f>IF($A19="","",SUMIFS(ERFASSUNG!$L$6:$L$3005,ERFASSUNG!$D$6:$D$3005,$A19,ERFASSUNG!$V$6:$V$3005,$AZ$3))</f>
        <v/>
      </c>
      <c r="K19" s="7">
        <f>IF($A19="","",SUMIFS(ERFASSUNG!$M$6:$M$3005,ERFASSUNG!$D$6:$D$3005,$A19,ERFASSUNG!$V$6:$V$3005,$AZ$3))</f>
        <v/>
      </c>
      <c r="L19" s="7">
        <f>IF($A19="","",SUMIFS(ERFASSUNG!$N$6:$N$3005,ERFASSUNG!$D$6:$D$3005,$A19,ERFASSUNG!$V$6:$V$3005,$AZ$3))</f>
        <v/>
      </c>
      <c r="M19" s="40">
        <f>IF(OR($A19="",N($G$45)=0),"",G19/$G$45)</f>
        <v/>
      </c>
    </row>
    <row r="20">
      <c r="A20" s="41">
        <f>IF(LISTEN!$A$7="","",LISTEN!$A$7)</f>
        <v/>
      </c>
      <c r="B20" s="42">
        <f>IF($A20="","",COUNTIFS(ERFASSUNG!$D$6:$D$3005,$A20,ERFASSUNG!$V$6:$V$3005,$AZ$3))</f>
        <v/>
      </c>
      <c r="C20" s="42">
        <f>IF($A20="","",SUMIFS(ERFASSUNG!$E$6:$E$3005,ERFASSUNG!$D$6:$D$3005,$A20,ERFASSUNG!$V$6:$V$3005,$AZ$3))</f>
        <v/>
      </c>
      <c r="D20" s="42">
        <f>IF($A20="","",SUMIFS(ERFASSUNG!$F$6:$F$3005,ERFASSUNG!$D$6:$D$3005,$A20,ERFASSUNG!$V$6:$V$3005,$AZ$3))</f>
        <v/>
      </c>
      <c r="E20" s="42">
        <f>IF($A20="","",SUMIFS(ERFASSUNG!$G$6:$G$3005,ERFASSUNG!$D$6:$D$3005,$A20,ERFASSUNG!$V$6:$V$3005,$AZ$3))</f>
        <v/>
      </c>
      <c r="F20" s="42">
        <f>IF($A20="","",SUMIFS(ERFASSUNG!$H$6:$H$3005,ERFASSUNG!$D$6:$D$3005,$A20,ERFASSUNG!$V$6:$V$3005,$AZ$3))</f>
        <v/>
      </c>
      <c r="G20" s="42">
        <f>IF($A20="","",SUMIFS(ERFASSUNG!$I$6:$I$3005,ERFASSUNG!$D$6:$D$3005,$A20,ERFASSUNG!$V$6:$V$3005,$AZ$3))</f>
        <v/>
      </c>
      <c r="H20" s="42">
        <f>IF($A20="","",SUMIFS(ERFASSUNG!$J$6:$J$3005,ERFASSUNG!$D$6:$D$3005,$A20,ERFASSUNG!$V$6:$V$3005,$AZ$3))</f>
        <v/>
      </c>
      <c r="I20" s="42">
        <f>IF($A20="","",SUMIFS(ERFASSUNG!$K$6:$K$3005,ERFASSUNG!$D$6:$D$3005,$A20,ERFASSUNG!$V$6:$V$3005,$AZ$3))</f>
        <v/>
      </c>
      <c r="J20" s="42">
        <f>IF($A20="","",SUMIFS(ERFASSUNG!$L$6:$L$3005,ERFASSUNG!$D$6:$D$3005,$A20,ERFASSUNG!$V$6:$V$3005,$AZ$3))</f>
        <v/>
      </c>
      <c r="K20" s="42">
        <f>IF($A20="","",SUMIFS(ERFASSUNG!$M$6:$M$3005,ERFASSUNG!$D$6:$D$3005,$A20,ERFASSUNG!$V$6:$V$3005,$AZ$3))</f>
        <v/>
      </c>
      <c r="L20" s="42">
        <f>IF($A20="","",SUMIFS(ERFASSUNG!$N$6:$N$3005,ERFASSUNG!$D$6:$D$3005,$A20,ERFASSUNG!$V$6:$V$3005,$AZ$3))</f>
        <v/>
      </c>
      <c r="M20" s="43">
        <f>IF(OR($A20="",N($G$45)=0),"",G20/$G$45)</f>
        <v/>
      </c>
    </row>
    <row r="21">
      <c r="A21" s="39">
        <f>IF(LISTEN!$A$8="","",LISTEN!$A$8)</f>
        <v/>
      </c>
      <c r="B21" s="7">
        <f>IF($A21="","",COUNTIFS(ERFASSUNG!$D$6:$D$3005,$A21,ERFASSUNG!$V$6:$V$3005,$AZ$3))</f>
        <v/>
      </c>
      <c r="C21" s="7">
        <f>IF($A21="","",SUMIFS(ERFASSUNG!$E$6:$E$3005,ERFASSUNG!$D$6:$D$3005,$A21,ERFASSUNG!$V$6:$V$3005,$AZ$3))</f>
        <v/>
      </c>
      <c r="D21" s="7">
        <f>IF($A21="","",SUMIFS(ERFASSUNG!$F$6:$F$3005,ERFASSUNG!$D$6:$D$3005,$A21,ERFASSUNG!$V$6:$V$3005,$AZ$3))</f>
        <v/>
      </c>
      <c r="E21" s="7">
        <f>IF($A21="","",SUMIFS(ERFASSUNG!$G$6:$G$3005,ERFASSUNG!$D$6:$D$3005,$A21,ERFASSUNG!$V$6:$V$3005,$AZ$3))</f>
        <v/>
      </c>
      <c r="F21" s="7">
        <f>IF($A21="","",SUMIFS(ERFASSUNG!$H$6:$H$3005,ERFASSUNG!$D$6:$D$3005,$A21,ERFASSUNG!$V$6:$V$3005,$AZ$3))</f>
        <v/>
      </c>
      <c r="G21" s="7">
        <f>IF($A21="","",SUMIFS(ERFASSUNG!$I$6:$I$3005,ERFASSUNG!$D$6:$D$3005,$A21,ERFASSUNG!$V$6:$V$3005,$AZ$3))</f>
        <v/>
      </c>
      <c r="H21" s="7">
        <f>IF($A21="","",SUMIFS(ERFASSUNG!$J$6:$J$3005,ERFASSUNG!$D$6:$D$3005,$A21,ERFASSUNG!$V$6:$V$3005,$AZ$3))</f>
        <v/>
      </c>
      <c r="I21" s="7">
        <f>IF($A21="","",SUMIFS(ERFASSUNG!$K$6:$K$3005,ERFASSUNG!$D$6:$D$3005,$A21,ERFASSUNG!$V$6:$V$3005,$AZ$3))</f>
        <v/>
      </c>
      <c r="J21" s="7">
        <f>IF($A21="","",SUMIFS(ERFASSUNG!$L$6:$L$3005,ERFASSUNG!$D$6:$D$3005,$A21,ERFASSUNG!$V$6:$V$3005,$AZ$3))</f>
        <v/>
      </c>
      <c r="K21" s="7">
        <f>IF($A21="","",SUMIFS(ERFASSUNG!$M$6:$M$3005,ERFASSUNG!$D$6:$D$3005,$A21,ERFASSUNG!$V$6:$V$3005,$AZ$3))</f>
        <v/>
      </c>
      <c r="L21" s="7">
        <f>IF($A21="","",SUMIFS(ERFASSUNG!$N$6:$N$3005,ERFASSUNG!$D$6:$D$3005,$A21,ERFASSUNG!$V$6:$V$3005,$AZ$3))</f>
        <v/>
      </c>
      <c r="M21" s="40">
        <f>IF(OR($A21="",N($G$45)=0),"",G21/$G$45)</f>
        <v/>
      </c>
    </row>
    <row r="22">
      <c r="A22" s="41">
        <f>IF(LISTEN!$A$9="","",LISTEN!$A$9)</f>
        <v/>
      </c>
      <c r="B22" s="42">
        <f>IF($A22="","",COUNTIFS(ERFASSUNG!$D$6:$D$3005,$A22,ERFASSUNG!$V$6:$V$3005,$AZ$3))</f>
        <v/>
      </c>
      <c r="C22" s="42">
        <f>IF($A22="","",SUMIFS(ERFASSUNG!$E$6:$E$3005,ERFASSUNG!$D$6:$D$3005,$A22,ERFASSUNG!$V$6:$V$3005,$AZ$3))</f>
        <v/>
      </c>
      <c r="D22" s="42">
        <f>IF($A22="","",SUMIFS(ERFASSUNG!$F$6:$F$3005,ERFASSUNG!$D$6:$D$3005,$A22,ERFASSUNG!$V$6:$V$3005,$AZ$3))</f>
        <v/>
      </c>
      <c r="E22" s="42">
        <f>IF($A22="","",SUMIFS(ERFASSUNG!$G$6:$G$3005,ERFASSUNG!$D$6:$D$3005,$A22,ERFASSUNG!$V$6:$V$3005,$AZ$3))</f>
        <v/>
      </c>
      <c r="F22" s="42">
        <f>IF($A22="","",SUMIFS(ERFASSUNG!$H$6:$H$3005,ERFASSUNG!$D$6:$D$3005,$A22,ERFASSUNG!$V$6:$V$3005,$AZ$3))</f>
        <v/>
      </c>
      <c r="G22" s="42">
        <f>IF($A22="","",SUMIFS(ERFASSUNG!$I$6:$I$3005,ERFASSUNG!$D$6:$D$3005,$A22,ERFASSUNG!$V$6:$V$3005,$AZ$3))</f>
        <v/>
      </c>
      <c r="H22" s="42">
        <f>IF($A22="","",SUMIFS(ERFASSUNG!$J$6:$J$3005,ERFASSUNG!$D$6:$D$3005,$A22,ERFASSUNG!$V$6:$V$3005,$AZ$3))</f>
        <v/>
      </c>
      <c r="I22" s="42">
        <f>IF($A22="","",SUMIFS(ERFASSUNG!$K$6:$K$3005,ERFASSUNG!$D$6:$D$3005,$A22,ERFASSUNG!$V$6:$V$3005,$AZ$3))</f>
        <v/>
      </c>
      <c r="J22" s="42">
        <f>IF($A22="","",SUMIFS(ERFASSUNG!$L$6:$L$3005,ERFASSUNG!$D$6:$D$3005,$A22,ERFASSUNG!$V$6:$V$3005,$AZ$3))</f>
        <v/>
      </c>
      <c r="K22" s="42">
        <f>IF($A22="","",SUMIFS(ERFASSUNG!$M$6:$M$3005,ERFASSUNG!$D$6:$D$3005,$A22,ERFASSUNG!$V$6:$V$3005,$AZ$3))</f>
        <v/>
      </c>
      <c r="L22" s="42">
        <f>IF($A22="","",SUMIFS(ERFASSUNG!$N$6:$N$3005,ERFASSUNG!$D$6:$D$3005,$A22,ERFASSUNG!$V$6:$V$3005,$AZ$3))</f>
        <v/>
      </c>
      <c r="M22" s="43">
        <f>IF(OR($A22="",N($G$45)=0),"",G22/$G$45)</f>
        <v/>
      </c>
    </row>
    <row r="23">
      <c r="A23" s="39">
        <f>IF(LISTEN!$A$10="","",LISTEN!$A$10)</f>
        <v/>
      </c>
      <c r="B23" s="7">
        <f>IF($A23="","",COUNTIFS(ERFASSUNG!$D$6:$D$3005,$A23,ERFASSUNG!$V$6:$V$3005,$AZ$3))</f>
        <v/>
      </c>
      <c r="C23" s="7">
        <f>IF($A23="","",SUMIFS(ERFASSUNG!$E$6:$E$3005,ERFASSUNG!$D$6:$D$3005,$A23,ERFASSUNG!$V$6:$V$3005,$AZ$3))</f>
        <v/>
      </c>
      <c r="D23" s="7">
        <f>IF($A23="","",SUMIFS(ERFASSUNG!$F$6:$F$3005,ERFASSUNG!$D$6:$D$3005,$A23,ERFASSUNG!$V$6:$V$3005,$AZ$3))</f>
        <v/>
      </c>
      <c r="E23" s="7">
        <f>IF($A23="","",SUMIFS(ERFASSUNG!$G$6:$G$3005,ERFASSUNG!$D$6:$D$3005,$A23,ERFASSUNG!$V$6:$V$3005,$AZ$3))</f>
        <v/>
      </c>
      <c r="F23" s="7">
        <f>IF($A23="","",SUMIFS(ERFASSUNG!$H$6:$H$3005,ERFASSUNG!$D$6:$D$3005,$A23,ERFASSUNG!$V$6:$V$3005,$AZ$3))</f>
        <v/>
      </c>
      <c r="G23" s="7">
        <f>IF($A23="","",SUMIFS(ERFASSUNG!$I$6:$I$3005,ERFASSUNG!$D$6:$D$3005,$A23,ERFASSUNG!$V$6:$V$3005,$AZ$3))</f>
        <v/>
      </c>
      <c r="H23" s="7">
        <f>IF($A23="","",SUMIFS(ERFASSUNG!$J$6:$J$3005,ERFASSUNG!$D$6:$D$3005,$A23,ERFASSUNG!$V$6:$V$3005,$AZ$3))</f>
        <v/>
      </c>
      <c r="I23" s="7">
        <f>IF($A23="","",SUMIFS(ERFASSUNG!$K$6:$K$3005,ERFASSUNG!$D$6:$D$3005,$A23,ERFASSUNG!$V$6:$V$3005,$AZ$3))</f>
        <v/>
      </c>
      <c r="J23" s="7">
        <f>IF($A23="","",SUMIFS(ERFASSUNG!$L$6:$L$3005,ERFASSUNG!$D$6:$D$3005,$A23,ERFASSUNG!$V$6:$V$3005,$AZ$3))</f>
        <v/>
      </c>
      <c r="K23" s="7">
        <f>IF($A23="","",SUMIFS(ERFASSUNG!$M$6:$M$3005,ERFASSUNG!$D$6:$D$3005,$A23,ERFASSUNG!$V$6:$V$3005,$AZ$3))</f>
        <v/>
      </c>
      <c r="L23" s="7">
        <f>IF($A23="","",SUMIFS(ERFASSUNG!$N$6:$N$3005,ERFASSUNG!$D$6:$D$3005,$A23,ERFASSUNG!$V$6:$V$3005,$AZ$3))</f>
        <v/>
      </c>
      <c r="M23" s="40">
        <f>IF(OR($A23="",N($G$45)=0),"",G23/$G$45)</f>
        <v/>
      </c>
    </row>
    <row r="24">
      <c r="A24" s="41">
        <f>IF(LISTEN!$A$11="","",LISTEN!$A$11)</f>
        <v/>
      </c>
      <c r="B24" s="42">
        <f>IF($A24="","",COUNTIFS(ERFASSUNG!$D$6:$D$3005,$A24,ERFASSUNG!$V$6:$V$3005,$AZ$3))</f>
        <v/>
      </c>
      <c r="C24" s="42">
        <f>IF($A24="","",SUMIFS(ERFASSUNG!$E$6:$E$3005,ERFASSUNG!$D$6:$D$3005,$A24,ERFASSUNG!$V$6:$V$3005,$AZ$3))</f>
        <v/>
      </c>
      <c r="D24" s="42">
        <f>IF($A24="","",SUMIFS(ERFASSUNG!$F$6:$F$3005,ERFASSUNG!$D$6:$D$3005,$A24,ERFASSUNG!$V$6:$V$3005,$AZ$3))</f>
        <v/>
      </c>
      <c r="E24" s="42">
        <f>IF($A24="","",SUMIFS(ERFASSUNG!$G$6:$G$3005,ERFASSUNG!$D$6:$D$3005,$A24,ERFASSUNG!$V$6:$V$3005,$AZ$3))</f>
        <v/>
      </c>
      <c r="F24" s="42">
        <f>IF($A24="","",SUMIFS(ERFASSUNG!$H$6:$H$3005,ERFASSUNG!$D$6:$D$3005,$A24,ERFASSUNG!$V$6:$V$3005,$AZ$3))</f>
        <v/>
      </c>
      <c r="G24" s="42">
        <f>IF($A24="","",SUMIFS(ERFASSUNG!$I$6:$I$3005,ERFASSUNG!$D$6:$D$3005,$A24,ERFASSUNG!$V$6:$V$3005,$AZ$3))</f>
        <v/>
      </c>
      <c r="H24" s="42">
        <f>IF($A24="","",SUMIFS(ERFASSUNG!$J$6:$J$3005,ERFASSUNG!$D$6:$D$3005,$A24,ERFASSUNG!$V$6:$V$3005,$AZ$3))</f>
        <v/>
      </c>
      <c r="I24" s="42">
        <f>IF($A24="","",SUMIFS(ERFASSUNG!$K$6:$K$3005,ERFASSUNG!$D$6:$D$3005,$A24,ERFASSUNG!$V$6:$V$3005,$AZ$3))</f>
        <v/>
      </c>
      <c r="J24" s="42">
        <f>IF($A24="","",SUMIFS(ERFASSUNG!$L$6:$L$3005,ERFASSUNG!$D$6:$D$3005,$A24,ERFASSUNG!$V$6:$V$3005,$AZ$3))</f>
        <v/>
      </c>
      <c r="K24" s="42">
        <f>IF($A24="","",SUMIFS(ERFASSUNG!$M$6:$M$3005,ERFASSUNG!$D$6:$D$3005,$A24,ERFASSUNG!$V$6:$V$3005,$AZ$3))</f>
        <v/>
      </c>
      <c r="L24" s="42">
        <f>IF($A24="","",SUMIFS(ERFASSUNG!$N$6:$N$3005,ERFASSUNG!$D$6:$D$3005,$A24,ERFASSUNG!$V$6:$V$3005,$AZ$3))</f>
        <v/>
      </c>
      <c r="M24" s="43">
        <f>IF(OR($A24="",N($G$45)=0),"",G24/$G$45)</f>
        <v/>
      </c>
    </row>
    <row r="25">
      <c r="A25" s="39">
        <f>IF(LISTEN!$A$12="","",LISTEN!$A$12)</f>
        <v/>
      </c>
      <c r="B25" s="7">
        <f>IF($A25="","",COUNTIFS(ERFASSUNG!$D$6:$D$3005,$A25,ERFASSUNG!$V$6:$V$3005,$AZ$3))</f>
        <v/>
      </c>
      <c r="C25" s="7">
        <f>IF($A25="","",SUMIFS(ERFASSUNG!$E$6:$E$3005,ERFASSUNG!$D$6:$D$3005,$A25,ERFASSUNG!$V$6:$V$3005,$AZ$3))</f>
        <v/>
      </c>
      <c r="D25" s="7">
        <f>IF($A25="","",SUMIFS(ERFASSUNG!$F$6:$F$3005,ERFASSUNG!$D$6:$D$3005,$A25,ERFASSUNG!$V$6:$V$3005,$AZ$3))</f>
        <v/>
      </c>
      <c r="E25" s="7">
        <f>IF($A25="","",SUMIFS(ERFASSUNG!$G$6:$G$3005,ERFASSUNG!$D$6:$D$3005,$A25,ERFASSUNG!$V$6:$V$3005,$AZ$3))</f>
        <v/>
      </c>
      <c r="F25" s="7">
        <f>IF($A25="","",SUMIFS(ERFASSUNG!$H$6:$H$3005,ERFASSUNG!$D$6:$D$3005,$A25,ERFASSUNG!$V$6:$V$3005,$AZ$3))</f>
        <v/>
      </c>
      <c r="G25" s="7">
        <f>IF($A25="","",SUMIFS(ERFASSUNG!$I$6:$I$3005,ERFASSUNG!$D$6:$D$3005,$A25,ERFASSUNG!$V$6:$V$3005,$AZ$3))</f>
        <v/>
      </c>
      <c r="H25" s="7">
        <f>IF($A25="","",SUMIFS(ERFASSUNG!$J$6:$J$3005,ERFASSUNG!$D$6:$D$3005,$A25,ERFASSUNG!$V$6:$V$3005,$AZ$3))</f>
        <v/>
      </c>
      <c r="I25" s="7">
        <f>IF($A25="","",SUMIFS(ERFASSUNG!$K$6:$K$3005,ERFASSUNG!$D$6:$D$3005,$A25,ERFASSUNG!$V$6:$V$3005,$AZ$3))</f>
        <v/>
      </c>
      <c r="J25" s="7">
        <f>IF($A25="","",SUMIFS(ERFASSUNG!$L$6:$L$3005,ERFASSUNG!$D$6:$D$3005,$A25,ERFASSUNG!$V$6:$V$3005,$AZ$3))</f>
        <v/>
      </c>
      <c r="K25" s="7">
        <f>IF($A25="","",SUMIFS(ERFASSUNG!$M$6:$M$3005,ERFASSUNG!$D$6:$D$3005,$A25,ERFASSUNG!$V$6:$V$3005,$AZ$3))</f>
        <v/>
      </c>
      <c r="L25" s="7">
        <f>IF($A25="","",SUMIFS(ERFASSUNG!$N$6:$N$3005,ERFASSUNG!$D$6:$D$3005,$A25,ERFASSUNG!$V$6:$V$3005,$AZ$3))</f>
        <v/>
      </c>
      <c r="M25" s="40">
        <f>IF(OR($A25="",N($G$45)=0),"",G25/$G$45)</f>
        <v/>
      </c>
    </row>
    <row r="26">
      <c r="A26" s="41">
        <f>IF(LISTEN!$A$13="","",LISTEN!$A$13)</f>
        <v/>
      </c>
      <c r="B26" s="42">
        <f>IF($A26="","",COUNTIFS(ERFASSUNG!$D$6:$D$3005,$A26,ERFASSUNG!$V$6:$V$3005,$AZ$3))</f>
        <v/>
      </c>
      <c r="C26" s="42">
        <f>IF($A26="","",SUMIFS(ERFASSUNG!$E$6:$E$3005,ERFASSUNG!$D$6:$D$3005,$A26,ERFASSUNG!$V$6:$V$3005,$AZ$3))</f>
        <v/>
      </c>
      <c r="D26" s="42">
        <f>IF($A26="","",SUMIFS(ERFASSUNG!$F$6:$F$3005,ERFASSUNG!$D$6:$D$3005,$A26,ERFASSUNG!$V$6:$V$3005,$AZ$3))</f>
        <v/>
      </c>
      <c r="E26" s="42">
        <f>IF($A26="","",SUMIFS(ERFASSUNG!$G$6:$G$3005,ERFASSUNG!$D$6:$D$3005,$A26,ERFASSUNG!$V$6:$V$3005,$AZ$3))</f>
        <v/>
      </c>
      <c r="F26" s="42">
        <f>IF($A26="","",SUMIFS(ERFASSUNG!$H$6:$H$3005,ERFASSUNG!$D$6:$D$3005,$A26,ERFASSUNG!$V$6:$V$3005,$AZ$3))</f>
        <v/>
      </c>
      <c r="G26" s="42">
        <f>IF($A26="","",SUMIFS(ERFASSUNG!$I$6:$I$3005,ERFASSUNG!$D$6:$D$3005,$A26,ERFASSUNG!$V$6:$V$3005,$AZ$3))</f>
        <v/>
      </c>
      <c r="H26" s="42">
        <f>IF($A26="","",SUMIFS(ERFASSUNG!$J$6:$J$3005,ERFASSUNG!$D$6:$D$3005,$A26,ERFASSUNG!$V$6:$V$3005,$AZ$3))</f>
        <v/>
      </c>
      <c r="I26" s="42">
        <f>IF($A26="","",SUMIFS(ERFASSUNG!$K$6:$K$3005,ERFASSUNG!$D$6:$D$3005,$A26,ERFASSUNG!$V$6:$V$3005,$AZ$3))</f>
        <v/>
      </c>
      <c r="J26" s="42">
        <f>IF($A26="","",SUMIFS(ERFASSUNG!$L$6:$L$3005,ERFASSUNG!$D$6:$D$3005,$A26,ERFASSUNG!$V$6:$V$3005,$AZ$3))</f>
        <v/>
      </c>
      <c r="K26" s="42">
        <f>IF($A26="","",SUMIFS(ERFASSUNG!$M$6:$M$3005,ERFASSUNG!$D$6:$D$3005,$A26,ERFASSUNG!$V$6:$V$3005,$AZ$3))</f>
        <v/>
      </c>
      <c r="L26" s="42">
        <f>IF($A26="","",SUMIFS(ERFASSUNG!$N$6:$N$3005,ERFASSUNG!$D$6:$D$3005,$A26,ERFASSUNG!$V$6:$V$3005,$AZ$3))</f>
        <v/>
      </c>
      <c r="M26" s="43">
        <f>IF(OR($A26="",N($G$45)=0),"",G26/$G$45)</f>
        <v/>
      </c>
    </row>
    <row r="27">
      <c r="A27" s="39">
        <f>IF(LISTEN!$A$14="","",LISTEN!$A$14)</f>
        <v/>
      </c>
      <c r="B27" s="7">
        <f>IF($A27="","",COUNTIFS(ERFASSUNG!$D$6:$D$3005,$A27,ERFASSUNG!$V$6:$V$3005,$AZ$3))</f>
        <v/>
      </c>
      <c r="C27" s="7">
        <f>IF($A27="","",SUMIFS(ERFASSUNG!$E$6:$E$3005,ERFASSUNG!$D$6:$D$3005,$A27,ERFASSUNG!$V$6:$V$3005,$AZ$3))</f>
        <v/>
      </c>
      <c r="D27" s="7">
        <f>IF($A27="","",SUMIFS(ERFASSUNG!$F$6:$F$3005,ERFASSUNG!$D$6:$D$3005,$A27,ERFASSUNG!$V$6:$V$3005,$AZ$3))</f>
        <v/>
      </c>
      <c r="E27" s="7">
        <f>IF($A27="","",SUMIFS(ERFASSUNG!$G$6:$G$3005,ERFASSUNG!$D$6:$D$3005,$A27,ERFASSUNG!$V$6:$V$3005,$AZ$3))</f>
        <v/>
      </c>
      <c r="F27" s="7">
        <f>IF($A27="","",SUMIFS(ERFASSUNG!$H$6:$H$3005,ERFASSUNG!$D$6:$D$3005,$A27,ERFASSUNG!$V$6:$V$3005,$AZ$3))</f>
        <v/>
      </c>
      <c r="G27" s="7">
        <f>IF($A27="","",SUMIFS(ERFASSUNG!$I$6:$I$3005,ERFASSUNG!$D$6:$D$3005,$A27,ERFASSUNG!$V$6:$V$3005,$AZ$3))</f>
        <v/>
      </c>
      <c r="H27" s="7">
        <f>IF($A27="","",SUMIFS(ERFASSUNG!$J$6:$J$3005,ERFASSUNG!$D$6:$D$3005,$A27,ERFASSUNG!$V$6:$V$3005,$AZ$3))</f>
        <v/>
      </c>
      <c r="I27" s="7">
        <f>IF($A27="","",SUMIFS(ERFASSUNG!$K$6:$K$3005,ERFASSUNG!$D$6:$D$3005,$A27,ERFASSUNG!$V$6:$V$3005,$AZ$3))</f>
        <v/>
      </c>
      <c r="J27" s="7">
        <f>IF($A27="","",SUMIFS(ERFASSUNG!$L$6:$L$3005,ERFASSUNG!$D$6:$D$3005,$A27,ERFASSUNG!$V$6:$V$3005,$AZ$3))</f>
        <v/>
      </c>
      <c r="K27" s="7">
        <f>IF($A27="","",SUMIFS(ERFASSUNG!$M$6:$M$3005,ERFASSUNG!$D$6:$D$3005,$A27,ERFASSUNG!$V$6:$V$3005,$AZ$3))</f>
        <v/>
      </c>
      <c r="L27" s="7">
        <f>IF($A27="","",SUMIFS(ERFASSUNG!$N$6:$N$3005,ERFASSUNG!$D$6:$D$3005,$A27,ERFASSUNG!$V$6:$V$3005,$AZ$3))</f>
        <v/>
      </c>
      <c r="M27" s="40">
        <f>IF(OR($A27="",N($G$45)=0),"",G27/$G$45)</f>
        <v/>
      </c>
    </row>
    <row r="28">
      <c r="A28" s="41">
        <f>IF(LISTEN!$A$15="","",LISTEN!$A$15)</f>
        <v/>
      </c>
      <c r="B28" s="42">
        <f>IF($A28="","",COUNTIFS(ERFASSUNG!$D$6:$D$3005,$A28,ERFASSUNG!$V$6:$V$3005,$AZ$3))</f>
        <v/>
      </c>
      <c r="C28" s="42">
        <f>IF($A28="","",SUMIFS(ERFASSUNG!$E$6:$E$3005,ERFASSUNG!$D$6:$D$3005,$A28,ERFASSUNG!$V$6:$V$3005,$AZ$3))</f>
        <v/>
      </c>
      <c r="D28" s="42">
        <f>IF($A28="","",SUMIFS(ERFASSUNG!$F$6:$F$3005,ERFASSUNG!$D$6:$D$3005,$A28,ERFASSUNG!$V$6:$V$3005,$AZ$3))</f>
        <v/>
      </c>
      <c r="E28" s="42">
        <f>IF($A28="","",SUMIFS(ERFASSUNG!$G$6:$G$3005,ERFASSUNG!$D$6:$D$3005,$A28,ERFASSUNG!$V$6:$V$3005,$AZ$3))</f>
        <v/>
      </c>
      <c r="F28" s="42">
        <f>IF($A28="","",SUMIFS(ERFASSUNG!$H$6:$H$3005,ERFASSUNG!$D$6:$D$3005,$A28,ERFASSUNG!$V$6:$V$3005,$AZ$3))</f>
        <v/>
      </c>
      <c r="G28" s="42">
        <f>IF($A28="","",SUMIFS(ERFASSUNG!$I$6:$I$3005,ERFASSUNG!$D$6:$D$3005,$A28,ERFASSUNG!$V$6:$V$3005,$AZ$3))</f>
        <v/>
      </c>
      <c r="H28" s="42">
        <f>IF($A28="","",SUMIFS(ERFASSUNG!$J$6:$J$3005,ERFASSUNG!$D$6:$D$3005,$A28,ERFASSUNG!$V$6:$V$3005,$AZ$3))</f>
        <v/>
      </c>
      <c r="I28" s="42">
        <f>IF($A28="","",SUMIFS(ERFASSUNG!$K$6:$K$3005,ERFASSUNG!$D$6:$D$3005,$A28,ERFASSUNG!$V$6:$V$3005,$AZ$3))</f>
        <v/>
      </c>
      <c r="J28" s="42">
        <f>IF($A28="","",SUMIFS(ERFASSUNG!$L$6:$L$3005,ERFASSUNG!$D$6:$D$3005,$A28,ERFASSUNG!$V$6:$V$3005,$AZ$3))</f>
        <v/>
      </c>
      <c r="K28" s="42">
        <f>IF($A28="","",SUMIFS(ERFASSUNG!$M$6:$M$3005,ERFASSUNG!$D$6:$D$3005,$A28,ERFASSUNG!$V$6:$V$3005,$AZ$3))</f>
        <v/>
      </c>
      <c r="L28" s="42">
        <f>IF($A28="","",SUMIFS(ERFASSUNG!$N$6:$N$3005,ERFASSUNG!$D$6:$D$3005,$A28,ERFASSUNG!$V$6:$V$3005,$AZ$3))</f>
        <v/>
      </c>
      <c r="M28" s="43">
        <f>IF(OR($A28="",N($G$45)=0),"",G28/$G$45)</f>
        <v/>
      </c>
    </row>
    <row r="29">
      <c r="A29" s="39">
        <f>IF(LISTEN!$A$16="","",LISTEN!$A$16)</f>
        <v/>
      </c>
      <c r="B29" s="7">
        <f>IF($A29="","",COUNTIFS(ERFASSUNG!$D$6:$D$3005,$A29,ERFASSUNG!$V$6:$V$3005,$AZ$3))</f>
        <v/>
      </c>
      <c r="C29" s="7">
        <f>IF($A29="","",SUMIFS(ERFASSUNG!$E$6:$E$3005,ERFASSUNG!$D$6:$D$3005,$A29,ERFASSUNG!$V$6:$V$3005,$AZ$3))</f>
        <v/>
      </c>
      <c r="D29" s="7">
        <f>IF($A29="","",SUMIFS(ERFASSUNG!$F$6:$F$3005,ERFASSUNG!$D$6:$D$3005,$A29,ERFASSUNG!$V$6:$V$3005,$AZ$3))</f>
        <v/>
      </c>
      <c r="E29" s="7">
        <f>IF($A29="","",SUMIFS(ERFASSUNG!$G$6:$G$3005,ERFASSUNG!$D$6:$D$3005,$A29,ERFASSUNG!$V$6:$V$3005,$AZ$3))</f>
        <v/>
      </c>
      <c r="F29" s="7">
        <f>IF($A29="","",SUMIFS(ERFASSUNG!$H$6:$H$3005,ERFASSUNG!$D$6:$D$3005,$A29,ERFASSUNG!$V$6:$V$3005,$AZ$3))</f>
        <v/>
      </c>
      <c r="G29" s="7">
        <f>IF($A29="","",SUMIFS(ERFASSUNG!$I$6:$I$3005,ERFASSUNG!$D$6:$D$3005,$A29,ERFASSUNG!$V$6:$V$3005,$AZ$3))</f>
        <v/>
      </c>
      <c r="H29" s="7">
        <f>IF($A29="","",SUMIFS(ERFASSUNG!$J$6:$J$3005,ERFASSUNG!$D$6:$D$3005,$A29,ERFASSUNG!$V$6:$V$3005,$AZ$3))</f>
        <v/>
      </c>
      <c r="I29" s="7">
        <f>IF($A29="","",SUMIFS(ERFASSUNG!$K$6:$K$3005,ERFASSUNG!$D$6:$D$3005,$A29,ERFASSUNG!$V$6:$V$3005,$AZ$3))</f>
        <v/>
      </c>
      <c r="J29" s="7">
        <f>IF($A29="","",SUMIFS(ERFASSUNG!$L$6:$L$3005,ERFASSUNG!$D$6:$D$3005,$A29,ERFASSUNG!$V$6:$V$3005,$AZ$3))</f>
        <v/>
      </c>
      <c r="K29" s="7">
        <f>IF($A29="","",SUMIFS(ERFASSUNG!$M$6:$M$3005,ERFASSUNG!$D$6:$D$3005,$A29,ERFASSUNG!$V$6:$V$3005,$AZ$3))</f>
        <v/>
      </c>
      <c r="L29" s="7">
        <f>IF($A29="","",SUMIFS(ERFASSUNG!$N$6:$N$3005,ERFASSUNG!$D$6:$D$3005,$A29,ERFASSUNG!$V$6:$V$3005,$AZ$3))</f>
        <v/>
      </c>
      <c r="M29" s="40">
        <f>IF(OR($A29="",N($G$45)=0),"",G29/$G$45)</f>
        <v/>
      </c>
    </row>
    <row r="30">
      <c r="A30" s="41">
        <f>IF(LISTEN!$A$17="","",LISTEN!$A$17)</f>
        <v/>
      </c>
      <c r="B30" s="42">
        <f>IF($A30="","",COUNTIFS(ERFASSUNG!$D$6:$D$3005,$A30,ERFASSUNG!$V$6:$V$3005,$AZ$3))</f>
        <v/>
      </c>
      <c r="C30" s="42">
        <f>IF($A30="","",SUMIFS(ERFASSUNG!$E$6:$E$3005,ERFASSUNG!$D$6:$D$3005,$A30,ERFASSUNG!$V$6:$V$3005,$AZ$3))</f>
        <v/>
      </c>
      <c r="D30" s="42">
        <f>IF($A30="","",SUMIFS(ERFASSUNG!$F$6:$F$3005,ERFASSUNG!$D$6:$D$3005,$A30,ERFASSUNG!$V$6:$V$3005,$AZ$3))</f>
        <v/>
      </c>
      <c r="E30" s="42">
        <f>IF($A30="","",SUMIFS(ERFASSUNG!$G$6:$G$3005,ERFASSUNG!$D$6:$D$3005,$A30,ERFASSUNG!$V$6:$V$3005,$AZ$3))</f>
        <v/>
      </c>
      <c r="F30" s="42">
        <f>IF($A30="","",SUMIFS(ERFASSUNG!$H$6:$H$3005,ERFASSUNG!$D$6:$D$3005,$A30,ERFASSUNG!$V$6:$V$3005,$AZ$3))</f>
        <v/>
      </c>
      <c r="G30" s="42">
        <f>IF($A30="","",SUMIFS(ERFASSUNG!$I$6:$I$3005,ERFASSUNG!$D$6:$D$3005,$A30,ERFASSUNG!$V$6:$V$3005,$AZ$3))</f>
        <v/>
      </c>
      <c r="H30" s="42">
        <f>IF($A30="","",SUMIFS(ERFASSUNG!$J$6:$J$3005,ERFASSUNG!$D$6:$D$3005,$A30,ERFASSUNG!$V$6:$V$3005,$AZ$3))</f>
        <v/>
      </c>
      <c r="I30" s="42">
        <f>IF($A30="","",SUMIFS(ERFASSUNG!$K$6:$K$3005,ERFASSUNG!$D$6:$D$3005,$A30,ERFASSUNG!$V$6:$V$3005,$AZ$3))</f>
        <v/>
      </c>
      <c r="J30" s="42">
        <f>IF($A30="","",SUMIFS(ERFASSUNG!$L$6:$L$3005,ERFASSUNG!$D$6:$D$3005,$A30,ERFASSUNG!$V$6:$V$3005,$AZ$3))</f>
        <v/>
      </c>
      <c r="K30" s="42">
        <f>IF($A30="","",SUMIFS(ERFASSUNG!$M$6:$M$3005,ERFASSUNG!$D$6:$D$3005,$A30,ERFASSUNG!$V$6:$V$3005,$AZ$3))</f>
        <v/>
      </c>
      <c r="L30" s="42">
        <f>IF($A30="","",SUMIFS(ERFASSUNG!$N$6:$N$3005,ERFASSUNG!$D$6:$D$3005,$A30,ERFASSUNG!$V$6:$V$3005,$AZ$3))</f>
        <v/>
      </c>
      <c r="M30" s="43">
        <f>IF(OR($A30="",N($G$45)=0),"",G30/$G$45)</f>
        <v/>
      </c>
    </row>
    <row r="31">
      <c r="A31" s="39">
        <f>IF(LISTEN!$A$18="","",LISTEN!$A$18)</f>
        <v/>
      </c>
      <c r="B31" s="7">
        <f>IF($A31="","",COUNTIFS(ERFASSUNG!$D$6:$D$3005,$A31,ERFASSUNG!$V$6:$V$3005,$AZ$3))</f>
        <v/>
      </c>
      <c r="C31" s="7">
        <f>IF($A31="","",SUMIFS(ERFASSUNG!$E$6:$E$3005,ERFASSUNG!$D$6:$D$3005,$A31,ERFASSUNG!$V$6:$V$3005,$AZ$3))</f>
        <v/>
      </c>
      <c r="D31" s="7">
        <f>IF($A31="","",SUMIFS(ERFASSUNG!$F$6:$F$3005,ERFASSUNG!$D$6:$D$3005,$A31,ERFASSUNG!$V$6:$V$3005,$AZ$3))</f>
        <v/>
      </c>
      <c r="E31" s="7">
        <f>IF($A31="","",SUMIFS(ERFASSUNG!$G$6:$G$3005,ERFASSUNG!$D$6:$D$3005,$A31,ERFASSUNG!$V$6:$V$3005,$AZ$3))</f>
        <v/>
      </c>
      <c r="F31" s="7">
        <f>IF($A31="","",SUMIFS(ERFASSUNG!$H$6:$H$3005,ERFASSUNG!$D$6:$D$3005,$A31,ERFASSUNG!$V$6:$V$3005,$AZ$3))</f>
        <v/>
      </c>
      <c r="G31" s="7">
        <f>IF($A31="","",SUMIFS(ERFASSUNG!$I$6:$I$3005,ERFASSUNG!$D$6:$D$3005,$A31,ERFASSUNG!$V$6:$V$3005,$AZ$3))</f>
        <v/>
      </c>
      <c r="H31" s="7">
        <f>IF($A31="","",SUMIFS(ERFASSUNG!$J$6:$J$3005,ERFASSUNG!$D$6:$D$3005,$A31,ERFASSUNG!$V$6:$V$3005,$AZ$3))</f>
        <v/>
      </c>
      <c r="I31" s="7">
        <f>IF($A31="","",SUMIFS(ERFASSUNG!$K$6:$K$3005,ERFASSUNG!$D$6:$D$3005,$A31,ERFASSUNG!$V$6:$V$3005,$AZ$3))</f>
        <v/>
      </c>
      <c r="J31" s="7">
        <f>IF($A31="","",SUMIFS(ERFASSUNG!$L$6:$L$3005,ERFASSUNG!$D$6:$D$3005,$A31,ERFASSUNG!$V$6:$V$3005,$AZ$3))</f>
        <v/>
      </c>
      <c r="K31" s="7">
        <f>IF($A31="","",SUMIFS(ERFASSUNG!$M$6:$M$3005,ERFASSUNG!$D$6:$D$3005,$A31,ERFASSUNG!$V$6:$V$3005,$AZ$3))</f>
        <v/>
      </c>
      <c r="L31" s="7">
        <f>IF($A31="","",SUMIFS(ERFASSUNG!$N$6:$N$3005,ERFASSUNG!$D$6:$D$3005,$A31,ERFASSUNG!$V$6:$V$3005,$AZ$3))</f>
        <v/>
      </c>
      <c r="M31" s="40">
        <f>IF(OR($A31="",N($G$45)=0),"",G31/$G$45)</f>
        <v/>
      </c>
    </row>
    <row r="32">
      <c r="A32" s="41">
        <f>IF(LISTEN!$A$19="","",LISTEN!$A$19)</f>
        <v/>
      </c>
      <c r="B32" s="42">
        <f>IF($A32="","",COUNTIFS(ERFASSUNG!$D$6:$D$3005,$A32,ERFASSUNG!$V$6:$V$3005,$AZ$3))</f>
        <v/>
      </c>
      <c r="C32" s="42">
        <f>IF($A32="","",SUMIFS(ERFASSUNG!$E$6:$E$3005,ERFASSUNG!$D$6:$D$3005,$A32,ERFASSUNG!$V$6:$V$3005,$AZ$3))</f>
        <v/>
      </c>
      <c r="D32" s="42">
        <f>IF($A32="","",SUMIFS(ERFASSUNG!$F$6:$F$3005,ERFASSUNG!$D$6:$D$3005,$A32,ERFASSUNG!$V$6:$V$3005,$AZ$3))</f>
        <v/>
      </c>
      <c r="E32" s="42">
        <f>IF($A32="","",SUMIFS(ERFASSUNG!$G$6:$G$3005,ERFASSUNG!$D$6:$D$3005,$A32,ERFASSUNG!$V$6:$V$3005,$AZ$3))</f>
        <v/>
      </c>
      <c r="F32" s="42">
        <f>IF($A32="","",SUMIFS(ERFASSUNG!$H$6:$H$3005,ERFASSUNG!$D$6:$D$3005,$A32,ERFASSUNG!$V$6:$V$3005,$AZ$3))</f>
        <v/>
      </c>
      <c r="G32" s="42">
        <f>IF($A32="","",SUMIFS(ERFASSUNG!$I$6:$I$3005,ERFASSUNG!$D$6:$D$3005,$A32,ERFASSUNG!$V$6:$V$3005,$AZ$3))</f>
        <v/>
      </c>
      <c r="H32" s="42">
        <f>IF($A32="","",SUMIFS(ERFASSUNG!$J$6:$J$3005,ERFASSUNG!$D$6:$D$3005,$A32,ERFASSUNG!$V$6:$V$3005,$AZ$3))</f>
        <v/>
      </c>
      <c r="I32" s="42">
        <f>IF($A32="","",SUMIFS(ERFASSUNG!$K$6:$K$3005,ERFASSUNG!$D$6:$D$3005,$A32,ERFASSUNG!$V$6:$V$3005,$AZ$3))</f>
        <v/>
      </c>
      <c r="J32" s="42">
        <f>IF($A32="","",SUMIFS(ERFASSUNG!$L$6:$L$3005,ERFASSUNG!$D$6:$D$3005,$A32,ERFASSUNG!$V$6:$V$3005,$AZ$3))</f>
        <v/>
      </c>
      <c r="K32" s="42">
        <f>IF($A32="","",SUMIFS(ERFASSUNG!$M$6:$M$3005,ERFASSUNG!$D$6:$D$3005,$A32,ERFASSUNG!$V$6:$V$3005,$AZ$3))</f>
        <v/>
      </c>
      <c r="L32" s="42">
        <f>IF($A32="","",SUMIFS(ERFASSUNG!$N$6:$N$3005,ERFASSUNG!$D$6:$D$3005,$A32,ERFASSUNG!$V$6:$V$3005,$AZ$3))</f>
        <v/>
      </c>
      <c r="M32" s="43">
        <f>IF(OR($A32="",N($G$45)=0),"",G32/$G$45)</f>
        <v/>
      </c>
    </row>
    <row r="33">
      <c r="A33" s="39">
        <f>IF(LISTEN!$A$20="","",LISTEN!$A$20)</f>
        <v/>
      </c>
      <c r="B33" s="7">
        <f>IF($A33="","",COUNTIFS(ERFASSUNG!$D$6:$D$3005,$A33,ERFASSUNG!$V$6:$V$3005,$AZ$3))</f>
        <v/>
      </c>
      <c r="C33" s="7">
        <f>IF($A33="","",SUMIFS(ERFASSUNG!$E$6:$E$3005,ERFASSUNG!$D$6:$D$3005,$A33,ERFASSUNG!$V$6:$V$3005,$AZ$3))</f>
        <v/>
      </c>
      <c r="D33" s="7">
        <f>IF($A33="","",SUMIFS(ERFASSUNG!$F$6:$F$3005,ERFASSUNG!$D$6:$D$3005,$A33,ERFASSUNG!$V$6:$V$3005,$AZ$3))</f>
        <v/>
      </c>
      <c r="E33" s="7">
        <f>IF($A33="","",SUMIFS(ERFASSUNG!$G$6:$G$3005,ERFASSUNG!$D$6:$D$3005,$A33,ERFASSUNG!$V$6:$V$3005,$AZ$3))</f>
        <v/>
      </c>
      <c r="F33" s="7">
        <f>IF($A33="","",SUMIFS(ERFASSUNG!$H$6:$H$3005,ERFASSUNG!$D$6:$D$3005,$A33,ERFASSUNG!$V$6:$V$3005,$AZ$3))</f>
        <v/>
      </c>
      <c r="G33" s="7">
        <f>IF($A33="","",SUMIFS(ERFASSUNG!$I$6:$I$3005,ERFASSUNG!$D$6:$D$3005,$A33,ERFASSUNG!$V$6:$V$3005,$AZ$3))</f>
        <v/>
      </c>
      <c r="H33" s="7">
        <f>IF($A33="","",SUMIFS(ERFASSUNG!$J$6:$J$3005,ERFASSUNG!$D$6:$D$3005,$A33,ERFASSUNG!$V$6:$V$3005,$AZ$3))</f>
        <v/>
      </c>
      <c r="I33" s="7">
        <f>IF($A33="","",SUMIFS(ERFASSUNG!$K$6:$K$3005,ERFASSUNG!$D$6:$D$3005,$A33,ERFASSUNG!$V$6:$V$3005,$AZ$3))</f>
        <v/>
      </c>
      <c r="J33" s="7">
        <f>IF($A33="","",SUMIFS(ERFASSUNG!$L$6:$L$3005,ERFASSUNG!$D$6:$D$3005,$A33,ERFASSUNG!$V$6:$V$3005,$AZ$3))</f>
        <v/>
      </c>
      <c r="K33" s="7">
        <f>IF($A33="","",SUMIFS(ERFASSUNG!$M$6:$M$3005,ERFASSUNG!$D$6:$D$3005,$A33,ERFASSUNG!$V$6:$V$3005,$AZ$3))</f>
        <v/>
      </c>
      <c r="L33" s="7">
        <f>IF($A33="","",SUMIFS(ERFASSUNG!$N$6:$N$3005,ERFASSUNG!$D$6:$D$3005,$A33,ERFASSUNG!$V$6:$V$3005,$AZ$3))</f>
        <v/>
      </c>
      <c r="M33" s="40">
        <f>IF(OR($A33="",N($G$45)=0),"",G33/$G$45)</f>
        <v/>
      </c>
    </row>
    <row r="34">
      <c r="A34" s="41">
        <f>IF(LISTEN!$A$21="","",LISTEN!$A$21)</f>
        <v/>
      </c>
      <c r="B34" s="42">
        <f>IF($A34="","",COUNTIFS(ERFASSUNG!$D$6:$D$3005,$A34,ERFASSUNG!$V$6:$V$3005,$AZ$3))</f>
        <v/>
      </c>
      <c r="C34" s="42">
        <f>IF($A34="","",SUMIFS(ERFASSUNG!$E$6:$E$3005,ERFASSUNG!$D$6:$D$3005,$A34,ERFASSUNG!$V$6:$V$3005,$AZ$3))</f>
        <v/>
      </c>
      <c r="D34" s="42">
        <f>IF($A34="","",SUMIFS(ERFASSUNG!$F$6:$F$3005,ERFASSUNG!$D$6:$D$3005,$A34,ERFASSUNG!$V$6:$V$3005,$AZ$3))</f>
        <v/>
      </c>
      <c r="E34" s="42">
        <f>IF($A34="","",SUMIFS(ERFASSUNG!$G$6:$G$3005,ERFASSUNG!$D$6:$D$3005,$A34,ERFASSUNG!$V$6:$V$3005,$AZ$3))</f>
        <v/>
      </c>
      <c r="F34" s="42">
        <f>IF($A34="","",SUMIFS(ERFASSUNG!$H$6:$H$3005,ERFASSUNG!$D$6:$D$3005,$A34,ERFASSUNG!$V$6:$V$3005,$AZ$3))</f>
        <v/>
      </c>
      <c r="G34" s="42">
        <f>IF($A34="","",SUMIFS(ERFASSUNG!$I$6:$I$3005,ERFASSUNG!$D$6:$D$3005,$A34,ERFASSUNG!$V$6:$V$3005,$AZ$3))</f>
        <v/>
      </c>
      <c r="H34" s="42">
        <f>IF($A34="","",SUMIFS(ERFASSUNG!$J$6:$J$3005,ERFASSUNG!$D$6:$D$3005,$A34,ERFASSUNG!$V$6:$V$3005,$AZ$3))</f>
        <v/>
      </c>
      <c r="I34" s="42">
        <f>IF($A34="","",SUMIFS(ERFASSUNG!$K$6:$K$3005,ERFASSUNG!$D$6:$D$3005,$A34,ERFASSUNG!$V$6:$V$3005,$AZ$3))</f>
        <v/>
      </c>
      <c r="J34" s="42">
        <f>IF($A34="","",SUMIFS(ERFASSUNG!$L$6:$L$3005,ERFASSUNG!$D$6:$D$3005,$A34,ERFASSUNG!$V$6:$V$3005,$AZ$3))</f>
        <v/>
      </c>
      <c r="K34" s="42">
        <f>IF($A34="","",SUMIFS(ERFASSUNG!$M$6:$M$3005,ERFASSUNG!$D$6:$D$3005,$A34,ERFASSUNG!$V$6:$V$3005,$AZ$3))</f>
        <v/>
      </c>
      <c r="L34" s="42">
        <f>IF($A34="","",SUMIFS(ERFASSUNG!$N$6:$N$3005,ERFASSUNG!$D$6:$D$3005,$A34,ERFASSUNG!$V$6:$V$3005,$AZ$3))</f>
        <v/>
      </c>
      <c r="M34" s="43">
        <f>IF(OR($A34="",N($G$45)=0),"",G34/$G$45)</f>
        <v/>
      </c>
    </row>
    <row r="35">
      <c r="A35" s="39">
        <f>IF(LISTEN!$A$22="","",LISTEN!$A$22)</f>
        <v/>
      </c>
      <c r="B35" s="7">
        <f>IF($A35="","",COUNTIFS(ERFASSUNG!$D$6:$D$3005,$A35,ERFASSUNG!$V$6:$V$3005,$AZ$3))</f>
        <v/>
      </c>
      <c r="C35" s="7">
        <f>IF($A35="","",SUMIFS(ERFASSUNG!$E$6:$E$3005,ERFASSUNG!$D$6:$D$3005,$A35,ERFASSUNG!$V$6:$V$3005,$AZ$3))</f>
        <v/>
      </c>
      <c r="D35" s="7">
        <f>IF($A35="","",SUMIFS(ERFASSUNG!$F$6:$F$3005,ERFASSUNG!$D$6:$D$3005,$A35,ERFASSUNG!$V$6:$V$3005,$AZ$3))</f>
        <v/>
      </c>
      <c r="E35" s="7">
        <f>IF($A35="","",SUMIFS(ERFASSUNG!$G$6:$G$3005,ERFASSUNG!$D$6:$D$3005,$A35,ERFASSUNG!$V$6:$V$3005,$AZ$3))</f>
        <v/>
      </c>
      <c r="F35" s="7">
        <f>IF($A35="","",SUMIFS(ERFASSUNG!$H$6:$H$3005,ERFASSUNG!$D$6:$D$3005,$A35,ERFASSUNG!$V$6:$V$3005,$AZ$3))</f>
        <v/>
      </c>
      <c r="G35" s="7">
        <f>IF($A35="","",SUMIFS(ERFASSUNG!$I$6:$I$3005,ERFASSUNG!$D$6:$D$3005,$A35,ERFASSUNG!$V$6:$V$3005,$AZ$3))</f>
        <v/>
      </c>
      <c r="H35" s="7">
        <f>IF($A35="","",SUMIFS(ERFASSUNG!$J$6:$J$3005,ERFASSUNG!$D$6:$D$3005,$A35,ERFASSUNG!$V$6:$V$3005,$AZ$3))</f>
        <v/>
      </c>
      <c r="I35" s="7">
        <f>IF($A35="","",SUMIFS(ERFASSUNG!$K$6:$K$3005,ERFASSUNG!$D$6:$D$3005,$A35,ERFASSUNG!$V$6:$V$3005,$AZ$3))</f>
        <v/>
      </c>
      <c r="J35" s="7">
        <f>IF($A35="","",SUMIFS(ERFASSUNG!$L$6:$L$3005,ERFASSUNG!$D$6:$D$3005,$A35,ERFASSUNG!$V$6:$V$3005,$AZ$3))</f>
        <v/>
      </c>
      <c r="K35" s="7">
        <f>IF($A35="","",SUMIFS(ERFASSUNG!$M$6:$M$3005,ERFASSUNG!$D$6:$D$3005,$A35,ERFASSUNG!$V$6:$V$3005,$AZ$3))</f>
        <v/>
      </c>
      <c r="L35" s="7">
        <f>IF($A35="","",SUMIFS(ERFASSUNG!$N$6:$N$3005,ERFASSUNG!$D$6:$D$3005,$A35,ERFASSUNG!$V$6:$V$3005,$AZ$3))</f>
        <v/>
      </c>
      <c r="M35" s="40">
        <f>IF(OR($A35="",N($G$45)=0),"",G35/$G$45)</f>
        <v/>
      </c>
    </row>
    <row r="36">
      <c r="A36" s="41">
        <f>IF(LISTEN!$A$23="","",LISTEN!$A$23)</f>
        <v/>
      </c>
      <c r="B36" s="42">
        <f>IF($A36="","",COUNTIFS(ERFASSUNG!$D$6:$D$3005,$A36,ERFASSUNG!$V$6:$V$3005,$AZ$3))</f>
        <v/>
      </c>
      <c r="C36" s="42">
        <f>IF($A36="","",SUMIFS(ERFASSUNG!$E$6:$E$3005,ERFASSUNG!$D$6:$D$3005,$A36,ERFASSUNG!$V$6:$V$3005,$AZ$3))</f>
        <v/>
      </c>
      <c r="D36" s="42">
        <f>IF($A36="","",SUMIFS(ERFASSUNG!$F$6:$F$3005,ERFASSUNG!$D$6:$D$3005,$A36,ERFASSUNG!$V$6:$V$3005,$AZ$3))</f>
        <v/>
      </c>
      <c r="E36" s="42">
        <f>IF($A36="","",SUMIFS(ERFASSUNG!$G$6:$G$3005,ERFASSUNG!$D$6:$D$3005,$A36,ERFASSUNG!$V$6:$V$3005,$AZ$3))</f>
        <v/>
      </c>
      <c r="F36" s="42">
        <f>IF($A36="","",SUMIFS(ERFASSUNG!$H$6:$H$3005,ERFASSUNG!$D$6:$D$3005,$A36,ERFASSUNG!$V$6:$V$3005,$AZ$3))</f>
        <v/>
      </c>
      <c r="G36" s="42">
        <f>IF($A36="","",SUMIFS(ERFASSUNG!$I$6:$I$3005,ERFASSUNG!$D$6:$D$3005,$A36,ERFASSUNG!$V$6:$V$3005,$AZ$3))</f>
        <v/>
      </c>
      <c r="H36" s="42">
        <f>IF($A36="","",SUMIFS(ERFASSUNG!$J$6:$J$3005,ERFASSUNG!$D$6:$D$3005,$A36,ERFASSUNG!$V$6:$V$3005,$AZ$3))</f>
        <v/>
      </c>
      <c r="I36" s="42">
        <f>IF($A36="","",SUMIFS(ERFASSUNG!$K$6:$K$3005,ERFASSUNG!$D$6:$D$3005,$A36,ERFASSUNG!$V$6:$V$3005,$AZ$3))</f>
        <v/>
      </c>
      <c r="J36" s="42">
        <f>IF($A36="","",SUMIFS(ERFASSUNG!$L$6:$L$3005,ERFASSUNG!$D$6:$D$3005,$A36,ERFASSUNG!$V$6:$V$3005,$AZ$3))</f>
        <v/>
      </c>
      <c r="K36" s="42">
        <f>IF($A36="","",SUMIFS(ERFASSUNG!$M$6:$M$3005,ERFASSUNG!$D$6:$D$3005,$A36,ERFASSUNG!$V$6:$V$3005,$AZ$3))</f>
        <v/>
      </c>
      <c r="L36" s="42">
        <f>IF($A36="","",SUMIFS(ERFASSUNG!$N$6:$N$3005,ERFASSUNG!$D$6:$D$3005,$A36,ERFASSUNG!$V$6:$V$3005,$AZ$3))</f>
        <v/>
      </c>
      <c r="M36" s="43">
        <f>IF(OR($A36="",N($G$45)=0),"",G36/$G$45)</f>
        <v/>
      </c>
    </row>
    <row r="37">
      <c r="A37" s="39">
        <f>IF(LISTEN!$A$24="","",LISTEN!$A$24)</f>
        <v/>
      </c>
      <c r="B37" s="7">
        <f>IF($A37="","",COUNTIFS(ERFASSUNG!$D$6:$D$3005,$A37,ERFASSUNG!$V$6:$V$3005,$AZ$3))</f>
        <v/>
      </c>
      <c r="C37" s="7">
        <f>IF($A37="","",SUMIFS(ERFASSUNG!$E$6:$E$3005,ERFASSUNG!$D$6:$D$3005,$A37,ERFASSUNG!$V$6:$V$3005,$AZ$3))</f>
        <v/>
      </c>
      <c r="D37" s="7">
        <f>IF($A37="","",SUMIFS(ERFASSUNG!$F$6:$F$3005,ERFASSUNG!$D$6:$D$3005,$A37,ERFASSUNG!$V$6:$V$3005,$AZ$3))</f>
        <v/>
      </c>
      <c r="E37" s="7">
        <f>IF($A37="","",SUMIFS(ERFASSUNG!$G$6:$G$3005,ERFASSUNG!$D$6:$D$3005,$A37,ERFASSUNG!$V$6:$V$3005,$AZ$3))</f>
        <v/>
      </c>
      <c r="F37" s="7">
        <f>IF($A37="","",SUMIFS(ERFASSUNG!$H$6:$H$3005,ERFASSUNG!$D$6:$D$3005,$A37,ERFASSUNG!$V$6:$V$3005,$AZ$3))</f>
        <v/>
      </c>
      <c r="G37" s="7">
        <f>IF($A37="","",SUMIFS(ERFASSUNG!$I$6:$I$3005,ERFASSUNG!$D$6:$D$3005,$A37,ERFASSUNG!$V$6:$V$3005,$AZ$3))</f>
        <v/>
      </c>
      <c r="H37" s="7">
        <f>IF($A37="","",SUMIFS(ERFASSUNG!$J$6:$J$3005,ERFASSUNG!$D$6:$D$3005,$A37,ERFASSUNG!$V$6:$V$3005,$AZ$3))</f>
        <v/>
      </c>
      <c r="I37" s="7">
        <f>IF($A37="","",SUMIFS(ERFASSUNG!$K$6:$K$3005,ERFASSUNG!$D$6:$D$3005,$A37,ERFASSUNG!$V$6:$V$3005,$AZ$3))</f>
        <v/>
      </c>
      <c r="J37" s="7">
        <f>IF($A37="","",SUMIFS(ERFASSUNG!$L$6:$L$3005,ERFASSUNG!$D$6:$D$3005,$A37,ERFASSUNG!$V$6:$V$3005,$AZ$3))</f>
        <v/>
      </c>
      <c r="K37" s="7">
        <f>IF($A37="","",SUMIFS(ERFASSUNG!$M$6:$M$3005,ERFASSUNG!$D$6:$D$3005,$A37,ERFASSUNG!$V$6:$V$3005,$AZ$3))</f>
        <v/>
      </c>
      <c r="L37" s="7">
        <f>IF($A37="","",SUMIFS(ERFASSUNG!$N$6:$N$3005,ERFASSUNG!$D$6:$D$3005,$A37,ERFASSUNG!$V$6:$V$3005,$AZ$3))</f>
        <v/>
      </c>
      <c r="M37" s="40">
        <f>IF(OR($A37="",N($G$45)=0),"",G37/$G$45)</f>
        <v/>
      </c>
    </row>
    <row r="38">
      <c r="A38" s="41">
        <f>IF(LISTEN!$A$25="","",LISTEN!$A$25)</f>
        <v/>
      </c>
      <c r="B38" s="42">
        <f>IF($A38="","",COUNTIFS(ERFASSUNG!$D$6:$D$3005,$A38,ERFASSUNG!$V$6:$V$3005,$AZ$3))</f>
        <v/>
      </c>
      <c r="C38" s="42">
        <f>IF($A38="","",SUMIFS(ERFASSUNG!$E$6:$E$3005,ERFASSUNG!$D$6:$D$3005,$A38,ERFASSUNG!$V$6:$V$3005,$AZ$3))</f>
        <v/>
      </c>
      <c r="D38" s="42">
        <f>IF($A38="","",SUMIFS(ERFASSUNG!$F$6:$F$3005,ERFASSUNG!$D$6:$D$3005,$A38,ERFASSUNG!$V$6:$V$3005,$AZ$3))</f>
        <v/>
      </c>
      <c r="E38" s="42">
        <f>IF($A38="","",SUMIFS(ERFASSUNG!$G$6:$G$3005,ERFASSUNG!$D$6:$D$3005,$A38,ERFASSUNG!$V$6:$V$3005,$AZ$3))</f>
        <v/>
      </c>
      <c r="F38" s="42">
        <f>IF($A38="","",SUMIFS(ERFASSUNG!$H$6:$H$3005,ERFASSUNG!$D$6:$D$3005,$A38,ERFASSUNG!$V$6:$V$3005,$AZ$3))</f>
        <v/>
      </c>
      <c r="G38" s="42">
        <f>IF($A38="","",SUMIFS(ERFASSUNG!$I$6:$I$3005,ERFASSUNG!$D$6:$D$3005,$A38,ERFASSUNG!$V$6:$V$3005,$AZ$3))</f>
        <v/>
      </c>
      <c r="H38" s="42">
        <f>IF($A38="","",SUMIFS(ERFASSUNG!$J$6:$J$3005,ERFASSUNG!$D$6:$D$3005,$A38,ERFASSUNG!$V$6:$V$3005,$AZ$3))</f>
        <v/>
      </c>
      <c r="I38" s="42">
        <f>IF($A38="","",SUMIFS(ERFASSUNG!$K$6:$K$3005,ERFASSUNG!$D$6:$D$3005,$A38,ERFASSUNG!$V$6:$V$3005,$AZ$3))</f>
        <v/>
      </c>
      <c r="J38" s="42">
        <f>IF($A38="","",SUMIFS(ERFASSUNG!$L$6:$L$3005,ERFASSUNG!$D$6:$D$3005,$A38,ERFASSUNG!$V$6:$V$3005,$AZ$3))</f>
        <v/>
      </c>
      <c r="K38" s="42">
        <f>IF($A38="","",SUMIFS(ERFASSUNG!$M$6:$M$3005,ERFASSUNG!$D$6:$D$3005,$A38,ERFASSUNG!$V$6:$V$3005,$AZ$3))</f>
        <v/>
      </c>
      <c r="L38" s="42">
        <f>IF($A38="","",SUMIFS(ERFASSUNG!$N$6:$N$3005,ERFASSUNG!$D$6:$D$3005,$A38,ERFASSUNG!$V$6:$V$3005,$AZ$3))</f>
        <v/>
      </c>
      <c r="M38" s="43">
        <f>IF(OR($A38="",N($G$45)=0),"",G38/$G$45)</f>
        <v/>
      </c>
    </row>
    <row r="39">
      <c r="A39" s="39">
        <f>IF(LISTEN!$A$26="","",LISTEN!$A$26)</f>
        <v/>
      </c>
      <c r="B39" s="7">
        <f>IF($A39="","",COUNTIFS(ERFASSUNG!$D$6:$D$3005,$A39,ERFASSUNG!$V$6:$V$3005,$AZ$3))</f>
        <v/>
      </c>
      <c r="C39" s="7">
        <f>IF($A39="","",SUMIFS(ERFASSUNG!$E$6:$E$3005,ERFASSUNG!$D$6:$D$3005,$A39,ERFASSUNG!$V$6:$V$3005,$AZ$3))</f>
        <v/>
      </c>
      <c r="D39" s="7">
        <f>IF($A39="","",SUMIFS(ERFASSUNG!$F$6:$F$3005,ERFASSUNG!$D$6:$D$3005,$A39,ERFASSUNG!$V$6:$V$3005,$AZ$3))</f>
        <v/>
      </c>
      <c r="E39" s="7">
        <f>IF($A39="","",SUMIFS(ERFASSUNG!$G$6:$G$3005,ERFASSUNG!$D$6:$D$3005,$A39,ERFASSUNG!$V$6:$V$3005,$AZ$3))</f>
        <v/>
      </c>
      <c r="F39" s="7">
        <f>IF($A39="","",SUMIFS(ERFASSUNG!$H$6:$H$3005,ERFASSUNG!$D$6:$D$3005,$A39,ERFASSUNG!$V$6:$V$3005,$AZ$3))</f>
        <v/>
      </c>
      <c r="G39" s="7">
        <f>IF($A39="","",SUMIFS(ERFASSUNG!$I$6:$I$3005,ERFASSUNG!$D$6:$D$3005,$A39,ERFASSUNG!$V$6:$V$3005,$AZ$3))</f>
        <v/>
      </c>
      <c r="H39" s="7">
        <f>IF($A39="","",SUMIFS(ERFASSUNG!$J$6:$J$3005,ERFASSUNG!$D$6:$D$3005,$A39,ERFASSUNG!$V$6:$V$3005,$AZ$3))</f>
        <v/>
      </c>
      <c r="I39" s="7">
        <f>IF($A39="","",SUMIFS(ERFASSUNG!$K$6:$K$3005,ERFASSUNG!$D$6:$D$3005,$A39,ERFASSUNG!$V$6:$V$3005,$AZ$3))</f>
        <v/>
      </c>
      <c r="J39" s="7">
        <f>IF($A39="","",SUMIFS(ERFASSUNG!$L$6:$L$3005,ERFASSUNG!$D$6:$D$3005,$A39,ERFASSUNG!$V$6:$V$3005,$AZ$3))</f>
        <v/>
      </c>
      <c r="K39" s="7">
        <f>IF($A39="","",SUMIFS(ERFASSUNG!$M$6:$M$3005,ERFASSUNG!$D$6:$D$3005,$A39,ERFASSUNG!$V$6:$V$3005,$AZ$3))</f>
        <v/>
      </c>
      <c r="L39" s="7">
        <f>IF($A39="","",SUMIFS(ERFASSUNG!$N$6:$N$3005,ERFASSUNG!$D$6:$D$3005,$A39,ERFASSUNG!$V$6:$V$3005,$AZ$3))</f>
        <v/>
      </c>
      <c r="M39" s="40">
        <f>IF(OR($A39="",N($G$45)=0),"",G39/$G$45)</f>
        <v/>
      </c>
    </row>
    <row r="40">
      <c r="A40" s="41">
        <f>IF(LISTEN!$A$27="","",LISTEN!$A$27)</f>
        <v/>
      </c>
      <c r="B40" s="42">
        <f>IF($A40="","",COUNTIFS(ERFASSUNG!$D$6:$D$3005,$A40,ERFASSUNG!$V$6:$V$3005,$AZ$3))</f>
        <v/>
      </c>
      <c r="C40" s="42">
        <f>IF($A40="","",SUMIFS(ERFASSUNG!$E$6:$E$3005,ERFASSUNG!$D$6:$D$3005,$A40,ERFASSUNG!$V$6:$V$3005,$AZ$3))</f>
        <v/>
      </c>
      <c r="D40" s="42">
        <f>IF($A40="","",SUMIFS(ERFASSUNG!$F$6:$F$3005,ERFASSUNG!$D$6:$D$3005,$A40,ERFASSUNG!$V$6:$V$3005,$AZ$3))</f>
        <v/>
      </c>
      <c r="E40" s="42">
        <f>IF($A40="","",SUMIFS(ERFASSUNG!$G$6:$G$3005,ERFASSUNG!$D$6:$D$3005,$A40,ERFASSUNG!$V$6:$V$3005,$AZ$3))</f>
        <v/>
      </c>
      <c r="F40" s="42">
        <f>IF($A40="","",SUMIFS(ERFASSUNG!$H$6:$H$3005,ERFASSUNG!$D$6:$D$3005,$A40,ERFASSUNG!$V$6:$V$3005,$AZ$3))</f>
        <v/>
      </c>
      <c r="G40" s="42">
        <f>IF($A40="","",SUMIFS(ERFASSUNG!$I$6:$I$3005,ERFASSUNG!$D$6:$D$3005,$A40,ERFASSUNG!$V$6:$V$3005,$AZ$3))</f>
        <v/>
      </c>
      <c r="H40" s="42">
        <f>IF($A40="","",SUMIFS(ERFASSUNG!$J$6:$J$3005,ERFASSUNG!$D$6:$D$3005,$A40,ERFASSUNG!$V$6:$V$3005,$AZ$3))</f>
        <v/>
      </c>
      <c r="I40" s="42">
        <f>IF($A40="","",SUMIFS(ERFASSUNG!$K$6:$K$3005,ERFASSUNG!$D$6:$D$3005,$A40,ERFASSUNG!$V$6:$V$3005,$AZ$3))</f>
        <v/>
      </c>
      <c r="J40" s="42">
        <f>IF($A40="","",SUMIFS(ERFASSUNG!$L$6:$L$3005,ERFASSUNG!$D$6:$D$3005,$A40,ERFASSUNG!$V$6:$V$3005,$AZ$3))</f>
        <v/>
      </c>
      <c r="K40" s="42">
        <f>IF($A40="","",SUMIFS(ERFASSUNG!$M$6:$M$3005,ERFASSUNG!$D$6:$D$3005,$A40,ERFASSUNG!$V$6:$V$3005,$AZ$3))</f>
        <v/>
      </c>
      <c r="L40" s="42">
        <f>IF($A40="","",SUMIFS(ERFASSUNG!$N$6:$N$3005,ERFASSUNG!$D$6:$D$3005,$A40,ERFASSUNG!$V$6:$V$3005,$AZ$3))</f>
        <v/>
      </c>
      <c r="M40" s="43">
        <f>IF(OR($A40="",N($G$45)=0),"",G40/$G$45)</f>
        <v/>
      </c>
    </row>
    <row r="41">
      <c r="A41" s="39">
        <f>IF(LISTEN!$A$28="","",LISTEN!$A$28)</f>
        <v/>
      </c>
      <c r="B41" s="7">
        <f>IF($A41="","",COUNTIFS(ERFASSUNG!$D$6:$D$3005,$A41,ERFASSUNG!$V$6:$V$3005,$AZ$3))</f>
        <v/>
      </c>
      <c r="C41" s="7">
        <f>IF($A41="","",SUMIFS(ERFASSUNG!$E$6:$E$3005,ERFASSUNG!$D$6:$D$3005,$A41,ERFASSUNG!$V$6:$V$3005,$AZ$3))</f>
        <v/>
      </c>
      <c r="D41" s="7">
        <f>IF($A41="","",SUMIFS(ERFASSUNG!$F$6:$F$3005,ERFASSUNG!$D$6:$D$3005,$A41,ERFASSUNG!$V$6:$V$3005,$AZ$3))</f>
        <v/>
      </c>
      <c r="E41" s="7">
        <f>IF($A41="","",SUMIFS(ERFASSUNG!$G$6:$G$3005,ERFASSUNG!$D$6:$D$3005,$A41,ERFASSUNG!$V$6:$V$3005,$AZ$3))</f>
        <v/>
      </c>
      <c r="F41" s="7">
        <f>IF($A41="","",SUMIFS(ERFASSUNG!$H$6:$H$3005,ERFASSUNG!$D$6:$D$3005,$A41,ERFASSUNG!$V$6:$V$3005,$AZ$3))</f>
        <v/>
      </c>
      <c r="G41" s="7">
        <f>IF($A41="","",SUMIFS(ERFASSUNG!$I$6:$I$3005,ERFASSUNG!$D$6:$D$3005,$A41,ERFASSUNG!$V$6:$V$3005,$AZ$3))</f>
        <v/>
      </c>
      <c r="H41" s="7">
        <f>IF($A41="","",SUMIFS(ERFASSUNG!$J$6:$J$3005,ERFASSUNG!$D$6:$D$3005,$A41,ERFASSUNG!$V$6:$V$3005,$AZ$3))</f>
        <v/>
      </c>
      <c r="I41" s="7">
        <f>IF($A41="","",SUMIFS(ERFASSUNG!$K$6:$K$3005,ERFASSUNG!$D$6:$D$3005,$A41,ERFASSUNG!$V$6:$V$3005,$AZ$3))</f>
        <v/>
      </c>
      <c r="J41" s="7">
        <f>IF($A41="","",SUMIFS(ERFASSUNG!$L$6:$L$3005,ERFASSUNG!$D$6:$D$3005,$A41,ERFASSUNG!$V$6:$V$3005,$AZ$3))</f>
        <v/>
      </c>
      <c r="K41" s="7">
        <f>IF($A41="","",SUMIFS(ERFASSUNG!$M$6:$M$3005,ERFASSUNG!$D$6:$D$3005,$A41,ERFASSUNG!$V$6:$V$3005,$AZ$3))</f>
        <v/>
      </c>
      <c r="L41" s="7">
        <f>IF($A41="","",SUMIFS(ERFASSUNG!$N$6:$N$3005,ERFASSUNG!$D$6:$D$3005,$A41,ERFASSUNG!$V$6:$V$3005,$AZ$3))</f>
        <v/>
      </c>
      <c r="M41" s="40">
        <f>IF(OR($A41="",N($G$45)=0),"",G41/$G$45)</f>
        <v/>
      </c>
    </row>
    <row r="42">
      <c r="A42" s="41">
        <f>IF(LISTEN!$A$29="","",LISTEN!$A$29)</f>
        <v/>
      </c>
      <c r="B42" s="42">
        <f>IF($A42="","",COUNTIFS(ERFASSUNG!$D$6:$D$3005,$A42,ERFASSUNG!$V$6:$V$3005,$AZ$3))</f>
        <v/>
      </c>
      <c r="C42" s="42">
        <f>IF($A42="","",SUMIFS(ERFASSUNG!$E$6:$E$3005,ERFASSUNG!$D$6:$D$3005,$A42,ERFASSUNG!$V$6:$V$3005,$AZ$3))</f>
        <v/>
      </c>
      <c r="D42" s="42">
        <f>IF($A42="","",SUMIFS(ERFASSUNG!$F$6:$F$3005,ERFASSUNG!$D$6:$D$3005,$A42,ERFASSUNG!$V$6:$V$3005,$AZ$3))</f>
        <v/>
      </c>
      <c r="E42" s="42">
        <f>IF($A42="","",SUMIFS(ERFASSUNG!$G$6:$G$3005,ERFASSUNG!$D$6:$D$3005,$A42,ERFASSUNG!$V$6:$V$3005,$AZ$3))</f>
        <v/>
      </c>
      <c r="F42" s="42">
        <f>IF($A42="","",SUMIFS(ERFASSUNG!$H$6:$H$3005,ERFASSUNG!$D$6:$D$3005,$A42,ERFASSUNG!$V$6:$V$3005,$AZ$3))</f>
        <v/>
      </c>
      <c r="G42" s="42">
        <f>IF($A42="","",SUMIFS(ERFASSUNG!$I$6:$I$3005,ERFASSUNG!$D$6:$D$3005,$A42,ERFASSUNG!$V$6:$V$3005,$AZ$3))</f>
        <v/>
      </c>
      <c r="H42" s="42">
        <f>IF($A42="","",SUMIFS(ERFASSUNG!$J$6:$J$3005,ERFASSUNG!$D$6:$D$3005,$A42,ERFASSUNG!$V$6:$V$3005,$AZ$3))</f>
        <v/>
      </c>
      <c r="I42" s="42">
        <f>IF($A42="","",SUMIFS(ERFASSUNG!$K$6:$K$3005,ERFASSUNG!$D$6:$D$3005,$A42,ERFASSUNG!$V$6:$V$3005,$AZ$3))</f>
        <v/>
      </c>
      <c r="J42" s="42">
        <f>IF($A42="","",SUMIFS(ERFASSUNG!$L$6:$L$3005,ERFASSUNG!$D$6:$D$3005,$A42,ERFASSUNG!$V$6:$V$3005,$AZ$3))</f>
        <v/>
      </c>
      <c r="K42" s="42">
        <f>IF($A42="","",SUMIFS(ERFASSUNG!$M$6:$M$3005,ERFASSUNG!$D$6:$D$3005,$A42,ERFASSUNG!$V$6:$V$3005,$AZ$3))</f>
        <v/>
      </c>
      <c r="L42" s="42">
        <f>IF($A42="","",SUMIFS(ERFASSUNG!$N$6:$N$3005,ERFASSUNG!$D$6:$D$3005,$A42,ERFASSUNG!$V$6:$V$3005,$AZ$3))</f>
        <v/>
      </c>
      <c r="M42" s="43">
        <f>IF(OR($A42="",N($G$45)=0),"",G42/$G$45)</f>
        <v/>
      </c>
    </row>
    <row r="43">
      <c r="A43" s="39">
        <f>IF(LISTEN!$A$30="","",LISTEN!$A$30)</f>
        <v/>
      </c>
      <c r="B43" s="7">
        <f>IF($A43="","",COUNTIFS(ERFASSUNG!$D$6:$D$3005,$A43,ERFASSUNG!$V$6:$V$3005,$AZ$3))</f>
        <v/>
      </c>
      <c r="C43" s="7">
        <f>IF($A43="","",SUMIFS(ERFASSUNG!$E$6:$E$3005,ERFASSUNG!$D$6:$D$3005,$A43,ERFASSUNG!$V$6:$V$3005,$AZ$3))</f>
        <v/>
      </c>
      <c r="D43" s="7">
        <f>IF($A43="","",SUMIFS(ERFASSUNG!$F$6:$F$3005,ERFASSUNG!$D$6:$D$3005,$A43,ERFASSUNG!$V$6:$V$3005,$AZ$3))</f>
        <v/>
      </c>
      <c r="E43" s="7">
        <f>IF($A43="","",SUMIFS(ERFASSUNG!$G$6:$G$3005,ERFASSUNG!$D$6:$D$3005,$A43,ERFASSUNG!$V$6:$V$3005,$AZ$3))</f>
        <v/>
      </c>
      <c r="F43" s="7">
        <f>IF($A43="","",SUMIFS(ERFASSUNG!$H$6:$H$3005,ERFASSUNG!$D$6:$D$3005,$A43,ERFASSUNG!$V$6:$V$3005,$AZ$3))</f>
        <v/>
      </c>
      <c r="G43" s="7">
        <f>IF($A43="","",SUMIFS(ERFASSUNG!$I$6:$I$3005,ERFASSUNG!$D$6:$D$3005,$A43,ERFASSUNG!$V$6:$V$3005,$AZ$3))</f>
        <v/>
      </c>
      <c r="H43" s="7">
        <f>IF($A43="","",SUMIFS(ERFASSUNG!$J$6:$J$3005,ERFASSUNG!$D$6:$D$3005,$A43,ERFASSUNG!$V$6:$V$3005,$AZ$3))</f>
        <v/>
      </c>
      <c r="I43" s="7">
        <f>IF($A43="","",SUMIFS(ERFASSUNG!$K$6:$K$3005,ERFASSUNG!$D$6:$D$3005,$A43,ERFASSUNG!$V$6:$V$3005,$AZ$3))</f>
        <v/>
      </c>
      <c r="J43" s="7">
        <f>IF($A43="","",SUMIFS(ERFASSUNG!$L$6:$L$3005,ERFASSUNG!$D$6:$D$3005,$A43,ERFASSUNG!$V$6:$V$3005,$AZ$3))</f>
        <v/>
      </c>
      <c r="K43" s="7">
        <f>IF($A43="","",SUMIFS(ERFASSUNG!$M$6:$M$3005,ERFASSUNG!$D$6:$D$3005,$A43,ERFASSUNG!$V$6:$V$3005,$AZ$3))</f>
        <v/>
      </c>
      <c r="L43" s="7">
        <f>IF($A43="","",SUMIFS(ERFASSUNG!$N$6:$N$3005,ERFASSUNG!$D$6:$D$3005,$A43,ERFASSUNG!$V$6:$V$3005,$AZ$3))</f>
        <v/>
      </c>
      <c r="M43" s="40">
        <f>IF(OR($A43="",N($G$45)=0),"",G43/$G$45)</f>
        <v/>
      </c>
    </row>
    <row r="44">
      <c r="A44" s="41">
        <f>IF(LISTEN!$A$31="","",LISTEN!$A$31)</f>
        <v/>
      </c>
      <c r="B44" s="42">
        <f>IF($A44="","",COUNTIFS(ERFASSUNG!$D$6:$D$3005,$A44,ERFASSUNG!$V$6:$V$3005,$AZ$3))</f>
        <v/>
      </c>
      <c r="C44" s="42">
        <f>IF($A44="","",SUMIFS(ERFASSUNG!$E$6:$E$3005,ERFASSUNG!$D$6:$D$3005,$A44,ERFASSUNG!$V$6:$V$3005,$AZ$3))</f>
        <v/>
      </c>
      <c r="D44" s="42">
        <f>IF($A44="","",SUMIFS(ERFASSUNG!$F$6:$F$3005,ERFASSUNG!$D$6:$D$3005,$A44,ERFASSUNG!$V$6:$V$3005,$AZ$3))</f>
        <v/>
      </c>
      <c r="E44" s="42">
        <f>IF($A44="","",SUMIFS(ERFASSUNG!$G$6:$G$3005,ERFASSUNG!$D$6:$D$3005,$A44,ERFASSUNG!$V$6:$V$3005,$AZ$3))</f>
        <v/>
      </c>
      <c r="F44" s="42">
        <f>IF($A44="","",SUMIFS(ERFASSUNG!$H$6:$H$3005,ERFASSUNG!$D$6:$D$3005,$A44,ERFASSUNG!$V$6:$V$3005,$AZ$3))</f>
        <v/>
      </c>
      <c r="G44" s="42">
        <f>IF($A44="","",SUMIFS(ERFASSUNG!$I$6:$I$3005,ERFASSUNG!$D$6:$D$3005,$A44,ERFASSUNG!$V$6:$V$3005,$AZ$3))</f>
        <v/>
      </c>
      <c r="H44" s="42">
        <f>IF($A44="","",SUMIFS(ERFASSUNG!$J$6:$J$3005,ERFASSUNG!$D$6:$D$3005,$A44,ERFASSUNG!$V$6:$V$3005,$AZ$3))</f>
        <v/>
      </c>
      <c r="I44" s="42">
        <f>IF($A44="","",SUMIFS(ERFASSUNG!$K$6:$K$3005,ERFASSUNG!$D$6:$D$3005,$A44,ERFASSUNG!$V$6:$V$3005,$AZ$3))</f>
        <v/>
      </c>
      <c r="J44" s="42">
        <f>IF($A44="","",SUMIFS(ERFASSUNG!$L$6:$L$3005,ERFASSUNG!$D$6:$D$3005,$A44,ERFASSUNG!$V$6:$V$3005,$AZ$3))</f>
        <v/>
      </c>
      <c r="K44" s="42">
        <f>IF($A44="","",SUMIFS(ERFASSUNG!$M$6:$M$3005,ERFASSUNG!$D$6:$D$3005,$A44,ERFASSUNG!$V$6:$V$3005,$AZ$3))</f>
        <v/>
      </c>
      <c r="L44" s="42">
        <f>IF($A44="","",SUMIFS(ERFASSUNG!$N$6:$N$3005,ERFASSUNG!$D$6:$D$3005,$A44,ERFASSUNG!$V$6:$V$3005,$AZ$3))</f>
        <v/>
      </c>
      <c r="M44" s="43">
        <f>IF(OR($A44="",N($G$45)=0),"",G44/$G$45)</f>
        <v/>
      </c>
    </row>
    <row r="45">
      <c r="A45" s="38" t="inlineStr">
        <is>
          <t>SUMME</t>
        </is>
      </c>
      <c r="B45" s="18">
        <f>SUM(B15:B44)</f>
        <v/>
      </c>
      <c r="C45" s="18">
        <f>SUM(C15:C44)</f>
        <v/>
      </c>
      <c r="D45" s="18">
        <f>SUM(D15:D44)</f>
        <v/>
      </c>
      <c r="E45" s="18">
        <f>SUM(E15:E44)</f>
        <v/>
      </c>
      <c r="F45" s="18">
        <f>SUM(F15:F44)</f>
        <v/>
      </c>
      <c r="G45" s="18">
        <f>SUM(G15:G44)</f>
        <v/>
      </c>
      <c r="H45" s="18">
        <f>SUM(H15:H44)</f>
        <v/>
      </c>
      <c r="I45" s="18">
        <f>SUM(I15:I44)</f>
        <v/>
      </c>
      <c r="J45" s="18">
        <f>SUM(J15:J44)</f>
        <v/>
      </c>
      <c r="K45" s="18">
        <f>SUM(K15:K44)</f>
        <v/>
      </c>
      <c r="L45" s="18">
        <f>SUM(L15:L44)</f>
        <v/>
      </c>
      <c r="M45" s="18" t="n"/>
    </row>
    <row r="47">
      <c r="A47" s="5" t="inlineStr">
        <is>
          <t>Team im Monat</t>
        </is>
      </c>
      <c r="E47" s="5" t="inlineStr">
        <is>
          <t>Wichtiges im Monat</t>
        </is>
      </c>
    </row>
    <row r="48">
      <c r="A48" s="6" t="inlineStr">
        <is>
          <t>Team</t>
        </is>
      </c>
      <c r="B48" s="6" t="inlineStr">
        <is>
          <t>Einsätze</t>
        </is>
      </c>
      <c r="C48" s="6" t="inlineStr">
        <is>
          <t>Stunden</t>
        </is>
      </c>
      <c r="E48" s="6" t="inlineStr">
        <is>
          <t>Datum</t>
        </is>
      </c>
      <c r="F48" s="6" t="inlineStr">
        <is>
          <t>Angebot</t>
        </is>
      </c>
      <c r="G48" s="6" t="n"/>
      <c r="H48" s="6" t="inlineStr">
        <is>
          <t>Dienst</t>
        </is>
      </c>
      <c r="I48" s="6" t="n"/>
      <c r="J48" s="6" t="inlineStr">
        <is>
          <t>Wichtig / Vorkommnisse</t>
        </is>
      </c>
      <c r="K48" s="6" t="n"/>
      <c r="L48" s="6" t="n"/>
      <c r="M48" s="6" t="n"/>
      <c r="N48" s="6" t="n"/>
      <c r="O48" s="6" t="n"/>
    </row>
    <row r="49">
      <c r="A49" s="39">
        <f>IF(LISTEN!$C$2="","",LISTEN!$C$2)</f>
        <v/>
      </c>
      <c r="B49" s="7">
        <f>IF($A49="","",COUNTIFS(ERFASSUNG!$P$6:$P$3005,$A49,ERFASSUNG!$V$6:$V$3005,$AZ$3)+COUNTIFS(ERFASSUNG!$Q$6:$Q$3005,$A49,ERFASSUNG!$V$6:$V$3005,$AZ$3)+COUNTIFS(ERFASSUNG!$R$6:$R$3005,$A49,ERFASSUNG!$V$6:$V$3005,$AZ$3))</f>
        <v/>
      </c>
      <c r="C49" s="37">
        <f>IF($A49="","",SUMIFS(ERFASSUNG!$E$6:$E$3005,ERFASSUNG!$P$6:$P$3005,$A49,ERFASSUNG!$V$6:$V$3005,$AZ$3)+SUMIFS(ERFASSUNG!$E$6:$E$3005,ERFASSUNG!$Q$6:$Q$3005,$A49,ERFASSUNG!$V$6:$V$3005,$AZ$3)+SUMIFS(ERFASSUNG!$E$6:$E$3005,ERFASSUNG!$R$6:$R$3005,$A49,ERFASSUNG!$V$6:$V$3005,$AZ$3))</f>
        <v/>
      </c>
      <c r="E49" s="44">
        <f>IF($AY49="","",INDEX(ERFASSUNG!$A$6:$A$3005,$AY49))</f>
        <v/>
      </c>
      <c r="F49" s="45">
        <f>IF($AY49="","",INDEX(ERFASSUNG!$D$6:$D$3005,$AY49))</f>
        <v/>
      </c>
      <c r="G49" s="45" t="n"/>
      <c r="H49" s="45">
        <f>IF($AY49="","",INDEX(ERFASSUNG!$P$6:$P$3005,$AY49))</f>
        <v/>
      </c>
      <c r="I49" s="45" t="n"/>
      <c r="J49" s="46">
        <f>IF($AY49="","",INDEX(ERFASSUNG!$T$6:$T$3005,$AY49))</f>
        <v/>
      </c>
      <c r="K49" s="46" t="n"/>
      <c r="L49" s="46" t="n"/>
      <c r="M49" s="46" t="n"/>
      <c r="N49" s="46" t="n"/>
      <c r="O49" s="46" t="n"/>
      <c r="AY49">
        <f>IFERROR(MATCH(1,ERFASSUNG!$X$6:$X$3005,0),"")</f>
        <v/>
      </c>
    </row>
    <row r="50">
      <c r="A50" s="41">
        <f>IF(LISTEN!$C$3="","",LISTEN!$C$3)</f>
        <v/>
      </c>
      <c r="B50" s="42">
        <f>IF($A50="","",COUNTIFS(ERFASSUNG!$P$6:$P$3005,$A50,ERFASSUNG!$V$6:$V$3005,$AZ$3)+COUNTIFS(ERFASSUNG!$Q$6:$Q$3005,$A50,ERFASSUNG!$V$6:$V$3005,$AZ$3)+COUNTIFS(ERFASSUNG!$R$6:$R$3005,$A50,ERFASSUNG!$V$6:$V$3005,$AZ$3))</f>
        <v/>
      </c>
      <c r="C50" s="47">
        <f>IF($A50="","",SUMIFS(ERFASSUNG!$E$6:$E$3005,ERFASSUNG!$P$6:$P$3005,$A50,ERFASSUNG!$V$6:$V$3005,$AZ$3)+SUMIFS(ERFASSUNG!$E$6:$E$3005,ERFASSUNG!$Q$6:$Q$3005,$A50,ERFASSUNG!$V$6:$V$3005,$AZ$3)+SUMIFS(ERFASSUNG!$E$6:$E$3005,ERFASSUNG!$R$6:$R$3005,$A50,ERFASSUNG!$V$6:$V$3005,$AZ$3))</f>
        <v/>
      </c>
      <c r="E50" s="44">
        <f>IF($AY50="","",INDEX(ERFASSUNG!$A$6:$A$3005,$AY50))</f>
        <v/>
      </c>
      <c r="F50" s="45">
        <f>IF($AY50="","",INDEX(ERFASSUNG!$D$6:$D$3005,$AY50))</f>
        <v/>
      </c>
      <c r="G50" s="45" t="n"/>
      <c r="H50" s="45">
        <f>IF($AY50="","",INDEX(ERFASSUNG!$P$6:$P$3005,$AY50))</f>
        <v/>
      </c>
      <c r="I50" s="45" t="n"/>
      <c r="J50" s="46">
        <f>IF($AY50="","",INDEX(ERFASSUNG!$T$6:$T$3005,$AY50))</f>
        <v/>
      </c>
      <c r="K50" s="46" t="n"/>
      <c r="L50" s="46" t="n"/>
      <c r="M50" s="46" t="n"/>
      <c r="N50" s="46" t="n"/>
      <c r="O50" s="46" t="n"/>
      <c r="AY50">
        <f>IFERROR(MATCH(2,ERFASSUNG!$X$6:$X$3005,0),"")</f>
        <v/>
      </c>
    </row>
    <row r="51">
      <c r="A51" s="39">
        <f>IF(LISTEN!$C$4="","",LISTEN!$C$4)</f>
        <v/>
      </c>
      <c r="B51" s="7">
        <f>IF($A51="","",COUNTIFS(ERFASSUNG!$P$6:$P$3005,$A51,ERFASSUNG!$V$6:$V$3005,$AZ$3)+COUNTIFS(ERFASSUNG!$Q$6:$Q$3005,$A51,ERFASSUNG!$V$6:$V$3005,$AZ$3)+COUNTIFS(ERFASSUNG!$R$6:$R$3005,$A51,ERFASSUNG!$V$6:$V$3005,$AZ$3))</f>
        <v/>
      </c>
      <c r="C51" s="37">
        <f>IF($A51="","",SUMIFS(ERFASSUNG!$E$6:$E$3005,ERFASSUNG!$P$6:$P$3005,$A51,ERFASSUNG!$V$6:$V$3005,$AZ$3)+SUMIFS(ERFASSUNG!$E$6:$E$3005,ERFASSUNG!$Q$6:$Q$3005,$A51,ERFASSUNG!$V$6:$V$3005,$AZ$3)+SUMIFS(ERFASSUNG!$E$6:$E$3005,ERFASSUNG!$R$6:$R$3005,$A51,ERFASSUNG!$V$6:$V$3005,$AZ$3))</f>
        <v/>
      </c>
      <c r="E51" s="44">
        <f>IF($AY51="","",INDEX(ERFASSUNG!$A$6:$A$3005,$AY51))</f>
        <v/>
      </c>
      <c r="F51" s="45">
        <f>IF($AY51="","",INDEX(ERFASSUNG!$D$6:$D$3005,$AY51))</f>
        <v/>
      </c>
      <c r="G51" s="45" t="n"/>
      <c r="H51" s="45">
        <f>IF($AY51="","",INDEX(ERFASSUNG!$P$6:$P$3005,$AY51))</f>
        <v/>
      </c>
      <c r="I51" s="45" t="n"/>
      <c r="J51" s="46">
        <f>IF($AY51="","",INDEX(ERFASSUNG!$T$6:$T$3005,$AY51))</f>
        <v/>
      </c>
      <c r="K51" s="46" t="n"/>
      <c r="L51" s="46" t="n"/>
      <c r="M51" s="46" t="n"/>
      <c r="N51" s="46" t="n"/>
      <c r="O51" s="46" t="n"/>
      <c r="AY51">
        <f>IFERROR(MATCH(3,ERFASSUNG!$X$6:$X$3005,0),"")</f>
        <v/>
      </c>
    </row>
    <row r="52">
      <c r="A52" s="41">
        <f>IF(LISTEN!$C$5="","",LISTEN!$C$5)</f>
        <v/>
      </c>
      <c r="B52" s="42">
        <f>IF($A52="","",COUNTIFS(ERFASSUNG!$P$6:$P$3005,$A52,ERFASSUNG!$V$6:$V$3005,$AZ$3)+COUNTIFS(ERFASSUNG!$Q$6:$Q$3005,$A52,ERFASSUNG!$V$6:$V$3005,$AZ$3)+COUNTIFS(ERFASSUNG!$R$6:$R$3005,$A52,ERFASSUNG!$V$6:$V$3005,$AZ$3))</f>
        <v/>
      </c>
      <c r="C52" s="47">
        <f>IF($A52="","",SUMIFS(ERFASSUNG!$E$6:$E$3005,ERFASSUNG!$P$6:$P$3005,$A52,ERFASSUNG!$V$6:$V$3005,$AZ$3)+SUMIFS(ERFASSUNG!$E$6:$E$3005,ERFASSUNG!$Q$6:$Q$3005,$A52,ERFASSUNG!$V$6:$V$3005,$AZ$3)+SUMIFS(ERFASSUNG!$E$6:$E$3005,ERFASSUNG!$R$6:$R$3005,$A52,ERFASSUNG!$V$6:$V$3005,$AZ$3))</f>
        <v/>
      </c>
      <c r="E52" s="44">
        <f>IF($AY52="","",INDEX(ERFASSUNG!$A$6:$A$3005,$AY52))</f>
        <v/>
      </c>
      <c r="F52" s="45">
        <f>IF($AY52="","",INDEX(ERFASSUNG!$D$6:$D$3005,$AY52))</f>
        <v/>
      </c>
      <c r="G52" s="45" t="n"/>
      <c r="H52" s="45">
        <f>IF($AY52="","",INDEX(ERFASSUNG!$P$6:$P$3005,$AY52))</f>
        <v/>
      </c>
      <c r="I52" s="45" t="n"/>
      <c r="J52" s="46">
        <f>IF($AY52="","",INDEX(ERFASSUNG!$T$6:$T$3005,$AY52))</f>
        <v/>
      </c>
      <c r="K52" s="46" t="n"/>
      <c r="L52" s="46" t="n"/>
      <c r="M52" s="46" t="n"/>
      <c r="N52" s="46" t="n"/>
      <c r="O52" s="46" t="n"/>
      <c r="AY52">
        <f>IFERROR(MATCH(4,ERFASSUNG!$X$6:$X$3005,0),"")</f>
        <v/>
      </c>
    </row>
    <row r="53">
      <c r="A53" s="39">
        <f>IF(LISTEN!$C$6="","",LISTEN!$C$6)</f>
        <v/>
      </c>
      <c r="B53" s="7">
        <f>IF($A53="","",COUNTIFS(ERFASSUNG!$P$6:$P$3005,$A53,ERFASSUNG!$V$6:$V$3005,$AZ$3)+COUNTIFS(ERFASSUNG!$Q$6:$Q$3005,$A53,ERFASSUNG!$V$6:$V$3005,$AZ$3)+COUNTIFS(ERFASSUNG!$R$6:$R$3005,$A53,ERFASSUNG!$V$6:$V$3005,$AZ$3))</f>
        <v/>
      </c>
      <c r="C53" s="37">
        <f>IF($A53="","",SUMIFS(ERFASSUNG!$E$6:$E$3005,ERFASSUNG!$P$6:$P$3005,$A53,ERFASSUNG!$V$6:$V$3005,$AZ$3)+SUMIFS(ERFASSUNG!$E$6:$E$3005,ERFASSUNG!$Q$6:$Q$3005,$A53,ERFASSUNG!$V$6:$V$3005,$AZ$3)+SUMIFS(ERFASSUNG!$E$6:$E$3005,ERFASSUNG!$R$6:$R$3005,$A53,ERFASSUNG!$V$6:$V$3005,$AZ$3))</f>
        <v/>
      </c>
      <c r="E53" s="44">
        <f>IF($AY53="","",INDEX(ERFASSUNG!$A$6:$A$3005,$AY53))</f>
        <v/>
      </c>
      <c r="F53" s="45">
        <f>IF($AY53="","",INDEX(ERFASSUNG!$D$6:$D$3005,$AY53))</f>
        <v/>
      </c>
      <c r="G53" s="45" t="n"/>
      <c r="H53" s="45">
        <f>IF($AY53="","",INDEX(ERFASSUNG!$P$6:$P$3005,$AY53))</f>
        <v/>
      </c>
      <c r="I53" s="45" t="n"/>
      <c r="J53" s="46">
        <f>IF($AY53="","",INDEX(ERFASSUNG!$T$6:$T$3005,$AY53))</f>
        <v/>
      </c>
      <c r="K53" s="46" t="n"/>
      <c r="L53" s="46" t="n"/>
      <c r="M53" s="46" t="n"/>
      <c r="N53" s="46" t="n"/>
      <c r="O53" s="46" t="n"/>
      <c r="AY53">
        <f>IFERROR(MATCH(5,ERFASSUNG!$X$6:$X$3005,0),"")</f>
        <v/>
      </c>
    </row>
    <row r="54">
      <c r="A54" s="41">
        <f>IF(LISTEN!$C$7="","",LISTEN!$C$7)</f>
        <v/>
      </c>
      <c r="B54" s="42">
        <f>IF($A54="","",COUNTIFS(ERFASSUNG!$P$6:$P$3005,$A54,ERFASSUNG!$V$6:$V$3005,$AZ$3)+COUNTIFS(ERFASSUNG!$Q$6:$Q$3005,$A54,ERFASSUNG!$V$6:$V$3005,$AZ$3)+COUNTIFS(ERFASSUNG!$R$6:$R$3005,$A54,ERFASSUNG!$V$6:$V$3005,$AZ$3))</f>
        <v/>
      </c>
      <c r="C54" s="47">
        <f>IF($A54="","",SUMIFS(ERFASSUNG!$E$6:$E$3005,ERFASSUNG!$P$6:$P$3005,$A54,ERFASSUNG!$V$6:$V$3005,$AZ$3)+SUMIFS(ERFASSUNG!$E$6:$E$3005,ERFASSUNG!$Q$6:$Q$3005,$A54,ERFASSUNG!$V$6:$V$3005,$AZ$3)+SUMIFS(ERFASSUNG!$E$6:$E$3005,ERFASSUNG!$R$6:$R$3005,$A54,ERFASSUNG!$V$6:$V$3005,$AZ$3))</f>
        <v/>
      </c>
      <c r="E54" s="44">
        <f>IF($AY54="","",INDEX(ERFASSUNG!$A$6:$A$3005,$AY54))</f>
        <v/>
      </c>
      <c r="F54" s="45">
        <f>IF($AY54="","",INDEX(ERFASSUNG!$D$6:$D$3005,$AY54))</f>
        <v/>
      </c>
      <c r="G54" s="45" t="n"/>
      <c r="H54" s="45">
        <f>IF($AY54="","",INDEX(ERFASSUNG!$P$6:$P$3005,$AY54))</f>
        <v/>
      </c>
      <c r="I54" s="45" t="n"/>
      <c r="J54" s="46">
        <f>IF($AY54="","",INDEX(ERFASSUNG!$T$6:$T$3005,$AY54))</f>
        <v/>
      </c>
      <c r="K54" s="46" t="n"/>
      <c r="L54" s="46" t="n"/>
      <c r="M54" s="46" t="n"/>
      <c r="N54" s="46" t="n"/>
      <c r="O54" s="46" t="n"/>
      <c r="AY54">
        <f>IFERROR(MATCH(6,ERFASSUNG!$X$6:$X$3005,0),"")</f>
        <v/>
      </c>
    </row>
    <row r="55">
      <c r="A55" s="39">
        <f>IF(LISTEN!$C$8="","",LISTEN!$C$8)</f>
        <v/>
      </c>
      <c r="B55" s="7">
        <f>IF($A55="","",COUNTIFS(ERFASSUNG!$P$6:$P$3005,$A55,ERFASSUNG!$V$6:$V$3005,$AZ$3)+COUNTIFS(ERFASSUNG!$Q$6:$Q$3005,$A55,ERFASSUNG!$V$6:$V$3005,$AZ$3)+COUNTIFS(ERFASSUNG!$R$6:$R$3005,$A55,ERFASSUNG!$V$6:$V$3005,$AZ$3))</f>
        <v/>
      </c>
      <c r="C55" s="37">
        <f>IF($A55="","",SUMIFS(ERFASSUNG!$E$6:$E$3005,ERFASSUNG!$P$6:$P$3005,$A55,ERFASSUNG!$V$6:$V$3005,$AZ$3)+SUMIFS(ERFASSUNG!$E$6:$E$3005,ERFASSUNG!$Q$6:$Q$3005,$A55,ERFASSUNG!$V$6:$V$3005,$AZ$3)+SUMIFS(ERFASSUNG!$E$6:$E$3005,ERFASSUNG!$R$6:$R$3005,$A55,ERFASSUNG!$V$6:$V$3005,$AZ$3))</f>
        <v/>
      </c>
      <c r="E55" s="44">
        <f>IF($AY55="","",INDEX(ERFASSUNG!$A$6:$A$3005,$AY55))</f>
        <v/>
      </c>
      <c r="F55" s="45">
        <f>IF($AY55="","",INDEX(ERFASSUNG!$D$6:$D$3005,$AY55))</f>
        <v/>
      </c>
      <c r="G55" s="45" t="n"/>
      <c r="H55" s="45">
        <f>IF($AY55="","",INDEX(ERFASSUNG!$P$6:$P$3005,$AY55))</f>
        <v/>
      </c>
      <c r="I55" s="45" t="n"/>
      <c r="J55" s="46">
        <f>IF($AY55="","",INDEX(ERFASSUNG!$T$6:$T$3005,$AY55))</f>
        <v/>
      </c>
      <c r="K55" s="46" t="n"/>
      <c r="L55" s="46" t="n"/>
      <c r="M55" s="46" t="n"/>
      <c r="N55" s="46" t="n"/>
      <c r="O55" s="46" t="n"/>
      <c r="AY55">
        <f>IFERROR(MATCH(7,ERFASSUNG!$X$6:$X$3005,0),"")</f>
        <v/>
      </c>
    </row>
    <row r="56">
      <c r="A56" s="41">
        <f>IF(LISTEN!$C$9="","",LISTEN!$C$9)</f>
        <v/>
      </c>
      <c r="B56" s="42">
        <f>IF($A56="","",COUNTIFS(ERFASSUNG!$P$6:$P$3005,$A56,ERFASSUNG!$V$6:$V$3005,$AZ$3)+COUNTIFS(ERFASSUNG!$Q$6:$Q$3005,$A56,ERFASSUNG!$V$6:$V$3005,$AZ$3)+COUNTIFS(ERFASSUNG!$R$6:$R$3005,$A56,ERFASSUNG!$V$6:$V$3005,$AZ$3))</f>
        <v/>
      </c>
      <c r="C56" s="47">
        <f>IF($A56="","",SUMIFS(ERFASSUNG!$E$6:$E$3005,ERFASSUNG!$P$6:$P$3005,$A56,ERFASSUNG!$V$6:$V$3005,$AZ$3)+SUMIFS(ERFASSUNG!$E$6:$E$3005,ERFASSUNG!$Q$6:$Q$3005,$A56,ERFASSUNG!$V$6:$V$3005,$AZ$3)+SUMIFS(ERFASSUNG!$E$6:$E$3005,ERFASSUNG!$R$6:$R$3005,$A56,ERFASSUNG!$V$6:$V$3005,$AZ$3))</f>
        <v/>
      </c>
      <c r="E56" s="44">
        <f>IF($AY56="","",INDEX(ERFASSUNG!$A$6:$A$3005,$AY56))</f>
        <v/>
      </c>
      <c r="F56" s="45">
        <f>IF($AY56="","",INDEX(ERFASSUNG!$D$6:$D$3005,$AY56))</f>
        <v/>
      </c>
      <c r="G56" s="45" t="n"/>
      <c r="H56" s="45">
        <f>IF($AY56="","",INDEX(ERFASSUNG!$P$6:$P$3005,$AY56))</f>
        <v/>
      </c>
      <c r="I56" s="45" t="n"/>
      <c r="J56" s="46">
        <f>IF($AY56="","",INDEX(ERFASSUNG!$T$6:$T$3005,$AY56))</f>
        <v/>
      </c>
      <c r="K56" s="46" t="n"/>
      <c r="L56" s="46" t="n"/>
      <c r="M56" s="46" t="n"/>
      <c r="N56" s="46" t="n"/>
      <c r="O56" s="46" t="n"/>
      <c r="AY56">
        <f>IFERROR(MATCH(8,ERFASSUNG!$X$6:$X$3005,0),"")</f>
        <v/>
      </c>
    </row>
    <row r="57">
      <c r="A57" s="39">
        <f>IF(LISTEN!$C$10="","",LISTEN!$C$10)</f>
        <v/>
      </c>
      <c r="B57" s="7">
        <f>IF($A57="","",COUNTIFS(ERFASSUNG!$P$6:$P$3005,$A57,ERFASSUNG!$V$6:$V$3005,$AZ$3)+COUNTIFS(ERFASSUNG!$Q$6:$Q$3005,$A57,ERFASSUNG!$V$6:$V$3005,$AZ$3)+COUNTIFS(ERFASSUNG!$R$6:$R$3005,$A57,ERFASSUNG!$V$6:$V$3005,$AZ$3))</f>
        <v/>
      </c>
      <c r="C57" s="37">
        <f>IF($A57="","",SUMIFS(ERFASSUNG!$E$6:$E$3005,ERFASSUNG!$P$6:$P$3005,$A57,ERFASSUNG!$V$6:$V$3005,$AZ$3)+SUMIFS(ERFASSUNG!$E$6:$E$3005,ERFASSUNG!$Q$6:$Q$3005,$A57,ERFASSUNG!$V$6:$V$3005,$AZ$3)+SUMIFS(ERFASSUNG!$E$6:$E$3005,ERFASSUNG!$R$6:$R$3005,$A57,ERFASSUNG!$V$6:$V$3005,$AZ$3))</f>
        <v/>
      </c>
      <c r="E57" s="44">
        <f>IF($AY57="","",INDEX(ERFASSUNG!$A$6:$A$3005,$AY57))</f>
        <v/>
      </c>
      <c r="F57" s="45">
        <f>IF($AY57="","",INDEX(ERFASSUNG!$D$6:$D$3005,$AY57))</f>
        <v/>
      </c>
      <c r="G57" s="45" t="n"/>
      <c r="H57" s="45">
        <f>IF($AY57="","",INDEX(ERFASSUNG!$P$6:$P$3005,$AY57))</f>
        <v/>
      </c>
      <c r="I57" s="45" t="n"/>
      <c r="J57" s="46">
        <f>IF($AY57="","",INDEX(ERFASSUNG!$T$6:$T$3005,$AY57))</f>
        <v/>
      </c>
      <c r="K57" s="46" t="n"/>
      <c r="L57" s="46" t="n"/>
      <c r="M57" s="46" t="n"/>
      <c r="N57" s="46" t="n"/>
      <c r="O57" s="46" t="n"/>
      <c r="AY57">
        <f>IFERROR(MATCH(9,ERFASSUNG!$X$6:$X$3005,0),"")</f>
        <v/>
      </c>
    </row>
    <row r="58">
      <c r="A58" s="41">
        <f>IF(LISTEN!$C$11="","",LISTEN!$C$11)</f>
        <v/>
      </c>
      <c r="B58" s="42">
        <f>IF($A58="","",COUNTIFS(ERFASSUNG!$P$6:$P$3005,$A58,ERFASSUNG!$V$6:$V$3005,$AZ$3)+COUNTIFS(ERFASSUNG!$Q$6:$Q$3005,$A58,ERFASSUNG!$V$6:$V$3005,$AZ$3)+COUNTIFS(ERFASSUNG!$R$6:$R$3005,$A58,ERFASSUNG!$V$6:$V$3005,$AZ$3))</f>
        <v/>
      </c>
      <c r="C58" s="47">
        <f>IF($A58="","",SUMIFS(ERFASSUNG!$E$6:$E$3005,ERFASSUNG!$P$6:$P$3005,$A58,ERFASSUNG!$V$6:$V$3005,$AZ$3)+SUMIFS(ERFASSUNG!$E$6:$E$3005,ERFASSUNG!$Q$6:$Q$3005,$A58,ERFASSUNG!$V$6:$V$3005,$AZ$3)+SUMIFS(ERFASSUNG!$E$6:$E$3005,ERFASSUNG!$R$6:$R$3005,$A58,ERFASSUNG!$V$6:$V$3005,$AZ$3))</f>
        <v/>
      </c>
      <c r="E58" s="44">
        <f>IF($AY58="","",INDEX(ERFASSUNG!$A$6:$A$3005,$AY58))</f>
        <v/>
      </c>
      <c r="F58" s="45">
        <f>IF($AY58="","",INDEX(ERFASSUNG!$D$6:$D$3005,$AY58))</f>
        <v/>
      </c>
      <c r="G58" s="45" t="n"/>
      <c r="H58" s="45">
        <f>IF($AY58="","",INDEX(ERFASSUNG!$P$6:$P$3005,$AY58))</f>
        <v/>
      </c>
      <c r="I58" s="45" t="n"/>
      <c r="J58" s="46">
        <f>IF($AY58="","",INDEX(ERFASSUNG!$T$6:$T$3005,$AY58))</f>
        <v/>
      </c>
      <c r="K58" s="46" t="n"/>
      <c r="L58" s="46" t="n"/>
      <c r="M58" s="46" t="n"/>
      <c r="N58" s="46" t="n"/>
      <c r="O58" s="46" t="n"/>
      <c r="AY58">
        <f>IFERROR(MATCH(10,ERFASSUNG!$X$6:$X$3005,0),"")</f>
        <v/>
      </c>
    </row>
    <row r="59">
      <c r="A59" s="39">
        <f>IF(LISTEN!$C$12="","",LISTEN!$C$12)</f>
        <v/>
      </c>
      <c r="B59" s="7">
        <f>IF($A59="","",COUNTIFS(ERFASSUNG!$P$6:$P$3005,$A59,ERFASSUNG!$V$6:$V$3005,$AZ$3)+COUNTIFS(ERFASSUNG!$Q$6:$Q$3005,$A59,ERFASSUNG!$V$6:$V$3005,$AZ$3)+COUNTIFS(ERFASSUNG!$R$6:$R$3005,$A59,ERFASSUNG!$V$6:$V$3005,$AZ$3))</f>
        <v/>
      </c>
      <c r="C59" s="37">
        <f>IF($A59="","",SUMIFS(ERFASSUNG!$E$6:$E$3005,ERFASSUNG!$P$6:$P$3005,$A59,ERFASSUNG!$V$6:$V$3005,$AZ$3)+SUMIFS(ERFASSUNG!$E$6:$E$3005,ERFASSUNG!$Q$6:$Q$3005,$A59,ERFASSUNG!$V$6:$V$3005,$AZ$3)+SUMIFS(ERFASSUNG!$E$6:$E$3005,ERFASSUNG!$R$6:$R$3005,$A59,ERFASSUNG!$V$6:$V$3005,$AZ$3))</f>
        <v/>
      </c>
      <c r="E59" s="44">
        <f>IF($AY59="","",INDEX(ERFASSUNG!$A$6:$A$3005,$AY59))</f>
        <v/>
      </c>
      <c r="F59" s="45">
        <f>IF($AY59="","",INDEX(ERFASSUNG!$D$6:$D$3005,$AY59))</f>
        <v/>
      </c>
      <c r="G59" s="45" t="n"/>
      <c r="H59" s="45">
        <f>IF($AY59="","",INDEX(ERFASSUNG!$P$6:$P$3005,$AY59))</f>
        <v/>
      </c>
      <c r="I59" s="45" t="n"/>
      <c r="J59" s="46">
        <f>IF($AY59="","",INDEX(ERFASSUNG!$T$6:$T$3005,$AY59))</f>
        <v/>
      </c>
      <c r="K59" s="46" t="n"/>
      <c r="L59" s="46" t="n"/>
      <c r="M59" s="46" t="n"/>
      <c r="N59" s="46" t="n"/>
      <c r="O59" s="46" t="n"/>
      <c r="AY59">
        <f>IFERROR(MATCH(11,ERFASSUNG!$X$6:$X$3005,0),"")</f>
        <v/>
      </c>
    </row>
    <row r="60">
      <c r="A60" s="41">
        <f>IF(LISTEN!$C$13="","",LISTEN!$C$13)</f>
        <v/>
      </c>
      <c r="B60" s="42">
        <f>IF($A60="","",COUNTIFS(ERFASSUNG!$P$6:$P$3005,$A60,ERFASSUNG!$V$6:$V$3005,$AZ$3)+COUNTIFS(ERFASSUNG!$Q$6:$Q$3005,$A60,ERFASSUNG!$V$6:$V$3005,$AZ$3)+COUNTIFS(ERFASSUNG!$R$6:$R$3005,$A60,ERFASSUNG!$V$6:$V$3005,$AZ$3))</f>
        <v/>
      </c>
      <c r="C60" s="47">
        <f>IF($A60="","",SUMIFS(ERFASSUNG!$E$6:$E$3005,ERFASSUNG!$P$6:$P$3005,$A60,ERFASSUNG!$V$6:$V$3005,$AZ$3)+SUMIFS(ERFASSUNG!$E$6:$E$3005,ERFASSUNG!$Q$6:$Q$3005,$A60,ERFASSUNG!$V$6:$V$3005,$AZ$3)+SUMIFS(ERFASSUNG!$E$6:$E$3005,ERFASSUNG!$R$6:$R$3005,$A60,ERFASSUNG!$V$6:$V$3005,$AZ$3))</f>
        <v/>
      </c>
      <c r="E60" s="44">
        <f>IF($AY60="","",INDEX(ERFASSUNG!$A$6:$A$3005,$AY60))</f>
        <v/>
      </c>
      <c r="F60" s="45">
        <f>IF($AY60="","",INDEX(ERFASSUNG!$D$6:$D$3005,$AY60))</f>
        <v/>
      </c>
      <c r="G60" s="45" t="n"/>
      <c r="H60" s="45">
        <f>IF($AY60="","",INDEX(ERFASSUNG!$P$6:$P$3005,$AY60))</f>
        <v/>
      </c>
      <c r="I60" s="45" t="n"/>
      <c r="J60" s="46">
        <f>IF($AY60="","",INDEX(ERFASSUNG!$T$6:$T$3005,$AY60))</f>
        <v/>
      </c>
      <c r="K60" s="46" t="n"/>
      <c r="L60" s="46" t="n"/>
      <c r="M60" s="46" t="n"/>
      <c r="N60" s="46" t="n"/>
      <c r="O60" s="46" t="n"/>
      <c r="AY60">
        <f>IFERROR(MATCH(12,ERFASSUNG!$X$6:$X$3005,0),"")</f>
        <v/>
      </c>
    </row>
    <row r="61">
      <c r="A61" s="39">
        <f>IF(LISTEN!$C$14="","",LISTEN!$C$14)</f>
        <v/>
      </c>
      <c r="B61" s="7">
        <f>IF($A61="","",COUNTIFS(ERFASSUNG!$P$6:$P$3005,$A61,ERFASSUNG!$V$6:$V$3005,$AZ$3)+COUNTIFS(ERFASSUNG!$Q$6:$Q$3005,$A61,ERFASSUNG!$V$6:$V$3005,$AZ$3)+COUNTIFS(ERFASSUNG!$R$6:$R$3005,$A61,ERFASSUNG!$V$6:$V$3005,$AZ$3))</f>
        <v/>
      </c>
      <c r="C61" s="37">
        <f>IF($A61="","",SUMIFS(ERFASSUNG!$E$6:$E$3005,ERFASSUNG!$P$6:$P$3005,$A61,ERFASSUNG!$V$6:$V$3005,$AZ$3)+SUMIFS(ERFASSUNG!$E$6:$E$3005,ERFASSUNG!$Q$6:$Q$3005,$A61,ERFASSUNG!$V$6:$V$3005,$AZ$3)+SUMIFS(ERFASSUNG!$E$6:$E$3005,ERFASSUNG!$R$6:$R$3005,$A61,ERFASSUNG!$V$6:$V$3005,$AZ$3))</f>
        <v/>
      </c>
      <c r="E61" s="44">
        <f>IF($AY61="","",INDEX(ERFASSUNG!$A$6:$A$3005,$AY61))</f>
        <v/>
      </c>
      <c r="F61" s="45">
        <f>IF($AY61="","",INDEX(ERFASSUNG!$D$6:$D$3005,$AY61))</f>
        <v/>
      </c>
      <c r="G61" s="45" t="n"/>
      <c r="H61" s="45">
        <f>IF($AY61="","",INDEX(ERFASSUNG!$P$6:$P$3005,$AY61))</f>
        <v/>
      </c>
      <c r="I61" s="45" t="n"/>
      <c r="J61" s="46">
        <f>IF($AY61="","",INDEX(ERFASSUNG!$T$6:$T$3005,$AY61))</f>
        <v/>
      </c>
      <c r="K61" s="46" t="n"/>
      <c r="L61" s="46" t="n"/>
      <c r="M61" s="46" t="n"/>
      <c r="N61" s="46" t="n"/>
      <c r="O61" s="46" t="n"/>
      <c r="AY61">
        <f>IFERROR(MATCH(13,ERFASSUNG!$X$6:$X$3005,0),"")</f>
        <v/>
      </c>
    </row>
    <row r="62">
      <c r="A62" s="41">
        <f>IF(LISTEN!$C$15="","",LISTEN!$C$15)</f>
        <v/>
      </c>
      <c r="B62" s="42">
        <f>IF($A62="","",COUNTIFS(ERFASSUNG!$P$6:$P$3005,$A62,ERFASSUNG!$V$6:$V$3005,$AZ$3)+COUNTIFS(ERFASSUNG!$Q$6:$Q$3005,$A62,ERFASSUNG!$V$6:$V$3005,$AZ$3)+COUNTIFS(ERFASSUNG!$R$6:$R$3005,$A62,ERFASSUNG!$V$6:$V$3005,$AZ$3))</f>
        <v/>
      </c>
      <c r="C62" s="47">
        <f>IF($A62="","",SUMIFS(ERFASSUNG!$E$6:$E$3005,ERFASSUNG!$P$6:$P$3005,$A62,ERFASSUNG!$V$6:$V$3005,$AZ$3)+SUMIFS(ERFASSUNG!$E$6:$E$3005,ERFASSUNG!$Q$6:$Q$3005,$A62,ERFASSUNG!$V$6:$V$3005,$AZ$3)+SUMIFS(ERFASSUNG!$E$6:$E$3005,ERFASSUNG!$R$6:$R$3005,$A62,ERFASSUNG!$V$6:$V$3005,$AZ$3))</f>
        <v/>
      </c>
      <c r="E62" s="44">
        <f>IF($AY62="","",INDEX(ERFASSUNG!$A$6:$A$3005,$AY62))</f>
        <v/>
      </c>
      <c r="F62" s="45">
        <f>IF($AY62="","",INDEX(ERFASSUNG!$D$6:$D$3005,$AY62))</f>
        <v/>
      </c>
      <c r="G62" s="45" t="n"/>
      <c r="H62" s="45">
        <f>IF($AY62="","",INDEX(ERFASSUNG!$P$6:$P$3005,$AY62))</f>
        <v/>
      </c>
      <c r="I62" s="45" t="n"/>
      <c r="J62" s="46">
        <f>IF($AY62="","",INDEX(ERFASSUNG!$T$6:$T$3005,$AY62))</f>
        <v/>
      </c>
      <c r="K62" s="46" t="n"/>
      <c r="L62" s="46" t="n"/>
      <c r="M62" s="46" t="n"/>
      <c r="N62" s="46" t="n"/>
      <c r="O62" s="46" t="n"/>
      <c r="AY62">
        <f>IFERROR(MATCH(14,ERFASSUNG!$X$6:$X$3005,0),"")</f>
        <v/>
      </c>
    </row>
    <row r="63">
      <c r="A63" s="39">
        <f>IF(LISTEN!$C$16="","",LISTEN!$C$16)</f>
        <v/>
      </c>
      <c r="B63" s="7">
        <f>IF($A63="","",COUNTIFS(ERFASSUNG!$P$6:$P$3005,$A63,ERFASSUNG!$V$6:$V$3005,$AZ$3)+COUNTIFS(ERFASSUNG!$Q$6:$Q$3005,$A63,ERFASSUNG!$V$6:$V$3005,$AZ$3)+COUNTIFS(ERFASSUNG!$R$6:$R$3005,$A63,ERFASSUNG!$V$6:$V$3005,$AZ$3))</f>
        <v/>
      </c>
      <c r="C63" s="37">
        <f>IF($A63="","",SUMIFS(ERFASSUNG!$E$6:$E$3005,ERFASSUNG!$P$6:$P$3005,$A63,ERFASSUNG!$V$6:$V$3005,$AZ$3)+SUMIFS(ERFASSUNG!$E$6:$E$3005,ERFASSUNG!$Q$6:$Q$3005,$A63,ERFASSUNG!$V$6:$V$3005,$AZ$3)+SUMIFS(ERFASSUNG!$E$6:$E$3005,ERFASSUNG!$R$6:$R$3005,$A63,ERFASSUNG!$V$6:$V$3005,$AZ$3))</f>
        <v/>
      </c>
      <c r="E63" s="44">
        <f>IF($AY63="","",INDEX(ERFASSUNG!$A$6:$A$3005,$AY63))</f>
        <v/>
      </c>
      <c r="F63" s="45">
        <f>IF($AY63="","",INDEX(ERFASSUNG!$D$6:$D$3005,$AY63))</f>
        <v/>
      </c>
      <c r="G63" s="45" t="n"/>
      <c r="H63" s="45">
        <f>IF($AY63="","",INDEX(ERFASSUNG!$P$6:$P$3005,$AY63))</f>
        <v/>
      </c>
      <c r="I63" s="45" t="n"/>
      <c r="J63" s="46">
        <f>IF($AY63="","",INDEX(ERFASSUNG!$T$6:$T$3005,$AY63))</f>
        <v/>
      </c>
      <c r="K63" s="46" t="n"/>
      <c r="L63" s="46" t="n"/>
      <c r="M63" s="46" t="n"/>
      <c r="N63" s="46" t="n"/>
      <c r="O63" s="46" t="n"/>
      <c r="AY63">
        <f>IFERROR(MATCH(15,ERFASSUNG!$X$6:$X$3005,0),"")</f>
        <v/>
      </c>
    </row>
    <row r="64">
      <c r="A64" s="41">
        <f>IF(LISTEN!$C$17="","",LISTEN!$C$17)</f>
        <v/>
      </c>
      <c r="B64" s="42">
        <f>IF($A64="","",COUNTIFS(ERFASSUNG!$P$6:$P$3005,$A64,ERFASSUNG!$V$6:$V$3005,$AZ$3)+COUNTIFS(ERFASSUNG!$Q$6:$Q$3005,$A64,ERFASSUNG!$V$6:$V$3005,$AZ$3)+COUNTIFS(ERFASSUNG!$R$6:$R$3005,$A64,ERFASSUNG!$V$6:$V$3005,$AZ$3))</f>
        <v/>
      </c>
      <c r="C64" s="47">
        <f>IF($A64="","",SUMIFS(ERFASSUNG!$E$6:$E$3005,ERFASSUNG!$P$6:$P$3005,$A64,ERFASSUNG!$V$6:$V$3005,$AZ$3)+SUMIFS(ERFASSUNG!$E$6:$E$3005,ERFASSUNG!$Q$6:$Q$3005,$A64,ERFASSUNG!$V$6:$V$3005,$AZ$3)+SUMIFS(ERFASSUNG!$E$6:$E$3005,ERFASSUNG!$R$6:$R$3005,$A64,ERFASSUNG!$V$6:$V$3005,$AZ$3))</f>
        <v/>
      </c>
      <c r="E64" s="44">
        <f>IF($AY64="","",INDEX(ERFASSUNG!$A$6:$A$3005,$AY64))</f>
        <v/>
      </c>
      <c r="F64" s="45">
        <f>IF($AY64="","",INDEX(ERFASSUNG!$D$6:$D$3005,$AY64))</f>
        <v/>
      </c>
      <c r="G64" s="45" t="n"/>
      <c r="H64" s="45">
        <f>IF($AY64="","",INDEX(ERFASSUNG!$P$6:$P$3005,$AY64))</f>
        <v/>
      </c>
      <c r="I64" s="45" t="n"/>
      <c r="J64" s="46">
        <f>IF($AY64="","",INDEX(ERFASSUNG!$T$6:$T$3005,$AY64))</f>
        <v/>
      </c>
      <c r="K64" s="46" t="n"/>
      <c r="L64" s="46" t="n"/>
      <c r="M64" s="46" t="n"/>
      <c r="N64" s="46" t="n"/>
      <c r="O64" s="46" t="n"/>
      <c r="AY64">
        <f>IFERROR(MATCH(16,ERFASSUNG!$X$6:$X$3005,0),"")</f>
        <v/>
      </c>
    </row>
    <row r="65">
      <c r="A65" s="39">
        <f>IF(LISTEN!$C$18="","",LISTEN!$C$18)</f>
        <v/>
      </c>
      <c r="B65" s="7">
        <f>IF($A65="","",COUNTIFS(ERFASSUNG!$P$6:$P$3005,$A65,ERFASSUNG!$V$6:$V$3005,$AZ$3)+COUNTIFS(ERFASSUNG!$Q$6:$Q$3005,$A65,ERFASSUNG!$V$6:$V$3005,$AZ$3)+COUNTIFS(ERFASSUNG!$R$6:$R$3005,$A65,ERFASSUNG!$V$6:$V$3005,$AZ$3))</f>
        <v/>
      </c>
      <c r="C65" s="37">
        <f>IF($A65="","",SUMIFS(ERFASSUNG!$E$6:$E$3005,ERFASSUNG!$P$6:$P$3005,$A65,ERFASSUNG!$V$6:$V$3005,$AZ$3)+SUMIFS(ERFASSUNG!$E$6:$E$3005,ERFASSUNG!$Q$6:$Q$3005,$A65,ERFASSUNG!$V$6:$V$3005,$AZ$3)+SUMIFS(ERFASSUNG!$E$6:$E$3005,ERFASSUNG!$R$6:$R$3005,$A65,ERFASSUNG!$V$6:$V$3005,$AZ$3))</f>
        <v/>
      </c>
      <c r="E65" s="44">
        <f>IF($AY65="","",INDEX(ERFASSUNG!$A$6:$A$3005,$AY65))</f>
        <v/>
      </c>
      <c r="F65" s="45">
        <f>IF($AY65="","",INDEX(ERFASSUNG!$D$6:$D$3005,$AY65))</f>
        <v/>
      </c>
      <c r="G65" s="45" t="n"/>
      <c r="H65" s="45">
        <f>IF($AY65="","",INDEX(ERFASSUNG!$P$6:$P$3005,$AY65))</f>
        <v/>
      </c>
      <c r="I65" s="45" t="n"/>
      <c r="J65" s="46">
        <f>IF($AY65="","",INDEX(ERFASSUNG!$T$6:$T$3005,$AY65))</f>
        <v/>
      </c>
      <c r="K65" s="46" t="n"/>
      <c r="L65" s="46" t="n"/>
      <c r="M65" s="46" t="n"/>
      <c r="N65" s="46" t="n"/>
      <c r="O65" s="46" t="n"/>
      <c r="AY65">
        <f>IFERROR(MATCH(17,ERFASSUNG!$X$6:$X$3005,0),"")</f>
        <v/>
      </c>
    </row>
    <row r="66">
      <c r="A66" s="41">
        <f>IF(LISTEN!$C$19="","",LISTEN!$C$19)</f>
        <v/>
      </c>
      <c r="B66" s="42">
        <f>IF($A66="","",COUNTIFS(ERFASSUNG!$P$6:$P$3005,$A66,ERFASSUNG!$V$6:$V$3005,$AZ$3)+COUNTIFS(ERFASSUNG!$Q$6:$Q$3005,$A66,ERFASSUNG!$V$6:$V$3005,$AZ$3)+COUNTIFS(ERFASSUNG!$R$6:$R$3005,$A66,ERFASSUNG!$V$6:$V$3005,$AZ$3))</f>
        <v/>
      </c>
      <c r="C66" s="47">
        <f>IF($A66="","",SUMIFS(ERFASSUNG!$E$6:$E$3005,ERFASSUNG!$P$6:$P$3005,$A66,ERFASSUNG!$V$6:$V$3005,$AZ$3)+SUMIFS(ERFASSUNG!$E$6:$E$3005,ERFASSUNG!$Q$6:$Q$3005,$A66,ERFASSUNG!$V$6:$V$3005,$AZ$3)+SUMIFS(ERFASSUNG!$E$6:$E$3005,ERFASSUNG!$R$6:$R$3005,$A66,ERFASSUNG!$V$6:$V$3005,$AZ$3))</f>
        <v/>
      </c>
      <c r="E66" s="44">
        <f>IF($AY66="","",INDEX(ERFASSUNG!$A$6:$A$3005,$AY66))</f>
        <v/>
      </c>
      <c r="F66" s="45">
        <f>IF($AY66="","",INDEX(ERFASSUNG!$D$6:$D$3005,$AY66))</f>
        <v/>
      </c>
      <c r="G66" s="45" t="n"/>
      <c r="H66" s="45">
        <f>IF($AY66="","",INDEX(ERFASSUNG!$P$6:$P$3005,$AY66))</f>
        <v/>
      </c>
      <c r="I66" s="45" t="n"/>
      <c r="J66" s="46">
        <f>IF($AY66="","",INDEX(ERFASSUNG!$T$6:$T$3005,$AY66))</f>
        <v/>
      </c>
      <c r="K66" s="46" t="n"/>
      <c r="L66" s="46" t="n"/>
      <c r="M66" s="46" t="n"/>
      <c r="N66" s="46" t="n"/>
      <c r="O66" s="46" t="n"/>
      <c r="AY66">
        <f>IFERROR(MATCH(18,ERFASSUNG!$X$6:$X$3005,0),"")</f>
        <v/>
      </c>
    </row>
    <row r="67">
      <c r="A67" s="39">
        <f>IF(LISTEN!$C$20="","",LISTEN!$C$20)</f>
        <v/>
      </c>
      <c r="B67" s="7">
        <f>IF($A67="","",COUNTIFS(ERFASSUNG!$P$6:$P$3005,$A67,ERFASSUNG!$V$6:$V$3005,$AZ$3)+COUNTIFS(ERFASSUNG!$Q$6:$Q$3005,$A67,ERFASSUNG!$V$6:$V$3005,$AZ$3)+COUNTIFS(ERFASSUNG!$R$6:$R$3005,$A67,ERFASSUNG!$V$6:$V$3005,$AZ$3))</f>
        <v/>
      </c>
      <c r="C67" s="37">
        <f>IF($A67="","",SUMIFS(ERFASSUNG!$E$6:$E$3005,ERFASSUNG!$P$6:$P$3005,$A67,ERFASSUNG!$V$6:$V$3005,$AZ$3)+SUMIFS(ERFASSUNG!$E$6:$E$3005,ERFASSUNG!$Q$6:$Q$3005,$A67,ERFASSUNG!$V$6:$V$3005,$AZ$3)+SUMIFS(ERFASSUNG!$E$6:$E$3005,ERFASSUNG!$R$6:$R$3005,$A67,ERFASSUNG!$V$6:$V$3005,$AZ$3))</f>
        <v/>
      </c>
      <c r="E67" s="44">
        <f>IF($AY67="","",INDEX(ERFASSUNG!$A$6:$A$3005,$AY67))</f>
        <v/>
      </c>
      <c r="F67" s="45">
        <f>IF($AY67="","",INDEX(ERFASSUNG!$D$6:$D$3005,$AY67))</f>
        <v/>
      </c>
      <c r="G67" s="45" t="n"/>
      <c r="H67" s="45">
        <f>IF($AY67="","",INDEX(ERFASSUNG!$P$6:$P$3005,$AY67))</f>
        <v/>
      </c>
      <c r="I67" s="45" t="n"/>
      <c r="J67" s="46">
        <f>IF($AY67="","",INDEX(ERFASSUNG!$T$6:$T$3005,$AY67))</f>
        <v/>
      </c>
      <c r="K67" s="46" t="n"/>
      <c r="L67" s="46" t="n"/>
      <c r="M67" s="46" t="n"/>
      <c r="N67" s="46" t="n"/>
      <c r="O67" s="46" t="n"/>
      <c r="AY67">
        <f>IFERROR(MATCH(19,ERFASSUNG!$X$6:$X$3005,0),"")</f>
        <v/>
      </c>
    </row>
    <row r="68">
      <c r="A68" s="41">
        <f>IF(LISTEN!$C$21="","",LISTEN!$C$21)</f>
        <v/>
      </c>
      <c r="B68" s="42">
        <f>IF($A68="","",COUNTIFS(ERFASSUNG!$P$6:$P$3005,$A68,ERFASSUNG!$V$6:$V$3005,$AZ$3)+COUNTIFS(ERFASSUNG!$Q$6:$Q$3005,$A68,ERFASSUNG!$V$6:$V$3005,$AZ$3)+COUNTIFS(ERFASSUNG!$R$6:$R$3005,$A68,ERFASSUNG!$V$6:$V$3005,$AZ$3))</f>
        <v/>
      </c>
      <c r="C68" s="47">
        <f>IF($A68="","",SUMIFS(ERFASSUNG!$E$6:$E$3005,ERFASSUNG!$P$6:$P$3005,$A68,ERFASSUNG!$V$6:$V$3005,$AZ$3)+SUMIFS(ERFASSUNG!$E$6:$E$3005,ERFASSUNG!$Q$6:$Q$3005,$A68,ERFASSUNG!$V$6:$V$3005,$AZ$3)+SUMIFS(ERFASSUNG!$E$6:$E$3005,ERFASSUNG!$R$6:$R$3005,$A68,ERFASSUNG!$V$6:$V$3005,$AZ$3))</f>
        <v/>
      </c>
      <c r="E68" s="44">
        <f>IF($AY68="","",INDEX(ERFASSUNG!$A$6:$A$3005,$AY68))</f>
        <v/>
      </c>
      <c r="F68" s="45">
        <f>IF($AY68="","",INDEX(ERFASSUNG!$D$6:$D$3005,$AY68))</f>
        <v/>
      </c>
      <c r="G68" s="45" t="n"/>
      <c r="H68" s="45">
        <f>IF($AY68="","",INDEX(ERFASSUNG!$P$6:$P$3005,$AY68))</f>
        <v/>
      </c>
      <c r="I68" s="45" t="n"/>
      <c r="J68" s="46">
        <f>IF($AY68="","",INDEX(ERFASSUNG!$T$6:$T$3005,$AY68))</f>
        <v/>
      </c>
      <c r="K68" s="46" t="n"/>
      <c r="L68" s="46" t="n"/>
      <c r="M68" s="46" t="n"/>
      <c r="N68" s="46" t="n"/>
      <c r="O68" s="46" t="n"/>
      <c r="AY68">
        <f>IFERROR(MATCH(20,ERFASSUNG!$X$6:$X$3005,0),"")</f>
        <v/>
      </c>
    </row>
    <row r="69">
      <c r="A69" s="39">
        <f>IF(LISTEN!$C$22="","",LISTEN!$C$22)</f>
        <v/>
      </c>
      <c r="B69" s="7">
        <f>IF($A69="","",COUNTIFS(ERFASSUNG!$P$6:$P$3005,$A69,ERFASSUNG!$V$6:$V$3005,$AZ$3)+COUNTIFS(ERFASSUNG!$Q$6:$Q$3005,$A69,ERFASSUNG!$V$6:$V$3005,$AZ$3)+COUNTIFS(ERFASSUNG!$R$6:$R$3005,$A69,ERFASSUNG!$V$6:$V$3005,$AZ$3))</f>
        <v/>
      </c>
      <c r="C69" s="37">
        <f>IF($A69="","",SUMIFS(ERFASSUNG!$E$6:$E$3005,ERFASSUNG!$P$6:$P$3005,$A69,ERFASSUNG!$V$6:$V$3005,$AZ$3)+SUMIFS(ERFASSUNG!$E$6:$E$3005,ERFASSUNG!$Q$6:$Q$3005,$A69,ERFASSUNG!$V$6:$V$3005,$AZ$3)+SUMIFS(ERFASSUNG!$E$6:$E$3005,ERFASSUNG!$R$6:$R$3005,$A69,ERFASSUNG!$V$6:$V$3005,$AZ$3))</f>
        <v/>
      </c>
      <c r="E69" s="44">
        <f>IF($AY69="","",INDEX(ERFASSUNG!$A$6:$A$3005,$AY69))</f>
        <v/>
      </c>
      <c r="F69" s="45">
        <f>IF($AY69="","",INDEX(ERFASSUNG!$D$6:$D$3005,$AY69))</f>
        <v/>
      </c>
      <c r="G69" s="45" t="n"/>
      <c r="H69" s="45">
        <f>IF($AY69="","",INDEX(ERFASSUNG!$P$6:$P$3005,$AY69))</f>
        <v/>
      </c>
      <c r="I69" s="45" t="n"/>
      <c r="J69" s="46">
        <f>IF($AY69="","",INDEX(ERFASSUNG!$T$6:$T$3005,$AY69))</f>
        <v/>
      </c>
      <c r="K69" s="46" t="n"/>
      <c r="L69" s="46" t="n"/>
      <c r="M69" s="46" t="n"/>
      <c r="N69" s="46" t="n"/>
      <c r="O69" s="46" t="n"/>
      <c r="AY69">
        <f>IFERROR(MATCH(21,ERFASSUNG!$X$6:$X$3005,0),"")</f>
        <v/>
      </c>
    </row>
    <row r="70">
      <c r="A70" s="41">
        <f>IF(LISTEN!$C$23="","",LISTEN!$C$23)</f>
        <v/>
      </c>
      <c r="B70" s="42">
        <f>IF($A70="","",COUNTIFS(ERFASSUNG!$P$6:$P$3005,$A70,ERFASSUNG!$V$6:$V$3005,$AZ$3)+COUNTIFS(ERFASSUNG!$Q$6:$Q$3005,$A70,ERFASSUNG!$V$6:$V$3005,$AZ$3)+COUNTIFS(ERFASSUNG!$R$6:$R$3005,$A70,ERFASSUNG!$V$6:$V$3005,$AZ$3))</f>
        <v/>
      </c>
      <c r="C70" s="47">
        <f>IF($A70="","",SUMIFS(ERFASSUNG!$E$6:$E$3005,ERFASSUNG!$P$6:$P$3005,$A70,ERFASSUNG!$V$6:$V$3005,$AZ$3)+SUMIFS(ERFASSUNG!$E$6:$E$3005,ERFASSUNG!$Q$6:$Q$3005,$A70,ERFASSUNG!$V$6:$V$3005,$AZ$3)+SUMIFS(ERFASSUNG!$E$6:$E$3005,ERFASSUNG!$R$6:$R$3005,$A70,ERFASSUNG!$V$6:$V$3005,$AZ$3))</f>
        <v/>
      </c>
      <c r="E70" s="44">
        <f>IF($AY70="","",INDEX(ERFASSUNG!$A$6:$A$3005,$AY70))</f>
        <v/>
      </c>
      <c r="F70" s="45">
        <f>IF($AY70="","",INDEX(ERFASSUNG!$D$6:$D$3005,$AY70))</f>
        <v/>
      </c>
      <c r="G70" s="45" t="n"/>
      <c r="H70" s="45">
        <f>IF($AY70="","",INDEX(ERFASSUNG!$P$6:$P$3005,$AY70))</f>
        <v/>
      </c>
      <c r="I70" s="45" t="n"/>
      <c r="J70" s="46">
        <f>IF($AY70="","",INDEX(ERFASSUNG!$T$6:$T$3005,$AY70))</f>
        <v/>
      </c>
      <c r="K70" s="46" t="n"/>
      <c r="L70" s="46" t="n"/>
      <c r="M70" s="46" t="n"/>
      <c r="N70" s="46" t="n"/>
      <c r="O70" s="46" t="n"/>
      <c r="AY70">
        <f>IFERROR(MATCH(22,ERFASSUNG!$X$6:$X$3005,0),"")</f>
        <v/>
      </c>
    </row>
    <row r="71">
      <c r="A71" s="39">
        <f>IF(LISTEN!$C$24="","",LISTEN!$C$24)</f>
        <v/>
      </c>
      <c r="B71" s="7">
        <f>IF($A71="","",COUNTIFS(ERFASSUNG!$P$6:$P$3005,$A71,ERFASSUNG!$V$6:$V$3005,$AZ$3)+COUNTIFS(ERFASSUNG!$Q$6:$Q$3005,$A71,ERFASSUNG!$V$6:$V$3005,$AZ$3)+COUNTIFS(ERFASSUNG!$R$6:$R$3005,$A71,ERFASSUNG!$V$6:$V$3005,$AZ$3))</f>
        <v/>
      </c>
      <c r="C71" s="37">
        <f>IF($A71="","",SUMIFS(ERFASSUNG!$E$6:$E$3005,ERFASSUNG!$P$6:$P$3005,$A71,ERFASSUNG!$V$6:$V$3005,$AZ$3)+SUMIFS(ERFASSUNG!$E$6:$E$3005,ERFASSUNG!$Q$6:$Q$3005,$A71,ERFASSUNG!$V$6:$V$3005,$AZ$3)+SUMIFS(ERFASSUNG!$E$6:$E$3005,ERFASSUNG!$R$6:$R$3005,$A71,ERFASSUNG!$V$6:$V$3005,$AZ$3))</f>
        <v/>
      </c>
      <c r="E71" s="44">
        <f>IF($AY71="","",INDEX(ERFASSUNG!$A$6:$A$3005,$AY71))</f>
        <v/>
      </c>
      <c r="F71" s="45">
        <f>IF($AY71="","",INDEX(ERFASSUNG!$D$6:$D$3005,$AY71))</f>
        <v/>
      </c>
      <c r="G71" s="45" t="n"/>
      <c r="H71" s="45">
        <f>IF($AY71="","",INDEX(ERFASSUNG!$P$6:$P$3005,$AY71))</f>
        <v/>
      </c>
      <c r="I71" s="45" t="n"/>
      <c r="J71" s="46">
        <f>IF($AY71="","",INDEX(ERFASSUNG!$T$6:$T$3005,$AY71))</f>
        <v/>
      </c>
      <c r="K71" s="46" t="n"/>
      <c r="L71" s="46" t="n"/>
      <c r="M71" s="46" t="n"/>
      <c r="N71" s="46" t="n"/>
      <c r="O71" s="46" t="n"/>
      <c r="AY71">
        <f>IFERROR(MATCH(23,ERFASSUNG!$X$6:$X$3005,0),"")</f>
        <v/>
      </c>
    </row>
    <row r="72">
      <c r="A72" s="41">
        <f>IF(LISTEN!$C$25="","",LISTEN!$C$25)</f>
        <v/>
      </c>
      <c r="B72" s="42">
        <f>IF($A72="","",COUNTIFS(ERFASSUNG!$P$6:$P$3005,$A72,ERFASSUNG!$V$6:$V$3005,$AZ$3)+COUNTIFS(ERFASSUNG!$Q$6:$Q$3005,$A72,ERFASSUNG!$V$6:$V$3005,$AZ$3)+COUNTIFS(ERFASSUNG!$R$6:$R$3005,$A72,ERFASSUNG!$V$6:$V$3005,$AZ$3))</f>
        <v/>
      </c>
      <c r="C72" s="47">
        <f>IF($A72="","",SUMIFS(ERFASSUNG!$E$6:$E$3005,ERFASSUNG!$P$6:$P$3005,$A72,ERFASSUNG!$V$6:$V$3005,$AZ$3)+SUMIFS(ERFASSUNG!$E$6:$E$3005,ERFASSUNG!$Q$6:$Q$3005,$A72,ERFASSUNG!$V$6:$V$3005,$AZ$3)+SUMIFS(ERFASSUNG!$E$6:$E$3005,ERFASSUNG!$R$6:$R$3005,$A72,ERFASSUNG!$V$6:$V$3005,$AZ$3))</f>
        <v/>
      </c>
      <c r="E72" s="44">
        <f>IF($AY72="","",INDEX(ERFASSUNG!$A$6:$A$3005,$AY72))</f>
        <v/>
      </c>
      <c r="F72" s="45">
        <f>IF($AY72="","",INDEX(ERFASSUNG!$D$6:$D$3005,$AY72))</f>
        <v/>
      </c>
      <c r="G72" s="45" t="n"/>
      <c r="H72" s="45">
        <f>IF($AY72="","",INDEX(ERFASSUNG!$P$6:$P$3005,$AY72))</f>
        <v/>
      </c>
      <c r="I72" s="45" t="n"/>
      <c r="J72" s="46">
        <f>IF($AY72="","",INDEX(ERFASSUNG!$T$6:$T$3005,$AY72))</f>
        <v/>
      </c>
      <c r="K72" s="46" t="n"/>
      <c r="L72" s="46" t="n"/>
      <c r="M72" s="46" t="n"/>
      <c r="N72" s="46" t="n"/>
      <c r="O72" s="46" t="n"/>
      <c r="AY72">
        <f>IFERROR(MATCH(24,ERFASSUNG!$X$6:$X$3005,0),"")</f>
        <v/>
      </c>
    </row>
    <row r="73">
      <c r="A73" s="39">
        <f>IF(LISTEN!$C$26="","",LISTEN!$C$26)</f>
        <v/>
      </c>
      <c r="B73" s="7">
        <f>IF($A73="","",COUNTIFS(ERFASSUNG!$P$6:$P$3005,$A73,ERFASSUNG!$V$6:$V$3005,$AZ$3)+COUNTIFS(ERFASSUNG!$Q$6:$Q$3005,$A73,ERFASSUNG!$V$6:$V$3005,$AZ$3)+COUNTIFS(ERFASSUNG!$R$6:$R$3005,$A73,ERFASSUNG!$V$6:$V$3005,$AZ$3))</f>
        <v/>
      </c>
      <c r="C73" s="37">
        <f>IF($A73="","",SUMIFS(ERFASSUNG!$E$6:$E$3005,ERFASSUNG!$P$6:$P$3005,$A73,ERFASSUNG!$V$6:$V$3005,$AZ$3)+SUMIFS(ERFASSUNG!$E$6:$E$3005,ERFASSUNG!$Q$6:$Q$3005,$A73,ERFASSUNG!$V$6:$V$3005,$AZ$3)+SUMIFS(ERFASSUNG!$E$6:$E$3005,ERFASSUNG!$R$6:$R$3005,$A73,ERFASSUNG!$V$6:$V$3005,$AZ$3))</f>
        <v/>
      </c>
      <c r="E73" s="44">
        <f>IF($AY73="","",INDEX(ERFASSUNG!$A$6:$A$3005,$AY73))</f>
        <v/>
      </c>
      <c r="F73" s="45">
        <f>IF($AY73="","",INDEX(ERFASSUNG!$D$6:$D$3005,$AY73))</f>
        <v/>
      </c>
      <c r="G73" s="45" t="n"/>
      <c r="H73" s="45">
        <f>IF($AY73="","",INDEX(ERFASSUNG!$P$6:$P$3005,$AY73))</f>
        <v/>
      </c>
      <c r="I73" s="45" t="n"/>
      <c r="J73" s="46">
        <f>IF($AY73="","",INDEX(ERFASSUNG!$T$6:$T$3005,$AY73))</f>
        <v/>
      </c>
      <c r="K73" s="46" t="n"/>
      <c r="L73" s="46" t="n"/>
      <c r="M73" s="46" t="n"/>
      <c r="N73" s="46" t="n"/>
      <c r="O73" s="46" t="n"/>
      <c r="AY73">
        <f>IFERROR(MATCH(25,ERFASSUNG!$X$6:$X$3005,0),"")</f>
        <v/>
      </c>
    </row>
    <row r="74">
      <c r="A74" s="41">
        <f>IF(LISTEN!$C$27="","",LISTEN!$C$27)</f>
        <v/>
      </c>
      <c r="B74" s="42">
        <f>IF($A74="","",COUNTIFS(ERFASSUNG!$P$6:$P$3005,$A74,ERFASSUNG!$V$6:$V$3005,$AZ$3)+COUNTIFS(ERFASSUNG!$Q$6:$Q$3005,$A74,ERFASSUNG!$V$6:$V$3005,$AZ$3)+COUNTIFS(ERFASSUNG!$R$6:$R$3005,$A74,ERFASSUNG!$V$6:$V$3005,$AZ$3))</f>
        <v/>
      </c>
      <c r="C74" s="47">
        <f>IF($A74="","",SUMIFS(ERFASSUNG!$E$6:$E$3005,ERFASSUNG!$P$6:$P$3005,$A74,ERFASSUNG!$V$6:$V$3005,$AZ$3)+SUMIFS(ERFASSUNG!$E$6:$E$3005,ERFASSUNG!$Q$6:$Q$3005,$A74,ERFASSUNG!$V$6:$V$3005,$AZ$3)+SUMIFS(ERFASSUNG!$E$6:$E$3005,ERFASSUNG!$R$6:$R$3005,$A74,ERFASSUNG!$V$6:$V$3005,$AZ$3))</f>
        <v/>
      </c>
      <c r="E74" s="44">
        <f>IF($AY74="","",INDEX(ERFASSUNG!$A$6:$A$3005,$AY74))</f>
        <v/>
      </c>
      <c r="F74" s="45">
        <f>IF($AY74="","",INDEX(ERFASSUNG!$D$6:$D$3005,$AY74))</f>
        <v/>
      </c>
      <c r="G74" s="45" t="n"/>
      <c r="H74" s="45">
        <f>IF($AY74="","",INDEX(ERFASSUNG!$P$6:$P$3005,$AY74))</f>
        <v/>
      </c>
      <c r="I74" s="45" t="n"/>
      <c r="J74" s="46">
        <f>IF($AY74="","",INDEX(ERFASSUNG!$T$6:$T$3005,$AY74))</f>
        <v/>
      </c>
      <c r="K74" s="46" t="n"/>
      <c r="L74" s="46" t="n"/>
      <c r="M74" s="46" t="n"/>
      <c r="N74" s="46" t="n"/>
      <c r="O74" s="46" t="n"/>
      <c r="AY74">
        <f>IFERROR(MATCH(26,ERFASSUNG!$X$6:$X$3005,0),"")</f>
        <v/>
      </c>
    </row>
    <row r="75">
      <c r="A75" s="39">
        <f>IF(LISTEN!$C$28="","",LISTEN!$C$28)</f>
        <v/>
      </c>
      <c r="B75" s="7">
        <f>IF($A75="","",COUNTIFS(ERFASSUNG!$P$6:$P$3005,$A75,ERFASSUNG!$V$6:$V$3005,$AZ$3)+COUNTIFS(ERFASSUNG!$Q$6:$Q$3005,$A75,ERFASSUNG!$V$6:$V$3005,$AZ$3)+COUNTIFS(ERFASSUNG!$R$6:$R$3005,$A75,ERFASSUNG!$V$6:$V$3005,$AZ$3))</f>
        <v/>
      </c>
      <c r="C75" s="37">
        <f>IF($A75="","",SUMIFS(ERFASSUNG!$E$6:$E$3005,ERFASSUNG!$P$6:$P$3005,$A75,ERFASSUNG!$V$6:$V$3005,$AZ$3)+SUMIFS(ERFASSUNG!$E$6:$E$3005,ERFASSUNG!$Q$6:$Q$3005,$A75,ERFASSUNG!$V$6:$V$3005,$AZ$3)+SUMIFS(ERFASSUNG!$E$6:$E$3005,ERFASSUNG!$R$6:$R$3005,$A75,ERFASSUNG!$V$6:$V$3005,$AZ$3))</f>
        <v/>
      </c>
      <c r="E75" s="44">
        <f>IF($AY75="","",INDEX(ERFASSUNG!$A$6:$A$3005,$AY75))</f>
        <v/>
      </c>
      <c r="F75" s="45">
        <f>IF($AY75="","",INDEX(ERFASSUNG!$D$6:$D$3005,$AY75))</f>
        <v/>
      </c>
      <c r="G75" s="45" t="n"/>
      <c r="H75" s="45">
        <f>IF($AY75="","",INDEX(ERFASSUNG!$P$6:$P$3005,$AY75))</f>
        <v/>
      </c>
      <c r="I75" s="45" t="n"/>
      <c r="J75" s="46">
        <f>IF($AY75="","",INDEX(ERFASSUNG!$T$6:$T$3005,$AY75))</f>
        <v/>
      </c>
      <c r="K75" s="46" t="n"/>
      <c r="L75" s="46" t="n"/>
      <c r="M75" s="46" t="n"/>
      <c r="N75" s="46" t="n"/>
      <c r="O75" s="46" t="n"/>
      <c r="AY75">
        <f>IFERROR(MATCH(27,ERFASSUNG!$X$6:$X$3005,0),"")</f>
        <v/>
      </c>
    </row>
    <row r="76">
      <c r="A76" s="41">
        <f>IF(LISTEN!$C$29="","",LISTEN!$C$29)</f>
        <v/>
      </c>
      <c r="B76" s="42">
        <f>IF($A76="","",COUNTIFS(ERFASSUNG!$P$6:$P$3005,$A76,ERFASSUNG!$V$6:$V$3005,$AZ$3)+COUNTIFS(ERFASSUNG!$Q$6:$Q$3005,$A76,ERFASSUNG!$V$6:$V$3005,$AZ$3)+COUNTIFS(ERFASSUNG!$R$6:$R$3005,$A76,ERFASSUNG!$V$6:$V$3005,$AZ$3))</f>
        <v/>
      </c>
      <c r="C76" s="47">
        <f>IF($A76="","",SUMIFS(ERFASSUNG!$E$6:$E$3005,ERFASSUNG!$P$6:$P$3005,$A76,ERFASSUNG!$V$6:$V$3005,$AZ$3)+SUMIFS(ERFASSUNG!$E$6:$E$3005,ERFASSUNG!$Q$6:$Q$3005,$A76,ERFASSUNG!$V$6:$V$3005,$AZ$3)+SUMIFS(ERFASSUNG!$E$6:$E$3005,ERFASSUNG!$R$6:$R$3005,$A76,ERFASSUNG!$V$6:$V$3005,$AZ$3))</f>
        <v/>
      </c>
      <c r="E76" s="44">
        <f>IF($AY76="","",INDEX(ERFASSUNG!$A$6:$A$3005,$AY76))</f>
        <v/>
      </c>
      <c r="F76" s="45">
        <f>IF($AY76="","",INDEX(ERFASSUNG!$D$6:$D$3005,$AY76))</f>
        <v/>
      </c>
      <c r="G76" s="45" t="n"/>
      <c r="H76" s="45">
        <f>IF($AY76="","",INDEX(ERFASSUNG!$P$6:$P$3005,$AY76))</f>
        <v/>
      </c>
      <c r="I76" s="45" t="n"/>
      <c r="J76" s="46">
        <f>IF($AY76="","",INDEX(ERFASSUNG!$T$6:$T$3005,$AY76))</f>
        <v/>
      </c>
      <c r="K76" s="46" t="n"/>
      <c r="L76" s="46" t="n"/>
      <c r="M76" s="46" t="n"/>
      <c r="N76" s="46" t="n"/>
      <c r="O76" s="46" t="n"/>
      <c r="AY76">
        <f>IFERROR(MATCH(28,ERFASSUNG!$X$6:$X$3005,0),"")</f>
        <v/>
      </c>
    </row>
    <row r="77">
      <c r="A77" s="39">
        <f>IF(LISTEN!$C$30="","",LISTEN!$C$30)</f>
        <v/>
      </c>
      <c r="B77" s="7">
        <f>IF($A77="","",COUNTIFS(ERFASSUNG!$P$6:$P$3005,$A77,ERFASSUNG!$V$6:$V$3005,$AZ$3)+COUNTIFS(ERFASSUNG!$Q$6:$Q$3005,$A77,ERFASSUNG!$V$6:$V$3005,$AZ$3)+COUNTIFS(ERFASSUNG!$R$6:$R$3005,$A77,ERFASSUNG!$V$6:$V$3005,$AZ$3))</f>
        <v/>
      </c>
      <c r="C77" s="37">
        <f>IF($A77="","",SUMIFS(ERFASSUNG!$E$6:$E$3005,ERFASSUNG!$P$6:$P$3005,$A77,ERFASSUNG!$V$6:$V$3005,$AZ$3)+SUMIFS(ERFASSUNG!$E$6:$E$3005,ERFASSUNG!$Q$6:$Q$3005,$A77,ERFASSUNG!$V$6:$V$3005,$AZ$3)+SUMIFS(ERFASSUNG!$E$6:$E$3005,ERFASSUNG!$R$6:$R$3005,$A77,ERFASSUNG!$V$6:$V$3005,$AZ$3))</f>
        <v/>
      </c>
      <c r="E77" s="44">
        <f>IF($AY77="","",INDEX(ERFASSUNG!$A$6:$A$3005,$AY77))</f>
        <v/>
      </c>
      <c r="F77" s="45">
        <f>IF($AY77="","",INDEX(ERFASSUNG!$D$6:$D$3005,$AY77))</f>
        <v/>
      </c>
      <c r="G77" s="45" t="n"/>
      <c r="H77" s="45">
        <f>IF($AY77="","",INDEX(ERFASSUNG!$P$6:$P$3005,$AY77))</f>
        <v/>
      </c>
      <c r="I77" s="45" t="n"/>
      <c r="J77" s="46">
        <f>IF($AY77="","",INDEX(ERFASSUNG!$T$6:$T$3005,$AY77))</f>
        <v/>
      </c>
      <c r="K77" s="46" t="n"/>
      <c r="L77" s="46" t="n"/>
      <c r="M77" s="46" t="n"/>
      <c r="N77" s="46" t="n"/>
      <c r="O77" s="46" t="n"/>
      <c r="AY77">
        <f>IFERROR(MATCH(29,ERFASSUNG!$X$6:$X$3005,0),"")</f>
        <v/>
      </c>
    </row>
    <row r="78">
      <c r="A78" s="41">
        <f>IF(LISTEN!$C$31="","",LISTEN!$C$31)</f>
        <v/>
      </c>
      <c r="B78" s="42">
        <f>IF($A78="","",COUNTIFS(ERFASSUNG!$P$6:$P$3005,$A78,ERFASSUNG!$V$6:$V$3005,$AZ$3)+COUNTIFS(ERFASSUNG!$Q$6:$Q$3005,$A78,ERFASSUNG!$V$6:$V$3005,$AZ$3)+COUNTIFS(ERFASSUNG!$R$6:$R$3005,$A78,ERFASSUNG!$V$6:$V$3005,$AZ$3))</f>
        <v/>
      </c>
      <c r="C78" s="47">
        <f>IF($A78="","",SUMIFS(ERFASSUNG!$E$6:$E$3005,ERFASSUNG!$P$6:$P$3005,$A78,ERFASSUNG!$V$6:$V$3005,$AZ$3)+SUMIFS(ERFASSUNG!$E$6:$E$3005,ERFASSUNG!$Q$6:$Q$3005,$A78,ERFASSUNG!$V$6:$V$3005,$AZ$3)+SUMIFS(ERFASSUNG!$E$6:$E$3005,ERFASSUNG!$R$6:$R$3005,$A78,ERFASSUNG!$V$6:$V$3005,$AZ$3))</f>
        <v/>
      </c>
      <c r="E78" s="44">
        <f>IF($AY78="","",INDEX(ERFASSUNG!$A$6:$A$3005,$AY78))</f>
        <v/>
      </c>
      <c r="F78" s="45">
        <f>IF($AY78="","",INDEX(ERFASSUNG!$D$6:$D$3005,$AY78))</f>
        <v/>
      </c>
      <c r="G78" s="45" t="n"/>
      <c r="H78" s="45">
        <f>IF($AY78="","",INDEX(ERFASSUNG!$P$6:$P$3005,$AY78))</f>
        <v/>
      </c>
      <c r="I78" s="45" t="n"/>
      <c r="J78" s="46">
        <f>IF($AY78="","",INDEX(ERFASSUNG!$T$6:$T$3005,$AY78))</f>
        <v/>
      </c>
      <c r="K78" s="46" t="n"/>
      <c r="L78" s="46" t="n"/>
      <c r="M78" s="46" t="n"/>
      <c r="N78" s="46" t="n"/>
      <c r="O78" s="46" t="n"/>
      <c r="AY78">
        <f>IFERROR(MATCH(30,ERFASSUNG!$X$6:$X$3005,0),"")</f>
        <v/>
      </c>
    </row>
    <row r="80">
      <c r="A80" s="5" t="inlineStr">
        <is>
          <t>Kontakte pro Tag</t>
        </is>
      </c>
    </row>
    <row r="81">
      <c r="A81" s="6" t="inlineStr">
        <is>
          <t>Datum</t>
        </is>
      </c>
      <c r="B81" s="6" t="inlineStr">
        <is>
          <t>Tag</t>
        </is>
      </c>
      <c r="C81" s="6" t="inlineStr">
        <is>
          <t>Einträge</t>
        </is>
      </c>
      <c r="D81" s="6" t="inlineStr">
        <is>
          <t>Kontakte</t>
        </is>
      </c>
    </row>
    <row r="82">
      <c r="A82" s="36">
        <f>IF(1&gt;DAY($H$3),"",DATE(LISTEN!$F$2,$AZ$3,1))</f>
        <v/>
      </c>
      <c r="B82" s="7">
        <f>IF(A82="","",CHOOSE(WEEKDAY(A82,2),"Mo","Di","Mi","Do","Fr","Sa","So"))</f>
        <v/>
      </c>
      <c r="C82" s="7">
        <f>IF(A82="","",SUMIFS(KALENDER!$F$5:$F$370,KALENDER!$A$5:$A$370,A82))</f>
        <v/>
      </c>
      <c r="D82" s="7">
        <f>IF(A82="","",SUMIFS(KALENDER!$L$5:$L$370,KALENDER!$A$5:$A$370,A82))</f>
        <v/>
      </c>
    </row>
    <row r="83">
      <c r="A83" s="36">
        <f>IF(2&gt;DAY($H$3),"",DATE(LISTEN!$F$2,$AZ$3,2))</f>
        <v/>
      </c>
      <c r="B83" s="7">
        <f>IF(A83="","",CHOOSE(WEEKDAY(A83,2),"Mo","Di","Mi","Do","Fr","Sa","So"))</f>
        <v/>
      </c>
      <c r="C83" s="7">
        <f>IF(A83="","",SUMIFS(KALENDER!$F$5:$F$370,KALENDER!$A$5:$A$370,A83))</f>
        <v/>
      </c>
      <c r="D83" s="7">
        <f>IF(A83="","",SUMIFS(KALENDER!$L$5:$L$370,KALENDER!$A$5:$A$370,A83))</f>
        <v/>
      </c>
    </row>
    <row r="84">
      <c r="A84" s="36">
        <f>IF(3&gt;DAY($H$3),"",DATE(LISTEN!$F$2,$AZ$3,3))</f>
        <v/>
      </c>
      <c r="B84" s="7">
        <f>IF(A84="","",CHOOSE(WEEKDAY(A84,2),"Mo","Di","Mi","Do","Fr","Sa","So"))</f>
        <v/>
      </c>
      <c r="C84" s="7">
        <f>IF(A84="","",SUMIFS(KALENDER!$F$5:$F$370,KALENDER!$A$5:$A$370,A84))</f>
        <v/>
      </c>
      <c r="D84" s="7">
        <f>IF(A84="","",SUMIFS(KALENDER!$L$5:$L$370,KALENDER!$A$5:$A$370,A84))</f>
        <v/>
      </c>
    </row>
    <row r="85">
      <c r="A85" s="36">
        <f>IF(4&gt;DAY($H$3),"",DATE(LISTEN!$F$2,$AZ$3,4))</f>
        <v/>
      </c>
      <c r="B85" s="7">
        <f>IF(A85="","",CHOOSE(WEEKDAY(A85,2),"Mo","Di","Mi","Do","Fr","Sa","So"))</f>
        <v/>
      </c>
      <c r="C85" s="7">
        <f>IF(A85="","",SUMIFS(KALENDER!$F$5:$F$370,KALENDER!$A$5:$A$370,A85))</f>
        <v/>
      </c>
      <c r="D85" s="7">
        <f>IF(A85="","",SUMIFS(KALENDER!$L$5:$L$370,KALENDER!$A$5:$A$370,A85))</f>
        <v/>
      </c>
    </row>
    <row r="86">
      <c r="A86" s="36">
        <f>IF(5&gt;DAY($H$3),"",DATE(LISTEN!$F$2,$AZ$3,5))</f>
        <v/>
      </c>
      <c r="B86" s="7">
        <f>IF(A86="","",CHOOSE(WEEKDAY(A86,2),"Mo","Di","Mi","Do","Fr","Sa","So"))</f>
        <v/>
      </c>
      <c r="C86" s="7">
        <f>IF(A86="","",SUMIFS(KALENDER!$F$5:$F$370,KALENDER!$A$5:$A$370,A86))</f>
        <v/>
      </c>
      <c r="D86" s="7">
        <f>IF(A86="","",SUMIFS(KALENDER!$L$5:$L$370,KALENDER!$A$5:$A$370,A86))</f>
        <v/>
      </c>
    </row>
    <row r="87">
      <c r="A87" s="36">
        <f>IF(6&gt;DAY($H$3),"",DATE(LISTEN!$F$2,$AZ$3,6))</f>
        <v/>
      </c>
      <c r="B87" s="7">
        <f>IF(A87="","",CHOOSE(WEEKDAY(A87,2),"Mo","Di","Mi","Do","Fr","Sa","So"))</f>
        <v/>
      </c>
      <c r="C87" s="7">
        <f>IF(A87="","",SUMIFS(KALENDER!$F$5:$F$370,KALENDER!$A$5:$A$370,A87))</f>
        <v/>
      </c>
      <c r="D87" s="7">
        <f>IF(A87="","",SUMIFS(KALENDER!$L$5:$L$370,KALENDER!$A$5:$A$370,A87))</f>
        <v/>
      </c>
    </row>
    <row r="88">
      <c r="A88" s="36">
        <f>IF(7&gt;DAY($H$3),"",DATE(LISTEN!$F$2,$AZ$3,7))</f>
        <v/>
      </c>
      <c r="B88" s="7">
        <f>IF(A88="","",CHOOSE(WEEKDAY(A88,2),"Mo","Di","Mi","Do","Fr","Sa","So"))</f>
        <v/>
      </c>
      <c r="C88" s="7">
        <f>IF(A88="","",SUMIFS(KALENDER!$F$5:$F$370,KALENDER!$A$5:$A$370,A88))</f>
        <v/>
      </c>
      <c r="D88" s="7">
        <f>IF(A88="","",SUMIFS(KALENDER!$L$5:$L$370,KALENDER!$A$5:$A$370,A88))</f>
        <v/>
      </c>
    </row>
    <row r="89">
      <c r="A89" s="36">
        <f>IF(8&gt;DAY($H$3),"",DATE(LISTEN!$F$2,$AZ$3,8))</f>
        <v/>
      </c>
      <c r="B89" s="7">
        <f>IF(A89="","",CHOOSE(WEEKDAY(A89,2),"Mo","Di","Mi","Do","Fr","Sa","So"))</f>
        <v/>
      </c>
      <c r="C89" s="7">
        <f>IF(A89="","",SUMIFS(KALENDER!$F$5:$F$370,KALENDER!$A$5:$A$370,A89))</f>
        <v/>
      </c>
      <c r="D89" s="7">
        <f>IF(A89="","",SUMIFS(KALENDER!$L$5:$L$370,KALENDER!$A$5:$A$370,A89))</f>
        <v/>
      </c>
    </row>
    <row r="90">
      <c r="A90" s="36">
        <f>IF(9&gt;DAY($H$3),"",DATE(LISTEN!$F$2,$AZ$3,9))</f>
        <v/>
      </c>
      <c r="B90" s="7">
        <f>IF(A90="","",CHOOSE(WEEKDAY(A90,2),"Mo","Di","Mi","Do","Fr","Sa","So"))</f>
        <v/>
      </c>
      <c r="C90" s="7">
        <f>IF(A90="","",SUMIFS(KALENDER!$F$5:$F$370,KALENDER!$A$5:$A$370,A90))</f>
        <v/>
      </c>
      <c r="D90" s="7">
        <f>IF(A90="","",SUMIFS(KALENDER!$L$5:$L$370,KALENDER!$A$5:$A$370,A90))</f>
        <v/>
      </c>
    </row>
    <row r="91">
      <c r="A91" s="36">
        <f>IF(10&gt;DAY($H$3),"",DATE(LISTEN!$F$2,$AZ$3,10))</f>
        <v/>
      </c>
      <c r="B91" s="7">
        <f>IF(A91="","",CHOOSE(WEEKDAY(A91,2),"Mo","Di","Mi","Do","Fr","Sa","So"))</f>
        <v/>
      </c>
      <c r="C91" s="7">
        <f>IF(A91="","",SUMIFS(KALENDER!$F$5:$F$370,KALENDER!$A$5:$A$370,A91))</f>
        <v/>
      </c>
      <c r="D91" s="7">
        <f>IF(A91="","",SUMIFS(KALENDER!$L$5:$L$370,KALENDER!$A$5:$A$370,A91))</f>
        <v/>
      </c>
    </row>
    <row r="92">
      <c r="A92" s="36">
        <f>IF(11&gt;DAY($H$3),"",DATE(LISTEN!$F$2,$AZ$3,11))</f>
        <v/>
      </c>
      <c r="B92" s="7">
        <f>IF(A92="","",CHOOSE(WEEKDAY(A92,2),"Mo","Di","Mi","Do","Fr","Sa","So"))</f>
        <v/>
      </c>
      <c r="C92" s="7">
        <f>IF(A92="","",SUMIFS(KALENDER!$F$5:$F$370,KALENDER!$A$5:$A$370,A92))</f>
        <v/>
      </c>
      <c r="D92" s="7">
        <f>IF(A92="","",SUMIFS(KALENDER!$L$5:$L$370,KALENDER!$A$5:$A$370,A92))</f>
        <v/>
      </c>
    </row>
    <row r="93">
      <c r="A93" s="36">
        <f>IF(12&gt;DAY($H$3),"",DATE(LISTEN!$F$2,$AZ$3,12))</f>
        <v/>
      </c>
      <c r="B93" s="7">
        <f>IF(A93="","",CHOOSE(WEEKDAY(A93,2),"Mo","Di","Mi","Do","Fr","Sa","So"))</f>
        <v/>
      </c>
      <c r="C93" s="7">
        <f>IF(A93="","",SUMIFS(KALENDER!$F$5:$F$370,KALENDER!$A$5:$A$370,A93))</f>
        <v/>
      </c>
      <c r="D93" s="7">
        <f>IF(A93="","",SUMIFS(KALENDER!$L$5:$L$370,KALENDER!$A$5:$A$370,A93))</f>
        <v/>
      </c>
    </row>
    <row r="94">
      <c r="A94" s="36">
        <f>IF(13&gt;DAY($H$3),"",DATE(LISTEN!$F$2,$AZ$3,13))</f>
        <v/>
      </c>
      <c r="B94" s="7">
        <f>IF(A94="","",CHOOSE(WEEKDAY(A94,2),"Mo","Di","Mi","Do","Fr","Sa","So"))</f>
        <v/>
      </c>
      <c r="C94" s="7">
        <f>IF(A94="","",SUMIFS(KALENDER!$F$5:$F$370,KALENDER!$A$5:$A$370,A94))</f>
        <v/>
      </c>
      <c r="D94" s="7">
        <f>IF(A94="","",SUMIFS(KALENDER!$L$5:$L$370,KALENDER!$A$5:$A$370,A94))</f>
        <v/>
      </c>
    </row>
    <row r="95">
      <c r="A95" s="36">
        <f>IF(14&gt;DAY($H$3),"",DATE(LISTEN!$F$2,$AZ$3,14))</f>
        <v/>
      </c>
      <c r="B95" s="7">
        <f>IF(A95="","",CHOOSE(WEEKDAY(A95,2),"Mo","Di","Mi","Do","Fr","Sa","So"))</f>
        <v/>
      </c>
      <c r="C95" s="7">
        <f>IF(A95="","",SUMIFS(KALENDER!$F$5:$F$370,KALENDER!$A$5:$A$370,A95))</f>
        <v/>
      </c>
      <c r="D95" s="7">
        <f>IF(A95="","",SUMIFS(KALENDER!$L$5:$L$370,KALENDER!$A$5:$A$370,A95))</f>
        <v/>
      </c>
    </row>
    <row r="96">
      <c r="A96" s="36">
        <f>IF(15&gt;DAY($H$3),"",DATE(LISTEN!$F$2,$AZ$3,15))</f>
        <v/>
      </c>
      <c r="B96" s="7">
        <f>IF(A96="","",CHOOSE(WEEKDAY(A96,2),"Mo","Di","Mi","Do","Fr","Sa","So"))</f>
        <v/>
      </c>
      <c r="C96" s="7">
        <f>IF(A96="","",SUMIFS(KALENDER!$F$5:$F$370,KALENDER!$A$5:$A$370,A96))</f>
        <v/>
      </c>
      <c r="D96" s="7">
        <f>IF(A96="","",SUMIFS(KALENDER!$L$5:$L$370,KALENDER!$A$5:$A$370,A96))</f>
        <v/>
      </c>
    </row>
    <row r="97">
      <c r="A97" s="36">
        <f>IF(16&gt;DAY($H$3),"",DATE(LISTEN!$F$2,$AZ$3,16))</f>
        <v/>
      </c>
      <c r="B97" s="7">
        <f>IF(A97="","",CHOOSE(WEEKDAY(A97,2),"Mo","Di","Mi","Do","Fr","Sa","So"))</f>
        <v/>
      </c>
      <c r="C97" s="7">
        <f>IF(A97="","",SUMIFS(KALENDER!$F$5:$F$370,KALENDER!$A$5:$A$370,A97))</f>
        <v/>
      </c>
      <c r="D97" s="7">
        <f>IF(A97="","",SUMIFS(KALENDER!$L$5:$L$370,KALENDER!$A$5:$A$370,A97))</f>
        <v/>
      </c>
    </row>
    <row r="98">
      <c r="A98" s="36">
        <f>IF(17&gt;DAY($H$3),"",DATE(LISTEN!$F$2,$AZ$3,17))</f>
        <v/>
      </c>
      <c r="B98" s="7">
        <f>IF(A98="","",CHOOSE(WEEKDAY(A98,2),"Mo","Di","Mi","Do","Fr","Sa","So"))</f>
        <v/>
      </c>
      <c r="C98" s="7">
        <f>IF(A98="","",SUMIFS(KALENDER!$F$5:$F$370,KALENDER!$A$5:$A$370,A98))</f>
        <v/>
      </c>
      <c r="D98" s="7">
        <f>IF(A98="","",SUMIFS(KALENDER!$L$5:$L$370,KALENDER!$A$5:$A$370,A98))</f>
        <v/>
      </c>
    </row>
    <row r="99">
      <c r="A99" s="36">
        <f>IF(18&gt;DAY($H$3),"",DATE(LISTEN!$F$2,$AZ$3,18))</f>
        <v/>
      </c>
      <c r="B99" s="7">
        <f>IF(A99="","",CHOOSE(WEEKDAY(A99,2),"Mo","Di","Mi","Do","Fr","Sa","So"))</f>
        <v/>
      </c>
      <c r="C99" s="7">
        <f>IF(A99="","",SUMIFS(KALENDER!$F$5:$F$370,KALENDER!$A$5:$A$370,A99))</f>
        <v/>
      </c>
      <c r="D99" s="7">
        <f>IF(A99="","",SUMIFS(KALENDER!$L$5:$L$370,KALENDER!$A$5:$A$370,A99))</f>
        <v/>
      </c>
    </row>
    <row r="100">
      <c r="A100" s="36">
        <f>IF(19&gt;DAY($H$3),"",DATE(LISTEN!$F$2,$AZ$3,19))</f>
        <v/>
      </c>
      <c r="B100" s="7">
        <f>IF(A100="","",CHOOSE(WEEKDAY(A100,2),"Mo","Di","Mi","Do","Fr","Sa","So"))</f>
        <v/>
      </c>
      <c r="C100" s="7">
        <f>IF(A100="","",SUMIFS(KALENDER!$F$5:$F$370,KALENDER!$A$5:$A$370,A100))</f>
        <v/>
      </c>
      <c r="D100" s="7">
        <f>IF(A100="","",SUMIFS(KALENDER!$L$5:$L$370,KALENDER!$A$5:$A$370,A100))</f>
        <v/>
      </c>
    </row>
    <row r="101">
      <c r="A101" s="36">
        <f>IF(20&gt;DAY($H$3),"",DATE(LISTEN!$F$2,$AZ$3,20))</f>
        <v/>
      </c>
      <c r="B101" s="7">
        <f>IF(A101="","",CHOOSE(WEEKDAY(A101,2),"Mo","Di","Mi","Do","Fr","Sa","So"))</f>
        <v/>
      </c>
      <c r="C101" s="7">
        <f>IF(A101="","",SUMIFS(KALENDER!$F$5:$F$370,KALENDER!$A$5:$A$370,A101))</f>
        <v/>
      </c>
      <c r="D101" s="7">
        <f>IF(A101="","",SUMIFS(KALENDER!$L$5:$L$370,KALENDER!$A$5:$A$370,A101))</f>
        <v/>
      </c>
    </row>
    <row r="102">
      <c r="A102" s="36">
        <f>IF(21&gt;DAY($H$3),"",DATE(LISTEN!$F$2,$AZ$3,21))</f>
        <v/>
      </c>
      <c r="B102" s="7">
        <f>IF(A102="","",CHOOSE(WEEKDAY(A102,2),"Mo","Di","Mi","Do","Fr","Sa","So"))</f>
        <v/>
      </c>
      <c r="C102" s="7">
        <f>IF(A102="","",SUMIFS(KALENDER!$F$5:$F$370,KALENDER!$A$5:$A$370,A102))</f>
        <v/>
      </c>
      <c r="D102" s="7">
        <f>IF(A102="","",SUMIFS(KALENDER!$L$5:$L$370,KALENDER!$A$5:$A$370,A102))</f>
        <v/>
      </c>
    </row>
    <row r="103">
      <c r="A103" s="36">
        <f>IF(22&gt;DAY($H$3),"",DATE(LISTEN!$F$2,$AZ$3,22))</f>
        <v/>
      </c>
      <c r="B103" s="7">
        <f>IF(A103="","",CHOOSE(WEEKDAY(A103,2),"Mo","Di","Mi","Do","Fr","Sa","So"))</f>
        <v/>
      </c>
      <c r="C103" s="7">
        <f>IF(A103="","",SUMIFS(KALENDER!$F$5:$F$370,KALENDER!$A$5:$A$370,A103))</f>
        <v/>
      </c>
      <c r="D103" s="7">
        <f>IF(A103="","",SUMIFS(KALENDER!$L$5:$L$370,KALENDER!$A$5:$A$370,A103))</f>
        <v/>
      </c>
    </row>
    <row r="104">
      <c r="A104" s="36">
        <f>IF(23&gt;DAY($H$3),"",DATE(LISTEN!$F$2,$AZ$3,23))</f>
        <v/>
      </c>
      <c r="B104" s="7">
        <f>IF(A104="","",CHOOSE(WEEKDAY(A104,2),"Mo","Di","Mi","Do","Fr","Sa","So"))</f>
        <v/>
      </c>
      <c r="C104" s="7">
        <f>IF(A104="","",SUMIFS(KALENDER!$F$5:$F$370,KALENDER!$A$5:$A$370,A104))</f>
        <v/>
      </c>
      <c r="D104" s="7">
        <f>IF(A104="","",SUMIFS(KALENDER!$L$5:$L$370,KALENDER!$A$5:$A$370,A104))</f>
        <v/>
      </c>
    </row>
    <row r="105">
      <c r="A105" s="36">
        <f>IF(24&gt;DAY($H$3),"",DATE(LISTEN!$F$2,$AZ$3,24))</f>
        <v/>
      </c>
      <c r="B105" s="7">
        <f>IF(A105="","",CHOOSE(WEEKDAY(A105,2),"Mo","Di","Mi","Do","Fr","Sa","So"))</f>
        <v/>
      </c>
      <c r="C105" s="7">
        <f>IF(A105="","",SUMIFS(KALENDER!$F$5:$F$370,KALENDER!$A$5:$A$370,A105))</f>
        <v/>
      </c>
      <c r="D105" s="7">
        <f>IF(A105="","",SUMIFS(KALENDER!$L$5:$L$370,KALENDER!$A$5:$A$370,A105))</f>
        <v/>
      </c>
    </row>
    <row r="106">
      <c r="A106" s="36">
        <f>IF(25&gt;DAY($H$3),"",DATE(LISTEN!$F$2,$AZ$3,25))</f>
        <v/>
      </c>
      <c r="B106" s="7">
        <f>IF(A106="","",CHOOSE(WEEKDAY(A106,2),"Mo","Di","Mi","Do","Fr","Sa","So"))</f>
        <v/>
      </c>
      <c r="C106" s="7">
        <f>IF(A106="","",SUMIFS(KALENDER!$F$5:$F$370,KALENDER!$A$5:$A$370,A106))</f>
        <v/>
      </c>
      <c r="D106" s="7">
        <f>IF(A106="","",SUMIFS(KALENDER!$L$5:$L$370,KALENDER!$A$5:$A$370,A106))</f>
        <v/>
      </c>
    </row>
    <row r="107">
      <c r="A107" s="36">
        <f>IF(26&gt;DAY($H$3),"",DATE(LISTEN!$F$2,$AZ$3,26))</f>
        <v/>
      </c>
      <c r="B107" s="7">
        <f>IF(A107="","",CHOOSE(WEEKDAY(A107,2),"Mo","Di","Mi","Do","Fr","Sa","So"))</f>
        <v/>
      </c>
      <c r="C107" s="7">
        <f>IF(A107="","",SUMIFS(KALENDER!$F$5:$F$370,KALENDER!$A$5:$A$370,A107))</f>
        <v/>
      </c>
      <c r="D107" s="7">
        <f>IF(A107="","",SUMIFS(KALENDER!$L$5:$L$370,KALENDER!$A$5:$A$370,A107))</f>
        <v/>
      </c>
    </row>
    <row r="108">
      <c r="A108" s="36">
        <f>IF(27&gt;DAY($H$3),"",DATE(LISTEN!$F$2,$AZ$3,27))</f>
        <v/>
      </c>
      <c r="B108" s="7">
        <f>IF(A108="","",CHOOSE(WEEKDAY(A108,2),"Mo","Di","Mi","Do","Fr","Sa","So"))</f>
        <v/>
      </c>
      <c r="C108" s="7">
        <f>IF(A108="","",SUMIFS(KALENDER!$F$5:$F$370,KALENDER!$A$5:$A$370,A108))</f>
        <v/>
      </c>
      <c r="D108" s="7">
        <f>IF(A108="","",SUMIFS(KALENDER!$L$5:$L$370,KALENDER!$A$5:$A$370,A108))</f>
        <v/>
      </c>
    </row>
    <row r="109">
      <c r="A109" s="36">
        <f>IF(28&gt;DAY($H$3),"",DATE(LISTEN!$F$2,$AZ$3,28))</f>
        <v/>
      </c>
      <c r="B109" s="7">
        <f>IF(A109="","",CHOOSE(WEEKDAY(A109,2),"Mo","Di","Mi","Do","Fr","Sa","So"))</f>
        <v/>
      </c>
      <c r="C109" s="7">
        <f>IF(A109="","",SUMIFS(KALENDER!$F$5:$F$370,KALENDER!$A$5:$A$370,A109))</f>
        <v/>
      </c>
      <c r="D109" s="7">
        <f>IF(A109="","",SUMIFS(KALENDER!$L$5:$L$370,KALENDER!$A$5:$A$370,A109))</f>
        <v/>
      </c>
    </row>
    <row r="110">
      <c r="A110" s="36">
        <f>IF(29&gt;DAY($H$3),"",DATE(LISTEN!$F$2,$AZ$3,29))</f>
        <v/>
      </c>
      <c r="B110" s="7">
        <f>IF(A110="","",CHOOSE(WEEKDAY(A110,2),"Mo","Di","Mi","Do","Fr","Sa","So"))</f>
        <v/>
      </c>
      <c r="C110" s="7">
        <f>IF(A110="","",SUMIFS(KALENDER!$F$5:$F$370,KALENDER!$A$5:$A$370,A110))</f>
        <v/>
      </c>
      <c r="D110" s="7">
        <f>IF(A110="","",SUMIFS(KALENDER!$L$5:$L$370,KALENDER!$A$5:$A$370,A110))</f>
        <v/>
      </c>
    </row>
    <row r="111">
      <c r="A111" s="36">
        <f>IF(30&gt;DAY($H$3),"",DATE(LISTEN!$F$2,$AZ$3,30))</f>
        <v/>
      </c>
      <c r="B111" s="7">
        <f>IF(A111="","",CHOOSE(WEEKDAY(A111,2),"Mo","Di","Mi","Do","Fr","Sa","So"))</f>
        <v/>
      </c>
      <c r="C111" s="7">
        <f>IF(A111="","",SUMIFS(KALENDER!$F$5:$F$370,KALENDER!$A$5:$A$370,A111))</f>
        <v/>
      </c>
      <c r="D111" s="7">
        <f>IF(A111="","",SUMIFS(KALENDER!$L$5:$L$370,KALENDER!$A$5:$A$370,A111))</f>
        <v/>
      </c>
    </row>
    <row r="112">
      <c r="A112" s="36">
        <f>IF(31&gt;DAY($H$3),"",DATE(LISTEN!$F$2,$AZ$3,31))</f>
        <v/>
      </c>
      <c r="B112" s="7">
        <f>IF(A112="","",CHOOSE(WEEKDAY(A112,2),"Mo","Di","Mi","Do","Fr","Sa","So"))</f>
        <v/>
      </c>
      <c r="C112" s="7">
        <f>IF(A112="","",SUMIFS(KALENDER!$F$5:$F$370,KALENDER!$A$5:$A$370,A112))</f>
        <v/>
      </c>
      <c r="D112" s="7">
        <f>IF(A112="","",SUMIFS(KALENDER!$L$5:$L$370,KALENDER!$A$5:$A$370,A112))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2">
    <mergeCell ref="H53:I53"/>
    <mergeCell ref="C6:D6"/>
    <mergeCell ref="F68:G68"/>
    <mergeCell ref="O6:P6"/>
    <mergeCell ref="H55:I55"/>
    <mergeCell ref="J70:O70"/>
    <mergeCell ref="J54:O54"/>
    <mergeCell ref="J63:O63"/>
    <mergeCell ref="J56:O56"/>
    <mergeCell ref="F70:G70"/>
    <mergeCell ref="H52:I52"/>
    <mergeCell ref="F72:G72"/>
    <mergeCell ref="H72:I72"/>
    <mergeCell ref="F56:G56"/>
    <mergeCell ref="F71:G71"/>
    <mergeCell ref="H65:I65"/>
    <mergeCell ref="J67:O67"/>
    <mergeCell ref="H62:I62"/>
    <mergeCell ref="J59:O59"/>
    <mergeCell ref="H71:I71"/>
    <mergeCell ref="J60:O60"/>
    <mergeCell ref="J69:O69"/>
    <mergeCell ref="F57:G57"/>
    <mergeCell ref="E3:F3"/>
    <mergeCell ref="J53:O53"/>
    <mergeCell ref="I6:J6"/>
    <mergeCell ref="F54:G54"/>
    <mergeCell ref="B3:C3"/>
    <mergeCell ref="H54:I54"/>
    <mergeCell ref="F63:G63"/>
    <mergeCell ref="C5:D5"/>
    <mergeCell ref="H63:I63"/>
    <mergeCell ref="E5:F5"/>
    <mergeCell ref="H50:I50"/>
    <mergeCell ref="J55:O55"/>
    <mergeCell ref="F74:G74"/>
    <mergeCell ref="H74:I74"/>
    <mergeCell ref="H56:I56"/>
    <mergeCell ref="H68:I68"/>
    <mergeCell ref="F76:G76"/>
    <mergeCell ref="H49:I49"/>
    <mergeCell ref="F66:G66"/>
    <mergeCell ref="F75:G75"/>
    <mergeCell ref="H69:I69"/>
    <mergeCell ref="F62:G62"/>
    <mergeCell ref="J71:O71"/>
    <mergeCell ref="J58:O58"/>
    <mergeCell ref="J76:O76"/>
    <mergeCell ref="H75:I75"/>
    <mergeCell ref="J64:O64"/>
    <mergeCell ref="J73:O73"/>
    <mergeCell ref="H3:I3"/>
    <mergeCell ref="F61:G61"/>
    <mergeCell ref="F48:G48"/>
    <mergeCell ref="J57:O57"/>
    <mergeCell ref="H48:I48"/>
    <mergeCell ref="K6:L6"/>
    <mergeCell ref="J77:O77"/>
    <mergeCell ref="F64:G64"/>
    <mergeCell ref="J68:O68"/>
    <mergeCell ref="F73:G73"/>
    <mergeCell ref="J49:O49"/>
    <mergeCell ref="K5:L5"/>
    <mergeCell ref="M5:N5"/>
    <mergeCell ref="H58:I58"/>
    <mergeCell ref="H73:I73"/>
    <mergeCell ref="O5:P5"/>
    <mergeCell ref="H60:I60"/>
    <mergeCell ref="J75:O75"/>
    <mergeCell ref="F50:G50"/>
    <mergeCell ref="E6:F6"/>
    <mergeCell ref="J51:O51"/>
    <mergeCell ref="J62:O62"/>
    <mergeCell ref="A5:B5"/>
    <mergeCell ref="J48:O48"/>
    <mergeCell ref="H57:I57"/>
    <mergeCell ref="H66:I66"/>
    <mergeCell ref="F77:G77"/>
    <mergeCell ref="H77:I77"/>
    <mergeCell ref="F49:G49"/>
    <mergeCell ref="H67:I67"/>
    <mergeCell ref="F69:G69"/>
    <mergeCell ref="F78:G78"/>
    <mergeCell ref="H78:I78"/>
    <mergeCell ref="J65:O65"/>
    <mergeCell ref="F65:G65"/>
    <mergeCell ref="J74:O74"/>
    <mergeCell ref="A6:B6"/>
    <mergeCell ref="F59:G59"/>
    <mergeCell ref="F55:G55"/>
    <mergeCell ref="H59:I59"/>
    <mergeCell ref="H64:I64"/>
    <mergeCell ref="F51:G51"/>
    <mergeCell ref="H51:I51"/>
    <mergeCell ref="J66:O66"/>
    <mergeCell ref="G6:H6"/>
    <mergeCell ref="H61:I61"/>
    <mergeCell ref="J50:O50"/>
    <mergeCell ref="H70:I70"/>
    <mergeCell ref="M6:N6"/>
    <mergeCell ref="G5:H5"/>
    <mergeCell ref="J52:O52"/>
    <mergeCell ref="I5:J5"/>
    <mergeCell ref="J61:O61"/>
    <mergeCell ref="F58:G58"/>
    <mergeCell ref="F52:G52"/>
    <mergeCell ref="F67:G67"/>
    <mergeCell ref="J72:O72"/>
    <mergeCell ref="F60:G60"/>
    <mergeCell ref="H76:I76"/>
    <mergeCell ref="J78:O78"/>
    <mergeCell ref="F53:G53"/>
  </mergeCells>
  <dataValidations count="1">
    <dataValidation sqref="B3" showDropDown="0" showInputMessage="0" showErrorMessage="1" allowBlank="0" error="Bitte Monat aus der Liste wählen." type="list">
      <formula1>LISTEN!$H$2:$H$13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P16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3" customWidth="1" min="17" max="17"/>
  </cols>
  <sheetData>
    <row r="1">
      <c r="A1" s="15">
        <f>"Jahresbericht "&amp;LISTEN!$F$2&amp;" – "&amp;LISTEN!$F$3</f>
        <v/>
      </c>
    </row>
    <row r="2">
      <c r="A2" s="16" t="inlineStr">
        <is>
          <t>Rechnet automatisch aus der Erfassung. Nur 'Vorjahr' (gelb) wird händisch eingetragen.</t>
        </is>
      </c>
    </row>
    <row r="4">
      <c r="A4" s="30" t="inlineStr">
        <is>
          <t>Öffnungstage</t>
        </is>
      </c>
      <c r="B4" s="31" t="n"/>
      <c r="C4" s="30" t="inlineStr">
        <is>
          <t>Einträge (Angebote)</t>
        </is>
      </c>
      <c r="D4" s="31" t="n"/>
      <c r="E4" s="30" t="inlineStr">
        <is>
          <t>Kontakte gesamt</t>
        </is>
      </c>
      <c r="F4" s="31" t="n"/>
      <c r="G4" s="30" t="inlineStr">
        <is>
          <t>Ø Kontakte pro Öffnungstag</t>
        </is>
      </c>
      <c r="H4" s="31" t="n"/>
      <c r="I4" s="30" t="inlineStr">
        <is>
          <t>Stunden</t>
        </is>
      </c>
      <c r="J4" s="31" t="n"/>
      <c r="K4" s="30" t="inlineStr">
        <is>
          <t>weiblich</t>
        </is>
      </c>
      <c r="L4" s="31" t="n"/>
      <c r="M4" s="30" t="inlineStr">
        <is>
          <t>divers</t>
        </is>
      </c>
      <c r="N4" s="31" t="n"/>
      <c r="O4" s="30" t="inlineStr">
        <is>
          <t>männlich</t>
        </is>
      </c>
      <c r="P4" s="31" t="n"/>
    </row>
    <row r="5" ht="28" customHeight="1">
      <c r="A5" s="32">
        <f>SUM(KALENDER!$G$5:$G$370)</f>
        <v/>
      </c>
      <c r="B5" s="31" t="n"/>
      <c r="C5" s="32">
        <f>SUM(KALENDER!$F$5:$F$370)</f>
        <v/>
      </c>
      <c r="D5" s="31" t="n"/>
      <c r="E5" s="32">
        <f>(SUM(KALENDER!$I$5:$I$370)+SUM(KALENDER!$J$5:$J$370)+SUM(KALENDER!$K$5:$K$370))</f>
        <v/>
      </c>
      <c r="F5" s="31" t="n"/>
      <c r="G5" s="33">
        <f>IF(N(SUM(KALENDER!$G$5:$G$370))=0,0,(SUM(KALENDER!$I$5:$I$370)+SUM(KALENDER!$J$5:$J$370)+SUM(KALENDER!$K$5:$K$370))/SUM(KALENDER!$G$5:$G$370))</f>
        <v/>
      </c>
      <c r="H5" s="31" t="n"/>
      <c r="I5" s="34">
        <f>SUM(KALENDER!$H$5:$H$370)</f>
        <v/>
      </c>
      <c r="J5" s="31" t="n"/>
      <c r="K5" s="35">
        <f>IF((SUM(KALENDER!$I$5:$I$370)+SUM(KALENDER!$J$5:$J$370)+SUM(KALENDER!$K$5:$K$370))=0,0,SUM(KALENDER!$I$5:$I$370)/(SUM(KALENDER!$I$5:$I$370)+SUM(KALENDER!$J$5:$J$370)+SUM(KALENDER!$K$5:$K$370)))</f>
        <v/>
      </c>
      <c r="L5" s="31" t="n"/>
      <c r="M5" s="35">
        <f>IF((SUM(KALENDER!$I$5:$I$370)+SUM(KALENDER!$J$5:$J$370)+SUM(KALENDER!$K$5:$K$370))=0,0,SUM(KALENDER!$J$5:$J$370)/(SUM(KALENDER!$I$5:$I$370)+SUM(KALENDER!$J$5:$J$370)+SUM(KALENDER!$K$5:$K$370)))</f>
        <v/>
      </c>
      <c r="N5" s="31" t="n"/>
      <c r="O5" s="35">
        <f>IF((SUM(KALENDER!$I$5:$I$370)+SUM(KALENDER!$J$5:$J$370)+SUM(KALENDER!$K$5:$K$370))=0,0,SUM(KALENDER!$K$5:$K$370)/(SUM(KALENDER!$I$5:$I$370)+SUM(KALENDER!$J$5:$J$370)+SUM(KALENDER!$K$5:$K$370)))</f>
        <v/>
      </c>
      <c r="P5" s="31" t="n"/>
    </row>
    <row r="7">
      <c r="A7" s="5" t="inlineStr">
        <is>
          <t>Kennzahlen mit Vorjahresvergleich</t>
        </is>
      </c>
      <c r="G7" s="5" t="inlineStr">
        <is>
          <t>Textbaustein für den Jahresbericht</t>
        </is>
      </c>
    </row>
    <row r="8">
      <c r="A8" s="6" t="inlineStr">
        <is>
          <t>Kennzahl</t>
        </is>
      </c>
      <c r="B8" s="29" t="n"/>
      <c r="C8" s="6">
        <f>LISTEN!$F$2</f>
        <v/>
      </c>
      <c r="D8" s="6">
        <f>"Vorjahr ("&amp;(LISTEN!$F$2-1)&amp;")"</f>
        <v/>
      </c>
      <c r="E8" s="6" t="inlineStr">
        <is>
          <t>Veränderung</t>
        </is>
      </c>
      <c r="G8" s="51">
        <f>IF(SUM(KALENDER!$L$5:$L$370)=0,"Noch keine Einträge vorhanden – der Text entsteht automatisch, sobald erfasst wird.","Im Jahr "&amp;LISTEN!$F$2&amp;" hatte "&amp;LISTEN!$F$3&amp;" an "&amp;SUM(KALENDER!$G$5:$G$370)&amp;" Tagen geöffnet. In "&amp;SUM(KALENDER!$F$5:$F$370)&amp;" Angeboten wurden "&amp;SUM(KALENDER!$L$5:$L$370)&amp;" Kontakte gezählt – das sind durchschnittlich "&amp;ROUND(SUM(KALENDER!$L$5:$L$370)/MAX(1,SUM(KALENDER!$G$5:$G$370)),1)&amp;" Kontakte pro Öffnungstag. "&amp;ROUND(SUM(KALENDER!$I$5:$I$370)/SUM(KALENDER!$L$5:$L$370)*100,0)&amp;" % der Kontakte waren weiblich, "&amp;ROUND(SUM(KALENDER!$J$5:$J$370)/SUM(KALENDER!$L$5:$L$370)*100,0)&amp;" % divers und "&amp;ROUND(SUM(KALENDER!$K$5:$K$370)/SUM(KALENDER!$L$5:$L$370)*100,0)&amp;" % männlich. "&amp;"Die stärkste Altersgruppe war „"&amp;INDEX($E$40:$I$40,MATCH(MAX($E$41:$I$41),$E$41:$I$41,0))&amp;"“ ("&amp;ROUND(MAX($E$42:$I$42)*100,0)&amp;" %). Das meistbesuchte Angebot war „"&amp;INDEX($A$46:$A$75,MATCH(MAX($G$46:$G$75),$G$46:$G$75,0))&amp;"“ mit "&amp;MAX($G$46:$G$75)&amp;" Kontakten. "&amp;"Insgesamt wurden "&amp;ROUND(SUM(KALENDER!$H$5:$H$370),1)&amp;" Angebotsstunden dokumentiert.")</f>
        <v/>
      </c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</row>
    <row r="9">
      <c r="A9" s="53" t="inlineStr">
        <is>
          <t>Öffnungstage</t>
        </is>
      </c>
      <c r="B9" s="54" t="n"/>
      <c r="C9" s="55">
        <f>SUM(KALENDER!$G$5:$G$370)</f>
        <v/>
      </c>
      <c r="D9" s="56" t="n"/>
      <c r="E9" s="57">
        <f>IF(N(D9)=0,"",C9/D9-1)</f>
        <v/>
      </c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</row>
    <row r="10">
      <c r="A10" s="53" t="inlineStr">
        <is>
          <t>Einträge (Angebote)</t>
        </is>
      </c>
      <c r="B10" s="54" t="n"/>
      <c r="C10" s="55">
        <f>SUM(KALENDER!$F$5:$F$370)</f>
        <v/>
      </c>
      <c r="D10" s="56" t="n"/>
      <c r="E10" s="57">
        <f>IF(N(D10)=0,"",C10/D10-1)</f>
        <v/>
      </c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</row>
    <row r="11">
      <c r="A11" s="53" t="inlineStr">
        <is>
          <t>Kontakte gesamt</t>
        </is>
      </c>
      <c r="B11" s="54" t="n"/>
      <c r="C11" s="55">
        <f>SUM(KALENDER!$L$5:$L$370)</f>
        <v/>
      </c>
      <c r="D11" s="56" t="n"/>
      <c r="E11" s="57">
        <f>IF(N(D11)=0,"",C11/D11-1)</f>
        <v/>
      </c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</row>
    <row r="12">
      <c r="A12" s="53" t="inlineStr">
        <is>
          <t>Ø Kontakte pro Öffnungstag</t>
        </is>
      </c>
      <c r="B12" s="54" t="n"/>
      <c r="C12" s="58">
        <f>IF(SUM(KALENDER!$G$5:$G$370)=0,0,SUM(KALENDER!$L$5:$L$370)/SUM(KALENDER!$G$5:$G$370))</f>
        <v/>
      </c>
      <c r="D12" s="59" t="n"/>
      <c r="E12" s="57">
        <f>IF(N(D12)=0,"",C12/D12-1)</f>
        <v/>
      </c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</row>
    <row r="13">
      <c r="A13" s="53" t="inlineStr">
        <is>
          <t>Stunden</t>
        </is>
      </c>
      <c r="B13" s="54" t="n"/>
      <c r="C13" s="60">
        <f>SUM(KALENDER!$H$5:$H$370)</f>
        <v/>
      </c>
      <c r="D13" s="61" t="n"/>
      <c r="E13" s="57">
        <f>IF(N(D13)=0,"",C13/D13-1)</f>
        <v/>
      </c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</row>
    <row r="14">
      <c r="A14" s="53" t="inlineStr">
        <is>
          <t>Kontakte weiblich</t>
        </is>
      </c>
      <c r="B14" s="54" t="n"/>
      <c r="C14" s="55">
        <f>SUM(KALENDER!$I$5:$I$370)</f>
        <v/>
      </c>
      <c r="D14" s="56" t="n"/>
      <c r="E14" s="57">
        <f>IF(N(D14)=0,"",C14/D14-1)</f>
        <v/>
      </c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</row>
    <row r="15">
      <c r="A15" s="53" t="inlineStr">
        <is>
          <t>Kontakte divers</t>
        </is>
      </c>
      <c r="B15" s="54" t="n"/>
      <c r="C15" s="55">
        <f>SUM(KALENDER!$J$5:$J$370)</f>
        <v/>
      </c>
      <c r="D15" s="56" t="n"/>
      <c r="E15" s="57">
        <f>IF(N(D15)=0,"",C15/D15-1)</f>
        <v/>
      </c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</row>
    <row r="16">
      <c r="A16" s="53" t="inlineStr">
        <is>
          <t>Kontakte männlich</t>
        </is>
      </c>
      <c r="B16" s="54" t="n"/>
      <c r="C16" s="55">
        <f>SUM(KALENDER!$K$5:$K$370)</f>
        <v/>
      </c>
      <c r="D16" s="56" t="n"/>
      <c r="E16" s="57">
        <f>IF(N(D16)=0,"",C16/D16-1)</f>
        <v/>
      </c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</row>
    <row r="18">
      <c r="A18" s="5" t="inlineStr">
        <is>
          <t>Monate</t>
        </is>
      </c>
    </row>
    <row r="19">
      <c r="A19" s="6" t="inlineStr">
        <is>
          <t>Monat</t>
        </is>
      </c>
      <c r="B19" s="6" t="inlineStr">
        <is>
          <t>Öffnungstage</t>
        </is>
      </c>
      <c r="C19" s="6" t="inlineStr">
        <is>
          <t>Einträge</t>
        </is>
      </c>
      <c r="D19" s="6" t="inlineStr">
        <is>
          <t>Stunden</t>
        </is>
      </c>
      <c r="E19" s="6" t="inlineStr">
        <is>
          <t>w</t>
        </is>
      </c>
      <c r="F19" s="6" t="inlineStr">
        <is>
          <t>d</t>
        </is>
      </c>
      <c r="G19" s="6" t="inlineStr">
        <is>
          <t>m</t>
        </is>
      </c>
      <c r="H19" s="6" t="inlineStr">
        <is>
          <t>gesamt</t>
        </is>
      </c>
      <c r="I19" s="6" t="inlineStr">
        <is>
          <t>unter 10</t>
        </is>
      </c>
      <c r="J19" s="6" t="inlineStr">
        <is>
          <t>ab 10</t>
        </is>
      </c>
      <c r="K19" s="6" t="inlineStr">
        <is>
          <t>ab 14</t>
        </is>
      </c>
      <c r="L19" s="6" t="inlineStr">
        <is>
          <t>ab 16</t>
        </is>
      </c>
      <c r="M19" s="6" t="inlineStr">
        <is>
          <t>ab 18</t>
        </is>
      </c>
      <c r="N19" s="6" t="inlineStr">
        <is>
          <t>Ø Kontakte / Tag</t>
        </is>
      </c>
    </row>
    <row r="20">
      <c r="A20" s="39">
        <f>LISTEN!$H$2</f>
        <v/>
      </c>
      <c r="B20" s="7">
        <f>SUMIFS(KALENDER!$G$5:$G$370,KALENDER!$D$5:$D$370,1)</f>
        <v/>
      </c>
      <c r="C20" s="7">
        <f>SUMIFS(KALENDER!$F$5:$F$370,KALENDER!$D$5:$D$370,1)</f>
        <v/>
      </c>
      <c r="D20" s="37">
        <f>SUMIFS(KALENDER!$H$5:$H$370,KALENDER!$D$5:$D$370,1)</f>
        <v/>
      </c>
      <c r="E20" s="7">
        <f>SUMIFS(KALENDER!$I$5:$I$370,KALENDER!$D$5:$D$370,1)</f>
        <v/>
      </c>
      <c r="F20" s="7">
        <f>SUMIFS(KALENDER!$J$5:$J$370,KALENDER!$D$5:$D$370,1)</f>
        <v/>
      </c>
      <c r="G20" s="7">
        <f>SUMIFS(KALENDER!$K$5:$K$370,KALENDER!$D$5:$D$370,1)</f>
        <v/>
      </c>
      <c r="H20" s="7">
        <f>SUMIFS(KALENDER!$L$5:$L$370,KALENDER!$D$5:$D$370,1)</f>
        <v/>
      </c>
      <c r="I20" s="7">
        <f>SUMIFS(KALENDER!$M$5:$M$370,KALENDER!$D$5:$D$370,1)</f>
        <v/>
      </c>
      <c r="J20" s="7">
        <f>SUMIFS(KALENDER!$N$5:$N$370,KALENDER!$D$5:$D$370,1)</f>
        <v/>
      </c>
      <c r="K20" s="7">
        <f>SUMIFS(KALENDER!$O$5:$O$370,KALENDER!$D$5:$D$370,1)</f>
        <v/>
      </c>
      <c r="L20" s="7">
        <f>SUMIFS(KALENDER!$P$5:$P$370,KALENDER!$D$5:$D$370,1)</f>
        <v/>
      </c>
      <c r="M20" s="7">
        <f>SUMIFS(KALENDER!$Q$5:$Q$370,KALENDER!$D$5:$D$370,1)</f>
        <v/>
      </c>
      <c r="N20" s="62">
        <f>IF(B20=0,0,H20/B20)</f>
        <v/>
      </c>
    </row>
    <row r="21">
      <c r="A21" s="41">
        <f>LISTEN!$H$3</f>
        <v/>
      </c>
      <c r="B21" s="42">
        <f>SUMIFS(KALENDER!$G$5:$G$370,KALENDER!$D$5:$D$370,2)</f>
        <v/>
      </c>
      <c r="C21" s="42">
        <f>SUMIFS(KALENDER!$F$5:$F$370,KALENDER!$D$5:$D$370,2)</f>
        <v/>
      </c>
      <c r="D21" s="47">
        <f>SUMIFS(KALENDER!$H$5:$H$370,KALENDER!$D$5:$D$370,2)</f>
        <v/>
      </c>
      <c r="E21" s="42">
        <f>SUMIFS(KALENDER!$I$5:$I$370,KALENDER!$D$5:$D$370,2)</f>
        <v/>
      </c>
      <c r="F21" s="42">
        <f>SUMIFS(KALENDER!$J$5:$J$370,KALENDER!$D$5:$D$370,2)</f>
        <v/>
      </c>
      <c r="G21" s="42">
        <f>SUMIFS(KALENDER!$K$5:$K$370,KALENDER!$D$5:$D$370,2)</f>
        <v/>
      </c>
      <c r="H21" s="42">
        <f>SUMIFS(KALENDER!$L$5:$L$370,KALENDER!$D$5:$D$370,2)</f>
        <v/>
      </c>
      <c r="I21" s="42">
        <f>SUMIFS(KALENDER!$M$5:$M$370,KALENDER!$D$5:$D$370,2)</f>
        <v/>
      </c>
      <c r="J21" s="42">
        <f>SUMIFS(KALENDER!$N$5:$N$370,KALENDER!$D$5:$D$370,2)</f>
        <v/>
      </c>
      <c r="K21" s="42">
        <f>SUMIFS(KALENDER!$O$5:$O$370,KALENDER!$D$5:$D$370,2)</f>
        <v/>
      </c>
      <c r="L21" s="42">
        <f>SUMIFS(KALENDER!$P$5:$P$370,KALENDER!$D$5:$D$370,2)</f>
        <v/>
      </c>
      <c r="M21" s="42">
        <f>SUMIFS(KALENDER!$Q$5:$Q$370,KALENDER!$D$5:$D$370,2)</f>
        <v/>
      </c>
      <c r="N21" s="63">
        <f>IF(B21=0,0,H21/B21)</f>
        <v/>
      </c>
    </row>
    <row r="22">
      <c r="A22" s="39">
        <f>LISTEN!$H$4</f>
        <v/>
      </c>
      <c r="B22" s="7">
        <f>SUMIFS(KALENDER!$G$5:$G$370,KALENDER!$D$5:$D$370,3)</f>
        <v/>
      </c>
      <c r="C22" s="7">
        <f>SUMIFS(KALENDER!$F$5:$F$370,KALENDER!$D$5:$D$370,3)</f>
        <v/>
      </c>
      <c r="D22" s="37">
        <f>SUMIFS(KALENDER!$H$5:$H$370,KALENDER!$D$5:$D$370,3)</f>
        <v/>
      </c>
      <c r="E22" s="7">
        <f>SUMIFS(KALENDER!$I$5:$I$370,KALENDER!$D$5:$D$370,3)</f>
        <v/>
      </c>
      <c r="F22" s="7">
        <f>SUMIFS(KALENDER!$J$5:$J$370,KALENDER!$D$5:$D$370,3)</f>
        <v/>
      </c>
      <c r="G22" s="7">
        <f>SUMIFS(KALENDER!$K$5:$K$370,KALENDER!$D$5:$D$370,3)</f>
        <v/>
      </c>
      <c r="H22" s="7">
        <f>SUMIFS(KALENDER!$L$5:$L$370,KALENDER!$D$5:$D$370,3)</f>
        <v/>
      </c>
      <c r="I22" s="7">
        <f>SUMIFS(KALENDER!$M$5:$M$370,KALENDER!$D$5:$D$370,3)</f>
        <v/>
      </c>
      <c r="J22" s="7">
        <f>SUMIFS(KALENDER!$N$5:$N$370,KALENDER!$D$5:$D$370,3)</f>
        <v/>
      </c>
      <c r="K22" s="7">
        <f>SUMIFS(KALENDER!$O$5:$O$370,KALENDER!$D$5:$D$370,3)</f>
        <v/>
      </c>
      <c r="L22" s="7">
        <f>SUMIFS(KALENDER!$P$5:$P$370,KALENDER!$D$5:$D$370,3)</f>
        <v/>
      </c>
      <c r="M22" s="7">
        <f>SUMIFS(KALENDER!$Q$5:$Q$370,KALENDER!$D$5:$D$370,3)</f>
        <v/>
      </c>
      <c r="N22" s="62">
        <f>IF(B22=0,0,H22/B22)</f>
        <v/>
      </c>
    </row>
    <row r="23">
      <c r="A23" s="41">
        <f>LISTEN!$H$5</f>
        <v/>
      </c>
      <c r="B23" s="42">
        <f>SUMIFS(KALENDER!$G$5:$G$370,KALENDER!$D$5:$D$370,4)</f>
        <v/>
      </c>
      <c r="C23" s="42">
        <f>SUMIFS(KALENDER!$F$5:$F$370,KALENDER!$D$5:$D$370,4)</f>
        <v/>
      </c>
      <c r="D23" s="47">
        <f>SUMIFS(KALENDER!$H$5:$H$370,KALENDER!$D$5:$D$370,4)</f>
        <v/>
      </c>
      <c r="E23" s="42">
        <f>SUMIFS(KALENDER!$I$5:$I$370,KALENDER!$D$5:$D$370,4)</f>
        <v/>
      </c>
      <c r="F23" s="42">
        <f>SUMIFS(KALENDER!$J$5:$J$370,KALENDER!$D$5:$D$370,4)</f>
        <v/>
      </c>
      <c r="G23" s="42">
        <f>SUMIFS(KALENDER!$K$5:$K$370,KALENDER!$D$5:$D$370,4)</f>
        <v/>
      </c>
      <c r="H23" s="42">
        <f>SUMIFS(KALENDER!$L$5:$L$370,KALENDER!$D$5:$D$370,4)</f>
        <v/>
      </c>
      <c r="I23" s="42">
        <f>SUMIFS(KALENDER!$M$5:$M$370,KALENDER!$D$5:$D$370,4)</f>
        <v/>
      </c>
      <c r="J23" s="42">
        <f>SUMIFS(KALENDER!$N$5:$N$370,KALENDER!$D$5:$D$370,4)</f>
        <v/>
      </c>
      <c r="K23" s="42">
        <f>SUMIFS(KALENDER!$O$5:$O$370,KALENDER!$D$5:$D$370,4)</f>
        <v/>
      </c>
      <c r="L23" s="42">
        <f>SUMIFS(KALENDER!$P$5:$P$370,KALENDER!$D$5:$D$370,4)</f>
        <v/>
      </c>
      <c r="M23" s="42">
        <f>SUMIFS(KALENDER!$Q$5:$Q$370,KALENDER!$D$5:$D$370,4)</f>
        <v/>
      </c>
      <c r="N23" s="63">
        <f>IF(B23=0,0,H23/B23)</f>
        <v/>
      </c>
    </row>
    <row r="24">
      <c r="A24" s="39">
        <f>LISTEN!$H$6</f>
        <v/>
      </c>
      <c r="B24" s="7">
        <f>SUMIFS(KALENDER!$G$5:$G$370,KALENDER!$D$5:$D$370,5)</f>
        <v/>
      </c>
      <c r="C24" s="7">
        <f>SUMIFS(KALENDER!$F$5:$F$370,KALENDER!$D$5:$D$370,5)</f>
        <v/>
      </c>
      <c r="D24" s="37">
        <f>SUMIFS(KALENDER!$H$5:$H$370,KALENDER!$D$5:$D$370,5)</f>
        <v/>
      </c>
      <c r="E24" s="7">
        <f>SUMIFS(KALENDER!$I$5:$I$370,KALENDER!$D$5:$D$370,5)</f>
        <v/>
      </c>
      <c r="F24" s="7">
        <f>SUMIFS(KALENDER!$J$5:$J$370,KALENDER!$D$5:$D$370,5)</f>
        <v/>
      </c>
      <c r="G24" s="7">
        <f>SUMIFS(KALENDER!$K$5:$K$370,KALENDER!$D$5:$D$370,5)</f>
        <v/>
      </c>
      <c r="H24" s="7">
        <f>SUMIFS(KALENDER!$L$5:$L$370,KALENDER!$D$5:$D$370,5)</f>
        <v/>
      </c>
      <c r="I24" s="7">
        <f>SUMIFS(KALENDER!$M$5:$M$370,KALENDER!$D$5:$D$370,5)</f>
        <v/>
      </c>
      <c r="J24" s="7">
        <f>SUMIFS(KALENDER!$N$5:$N$370,KALENDER!$D$5:$D$370,5)</f>
        <v/>
      </c>
      <c r="K24" s="7">
        <f>SUMIFS(KALENDER!$O$5:$O$370,KALENDER!$D$5:$D$370,5)</f>
        <v/>
      </c>
      <c r="L24" s="7">
        <f>SUMIFS(KALENDER!$P$5:$P$370,KALENDER!$D$5:$D$370,5)</f>
        <v/>
      </c>
      <c r="M24" s="7">
        <f>SUMIFS(KALENDER!$Q$5:$Q$370,KALENDER!$D$5:$D$370,5)</f>
        <v/>
      </c>
      <c r="N24" s="62">
        <f>IF(B24=0,0,H24/B24)</f>
        <v/>
      </c>
    </row>
    <row r="25">
      <c r="A25" s="41">
        <f>LISTEN!$H$7</f>
        <v/>
      </c>
      <c r="B25" s="42">
        <f>SUMIFS(KALENDER!$G$5:$G$370,KALENDER!$D$5:$D$370,6)</f>
        <v/>
      </c>
      <c r="C25" s="42">
        <f>SUMIFS(KALENDER!$F$5:$F$370,KALENDER!$D$5:$D$370,6)</f>
        <v/>
      </c>
      <c r="D25" s="47">
        <f>SUMIFS(KALENDER!$H$5:$H$370,KALENDER!$D$5:$D$370,6)</f>
        <v/>
      </c>
      <c r="E25" s="42">
        <f>SUMIFS(KALENDER!$I$5:$I$370,KALENDER!$D$5:$D$370,6)</f>
        <v/>
      </c>
      <c r="F25" s="42">
        <f>SUMIFS(KALENDER!$J$5:$J$370,KALENDER!$D$5:$D$370,6)</f>
        <v/>
      </c>
      <c r="G25" s="42">
        <f>SUMIFS(KALENDER!$K$5:$K$370,KALENDER!$D$5:$D$370,6)</f>
        <v/>
      </c>
      <c r="H25" s="42">
        <f>SUMIFS(KALENDER!$L$5:$L$370,KALENDER!$D$5:$D$370,6)</f>
        <v/>
      </c>
      <c r="I25" s="42">
        <f>SUMIFS(KALENDER!$M$5:$M$370,KALENDER!$D$5:$D$370,6)</f>
        <v/>
      </c>
      <c r="J25" s="42">
        <f>SUMIFS(KALENDER!$N$5:$N$370,KALENDER!$D$5:$D$370,6)</f>
        <v/>
      </c>
      <c r="K25" s="42">
        <f>SUMIFS(KALENDER!$O$5:$O$370,KALENDER!$D$5:$D$370,6)</f>
        <v/>
      </c>
      <c r="L25" s="42">
        <f>SUMIFS(KALENDER!$P$5:$P$370,KALENDER!$D$5:$D$370,6)</f>
        <v/>
      </c>
      <c r="M25" s="42">
        <f>SUMIFS(KALENDER!$Q$5:$Q$370,KALENDER!$D$5:$D$370,6)</f>
        <v/>
      </c>
      <c r="N25" s="63">
        <f>IF(B25=0,0,H25/B25)</f>
        <v/>
      </c>
    </row>
    <row r="26">
      <c r="A26" s="39">
        <f>LISTEN!$H$8</f>
        <v/>
      </c>
      <c r="B26" s="7">
        <f>SUMIFS(KALENDER!$G$5:$G$370,KALENDER!$D$5:$D$370,7)</f>
        <v/>
      </c>
      <c r="C26" s="7">
        <f>SUMIFS(KALENDER!$F$5:$F$370,KALENDER!$D$5:$D$370,7)</f>
        <v/>
      </c>
      <c r="D26" s="37">
        <f>SUMIFS(KALENDER!$H$5:$H$370,KALENDER!$D$5:$D$370,7)</f>
        <v/>
      </c>
      <c r="E26" s="7">
        <f>SUMIFS(KALENDER!$I$5:$I$370,KALENDER!$D$5:$D$370,7)</f>
        <v/>
      </c>
      <c r="F26" s="7">
        <f>SUMIFS(KALENDER!$J$5:$J$370,KALENDER!$D$5:$D$370,7)</f>
        <v/>
      </c>
      <c r="G26" s="7">
        <f>SUMIFS(KALENDER!$K$5:$K$370,KALENDER!$D$5:$D$370,7)</f>
        <v/>
      </c>
      <c r="H26" s="7">
        <f>SUMIFS(KALENDER!$L$5:$L$370,KALENDER!$D$5:$D$370,7)</f>
        <v/>
      </c>
      <c r="I26" s="7">
        <f>SUMIFS(KALENDER!$M$5:$M$370,KALENDER!$D$5:$D$370,7)</f>
        <v/>
      </c>
      <c r="J26" s="7">
        <f>SUMIFS(KALENDER!$N$5:$N$370,KALENDER!$D$5:$D$370,7)</f>
        <v/>
      </c>
      <c r="K26" s="7">
        <f>SUMIFS(KALENDER!$O$5:$O$370,KALENDER!$D$5:$D$370,7)</f>
        <v/>
      </c>
      <c r="L26" s="7">
        <f>SUMIFS(KALENDER!$P$5:$P$370,KALENDER!$D$5:$D$370,7)</f>
        <v/>
      </c>
      <c r="M26" s="7">
        <f>SUMIFS(KALENDER!$Q$5:$Q$370,KALENDER!$D$5:$D$370,7)</f>
        <v/>
      </c>
      <c r="N26" s="62">
        <f>IF(B26=0,0,H26/B26)</f>
        <v/>
      </c>
    </row>
    <row r="27">
      <c r="A27" s="41">
        <f>LISTEN!$H$9</f>
        <v/>
      </c>
      <c r="B27" s="42">
        <f>SUMIFS(KALENDER!$G$5:$G$370,KALENDER!$D$5:$D$370,8)</f>
        <v/>
      </c>
      <c r="C27" s="42">
        <f>SUMIFS(KALENDER!$F$5:$F$370,KALENDER!$D$5:$D$370,8)</f>
        <v/>
      </c>
      <c r="D27" s="47">
        <f>SUMIFS(KALENDER!$H$5:$H$370,KALENDER!$D$5:$D$370,8)</f>
        <v/>
      </c>
      <c r="E27" s="42">
        <f>SUMIFS(KALENDER!$I$5:$I$370,KALENDER!$D$5:$D$370,8)</f>
        <v/>
      </c>
      <c r="F27" s="42">
        <f>SUMIFS(KALENDER!$J$5:$J$370,KALENDER!$D$5:$D$370,8)</f>
        <v/>
      </c>
      <c r="G27" s="42">
        <f>SUMIFS(KALENDER!$K$5:$K$370,KALENDER!$D$5:$D$370,8)</f>
        <v/>
      </c>
      <c r="H27" s="42">
        <f>SUMIFS(KALENDER!$L$5:$L$370,KALENDER!$D$5:$D$370,8)</f>
        <v/>
      </c>
      <c r="I27" s="42">
        <f>SUMIFS(KALENDER!$M$5:$M$370,KALENDER!$D$5:$D$370,8)</f>
        <v/>
      </c>
      <c r="J27" s="42">
        <f>SUMIFS(KALENDER!$N$5:$N$370,KALENDER!$D$5:$D$370,8)</f>
        <v/>
      </c>
      <c r="K27" s="42">
        <f>SUMIFS(KALENDER!$O$5:$O$370,KALENDER!$D$5:$D$370,8)</f>
        <v/>
      </c>
      <c r="L27" s="42">
        <f>SUMIFS(KALENDER!$P$5:$P$370,KALENDER!$D$5:$D$370,8)</f>
        <v/>
      </c>
      <c r="M27" s="42">
        <f>SUMIFS(KALENDER!$Q$5:$Q$370,KALENDER!$D$5:$D$370,8)</f>
        <v/>
      </c>
      <c r="N27" s="63">
        <f>IF(B27=0,0,H27/B27)</f>
        <v/>
      </c>
    </row>
    <row r="28">
      <c r="A28" s="39">
        <f>LISTEN!$H$10</f>
        <v/>
      </c>
      <c r="B28" s="7">
        <f>SUMIFS(KALENDER!$G$5:$G$370,KALENDER!$D$5:$D$370,9)</f>
        <v/>
      </c>
      <c r="C28" s="7">
        <f>SUMIFS(KALENDER!$F$5:$F$370,KALENDER!$D$5:$D$370,9)</f>
        <v/>
      </c>
      <c r="D28" s="37">
        <f>SUMIFS(KALENDER!$H$5:$H$370,KALENDER!$D$5:$D$370,9)</f>
        <v/>
      </c>
      <c r="E28" s="7">
        <f>SUMIFS(KALENDER!$I$5:$I$370,KALENDER!$D$5:$D$370,9)</f>
        <v/>
      </c>
      <c r="F28" s="7">
        <f>SUMIFS(KALENDER!$J$5:$J$370,KALENDER!$D$5:$D$370,9)</f>
        <v/>
      </c>
      <c r="G28" s="7">
        <f>SUMIFS(KALENDER!$K$5:$K$370,KALENDER!$D$5:$D$370,9)</f>
        <v/>
      </c>
      <c r="H28" s="7">
        <f>SUMIFS(KALENDER!$L$5:$L$370,KALENDER!$D$5:$D$370,9)</f>
        <v/>
      </c>
      <c r="I28" s="7">
        <f>SUMIFS(KALENDER!$M$5:$M$370,KALENDER!$D$5:$D$370,9)</f>
        <v/>
      </c>
      <c r="J28" s="7">
        <f>SUMIFS(KALENDER!$N$5:$N$370,KALENDER!$D$5:$D$370,9)</f>
        <v/>
      </c>
      <c r="K28" s="7">
        <f>SUMIFS(KALENDER!$O$5:$O$370,KALENDER!$D$5:$D$370,9)</f>
        <v/>
      </c>
      <c r="L28" s="7">
        <f>SUMIFS(KALENDER!$P$5:$P$370,KALENDER!$D$5:$D$370,9)</f>
        <v/>
      </c>
      <c r="M28" s="7">
        <f>SUMIFS(KALENDER!$Q$5:$Q$370,KALENDER!$D$5:$D$370,9)</f>
        <v/>
      </c>
      <c r="N28" s="62">
        <f>IF(B28=0,0,H28/B28)</f>
        <v/>
      </c>
    </row>
    <row r="29">
      <c r="A29" s="41">
        <f>LISTEN!$H$11</f>
        <v/>
      </c>
      <c r="B29" s="42">
        <f>SUMIFS(KALENDER!$G$5:$G$370,KALENDER!$D$5:$D$370,10)</f>
        <v/>
      </c>
      <c r="C29" s="42">
        <f>SUMIFS(KALENDER!$F$5:$F$370,KALENDER!$D$5:$D$370,10)</f>
        <v/>
      </c>
      <c r="D29" s="47">
        <f>SUMIFS(KALENDER!$H$5:$H$370,KALENDER!$D$5:$D$370,10)</f>
        <v/>
      </c>
      <c r="E29" s="42">
        <f>SUMIFS(KALENDER!$I$5:$I$370,KALENDER!$D$5:$D$370,10)</f>
        <v/>
      </c>
      <c r="F29" s="42">
        <f>SUMIFS(KALENDER!$J$5:$J$370,KALENDER!$D$5:$D$370,10)</f>
        <v/>
      </c>
      <c r="G29" s="42">
        <f>SUMIFS(KALENDER!$K$5:$K$370,KALENDER!$D$5:$D$370,10)</f>
        <v/>
      </c>
      <c r="H29" s="42">
        <f>SUMIFS(KALENDER!$L$5:$L$370,KALENDER!$D$5:$D$370,10)</f>
        <v/>
      </c>
      <c r="I29" s="42">
        <f>SUMIFS(KALENDER!$M$5:$M$370,KALENDER!$D$5:$D$370,10)</f>
        <v/>
      </c>
      <c r="J29" s="42">
        <f>SUMIFS(KALENDER!$N$5:$N$370,KALENDER!$D$5:$D$370,10)</f>
        <v/>
      </c>
      <c r="K29" s="42">
        <f>SUMIFS(KALENDER!$O$5:$O$370,KALENDER!$D$5:$D$370,10)</f>
        <v/>
      </c>
      <c r="L29" s="42">
        <f>SUMIFS(KALENDER!$P$5:$P$370,KALENDER!$D$5:$D$370,10)</f>
        <v/>
      </c>
      <c r="M29" s="42">
        <f>SUMIFS(KALENDER!$Q$5:$Q$370,KALENDER!$D$5:$D$370,10)</f>
        <v/>
      </c>
      <c r="N29" s="63">
        <f>IF(B29=0,0,H29/B29)</f>
        <v/>
      </c>
    </row>
    <row r="30">
      <c r="A30" s="39">
        <f>LISTEN!$H$12</f>
        <v/>
      </c>
      <c r="B30" s="7">
        <f>SUMIFS(KALENDER!$G$5:$G$370,KALENDER!$D$5:$D$370,11)</f>
        <v/>
      </c>
      <c r="C30" s="7">
        <f>SUMIFS(KALENDER!$F$5:$F$370,KALENDER!$D$5:$D$370,11)</f>
        <v/>
      </c>
      <c r="D30" s="37">
        <f>SUMIFS(KALENDER!$H$5:$H$370,KALENDER!$D$5:$D$370,11)</f>
        <v/>
      </c>
      <c r="E30" s="7">
        <f>SUMIFS(KALENDER!$I$5:$I$370,KALENDER!$D$5:$D$370,11)</f>
        <v/>
      </c>
      <c r="F30" s="7">
        <f>SUMIFS(KALENDER!$J$5:$J$370,KALENDER!$D$5:$D$370,11)</f>
        <v/>
      </c>
      <c r="G30" s="7">
        <f>SUMIFS(KALENDER!$K$5:$K$370,KALENDER!$D$5:$D$370,11)</f>
        <v/>
      </c>
      <c r="H30" s="7">
        <f>SUMIFS(KALENDER!$L$5:$L$370,KALENDER!$D$5:$D$370,11)</f>
        <v/>
      </c>
      <c r="I30" s="7">
        <f>SUMIFS(KALENDER!$M$5:$M$370,KALENDER!$D$5:$D$370,11)</f>
        <v/>
      </c>
      <c r="J30" s="7">
        <f>SUMIFS(KALENDER!$N$5:$N$370,KALENDER!$D$5:$D$370,11)</f>
        <v/>
      </c>
      <c r="K30" s="7">
        <f>SUMIFS(KALENDER!$O$5:$O$370,KALENDER!$D$5:$D$370,11)</f>
        <v/>
      </c>
      <c r="L30" s="7">
        <f>SUMIFS(KALENDER!$P$5:$P$370,KALENDER!$D$5:$D$370,11)</f>
        <v/>
      </c>
      <c r="M30" s="7">
        <f>SUMIFS(KALENDER!$Q$5:$Q$370,KALENDER!$D$5:$D$370,11)</f>
        <v/>
      </c>
      <c r="N30" s="62">
        <f>IF(B30=0,0,H30/B30)</f>
        <v/>
      </c>
    </row>
    <row r="31">
      <c r="A31" s="41">
        <f>LISTEN!$H$13</f>
        <v/>
      </c>
      <c r="B31" s="42">
        <f>SUMIFS(KALENDER!$G$5:$G$370,KALENDER!$D$5:$D$370,12)</f>
        <v/>
      </c>
      <c r="C31" s="42">
        <f>SUMIFS(KALENDER!$F$5:$F$370,KALENDER!$D$5:$D$370,12)</f>
        <v/>
      </c>
      <c r="D31" s="47">
        <f>SUMIFS(KALENDER!$H$5:$H$370,KALENDER!$D$5:$D$370,12)</f>
        <v/>
      </c>
      <c r="E31" s="42">
        <f>SUMIFS(KALENDER!$I$5:$I$370,KALENDER!$D$5:$D$370,12)</f>
        <v/>
      </c>
      <c r="F31" s="42">
        <f>SUMIFS(KALENDER!$J$5:$J$370,KALENDER!$D$5:$D$370,12)</f>
        <v/>
      </c>
      <c r="G31" s="42">
        <f>SUMIFS(KALENDER!$K$5:$K$370,KALENDER!$D$5:$D$370,12)</f>
        <v/>
      </c>
      <c r="H31" s="42">
        <f>SUMIFS(KALENDER!$L$5:$L$370,KALENDER!$D$5:$D$370,12)</f>
        <v/>
      </c>
      <c r="I31" s="42">
        <f>SUMIFS(KALENDER!$M$5:$M$370,KALENDER!$D$5:$D$370,12)</f>
        <v/>
      </c>
      <c r="J31" s="42">
        <f>SUMIFS(KALENDER!$N$5:$N$370,KALENDER!$D$5:$D$370,12)</f>
        <v/>
      </c>
      <c r="K31" s="42">
        <f>SUMIFS(KALENDER!$O$5:$O$370,KALENDER!$D$5:$D$370,12)</f>
        <v/>
      </c>
      <c r="L31" s="42">
        <f>SUMIFS(KALENDER!$P$5:$P$370,KALENDER!$D$5:$D$370,12)</f>
        <v/>
      </c>
      <c r="M31" s="42">
        <f>SUMIFS(KALENDER!$Q$5:$Q$370,KALENDER!$D$5:$D$370,12)</f>
        <v/>
      </c>
      <c r="N31" s="63">
        <f>IF(B31=0,0,H31/B31)</f>
        <v/>
      </c>
    </row>
    <row r="32">
      <c r="A32" s="38" t="inlineStr">
        <is>
          <t>JAHR</t>
        </is>
      </c>
      <c r="B32" s="18">
        <f>SUM(B20:B31)</f>
        <v/>
      </c>
      <c r="C32" s="18">
        <f>SUM(C20:C31)</f>
        <v/>
      </c>
      <c r="D32" s="64">
        <f>SUM(D20:D31)</f>
        <v/>
      </c>
      <c r="E32" s="18">
        <f>SUM(E20:E31)</f>
        <v/>
      </c>
      <c r="F32" s="18">
        <f>SUM(F20:F31)</f>
        <v/>
      </c>
      <c r="G32" s="18">
        <f>SUM(G20:G31)</f>
        <v/>
      </c>
      <c r="H32" s="18">
        <f>SUM(H20:H31)</f>
        <v/>
      </c>
      <c r="I32" s="18">
        <f>SUM(I20:I31)</f>
        <v/>
      </c>
      <c r="J32" s="18">
        <f>SUM(J20:J31)</f>
        <v/>
      </c>
      <c r="K32" s="18">
        <f>SUM(K20:K31)</f>
        <v/>
      </c>
      <c r="L32" s="18">
        <f>SUM(L20:L31)</f>
        <v/>
      </c>
      <c r="M32" s="18">
        <f>SUM(M20:M31)</f>
        <v/>
      </c>
      <c r="N32" s="65">
        <f>IF(B32=0,0,H32/B32)</f>
        <v/>
      </c>
    </row>
    <row r="33">
      <c r="A33" s="66" t="inlineStr">
        <is>
          <t>Kontrolle: Summe Monate = Summe Angebote?</t>
        </is>
      </c>
      <c r="H33" s="67">
        <f>IF(H32=G76,"✓ OK","⚠ prüfen: Einträge ohne Angebot?")</f>
        <v/>
      </c>
    </row>
    <row r="38">
      <c r="A38" s="5" t="inlineStr">
        <is>
          <t>Geschlecht &amp; Alter</t>
        </is>
      </c>
    </row>
    <row r="39" ht="4" customHeight="1"/>
    <row r="40">
      <c r="A40" s="6" t="inlineStr">
        <is>
          <t>Merkmal</t>
        </is>
      </c>
      <c r="B40" s="6" t="inlineStr">
        <is>
          <t>weiblich</t>
        </is>
      </c>
      <c r="C40" s="6" t="inlineStr">
        <is>
          <t>divers</t>
        </is>
      </c>
      <c r="D40" s="6" t="inlineStr">
        <is>
          <t>männlich</t>
        </is>
      </c>
      <c r="E40" s="6" t="inlineStr">
        <is>
          <t>unter 10</t>
        </is>
      </c>
      <c r="F40" s="6" t="inlineStr">
        <is>
          <t>ab 10</t>
        </is>
      </c>
      <c r="G40" s="6" t="inlineStr">
        <is>
          <t>ab 14</t>
        </is>
      </c>
      <c r="H40" s="6" t="inlineStr">
        <is>
          <t>ab 16</t>
        </is>
      </c>
      <c r="I40" s="6" t="inlineStr">
        <is>
          <t>ab 18</t>
        </is>
      </c>
    </row>
    <row r="41">
      <c r="A41" s="48" t="inlineStr">
        <is>
          <t>Anzahl</t>
        </is>
      </c>
      <c r="B41" s="49">
        <f>$E$32</f>
        <v/>
      </c>
      <c r="C41" s="49">
        <f>$F$32</f>
        <v/>
      </c>
      <c r="D41" s="49">
        <f>$G$32</f>
        <v/>
      </c>
      <c r="E41" s="49">
        <f>$I$32</f>
        <v/>
      </c>
      <c r="F41" s="49">
        <f>$J$32</f>
        <v/>
      </c>
      <c r="G41" s="49">
        <f>$K$32</f>
        <v/>
      </c>
      <c r="H41" s="49">
        <f>$L$32</f>
        <v/>
      </c>
      <c r="I41" s="49">
        <f>$M$32</f>
        <v/>
      </c>
    </row>
    <row r="42">
      <c r="A42" s="48" t="inlineStr">
        <is>
          <t>Anteil</t>
        </is>
      </c>
      <c r="B42" s="50">
        <f>IF(SUM($B$41:$D$41)=0,0,B41/SUM($B$41:$D$41))</f>
        <v/>
      </c>
      <c r="C42" s="50">
        <f>IF(SUM($B$41:$D$41)=0,0,C41/SUM($B$41:$D$41))</f>
        <v/>
      </c>
      <c r="D42" s="50">
        <f>IF(SUM($B$41:$D$41)=0,0,D41/SUM($B$41:$D$41))</f>
        <v/>
      </c>
      <c r="E42" s="50">
        <f>IF(SUM($E$41:$I$41)=0,0,E41/SUM($E$41:$I$41))</f>
        <v/>
      </c>
      <c r="F42" s="50">
        <f>IF(SUM($E$41:$I$41)=0,0,F41/SUM($E$41:$I$41))</f>
        <v/>
      </c>
      <c r="G42" s="50">
        <f>IF(SUM($E$41:$I$41)=0,0,G41/SUM($E$41:$I$41))</f>
        <v/>
      </c>
      <c r="H42" s="50">
        <f>IF(SUM($E$41:$I$41)=0,0,H41/SUM($E$41:$I$41))</f>
        <v/>
      </c>
      <c r="I42" s="50">
        <f>IF(SUM($E$41:$I$41)=0,0,I41/SUM($E$41:$I$41))</f>
        <v/>
      </c>
    </row>
    <row r="44">
      <c r="A44" s="5" t="inlineStr">
        <is>
          <t>Angebote im Jahr</t>
        </is>
      </c>
    </row>
    <row r="45">
      <c r="A45" s="6" t="inlineStr">
        <is>
          <t>Angebot</t>
        </is>
      </c>
      <c r="B45" s="6" t="inlineStr">
        <is>
          <t>Einträge</t>
        </is>
      </c>
      <c r="C45" s="6" t="inlineStr">
        <is>
          <t>Stunden</t>
        </is>
      </c>
      <c r="D45" s="6" t="inlineStr">
        <is>
          <t>w</t>
        </is>
      </c>
      <c r="E45" s="6" t="inlineStr">
        <is>
          <t>d</t>
        </is>
      </c>
      <c r="F45" s="6" t="inlineStr">
        <is>
          <t>m</t>
        </is>
      </c>
      <c r="G45" s="6" t="inlineStr">
        <is>
          <t>gesamt</t>
        </is>
      </c>
      <c r="H45" s="6" t="inlineStr">
        <is>
          <t>unter 10</t>
        </is>
      </c>
      <c r="I45" s="6" t="inlineStr">
        <is>
          <t>ab 10</t>
        </is>
      </c>
      <c r="J45" s="6" t="inlineStr">
        <is>
          <t>ab 14</t>
        </is>
      </c>
      <c r="K45" s="6" t="inlineStr">
        <is>
          <t>ab 16</t>
        </is>
      </c>
      <c r="L45" s="6" t="inlineStr">
        <is>
          <t>ab 18</t>
        </is>
      </c>
      <c r="M45" s="6" t="inlineStr">
        <is>
          <t>Anteil</t>
        </is>
      </c>
    </row>
    <row r="46">
      <c r="A46" s="39">
        <f>IF(LISTEN!$A$2="","",LISTEN!$A$2)</f>
        <v/>
      </c>
      <c r="B46" s="7">
        <f>IF($A46="","",COUNTIFS(ERFASSUNG!$D$6:$D$3005,$A46))</f>
        <v/>
      </c>
      <c r="C46" s="7">
        <f>IF($A46="","",SUMIFS(ERFASSUNG!$E$6:$E$3005,ERFASSUNG!$D$6:$D$3005,$A46))</f>
        <v/>
      </c>
      <c r="D46" s="7">
        <f>IF($A46="","",SUMIFS(ERFASSUNG!$F$6:$F$3005,ERFASSUNG!$D$6:$D$3005,$A46))</f>
        <v/>
      </c>
      <c r="E46" s="7">
        <f>IF($A46="","",SUMIFS(ERFASSUNG!$G$6:$G$3005,ERFASSUNG!$D$6:$D$3005,$A46))</f>
        <v/>
      </c>
      <c r="F46" s="7">
        <f>IF($A46="","",SUMIFS(ERFASSUNG!$H$6:$H$3005,ERFASSUNG!$D$6:$D$3005,$A46))</f>
        <v/>
      </c>
      <c r="G46" s="7">
        <f>IF($A46="","",SUMIFS(ERFASSUNG!$I$6:$I$3005,ERFASSUNG!$D$6:$D$3005,$A46))</f>
        <v/>
      </c>
      <c r="H46" s="7">
        <f>IF($A46="","",SUMIFS(ERFASSUNG!$J$6:$J$3005,ERFASSUNG!$D$6:$D$3005,$A46))</f>
        <v/>
      </c>
      <c r="I46" s="7">
        <f>IF($A46="","",SUMIFS(ERFASSUNG!$K$6:$K$3005,ERFASSUNG!$D$6:$D$3005,$A46))</f>
        <v/>
      </c>
      <c r="J46" s="7">
        <f>IF($A46="","",SUMIFS(ERFASSUNG!$L$6:$L$3005,ERFASSUNG!$D$6:$D$3005,$A46))</f>
        <v/>
      </c>
      <c r="K46" s="7">
        <f>IF($A46="","",SUMIFS(ERFASSUNG!$M$6:$M$3005,ERFASSUNG!$D$6:$D$3005,$A46))</f>
        <v/>
      </c>
      <c r="L46" s="7">
        <f>IF($A46="","",SUMIFS(ERFASSUNG!$N$6:$N$3005,ERFASSUNG!$D$6:$D$3005,$A46))</f>
        <v/>
      </c>
      <c r="M46" s="40">
        <f>IF(OR($A46="",N($G$76)=0),"",G46/$G$76)</f>
        <v/>
      </c>
    </row>
    <row r="47">
      <c r="A47" s="41">
        <f>IF(LISTEN!$A$3="","",LISTEN!$A$3)</f>
        <v/>
      </c>
      <c r="B47" s="42">
        <f>IF($A47="","",COUNTIFS(ERFASSUNG!$D$6:$D$3005,$A47))</f>
        <v/>
      </c>
      <c r="C47" s="42">
        <f>IF($A47="","",SUMIFS(ERFASSUNG!$E$6:$E$3005,ERFASSUNG!$D$6:$D$3005,$A47))</f>
        <v/>
      </c>
      <c r="D47" s="42">
        <f>IF($A47="","",SUMIFS(ERFASSUNG!$F$6:$F$3005,ERFASSUNG!$D$6:$D$3005,$A47))</f>
        <v/>
      </c>
      <c r="E47" s="42">
        <f>IF($A47="","",SUMIFS(ERFASSUNG!$G$6:$G$3005,ERFASSUNG!$D$6:$D$3005,$A47))</f>
        <v/>
      </c>
      <c r="F47" s="42">
        <f>IF($A47="","",SUMIFS(ERFASSUNG!$H$6:$H$3005,ERFASSUNG!$D$6:$D$3005,$A47))</f>
        <v/>
      </c>
      <c r="G47" s="42">
        <f>IF($A47="","",SUMIFS(ERFASSUNG!$I$6:$I$3005,ERFASSUNG!$D$6:$D$3005,$A47))</f>
        <v/>
      </c>
      <c r="H47" s="42">
        <f>IF($A47="","",SUMIFS(ERFASSUNG!$J$6:$J$3005,ERFASSUNG!$D$6:$D$3005,$A47))</f>
        <v/>
      </c>
      <c r="I47" s="42">
        <f>IF($A47="","",SUMIFS(ERFASSUNG!$K$6:$K$3005,ERFASSUNG!$D$6:$D$3005,$A47))</f>
        <v/>
      </c>
      <c r="J47" s="42">
        <f>IF($A47="","",SUMIFS(ERFASSUNG!$L$6:$L$3005,ERFASSUNG!$D$6:$D$3005,$A47))</f>
        <v/>
      </c>
      <c r="K47" s="42">
        <f>IF($A47="","",SUMIFS(ERFASSUNG!$M$6:$M$3005,ERFASSUNG!$D$6:$D$3005,$A47))</f>
        <v/>
      </c>
      <c r="L47" s="42">
        <f>IF($A47="","",SUMIFS(ERFASSUNG!$N$6:$N$3005,ERFASSUNG!$D$6:$D$3005,$A47))</f>
        <v/>
      </c>
      <c r="M47" s="43">
        <f>IF(OR($A47="",N($G$76)=0),"",G47/$G$76)</f>
        <v/>
      </c>
    </row>
    <row r="48">
      <c r="A48" s="39">
        <f>IF(LISTEN!$A$4="","",LISTEN!$A$4)</f>
        <v/>
      </c>
      <c r="B48" s="7">
        <f>IF($A48="","",COUNTIFS(ERFASSUNG!$D$6:$D$3005,$A48))</f>
        <v/>
      </c>
      <c r="C48" s="7">
        <f>IF($A48="","",SUMIFS(ERFASSUNG!$E$6:$E$3005,ERFASSUNG!$D$6:$D$3005,$A48))</f>
        <v/>
      </c>
      <c r="D48" s="7">
        <f>IF($A48="","",SUMIFS(ERFASSUNG!$F$6:$F$3005,ERFASSUNG!$D$6:$D$3005,$A48))</f>
        <v/>
      </c>
      <c r="E48" s="7">
        <f>IF($A48="","",SUMIFS(ERFASSUNG!$G$6:$G$3005,ERFASSUNG!$D$6:$D$3005,$A48))</f>
        <v/>
      </c>
      <c r="F48" s="7">
        <f>IF($A48="","",SUMIFS(ERFASSUNG!$H$6:$H$3005,ERFASSUNG!$D$6:$D$3005,$A48))</f>
        <v/>
      </c>
      <c r="G48" s="7">
        <f>IF($A48="","",SUMIFS(ERFASSUNG!$I$6:$I$3005,ERFASSUNG!$D$6:$D$3005,$A48))</f>
        <v/>
      </c>
      <c r="H48" s="7">
        <f>IF($A48="","",SUMIFS(ERFASSUNG!$J$6:$J$3005,ERFASSUNG!$D$6:$D$3005,$A48))</f>
        <v/>
      </c>
      <c r="I48" s="7">
        <f>IF($A48="","",SUMIFS(ERFASSUNG!$K$6:$K$3005,ERFASSUNG!$D$6:$D$3005,$A48))</f>
        <v/>
      </c>
      <c r="J48" s="7">
        <f>IF($A48="","",SUMIFS(ERFASSUNG!$L$6:$L$3005,ERFASSUNG!$D$6:$D$3005,$A48))</f>
        <v/>
      </c>
      <c r="K48" s="7">
        <f>IF($A48="","",SUMIFS(ERFASSUNG!$M$6:$M$3005,ERFASSUNG!$D$6:$D$3005,$A48))</f>
        <v/>
      </c>
      <c r="L48" s="7">
        <f>IF($A48="","",SUMIFS(ERFASSUNG!$N$6:$N$3005,ERFASSUNG!$D$6:$D$3005,$A48))</f>
        <v/>
      </c>
      <c r="M48" s="40">
        <f>IF(OR($A48="",N($G$76)=0),"",G48/$G$76)</f>
        <v/>
      </c>
    </row>
    <row r="49">
      <c r="A49" s="41">
        <f>IF(LISTEN!$A$5="","",LISTEN!$A$5)</f>
        <v/>
      </c>
      <c r="B49" s="42">
        <f>IF($A49="","",COUNTIFS(ERFASSUNG!$D$6:$D$3005,$A49))</f>
        <v/>
      </c>
      <c r="C49" s="42">
        <f>IF($A49="","",SUMIFS(ERFASSUNG!$E$6:$E$3005,ERFASSUNG!$D$6:$D$3005,$A49))</f>
        <v/>
      </c>
      <c r="D49" s="42">
        <f>IF($A49="","",SUMIFS(ERFASSUNG!$F$6:$F$3005,ERFASSUNG!$D$6:$D$3005,$A49))</f>
        <v/>
      </c>
      <c r="E49" s="42">
        <f>IF($A49="","",SUMIFS(ERFASSUNG!$G$6:$G$3005,ERFASSUNG!$D$6:$D$3005,$A49))</f>
        <v/>
      </c>
      <c r="F49" s="42">
        <f>IF($A49="","",SUMIFS(ERFASSUNG!$H$6:$H$3005,ERFASSUNG!$D$6:$D$3005,$A49))</f>
        <v/>
      </c>
      <c r="G49" s="42">
        <f>IF($A49="","",SUMIFS(ERFASSUNG!$I$6:$I$3005,ERFASSUNG!$D$6:$D$3005,$A49))</f>
        <v/>
      </c>
      <c r="H49" s="42">
        <f>IF($A49="","",SUMIFS(ERFASSUNG!$J$6:$J$3005,ERFASSUNG!$D$6:$D$3005,$A49))</f>
        <v/>
      </c>
      <c r="I49" s="42">
        <f>IF($A49="","",SUMIFS(ERFASSUNG!$K$6:$K$3005,ERFASSUNG!$D$6:$D$3005,$A49))</f>
        <v/>
      </c>
      <c r="J49" s="42">
        <f>IF($A49="","",SUMIFS(ERFASSUNG!$L$6:$L$3005,ERFASSUNG!$D$6:$D$3005,$A49))</f>
        <v/>
      </c>
      <c r="K49" s="42">
        <f>IF($A49="","",SUMIFS(ERFASSUNG!$M$6:$M$3005,ERFASSUNG!$D$6:$D$3005,$A49))</f>
        <v/>
      </c>
      <c r="L49" s="42">
        <f>IF($A49="","",SUMIFS(ERFASSUNG!$N$6:$N$3005,ERFASSUNG!$D$6:$D$3005,$A49))</f>
        <v/>
      </c>
      <c r="M49" s="43">
        <f>IF(OR($A49="",N($G$76)=0),"",G49/$G$76)</f>
        <v/>
      </c>
    </row>
    <row r="50">
      <c r="A50" s="39">
        <f>IF(LISTEN!$A$6="","",LISTEN!$A$6)</f>
        <v/>
      </c>
      <c r="B50" s="7">
        <f>IF($A50="","",COUNTIFS(ERFASSUNG!$D$6:$D$3005,$A50))</f>
        <v/>
      </c>
      <c r="C50" s="7">
        <f>IF($A50="","",SUMIFS(ERFASSUNG!$E$6:$E$3005,ERFASSUNG!$D$6:$D$3005,$A50))</f>
        <v/>
      </c>
      <c r="D50" s="7">
        <f>IF($A50="","",SUMIFS(ERFASSUNG!$F$6:$F$3005,ERFASSUNG!$D$6:$D$3005,$A50))</f>
        <v/>
      </c>
      <c r="E50" s="7">
        <f>IF($A50="","",SUMIFS(ERFASSUNG!$G$6:$G$3005,ERFASSUNG!$D$6:$D$3005,$A50))</f>
        <v/>
      </c>
      <c r="F50" s="7">
        <f>IF($A50="","",SUMIFS(ERFASSUNG!$H$6:$H$3005,ERFASSUNG!$D$6:$D$3005,$A50))</f>
        <v/>
      </c>
      <c r="G50" s="7">
        <f>IF($A50="","",SUMIFS(ERFASSUNG!$I$6:$I$3005,ERFASSUNG!$D$6:$D$3005,$A50))</f>
        <v/>
      </c>
      <c r="H50" s="7">
        <f>IF($A50="","",SUMIFS(ERFASSUNG!$J$6:$J$3005,ERFASSUNG!$D$6:$D$3005,$A50))</f>
        <v/>
      </c>
      <c r="I50" s="7">
        <f>IF($A50="","",SUMIFS(ERFASSUNG!$K$6:$K$3005,ERFASSUNG!$D$6:$D$3005,$A50))</f>
        <v/>
      </c>
      <c r="J50" s="7">
        <f>IF($A50="","",SUMIFS(ERFASSUNG!$L$6:$L$3005,ERFASSUNG!$D$6:$D$3005,$A50))</f>
        <v/>
      </c>
      <c r="K50" s="7">
        <f>IF($A50="","",SUMIFS(ERFASSUNG!$M$6:$M$3005,ERFASSUNG!$D$6:$D$3005,$A50))</f>
        <v/>
      </c>
      <c r="L50" s="7">
        <f>IF($A50="","",SUMIFS(ERFASSUNG!$N$6:$N$3005,ERFASSUNG!$D$6:$D$3005,$A50))</f>
        <v/>
      </c>
      <c r="M50" s="40">
        <f>IF(OR($A50="",N($G$76)=0),"",G50/$G$76)</f>
        <v/>
      </c>
    </row>
    <row r="51">
      <c r="A51" s="41">
        <f>IF(LISTEN!$A$7="","",LISTEN!$A$7)</f>
        <v/>
      </c>
      <c r="B51" s="42">
        <f>IF($A51="","",COUNTIFS(ERFASSUNG!$D$6:$D$3005,$A51))</f>
        <v/>
      </c>
      <c r="C51" s="42">
        <f>IF($A51="","",SUMIFS(ERFASSUNG!$E$6:$E$3005,ERFASSUNG!$D$6:$D$3005,$A51))</f>
        <v/>
      </c>
      <c r="D51" s="42">
        <f>IF($A51="","",SUMIFS(ERFASSUNG!$F$6:$F$3005,ERFASSUNG!$D$6:$D$3005,$A51))</f>
        <v/>
      </c>
      <c r="E51" s="42">
        <f>IF($A51="","",SUMIFS(ERFASSUNG!$G$6:$G$3005,ERFASSUNG!$D$6:$D$3005,$A51))</f>
        <v/>
      </c>
      <c r="F51" s="42">
        <f>IF($A51="","",SUMIFS(ERFASSUNG!$H$6:$H$3005,ERFASSUNG!$D$6:$D$3005,$A51))</f>
        <v/>
      </c>
      <c r="G51" s="42">
        <f>IF($A51="","",SUMIFS(ERFASSUNG!$I$6:$I$3005,ERFASSUNG!$D$6:$D$3005,$A51))</f>
        <v/>
      </c>
      <c r="H51" s="42">
        <f>IF($A51="","",SUMIFS(ERFASSUNG!$J$6:$J$3005,ERFASSUNG!$D$6:$D$3005,$A51))</f>
        <v/>
      </c>
      <c r="I51" s="42">
        <f>IF($A51="","",SUMIFS(ERFASSUNG!$K$6:$K$3005,ERFASSUNG!$D$6:$D$3005,$A51))</f>
        <v/>
      </c>
      <c r="J51" s="42">
        <f>IF($A51="","",SUMIFS(ERFASSUNG!$L$6:$L$3005,ERFASSUNG!$D$6:$D$3005,$A51))</f>
        <v/>
      </c>
      <c r="K51" s="42">
        <f>IF($A51="","",SUMIFS(ERFASSUNG!$M$6:$M$3005,ERFASSUNG!$D$6:$D$3005,$A51))</f>
        <v/>
      </c>
      <c r="L51" s="42">
        <f>IF($A51="","",SUMIFS(ERFASSUNG!$N$6:$N$3005,ERFASSUNG!$D$6:$D$3005,$A51))</f>
        <v/>
      </c>
      <c r="M51" s="43">
        <f>IF(OR($A51="",N($G$76)=0),"",G51/$G$76)</f>
        <v/>
      </c>
    </row>
    <row r="52">
      <c r="A52" s="39">
        <f>IF(LISTEN!$A$8="","",LISTEN!$A$8)</f>
        <v/>
      </c>
      <c r="B52" s="7">
        <f>IF($A52="","",COUNTIFS(ERFASSUNG!$D$6:$D$3005,$A52))</f>
        <v/>
      </c>
      <c r="C52" s="7">
        <f>IF($A52="","",SUMIFS(ERFASSUNG!$E$6:$E$3005,ERFASSUNG!$D$6:$D$3005,$A52))</f>
        <v/>
      </c>
      <c r="D52" s="7">
        <f>IF($A52="","",SUMIFS(ERFASSUNG!$F$6:$F$3005,ERFASSUNG!$D$6:$D$3005,$A52))</f>
        <v/>
      </c>
      <c r="E52" s="7">
        <f>IF($A52="","",SUMIFS(ERFASSUNG!$G$6:$G$3005,ERFASSUNG!$D$6:$D$3005,$A52))</f>
        <v/>
      </c>
      <c r="F52" s="7">
        <f>IF($A52="","",SUMIFS(ERFASSUNG!$H$6:$H$3005,ERFASSUNG!$D$6:$D$3005,$A52))</f>
        <v/>
      </c>
      <c r="G52" s="7">
        <f>IF($A52="","",SUMIFS(ERFASSUNG!$I$6:$I$3005,ERFASSUNG!$D$6:$D$3005,$A52))</f>
        <v/>
      </c>
      <c r="H52" s="7">
        <f>IF($A52="","",SUMIFS(ERFASSUNG!$J$6:$J$3005,ERFASSUNG!$D$6:$D$3005,$A52))</f>
        <v/>
      </c>
      <c r="I52" s="7">
        <f>IF($A52="","",SUMIFS(ERFASSUNG!$K$6:$K$3005,ERFASSUNG!$D$6:$D$3005,$A52))</f>
        <v/>
      </c>
      <c r="J52" s="7">
        <f>IF($A52="","",SUMIFS(ERFASSUNG!$L$6:$L$3005,ERFASSUNG!$D$6:$D$3005,$A52))</f>
        <v/>
      </c>
      <c r="K52" s="7">
        <f>IF($A52="","",SUMIFS(ERFASSUNG!$M$6:$M$3005,ERFASSUNG!$D$6:$D$3005,$A52))</f>
        <v/>
      </c>
      <c r="L52" s="7">
        <f>IF($A52="","",SUMIFS(ERFASSUNG!$N$6:$N$3005,ERFASSUNG!$D$6:$D$3005,$A52))</f>
        <v/>
      </c>
      <c r="M52" s="40">
        <f>IF(OR($A52="",N($G$76)=0),"",G52/$G$76)</f>
        <v/>
      </c>
    </row>
    <row r="53">
      <c r="A53" s="41">
        <f>IF(LISTEN!$A$9="","",LISTEN!$A$9)</f>
        <v/>
      </c>
      <c r="B53" s="42">
        <f>IF($A53="","",COUNTIFS(ERFASSUNG!$D$6:$D$3005,$A53))</f>
        <v/>
      </c>
      <c r="C53" s="42">
        <f>IF($A53="","",SUMIFS(ERFASSUNG!$E$6:$E$3005,ERFASSUNG!$D$6:$D$3005,$A53))</f>
        <v/>
      </c>
      <c r="D53" s="42">
        <f>IF($A53="","",SUMIFS(ERFASSUNG!$F$6:$F$3005,ERFASSUNG!$D$6:$D$3005,$A53))</f>
        <v/>
      </c>
      <c r="E53" s="42">
        <f>IF($A53="","",SUMIFS(ERFASSUNG!$G$6:$G$3005,ERFASSUNG!$D$6:$D$3005,$A53))</f>
        <v/>
      </c>
      <c r="F53" s="42">
        <f>IF($A53="","",SUMIFS(ERFASSUNG!$H$6:$H$3005,ERFASSUNG!$D$6:$D$3005,$A53))</f>
        <v/>
      </c>
      <c r="G53" s="42">
        <f>IF($A53="","",SUMIFS(ERFASSUNG!$I$6:$I$3005,ERFASSUNG!$D$6:$D$3005,$A53))</f>
        <v/>
      </c>
      <c r="H53" s="42">
        <f>IF($A53="","",SUMIFS(ERFASSUNG!$J$6:$J$3005,ERFASSUNG!$D$6:$D$3005,$A53))</f>
        <v/>
      </c>
      <c r="I53" s="42">
        <f>IF($A53="","",SUMIFS(ERFASSUNG!$K$6:$K$3005,ERFASSUNG!$D$6:$D$3005,$A53))</f>
        <v/>
      </c>
      <c r="J53" s="42">
        <f>IF($A53="","",SUMIFS(ERFASSUNG!$L$6:$L$3005,ERFASSUNG!$D$6:$D$3005,$A53))</f>
        <v/>
      </c>
      <c r="K53" s="42">
        <f>IF($A53="","",SUMIFS(ERFASSUNG!$M$6:$M$3005,ERFASSUNG!$D$6:$D$3005,$A53))</f>
        <v/>
      </c>
      <c r="L53" s="42">
        <f>IF($A53="","",SUMIFS(ERFASSUNG!$N$6:$N$3005,ERFASSUNG!$D$6:$D$3005,$A53))</f>
        <v/>
      </c>
      <c r="M53" s="43">
        <f>IF(OR($A53="",N($G$76)=0),"",G53/$G$76)</f>
        <v/>
      </c>
    </row>
    <row r="54">
      <c r="A54" s="39">
        <f>IF(LISTEN!$A$10="","",LISTEN!$A$10)</f>
        <v/>
      </c>
      <c r="B54" s="7">
        <f>IF($A54="","",COUNTIFS(ERFASSUNG!$D$6:$D$3005,$A54))</f>
        <v/>
      </c>
      <c r="C54" s="7">
        <f>IF($A54="","",SUMIFS(ERFASSUNG!$E$6:$E$3005,ERFASSUNG!$D$6:$D$3005,$A54))</f>
        <v/>
      </c>
      <c r="D54" s="7">
        <f>IF($A54="","",SUMIFS(ERFASSUNG!$F$6:$F$3005,ERFASSUNG!$D$6:$D$3005,$A54))</f>
        <v/>
      </c>
      <c r="E54" s="7">
        <f>IF($A54="","",SUMIFS(ERFASSUNG!$G$6:$G$3005,ERFASSUNG!$D$6:$D$3005,$A54))</f>
        <v/>
      </c>
      <c r="F54" s="7">
        <f>IF($A54="","",SUMIFS(ERFASSUNG!$H$6:$H$3005,ERFASSUNG!$D$6:$D$3005,$A54))</f>
        <v/>
      </c>
      <c r="G54" s="7">
        <f>IF($A54="","",SUMIFS(ERFASSUNG!$I$6:$I$3005,ERFASSUNG!$D$6:$D$3005,$A54))</f>
        <v/>
      </c>
      <c r="H54" s="7">
        <f>IF($A54="","",SUMIFS(ERFASSUNG!$J$6:$J$3005,ERFASSUNG!$D$6:$D$3005,$A54))</f>
        <v/>
      </c>
      <c r="I54" s="7">
        <f>IF($A54="","",SUMIFS(ERFASSUNG!$K$6:$K$3005,ERFASSUNG!$D$6:$D$3005,$A54))</f>
        <v/>
      </c>
      <c r="J54" s="7">
        <f>IF($A54="","",SUMIFS(ERFASSUNG!$L$6:$L$3005,ERFASSUNG!$D$6:$D$3005,$A54))</f>
        <v/>
      </c>
      <c r="K54" s="7">
        <f>IF($A54="","",SUMIFS(ERFASSUNG!$M$6:$M$3005,ERFASSUNG!$D$6:$D$3005,$A54))</f>
        <v/>
      </c>
      <c r="L54" s="7">
        <f>IF($A54="","",SUMIFS(ERFASSUNG!$N$6:$N$3005,ERFASSUNG!$D$6:$D$3005,$A54))</f>
        <v/>
      </c>
      <c r="M54" s="40">
        <f>IF(OR($A54="",N($G$76)=0),"",G54/$G$76)</f>
        <v/>
      </c>
    </row>
    <row r="55">
      <c r="A55" s="41">
        <f>IF(LISTEN!$A$11="","",LISTEN!$A$11)</f>
        <v/>
      </c>
      <c r="B55" s="42">
        <f>IF($A55="","",COUNTIFS(ERFASSUNG!$D$6:$D$3005,$A55))</f>
        <v/>
      </c>
      <c r="C55" s="42">
        <f>IF($A55="","",SUMIFS(ERFASSUNG!$E$6:$E$3005,ERFASSUNG!$D$6:$D$3005,$A55))</f>
        <v/>
      </c>
      <c r="D55" s="42">
        <f>IF($A55="","",SUMIFS(ERFASSUNG!$F$6:$F$3005,ERFASSUNG!$D$6:$D$3005,$A55))</f>
        <v/>
      </c>
      <c r="E55" s="42">
        <f>IF($A55="","",SUMIFS(ERFASSUNG!$G$6:$G$3005,ERFASSUNG!$D$6:$D$3005,$A55))</f>
        <v/>
      </c>
      <c r="F55" s="42">
        <f>IF($A55="","",SUMIFS(ERFASSUNG!$H$6:$H$3005,ERFASSUNG!$D$6:$D$3005,$A55))</f>
        <v/>
      </c>
      <c r="G55" s="42">
        <f>IF($A55="","",SUMIFS(ERFASSUNG!$I$6:$I$3005,ERFASSUNG!$D$6:$D$3005,$A55))</f>
        <v/>
      </c>
      <c r="H55" s="42">
        <f>IF($A55="","",SUMIFS(ERFASSUNG!$J$6:$J$3005,ERFASSUNG!$D$6:$D$3005,$A55))</f>
        <v/>
      </c>
      <c r="I55" s="42">
        <f>IF($A55="","",SUMIFS(ERFASSUNG!$K$6:$K$3005,ERFASSUNG!$D$6:$D$3005,$A55))</f>
        <v/>
      </c>
      <c r="J55" s="42">
        <f>IF($A55="","",SUMIFS(ERFASSUNG!$L$6:$L$3005,ERFASSUNG!$D$6:$D$3005,$A55))</f>
        <v/>
      </c>
      <c r="K55" s="42">
        <f>IF($A55="","",SUMIFS(ERFASSUNG!$M$6:$M$3005,ERFASSUNG!$D$6:$D$3005,$A55))</f>
        <v/>
      </c>
      <c r="L55" s="42">
        <f>IF($A55="","",SUMIFS(ERFASSUNG!$N$6:$N$3005,ERFASSUNG!$D$6:$D$3005,$A55))</f>
        <v/>
      </c>
      <c r="M55" s="43">
        <f>IF(OR($A55="",N($G$76)=0),"",G55/$G$76)</f>
        <v/>
      </c>
    </row>
    <row r="56">
      <c r="A56" s="39">
        <f>IF(LISTEN!$A$12="","",LISTEN!$A$12)</f>
        <v/>
      </c>
      <c r="B56" s="7">
        <f>IF($A56="","",COUNTIFS(ERFASSUNG!$D$6:$D$3005,$A56))</f>
        <v/>
      </c>
      <c r="C56" s="7">
        <f>IF($A56="","",SUMIFS(ERFASSUNG!$E$6:$E$3005,ERFASSUNG!$D$6:$D$3005,$A56))</f>
        <v/>
      </c>
      <c r="D56" s="7">
        <f>IF($A56="","",SUMIFS(ERFASSUNG!$F$6:$F$3005,ERFASSUNG!$D$6:$D$3005,$A56))</f>
        <v/>
      </c>
      <c r="E56" s="7">
        <f>IF($A56="","",SUMIFS(ERFASSUNG!$G$6:$G$3005,ERFASSUNG!$D$6:$D$3005,$A56))</f>
        <v/>
      </c>
      <c r="F56" s="7">
        <f>IF($A56="","",SUMIFS(ERFASSUNG!$H$6:$H$3005,ERFASSUNG!$D$6:$D$3005,$A56))</f>
        <v/>
      </c>
      <c r="G56" s="7">
        <f>IF($A56="","",SUMIFS(ERFASSUNG!$I$6:$I$3005,ERFASSUNG!$D$6:$D$3005,$A56))</f>
        <v/>
      </c>
      <c r="H56" s="7">
        <f>IF($A56="","",SUMIFS(ERFASSUNG!$J$6:$J$3005,ERFASSUNG!$D$6:$D$3005,$A56))</f>
        <v/>
      </c>
      <c r="I56" s="7">
        <f>IF($A56="","",SUMIFS(ERFASSUNG!$K$6:$K$3005,ERFASSUNG!$D$6:$D$3005,$A56))</f>
        <v/>
      </c>
      <c r="J56" s="7">
        <f>IF($A56="","",SUMIFS(ERFASSUNG!$L$6:$L$3005,ERFASSUNG!$D$6:$D$3005,$A56))</f>
        <v/>
      </c>
      <c r="K56" s="7">
        <f>IF($A56="","",SUMIFS(ERFASSUNG!$M$6:$M$3005,ERFASSUNG!$D$6:$D$3005,$A56))</f>
        <v/>
      </c>
      <c r="L56" s="7">
        <f>IF($A56="","",SUMIFS(ERFASSUNG!$N$6:$N$3005,ERFASSUNG!$D$6:$D$3005,$A56))</f>
        <v/>
      </c>
      <c r="M56" s="40">
        <f>IF(OR($A56="",N($G$76)=0),"",G56/$G$76)</f>
        <v/>
      </c>
    </row>
    <row r="57">
      <c r="A57" s="41">
        <f>IF(LISTEN!$A$13="","",LISTEN!$A$13)</f>
        <v/>
      </c>
      <c r="B57" s="42">
        <f>IF($A57="","",COUNTIFS(ERFASSUNG!$D$6:$D$3005,$A57))</f>
        <v/>
      </c>
      <c r="C57" s="42">
        <f>IF($A57="","",SUMIFS(ERFASSUNG!$E$6:$E$3005,ERFASSUNG!$D$6:$D$3005,$A57))</f>
        <v/>
      </c>
      <c r="D57" s="42">
        <f>IF($A57="","",SUMIFS(ERFASSUNG!$F$6:$F$3005,ERFASSUNG!$D$6:$D$3005,$A57))</f>
        <v/>
      </c>
      <c r="E57" s="42">
        <f>IF($A57="","",SUMIFS(ERFASSUNG!$G$6:$G$3005,ERFASSUNG!$D$6:$D$3005,$A57))</f>
        <v/>
      </c>
      <c r="F57" s="42">
        <f>IF($A57="","",SUMIFS(ERFASSUNG!$H$6:$H$3005,ERFASSUNG!$D$6:$D$3005,$A57))</f>
        <v/>
      </c>
      <c r="G57" s="42">
        <f>IF($A57="","",SUMIFS(ERFASSUNG!$I$6:$I$3005,ERFASSUNG!$D$6:$D$3005,$A57))</f>
        <v/>
      </c>
      <c r="H57" s="42">
        <f>IF($A57="","",SUMIFS(ERFASSUNG!$J$6:$J$3005,ERFASSUNG!$D$6:$D$3005,$A57))</f>
        <v/>
      </c>
      <c r="I57" s="42">
        <f>IF($A57="","",SUMIFS(ERFASSUNG!$K$6:$K$3005,ERFASSUNG!$D$6:$D$3005,$A57))</f>
        <v/>
      </c>
      <c r="J57" s="42">
        <f>IF($A57="","",SUMIFS(ERFASSUNG!$L$6:$L$3005,ERFASSUNG!$D$6:$D$3005,$A57))</f>
        <v/>
      </c>
      <c r="K57" s="42">
        <f>IF($A57="","",SUMIFS(ERFASSUNG!$M$6:$M$3005,ERFASSUNG!$D$6:$D$3005,$A57))</f>
        <v/>
      </c>
      <c r="L57" s="42">
        <f>IF($A57="","",SUMIFS(ERFASSUNG!$N$6:$N$3005,ERFASSUNG!$D$6:$D$3005,$A57))</f>
        <v/>
      </c>
      <c r="M57" s="43">
        <f>IF(OR($A57="",N($G$76)=0),"",G57/$G$76)</f>
        <v/>
      </c>
    </row>
    <row r="58">
      <c r="A58" s="39">
        <f>IF(LISTEN!$A$14="","",LISTEN!$A$14)</f>
        <v/>
      </c>
      <c r="B58" s="7">
        <f>IF($A58="","",COUNTIFS(ERFASSUNG!$D$6:$D$3005,$A58))</f>
        <v/>
      </c>
      <c r="C58" s="7">
        <f>IF($A58="","",SUMIFS(ERFASSUNG!$E$6:$E$3005,ERFASSUNG!$D$6:$D$3005,$A58))</f>
        <v/>
      </c>
      <c r="D58" s="7">
        <f>IF($A58="","",SUMIFS(ERFASSUNG!$F$6:$F$3005,ERFASSUNG!$D$6:$D$3005,$A58))</f>
        <v/>
      </c>
      <c r="E58" s="7">
        <f>IF($A58="","",SUMIFS(ERFASSUNG!$G$6:$G$3005,ERFASSUNG!$D$6:$D$3005,$A58))</f>
        <v/>
      </c>
      <c r="F58" s="7">
        <f>IF($A58="","",SUMIFS(ERFASSUNG!$H$6:$H$3005,ERFASSUNG!$D$6:$D$3005,$A58))</f>
        <v/>
      </c>
      <c r="G58" s="7">
        <f>IF($A58="","",SUMIFS(ERFASSUNG!$I$6:$I$3005,ERFASSUNG!$D$6:$D$3005,$A58))</f>
        <v/>
      </c>
      <c r="H58" s="7">
        <f>IF($A58="","",SUMIFS(ERFASSUNG!$J$6:$J$3005,ERFASSUNG!$D$6:$D$3005,$A58))</f>
        <v/>
      </c>
      <c r="I58" s="7">
        <f>IF($A58="","",SUMIFS(ERFASSUNG!$K$6:$K$3005,ERFASSUNG!$D$6:$D$3005,$A58))</f>
        <v/>
      </c>
      <c r="J58" s="7">
        <f>IF($A58="","",SUMIFS(ERFASSUNG!$L$6:$L$3005,ERFASSUNG!$D$6:$D$3005,$A58))</f>
        <v/>
      </c>
      <c r="K58" s="7">
        <f>IF($A58="","",SUMIFS(ERFASSUNG!$M$6:$M$3005,ERFASSUNG!$D$6:$D$3005,$A58))</f>
        <v/>
      </c>
      <c r="L58" s="7">
        <f>IF($A58="","",SUMIFS(ERFASSUNG!$N$6:$N$3005,ERFASSUNG!$D$6:$D$3005,$A58))</f>
        <v/>
      </c>
      <c r="M58" s="40">
        <f>IF(OR($A58="",N($G$76)=0),"",G58/$G$76)</f>
        <v/>
      </c>
    </row>
    <row r="59">
      <c r="A59" s="41">
        <f>IF(LISTEN!$A$15="","",LISTEN!$A$15)</f>
        <v/>
      </c>
      <c r="B59" s="42">
        <f>IF($A59="","",COUNTIFS(ERFASSUNG!$D$6:$D$3005,$A59))</f>
        <v/>
      </c>
      <c r="C59" s="42">
        <f>IF($A59="","",SUMIFS(ERFASSUNG!$E$6:$E$3005,ERFASSUNG!$D$6:$D$3005,$A59))</f>
        <v/>
      </c>
      <c r="D59" s="42">
        <f>IF($A59="","",SUMIFS(ERFASSUNG!$F$6:$F$3005,ERFASSUNG!$D$6:$D$3005,$A59))</f>
        <v/>
      </c>
      <c r="E59" s="42">
        <f>IF($A59="","",SUMIFS(ERFASSUNG!$G$6:$G$3005,ERFASSUNG!$D$6:$D$3005,$A59))</f>
        <v/>
      </c>
      <c r="F59" s="42">
        <f>IF($A59="","",SUMIFS(ERFASSUNG!$H$6:$H$3005,ERFASSUNG!$D$6:$D$3005,$A59))</f>
        <v/>
      </c>
      <c r="G59" s="42">
        <f>IF($A59="","",SUMIFS(ERFASSUNG!$I$6:$I$3005,ERFASSUNG!$D$6:$D$3005,$A59))</f>
        <v/>
      </c>
      <c r="H59" s="42">
        <f>IF($A59="","",SUMIFS(ERFASSUNG!$J$6:$J$3005,ERFASSUNG!$D$6:$D$3005,$A59))</f>
        <v/>
      </c>
      <c r="I59" s="42">
        <f>IF($A59="","",SUMIFS(ERFASSUNG!$K$6:$K$3005,ERFASSUNG!$D$6:$D$3005,$A59))</f>
        <v/>
      </c>
      <c r="J59" s="42">
        <f>IF($A59="","",SUMIFS(ERFASSUNG!$L$6:$L$3005,ERFASSUNG!$D$6:$D$3005,$A59))</f>
        <v/>
      </c>
      <c r="K59" s="42">
        <f>IF($A59="","",SUMIFS(ERFASSUNG!$M$6:$M$3005,ERFASSUNG!$D$6:$D$3005,$A59))</f>
        <v/>
      </c>
      <c r="L59" s="42">
        <f>IF($A59="","",SUMIFS(ERFASSUNG!$N$6:$N$3005,ERFASSUNG!$D$6:$D$3005,$A59))</f>
        <v/>
      </c>
      <c r="M59" s="43">
        <f>IF(OR($A59="",N($G$76)=0),"",G59/$G$76)</f>
        <v/>
      </c>
    </row>
    <row r="60">
      <c r="A60" s="39">
        <f>IF(LISTEN!$A$16="","",LISTEN!$A$16)</f>
        <v/>
      </c>
      <c r="B60" s="7">
        <f>IF($A60="","",COUNTIFS(ERFASSUNG!$D$6:$D$3005,$A60))</f>
        <v/>
      </c>
      <c r="C60" s="7">
        <f>IF($A60="","",SUMIFS(ERFASSUNG!$E$6:$E$3005,ERFASSUNG!$D$6:$D$3005,$A60))</f>
        <v/>
      </c>
      <c r="D60" s="7">
        <f>IF($A60="","",SUMIFS(ERFASSUNG!$F$6:$F$3005,ERFASSUNG!$D$6:$D$3005,$A60))</f>
        <v/>
      </c>
      <c r="E60" s="7">
        <f>IF($A60="","",SUMIFS(ERFASSUNG!$G$6:$G$3005,ERFASSUNG!$D$6:$D$3005,$A60))</f>
        <v/>
      </c>
      <c r="F60" s="7">
        <f>IF($A60="","",SUMIFS(ERFASSUNG!$H$6:$H$3005,ERFASSUNG!$D$6:$D$3005,$A60))</f>
        <v/>
      </c>
      <c r="G60" s="7">
        <f>IF($A60="","",SUMIFS(ERFASSUNG!$I$6:$I$3005,ERFASSUNG!$D$6:$D$3005,$A60))</f>
        <v/>
      </c>
      <c r="H60" s="7">
        <f>IF($A60="","",SUMIFS(ERFASSUNG!$J$6:$J$3005,ERFASSUNG!$D$6:$D$3005,$A60))</f>
        <v/>
      </c>
      <c r="I60" s="7">
        <f>IF($A60="","",SUMIFS(ERFASSUNG!$K$6:$K$3005,ERFASSUNG!$D$6:$D$3005,$A60))</f>
        <v/>
      </c>
      <c r="J60" s="7">
        <f>IF($A60="","",SUMIFS(ERFASSUNG!$L$6:$L$3005,ERFASSUNG!$D$6:$D$3005,$A60))</f>
        <v/>
      </c>
      <c r="K60" s="7">
        <f>IF($A60="","",SUMIFS(ERFASSUNG!$M$6:$M$3005,ERFASSUNG!$D$6:$D$3005,$A60))</f>
        <v/>
      </c>
      <c r="L60" s="7">
        <f>IF($A60="","",SUMIFS(ERFASSUNG!$N$6:$N$3005,ERFASSUNG!$D$6:$D$3005,$A60))</f>
        <v/>
      </c>
      <c r="M60" s="40">
        <f>IF(OR($A60="",N($G$76)=0),"",G60/$G$76)</f>
        <v/>
      </c>
    </row>
    <row r="61">
      <c r="A61" s="41">
        <f>IF(LISTEN!$A$17="","",LISTEN!$A$17)</f>
        <v/>
      </c>
      <c r="B61" s="42">
        <f>IF($A61="","",COUNTIFS(ERFASSUNG!$D$6:$D$3005,$A61))</f>
        <v/>
      </c>
      <c r="C61" s="42">
        <f>IF($A61="","",SUMIFS(ERFASSUNG!$E$6:$E$3005,ERFASSUNG!$D$6:$D$3005,$A61))</f>
        <v/>
      </c>
      <c r="D61" s="42">
        <f>IF($A61="","",SUMIFS(ERFASSUNG!$F$6:$F$3005,ERFASSUNG!$D$6:$D$3005,$A61))</f>
        <v/>
      </c>
      <c r="E61" s="42">
        <f>IF($A61="","",SUMIFS(ERFASSUNG!$G$6:$G$3005,ERFASSUNG!$D$6:$D$3005,$A61))</f>
        <v/>
      </c>
      <c r="F61" s="42">
        <f>IF($A61="","",SUMIFS(ERFASSUNG!$H$6:$H$3005,ERFASSUNG!$D$6:$D$3005,$A61))</f>
        <v/>
      </c>
      <c r="G61" s="42">
        <f>IF($A61="","",SUMIFS(ERFASSUNG!$I$6:$I$3005,ERFASSUNG!$D$6:$D$3005,$A61))</f>
        <v/>
      </c>
      <c r="H61" s="42">
        <f>IF($A61="","",SUMIFS(ERFASSUNG!$J$6:$J$3005,ERFASSUNG!$D$6:$D$3005,$A61))</f>
        <v/>
      </c>
      <c r="I61" s="42">
        <f>IF($A61="","",SUMIFS(ERFASSUNG!$K$6:$K$3005,ERFASSUNG!$D$6:$D$3005,$A61))</f>
        <v/>
      </c>
      <c r="J61" s="42">
        <f>IF($A61="","",SUMIFS(ERFASSUNG!$L$6:$L$3005,ERFASSUNG!$D$6:$D$3005,$A61))</f>
        <v/>
      </c>
      <c r="K61" s="42">
        <f>IF($A61="","",SUMIFS(ERFASSUNG!$M$6:$M$3005,ERFASSUNG!$D$6:$D$3005,$A61))</f>
        <v/>
      </c>
      <c r="L61" s="42">
        <f>IF($A61="","",SUMIFS(ERFASSUNG!$N$6:$N$3005,ERFASSUNG!$D$6:$D$3005,$A61))</f>
        <v/>
      </c>
      <c r="M61" s="43">
        <f>IF(OR($A61="",N($G$76)=0),"",G61/$G$76)</f>
        <v/>
      </c>
    </row>
    <row r="62">
      <c r="A62" s="39">
        <f>IF(LISTEN!$A$18="","",LISTEN!$A$18)</f>
        <v/>
      </c>
      <c r="B62" s="7">
        <f>IF($A62="","",COUNTIFS(ERFASSUNG!$D$6:$D$3005,$A62))</f>
        <v/>
      </c>
      <c r="C62" s="7">
        <f>IF($A62="","",SUMIFS(ERFASSUNG!$E$6:$E$3005,ERFASSUNG!$D$6:$D$3005,$A62))</f>
        <v/>
      </c>
      <c r="D62" s="7">
        <f>IF($A62="","",SUMIFS(ERFASSUNG!$F$6:$F$3005,ERFASSUNG!$D$6:$D$3005,$A62))</f>
        <v/>
      </c>
      <c r="E62" s="7">
        <f>IF($A62="","",SUMIFS(ERFASSUNG!$G$6:$G$3005,ERFASSUNG!$D$6:$D$3005,$A62))</f>
        <v/>
      </c>
      <c r="F62" s="7">
        <f>IF($A62="","",SUMIFS(ERFASSUNG!$H$6:$H$3005,ERFASSUNG!$D$6:$D$3005,$A62))</f>
        <v/>
      </c>
      <c r="G62" s="7">
        <f>IF($A62="","",SUMIFS(ERFASSUNG!$I$6:$I$3005,ERFASSUNG!$D$6:$D$3005,$A62))</f>
        <v/>
      </c>
      <c r="H62" s="7">
        <f>IF($A62="","",SUMIFS(ERFASSUNG!$J$6:$J$3005,ERFASSUNG!$D$6:$D$3005,$A62))</f>
        <v/>
      </c>
      <c r="I62" s="7">
        <f>IF($A62="","",SUMIFS(ERFASSUNG!$K$6:$K$3005,ERFASSUNG!$D$6:$D$3005,$A62))</f>
        <v/>
      </c>
      <c r="J62" s="7">
        <f>IF($A62="","",SUMIFS(ERFASSUNG!$L$6:$L$3005,ERFASSUNG!$D$6:$D$3005,$A62))</f>
        <v/>
      </c>
      <c r="K62" s="7">
        <f>IF($A62="","",SUMIFS(ERFASSUNG!$M$6:$M$3005,ERFASSUNG!$D$6:$D$3005,$A62))</f>
        <v/>
      </c>
      <c r="L62" s="7">
        <f>IF($A62="","",SUMIFS(ERFASSUNG!$N$6:$N$3005,ERFASSUNG!$D$6:$D$3005,$A62))</f>
        <v/>
      </c>
      <c r="M62" s="40">
        <f>IF(OR($A62="",N($G$76)=0),"",G62/$G$76)</f>
        <v/>
      </c>
    </row>
    <row r="63">
      <c r="A63" s="41">
        <f>IF(LISTEN!$A$19="","",LISTEN!$A$19)</f>
        <v/>
      </c>
      <c r="B63" s="42">
        <f>IF($A63="","",COUNTIFS(ERFASSUNG!$D$6:$D$3005,$A63))</f>
        <v/>
      </c>
      <c r="C63" s="42">
        <f>IF($A63="","",SUMIFS(ERFASSUNG!$E$6:$E$3005,ERFASSUNG!$D$6:$D$3005,$A63))</f>
        <v/>
      </c>
      <c r="D63" s="42">
        <f>IF($A63="","",SUMIFS(ERFASSUNG!$F$6:$F$3005,ERFASSUNG!$D$6:$D$3005,$A63))</f>
        <v/>
      </c>
      <c r="E63" s="42">
        <f>IF($A63="","",SUMIFS(ERFASSUNG!$G$6:$G$3005,ERFASSUNG!$D$6:$D$3005,$A63))</f>
        <v/>
      </c>
      <c r="F63" s="42">
        <f>IF($A63="","",SUMIFS(ERFASSUNG!$H$6:$H$3005,ERFASSUNG!$D$6:$D$3005,$A63))</f>
        <v/>
      </c>
      <c r="G63" s="42">
        <f>IF($A63="","",SUMIFS(ERFASSUNG!$I$6:$I$3005,ERFASSUNG!$D$6:$D$3005,$A63))</f>
        <v/>
      </c>
      <c r="H63" s="42">
        <f>IF($A63="","",SUMIFS(ERFASSUNG!$J$6:$J$3005,ERFASSUNG!$D$6:$D$3005,$A63))</f>
        <v/>
      </c>
      <c r="I63" s="42">
        <f>IF($A63="","",SUMIFS(ERFASSUNG!$K$6:$K$3005,ERFASSUNG!$D$6:$D$3005,$A63))</f>
        <v/>
      </c>
      <c r="J63" s="42">
        <f>IF($A63="","",SUMIFS(ERFASSUNG!$L$6:$L$3005,ERFASSUNG!$D$6:$D$3005,$A63))</f>
        <v/>
      </c>
      <c r="K63" s="42">
        <f>IF($A63="","",SUMIFS(ERFASSUNG!$M$6:$M$3005,ERFASSUNG!$D$6:$D$3005,$A63))</f>
        <v/>
      </c>
      <c r="L63" s="42">
        <f>IF($A63="","",SUMIFS(ERFASSUNG!$N$6:$N$3005,ERFASSUNG!$D$6:$D$3005,$A63))</f>
        <v/>
      </c>
      <c r="M63" s="43">
        <f>IF(OR($A63="",N($G$76)=0),"",G63/$G$76)</f>
        <v/>
      </c>
    </row>
    <row r="64">
      <c r="A64" s="39">
        <f>IF(LISTEN!$A$20="","",LISTEN!$A$20)</f>
        <v/>
      </c>
      <c r="B64" s="7">
        <f>IF($A64="","",COUNTIFS(ERFASSUNG!$D$6:$D$3005,$A64))</f>
        <v/>
      </c>
      <c r="C64" s="7">
        <f>IF($A64="","",SUMIFS(ERFASSUNG!$E$6:$E$3005,ERFASSUNG!$D$6:$D$3005,$A64))</f>
        <v/>
      </c>
      <c r="D64" s="7">
        <f>IF($A64="","",SUMIFS(ERFASSUNG!$F$6:$F$3005,ERFASSUNG!$D$6:$D$3005,$A64))</f>
        <v/>
      </c>
      <c r="E64" s="7">
        <f>IF($A64="","",SUMIFS(ERFASSUNG!$G$6:$G$3005,ERFASSUNG!$D$6:$D$3005,$A64))</f>
        <v/>
      </c>
      <c r="F64" s="7">
        <f>IF($A64="","",SUMIFS(ERFASSUNG!$H$6:$H$3005,ERFASSUNG!$D$6:$D$3005,$A64))</f>
        <v/>
      </c>
      <c r="G64" s="7">
        <f>IF($A64="","",SUMIFS(ERFASSUNG!$I$6:$I$3005,ERFASSUNG!$D$6:$D$3005,$A64))</f>
        <v/>
      </c>
      <c r="H64" s="7">
        <f>IF($A64="","",SUMIFS(ERFASSUNG!$J$6:$J$3005,ERFASSUNG!$D$6:$D$3005,$A64))</f>
        <v/>
      </c>
      <c r="I64" s="7">
        <f>IF($A64="","",SUMIFS(ERFASSUNG!$K$6:$K$3005,ERFASSUNG!$D$6:$D$3005,$A64))</f>
        <v/>
      </c>
      <c r="J64" s="7">
        <f>IF($A64="","",SUMIFS(ERFASSUNG!$L$6:$L$3005,ERFASSUNG!$D$6:$D$3005,$A64))</f>
        <v/>
      </c>
      <c r="K64" s="7">
        <f>IF($A64="","",SUMIFS(ERFASSUNG!$M$6:$M$3005,ERFASSUNG!$D$6:$D$3005,$A64))</f>
        <v/>
      </c>
      <c r="L64" s="7">
        <f>IF($A64="","",SUMIFS(ERFASSUNG!$N$6:$N$3005,ERFASSUNG!$D$6:$D$3005,$A64))</f>
        <v/>
      </c>
      <c r="M64" s="40">
        <f>IF(OR($A64="",N($G$76)=0),"",G64/$G$76)</f>
        <v/>
      </c>
    </row>
    <row r="65">
      <c r="A65" s="41">
        <f>IF(LISTEN!$A$21="","",LISTEN!$A$21)</f>
        <v/>
      </c>
      <c r="B65" s="42">
        <f>IF($A65="","",COUNTIFS(ERFASSUNG!$D$6:$D$3005,$A65))</f>
        <v/>
      </c>
      <c r="C65" s="42">
        <f>IF($A65="","",SUMIFS(ERFASSUNG!$E$6:$E$3005,ERFASSUNG!$D$6:$D$3005,$A65))</f>
        <v/>
      </c>
      <c r="D65" s="42">
        <f>IF($A65="","",SUMIFS(ERFASSUNG!$F$6:$F$3005,ERFASSUNG!$D$6:$D$3005,$A65))</f>
        <v/>
      </c>
      <c r="E65" s="42">
        <f>IF($A65="","",SUMIFS(ERFASSUNG!$G$6:$G$3005,ERFASSUNG!$D$6:$D$3005,$A65))</f>
        <v/>
      </c>
      <c r="F65" s="42">
        <f>IF($A65="","",SUMIFS(ERFASSUNG!$H$6:$H$3005,ERFASSUNG!$D$6:$D$3005,$A65))</f>
        <v/>
      </c>
      <c r="G65" s="42">
        <f>IF($A65="","",SUMIFS(ERFASSUNG!$I$6:$I$3005,ERFASSUNG!$D$6:$D$3005,$A65))</f>
        <v/>
      </c>
      <c r="H65" s="42">
        <f>IF($A65="","",SUMIFS(ERFASSUNG!$J$6:$J$3005,ERFASSUNG!$D$6:$D$3005,$A65))</f>
        <v/>
      </c>
      <c r="I65" s="42">
        <f>IF($A65="","",SUMIFS(ERFASSUNG!$K$6:$K$3005,ERFASSUNG!$D$6:$D$3005,$A65))</f>
        <v/>
      </c>
      <c r="J65" s="42">
        <f>IF($A65="","",SUMIFS(ERFASSUNG!$L$6:$L$3005,ERFASSUNG!$D$6:$D$3005,$A65))</f>
        <v/>
      </c>
      <c r="K65" s="42">
        <f>IF($A65="","",SUMIFS(ERFASSUNG!$M$6:$M$3005,ERFASSUNG!$D$6:$D$3005,$A65))</f>
        <v/>
      </c>
      <c r="L65" s="42">
        <f>IF($A65="","",SUMIFS(ERFASSUNG!$N$6:$N$3005,ERFASSUNG!$D$6:$D$3005,$A65))</f>
        <v/>
      </c>
      <c r="M65" s="43">
        <f>IF(OR($A65="",N($G$76)=0),"",G65/$G$76)</f>
        <v/>
      </c>
    </row>
    <row r="66">
      <c r="A66" s="39">
        <f>IF(LISTEN!$A$22="","",LISTEN!$A$22)</f>
        <v/>
      </c>
      <c r="B66" s="7">
        <f>IF($A66="","",COUNTIFS(ERFASSUNG!$D$6:$D$3005,$A66))</f>
        <v/>
      </c>
      <c r="C66" s="7">
        <f>IF($A66="","",SUMIFS(ERFASSUNG!$E$6:$E$3005,ERFASSUNG!$D$6:$D$3005,$A66))</f>
        <v/>
      </c>
      <c r="D66" s="7">
        <f>IF($A66="","",SUMIFS(ERFASSUNG!$F$6:$F$3005,ERFASSUNG!$D$6:$D$3005,$A66))</f>
        <v/>
      </c>
      <c r="E66" s="7">
        <f>IF($A66="","",SUMIFS(ERFASSUNG!$G$6:$G$3005,ERFASSUNG!$D$6:$D$3005,$A66))</f>
        <v/>
      </c>
      <c r="F66" s="7">
        <f>IF($A66="","",SUMIFS(ERFASSUNG!$H$6:$H$3005,ERFASSUNG!$D$6:$D$3005,$A66))</f>
        <v/>
      </c>
      <c r="G66" s="7">
        <f>IF($A66="","",SUMIFS(ERFASSUNG!$I$6:$I$3005,ERFASSUNG!$D$6:$D$3005,$A66))</f>
        <v/>
      </c>
      <c r="H66" s="7">
        <f>IF($A66="","",SUMIFS(ERFASSUNG!$J$6:$J$3005,ERFASSUNG!$D$6:$D$3005,$A66))</f>
        <v/>
      </c>
      <c r="I66" s="7">
        <f>IF($A66="","",SUMIFS(ERFASSUNG!$K$6:$K$3005,ERFASSUNG!$D$6:$D$3005,$A66))</f>
        <v/>
      </c>
      <c r="J66" s="7">
        <f>IF($A66="","",SUMIFS(ERFASSUNG!$L$6:$L$3005,ERFASSUNG!$D$6:$D$3005,$A66))</f>
        <v/>
      </c>
      <c r="K66" s="7">
        <f>IF($A66="","",SUMIFS(ERFASSUNG!$M$6:$M$3005,ERFASSUNG!$D$6:$D$3005,$A66))</f>
        <v/>
      </c>
      <c r="L66" s="7">
        <f>IF($A66="","",SUMIFS(ERFASSUNG!$N$6:$N$3005,ERFASSUNG!$D$6:$D$3005,$A66))</f>
        <v/>
      </c>
      <c r="M66" s="40">
        <f>IF(OR($A66="",N($G$76)=0),"",G66/$G$76)</f>
        <v/>
      </c>
    </row>
    <row r="67">
      <c r="A67" s="41">
        <f>IF(LISTEN!$A$23="","",LISTEN!$A$23)</f>
        <v/>
      </c>
      <c r="B67" s="42">
        <f>IF($A67="","",COUNTIFS(ERFASSUNG!$D$6:$D$3005,$A67))</f>
        <v/>
      </c>
      <c r="C67" s="42">
        <f>IF($A67="","",SUMIFS(ERFASSUNG!$E$6:$E$3005,ERFASSUNG!$D$6:$D$3005,$A67))</f>
        <v/>
      </c>
      <c r="D67" s="42">
        <f>IF($A67="","",SUMIFS(ERFASSUNG!$F$6:$F$3005,ERFASSUNG!$D$6:$D$3005,$A67))</f>
        <v/>
      </c>
      <c r="E67" s="42">
        <f>IF($A67="","",SUMIFS(ERFASSUNG!$G$6:$G$3005,ERFASSUNG!$D$6:$D$3005,$A67))</f>
        <v/>
      </c>
      <c r="F67" s="42">
        <f>IF($A67="","",SUMIFS(ERFASSUNG!$H$6:$H$3005,ERFASSUNG!$D$6:$D$3005,$A67))</f>
        <v/>
      </c>
      <c r="G67" s="42">
        <f>IF($A67="","",SUMIFS(ERFASSUNG!$I$6:$I$3005,ERFASSUNG!$D$6:$D$3005,$A67))</f>
        <v/>
      </c>
      <c r="H67" s="42">
        <f>IF($A67="","",SUMIFS(ERFASSUNG!$J$6:$J$3005,ERFASSUNG!$D$6:$D$3005,$A67))</f>
        <v/>
      </c>
      <c r="I67" s="42">
        <f>IF($A67="","",SUMIFS(ERFASSUNG!$K$6:$K$3005,ERFASSUNG!$D$6:$D$3005,$A67))</f>
        <v/>
      </c>
      <c r="J67" s="42">
        <f>IF($A67="","",SUMIFS(ERFASSUNG!$L$6:$L$3005,ERFASSUNG!$D$6:$D$3005,$A67))</f>
        <v/>
      </c>
      <c r="K67" s="42">
        <f>IF($A67="","",SUMIFS(ERFASSUNG!$M$6:$M$3005,ERFASSUNG!$D$6:$D$3005,$A67))</f>
        <v/>
      </c>
      <c r="L67" s="42">
        <f>IF($A67="","",SUMIFS(ERFASSUNG!$N$6:$N$3005,ERFASSUNG!$D$6:$D$3005,$A67))</f>
        <v/>
      </c>
      <c r="M67" s="43">
        <f>IF(OR($A67="",N($G$76)=0),"",G67/$G$76)</f>
        <v/>
      </c>
    </row>
    <row r="68">
      <c r="A68" s="39">
        <f>IF(LISTEN!$A$24="","",LISTEN!$A$24)</f>
        <v/>
      </c>
      <c r="B68" s="7">
        <f>IF($A68="","",COUNTIFS(ERFASSUNG!$D$6:$D$3005,$A68))</f>
        <v/>
      </c>
      <c r="C68" s="7">
        <f>IF($A68="","",SUMIFS(ERFASSUNG!$E$6:$E$3005,ERFASSUNG!$D$6:$D$3005,$A68))</f>
        <v/>
      </c>
      <c r="D68" s="7">
        <f>IF($A68="","",SUMIFS(ERFASSUNG!$F$6:$F$3005,ERFASSUNG!$D$6:$D$3005,$A68))</f>
        <v/>
      </c>
      <c r="E68" s="7">
        <f>IF($A68="","",SUMIFS(ERFASSUNG!$G$6:$G$3005,ERFASSUNG!$D$6:$D$3005,$A68))</f>
        <v/>
      </c>
      <c r="F68" s="7">
        <f>IF($A68="","",SUMIFS(ERFASSUNG!$H$6:$H$3005,ERFASSUNG!$D$6:$D$3005,$A68))</f>
        <v/>
      </c>
      <c r="G68" s="7">
        <f>IF($A68="","",SUMIFS(ERFASSUNG!$I$6:$I$3005,ERFASSUNG!$D$6:$D$3005,$A68))</f>
        <v/>
      </c>
      <c r="H68" s="7">
        <f>IF($A68="","",SUMIFS(ERFASSUNG!$J$6:$J$3005,ERFASSUNG!$D$6:$D$3005,$A68))</f>
        <v/>
      </c>
      <c r="I68" s="7">
        <f>IF($A68="","",SUMIFS(ERFASSUNG!$K$6:$K$3005,ERFASSUNG!$D$6:$D$3005,$A68))</f>
        <v/>
      </c>
      <c r="J68" s="7">
        <f>IF($A68="","",SUMIFS(ERFASSUNG!$L$6:$L$3005,ERFASSUNG!$D$6:$D$3005,$A68))</f>
        <v/>
      </c>
      <c r="K68" s="7">
        <f>IF($A68="","",SUMIFS(ERFASSUNG!$M$6:$M$3005,ERFASSUNG!$D$6:$D$3005,$A68))</f>
        <v/>
      </c>
      <c r="L68" s="7">
        <f>IF($A68="","",SUMIFS(ERFASSUNG!$N$6:$N$3005,ERFASSUNG!$D$6:$D$3005,$A68))</f>
        <v/>
      </c>
      <c r="M68" s="40">
        <f>IF(OR($A68="",N($G$76)=0),"",G68/$G$76)</f>
        <v/>
      </c>
    </row>
    <row r="69">
      <c r="A69" s="41">
        <f>IF(LISTEN!$A$25="","",LISTEN!$A$25)</f>
        <v/>
      </c>
      <c r="B69" s="42">
        <f>IF($A69="","",COUNTIFS(ERFASSUNG!$D$6:$D$3005,$A69))</f>
        <v/>
      </c>
      <c r="C69" s="42">
        <f>IF($A69="","",SUMIFS(ERFASSUNG!$E$6:$E$3005,ERFASSUNG!$D$6:$D$3005,$A69))</f>
        <v/>
      </c>
      <c r="D69" s="42">
        <f>IF($A69="","",SUMIFS(ERFASSUNG!$F$6:$F$3005,ERFASSUNG!$D$6:$D$3005,$A69))</f>
        <v/>
      </c>
      <c r="E69" s="42">
        <f>IF($A69="","",SUMIFS(ERFASSUNG!$G$6:$G$3005,ERFASSUNG!$D$6:$D$3005,$A69))</f>
        <v/>
      </c>
      <c r="F69" s="42">
        <f>IF($A69="","",SUMIFS(ERFASSUNG!$H$6:$H$3005,ERFASSUNG!$D$6:$D$3005,$A69))</f>
        <v/>
      </c>
      <c r="G69" s="42">
        <f>IF($A69="","",SUMIFS(ERFASSUNG!$I$6:$I$3005,ERFASSUNG!$D$6:$D$3005,$A69))</f>
        <v/>
      </c>
      <c r="H69" s="42">
        <f>IF($A69="","",SUMIFS(ERFASSUNG!$J$6:$J$3005,ERFASSUNG!$D$6:$D$3005,$A69))</f>
        <v/>
      </c>
      <c r="I69" s="42">
        <f>IF($A69="","",SUMIFS(ERFASSUNG!$K$6:$K$3005,ERFASSUNG!$D$6:$D$3005,$A69))</f>
        <v/>
      </c>
      <c r="J69" s="42">
        <f>IF($A69="","",SUMIFS(ERFASSUNG!$L$6:$L$3005,ERFASSUNG!$D$6:$D$3005,$A69))</f>
        <v/>
      </c>
      <c r="K69" s="42">
        <f>IF($A69="","",SUMIFS(ERFASSUNG!$M$6:$M$3005,ERFASSUNG!$D$6:$D$3005,$A69))</f>
        <v/>
      </c>
      <c r="L69" s="42">
        <f>IF($A69="","",SUMIFS(ERFASSUNG!$N$6:$N$3005,ERFASSUNG!$D$6:$D$3005,$A69))</f>
        <v/>
      </c>
      <c r="M69" s="43">
        <f>IF(OR($A69="",N($G$76)=0),"",G69/$G$76)</f>
        <v/>
      </c>
    </row>
    <row r="70">
      <c r="A70" s="39">
        <f>IF(LISTEN!$A$26="","",LISTEN!$A$26)</f>
        <v/>
      </c>
      <c r="B70" s="7">
        <f>IF($A70="","",COUNTIFS(ERFASSUNG!$D$6:$D$3005,$A70))</f>
        <v/>
      </c>
      <c r="C70" s="7">
        <f>IF($A70="","",SUMIFS(ERFASSUNG!$E$6:$E$3005,ERFASSUNG!$D$6:$D$3005,$A70))</f>
        <v/>
      </c>
      <c r="D70" s="7">
        <f>IF($A70="","",SUMIFS(ERFASSUNG!$F$6:$F$3005,ERFASSUNG!$D$6:$D$3005,$A70))</f>
        <v/>
      </c>
      <c r="E70" s="7">
        <f>IF($A70="","",SUMIFS(ERFASSUNG!$G$6:$G$3005,ERFASSUNG!$D$6:$D$3005,$A70))</f>
        <v/>
      </c>
      <c r="F70" s="7">
        <f>IF($A70="","",SUMIFS(ERFASSUNG!$H$6:$H$3005,ERFASSUNG!$D$6:$D$3005,$A70))</f>
        <v/>
      </c>
      <c r="G70" s="7">
        <f>IF($A70="","",SUMIFS(ERFASSUNG!$I$6:$I$3005,ERFASSUNG!$D$6:$D$3005,$A70))</f>
        <v/>
      </c>
      <c r="H70" s="7">
        <f>IF($A70="","",SUMIFS(ERFASSUNG!$J$6:$J$3005,ERFASSUNG!$D$6:$D$3005,$A70))</f>
        <v/>
      </c>
      <c r="I70" s="7">
        <f>IF($A70="","",SUMIFS(ERFASSUNG!$K$6:$K$3005,ERFASSUNG!$D$6:$D$3005,$A70))</f>
        <v/>
      </c>
      <c r="J70" s="7">
        <f>IF($A70="","",SUMIFS(ERFASSUNG!$L$6:$L$3005,ERFASSUNG!$D$6:$D$3005,$A70))</f>
        <v/>
      </c>
      <c r="K70" s="7">
        <f>IF($A70="","",SUMIFS(ERFASSUNG!$M$6:$M$3005,ERFASSUNG!$D$6:$D$3005,$A70))</f>
        <v/>
      </c>
      <c r="L70" s="7">
        <f>IF($A70="","",SUMIFS(ERFASSUNG!$N$6:$N$3005,ERFASSUNG!$D$6:$D$3005,$A70))</f>
        <v/>
      </c>
      <c r="M70" s="40">
        <f>IF(OR($A70="",N($G$76)=0),"",G70/$G$76)</f>
        <v/>
      </c>
    </row>
    <row r="71">
      <c r="A71" s="41">
        <f>IF(LISTEN!$A$27="","",LISTEN!$A$27)</f>
        <v/>
      </c>
      <c r="B71" s="42">
        <f>IF($A71="","",COUNTIFS(ERFASSUNG!$D$6:$D$3005,$A71))</f>
        <v/>
      </c>
      <c r="C71" s="42">
        <f>IF($A71="","",SUMIFS(ERFASSUNG!$E$6:$E$3005,ERFASSUNG!$D$6:$D$3005,$A71))</f>
        <v/>
      </c>
      <c r="D71" s="42">
        <f>IF($A71="","",SUMIFS(ERFASSUNG!$F$6:$F$3005,ERFASSUNG!$D$6:$D$3005,$A71))</f>
        <v/>
      </c>
      <c r="E71" s="42">
        <f>IF($A71="","",SUMIFS(ERFASSUNG!$G$6:$G$3005,ERFASSUNG!$D$6:$D$3005,$A71))</f>
        <v/>
      </c>
      <c r="F71" s="42">
        <f>IF($A71="","",SUMIFS(ERFASSUNG!$H$6:$H$3005,ERFASSUNG!$D$6:$D$3005,$A71))</f>
        <v/>
      </c>
      <c r="G71" s="42">
        <f>IF($A71="","",SUMIFS(ERFASSUNG!$I$6:$I$3005,ERFASSUNG!$D$6:$D$3005,$A71))</f>
        <v/>
      </c>
      <c r="H71" s="42">
        <f>IF($A71="","",SUMIFS(ERFASSUNG!$J$6:$J$3005,ERFASSUNG!$D$6:$D$3005,$A71))</f>
        <v/>
      </c>
      <c r="I71" s="42">
        <f>IF($A71="","",SUMIFS(ERFASSUNG!$K$6:$K$3005,ERFASSUNG!$D$6:$D$3005,$A71))</f>
        <v/>
      </c>
      <c r="J71" s="42">
        <f>IF($A71="","",SUMIFS(ERFASSUNG!$L$6:$L$3005,ERFASSUNG!$D$6:$D$3005,$A71))</f>
        <v/>
      </c>
      <c r="K71" s="42">
        <f>IF($A71="","",SUMIFS(ERFASSUNG!$M$6:$M$3005,ERFASSUNG!$D$6:$D$3005,$A71))</f>
        <v/>
      </c>
      <c r="L71" s="42">
        <f>IF($A71="","",SUMIFS(ERFASSUNG!$N$6:$N$3005,ERFASSUNG!$D$6:$D$3005,$A71))</f>
        <v/>
      </c>
      <c r="M71" s="43">
        <f>IF(OR($A71="",N($G$76)=0),"",G71/$G$76)</f>
        <v/>
      </c>
    </row>
    <row r="72">
      <c r="A72" s="39">
        <f>IF(LISTEN!$A$28="","",LISTEN!$A$28)</f>
        <v/>
      </c>
      <c r="B72" s="7">
        <f>IF($A72="","",COUNTIFS(ERFASSUNG!$D$6:$D$3005,$A72))</f>
        <v/>
      </c>
      <c r="C72" s="7">
        <f>IF($A72="","",SUMIFS(ERFASSUNG!$E$6:$E$3005,ERFASSUNG!$D$6:$D$3005,$A72))</f>
        <v/>
      </c>
      <c r="D72" s="7">
        <f>IF($A72="","",SUMIFS(ERFASSUNG!$F$6:$F$3005,ERFASSUNG!$D$6:$D$3005,$A72))</f>
        <v/>
      </c>
      <c r="E72" s="7">
        <f>IF($A72="","",SUMIFS(ERFASSUNG!$G$6:$G$3005,ERFASSUNG!$D$6:$D$3005,$A72))</f>
        <v/>
      </c>
      <c r="F72" s="7">
        <f>IF($A72="","",SUMIFS(ERFASSUNG!$H$6:$H$3005,ERFASSUNG!$D$6:$D$3005,$A72))</f>
        <v/>
      </c>
      <c r="G72" s="7">
        <f>IF($A72="","",SUMIFS(ERFASSUNG!$I$6:$I$3005,ERFASSUNG!$D$6:$D$3005,$A72))</f>
        <v/>
      </c>
      <c r="H72" s="7">
        <f>IF($A72="","",SUMIFS(ERFASSUNG!$J$6:$J$3005,ERFASSUNG!$D$6:$D$3005,$A72))</f>
        <v/>
      </c>
      <c r="I72" s="7">
        <f>IF($A72="","",SUMIFS(ERFASSUNG!$K$6:$K$3005,ERFASSUNG!$D$6:$D$3005,$A72))</f>
        <v/>
      </c>
      <c r="J72" s="7">
        <f>IF($A72="","",SUMIFS(ERFASSUNG!$L$6:$L$3005,ERFASSUNG!$D$6:$D$3005,$A72))</f>
        <v/>
      </c>
      <c r="K72" s="7">
        <f>IF($A72="","",SUMIFS(ERFASSUNG!$M$6:$M$3005,ERFASSUNG!$D$6:$D$3005,$A72))</f>
        <v/>
      </c>
      <c r="L72" s="7">
        <f>IF($A72="","",SUMIFS(ERFASSUNG!$N$6:$N$3005,ERFASSUNG!$D$6:$D$3005,$A72))</f>
        <v/>
      </c>
      <c r="M72" s="40">
        <f>IF(OR($A72="",N($G$76)=0),"",G72/$G$76)</f>
        <v/>
      </c>
    </row>
    <row r="73">
      <c r="A73" s="41">
        <f>IF(LISTEN!$A$29="","",LISTEN!$A$29)</f>
        <v/>
      </c>
      <c r="B73" s="42">
        <f>IF($A73="","",COUNTIFS(ERFASSUNG!$D$6:$D$3005,$A73))</f>
        <v/>
      </c>
      <c r="C73" s="42">
        <f>IF($A73="","",SUMIFS(ERFASSUNG!$E$6:$E$3005,ERFASSUNG!$D$6:$D$3005,$A73))</f>
        <v/>
      </c>
      <c r="D73" s="42">
        <f>IF($A73="","",SUMIFS(ERFASSUNG!$F$6:$F$3005,ERFASSUNG!$D$6:$D$3005,$A73))</f>
        <v/>
      </c>
      <c r="E73" s="42">
        <f>IF($A73="","",SUMIFS(ERFASSUNG!$G$6:$G$3005,ERFASSUNG!$D$6:$D$3005,$A73))</f>
        <v/>
      </c>
      <c r="F73" s="42">
        <f>IF($A73="","",SUMIFS(ERFASSUNG!$H$6:$H$3005,ERFASSUNG!$D$6:$D$3005,$A73))</f>
        <v/>
      </c>
      <c r="G73" s="42">
        <f>IF($A73="","",SUMIFS(ERFASSUNG!$I$6:$I$3005,ERFASSUNG!$D$6:$D$3005,$A73))</f>
        <v/>
      </c>
      <c r="H73" s="42">
        <f>IF($A73="","",SUMIFS(ERFASSUNG!$J$6:$J$3005,ERFASSUNG!$D$6:$D$3005,$A73))</f>
        <v/>
      </c>
      <c r="I73" s="42">
        <f>IF($A73="","",SUMIFS(ERFASSUNG!$K$6:$K$3005,ERFASSUNG!$D$6:$D$3005,$A73))</f>
        <v/>
      </c>
      <c r="J73" s="42">
        <f>IF($A73="","",SUMIFS(ERFASSUNG!$L$6:$L$3005,ERFASSUNG!$D$6:$D$3005,$A73))</f>
        <v/>
      </c>
      <c r="K73" s="42">
        <f>IF($A73="","",SUMIFS(ERFASSUNG!$M$6:$M$3005,ERFASSUNG!$D$6:$D$3005,$A73))</f>
        <v/>
      </c>
      <c r="L73" s="42">
        <f>IF($A73="","",SUMIFS(ERFASSUNG!$N$6:$N$3005,ERFASSUNG!$D$6:$D$3005,$A73))</f>
        <v/>
      </c>
      <c r="M73" s="43">
        <f>IF(OR($A73="",N($G$76)=0),"",G73/$G$76)</f>
        <v/>
      </c>
    </row>
    <row r="74">
      <c r="A74" s="39">
        <f>IF(LISTEN!$A$30="","",LISTEN!$A$30)</f>
        <v/>
      </c>
      <c r="B74" s="7">
        <f>IF($A74="","",COUNTIFS(ERFASSUNG!$D$6:$D$3005,$A74))</f>
        <v/>
      </c>
      <c r="C74" s="7">
        <f>IF($A74="","",SUMIFS(ERFASSUNG!$E$6:$E$3005,ERFASSUNG!$D$6:$D$3005,$A74))</f>
        <v/>
      </c>
      <c r="D74" s="7">
        <f>IF($A74="","",SUMIFS(ERFASSUNG!$F$6:$F$3005,ERFASSUNG!$D$6:$D$3005,$A74))</f>
        <v/>
      </c>
      <c r="E74" s="7">
        <f>IF($A74="","",SUMIFS(ERFASSUNG!$G$6:$G$3005,ERFASSUNG!$D$6:$D$3005,$A74))</f>
        <v/>
      </c>
      <c r="F74" s="7">
        <f>IF($A74="","",SUMIFS(ERFASSUNG!$H$6:$H$3005,ERFASSUNG!$D$6:$D$3005,$A74))</f>
        <v/>
      </c>
      <c r="G74" s="7">
        <f>IF($A74="","",SUMIFS(ERFASSUNG!$I$6:$I$3005,ERFASSUNG!$D$6:$D$3005,$A74))</f>
        <v/>
      </c>
      <c r="H74" s="7">
        <f>IF($A74="","",SUMIFS(ERFASSUNG!$J$6:$J$3005,ERFASSUNG!$D$6:$D$3005,$A74))</f>
        <v/>
      </c>
      <c r="I74" s="7">
        <f>IF($A74="","",SUMIFS(ERFASSUNG!$K$6:$K$3005,ERFASSUNG!$D$6:$D$3005,$A74))</f>
        <v/>
      </c>
      <c r="J74" s="7">
        <f>IF($A74="","",SUMIFS(ERFASSUNG!$L$6:$L$3005,ERFASSUNG!$D$6:$D$3005,$A74))</f>
        <v/>
      </c>
      <c r="K74" s="7">
        <f>IF($A74="","",SUMIFS(ERFASSUNG!$M$6:$M$3005,ERFASSUNG!$D$6:$D$3005,$A74))</f>
        <v/>
      </c>
      <c r="L74" s="7">
        <f>IF($A74="","",SUMIFS(ERFASSUNG!$N$6:$N$3005,ERFASSUNG!$D$6:$D$3005,$A74))</f>
        <v/>
      </c>
      <c r="M74" s="40">
        <f>IF(OR($A74="",N($G$76)=0),"",G74/$G$76)</f>
        <v/>
      </c>
    </row>
    <row r="75">
      <c r="A75" s="41">
        <f>IF(LISTEN!$A$31="","",LISTEN!$A$31)</f>
        <v/>
      </c>
      <c r="B75" s="42">
        <f>IF($A75="","",COUNTIFS(ERFASSUNG!$D$6:$D$3005,$A75))</f>
        <v/>
      </c>
      <c r="C75" s="42">
        <f>IF($A75="","",SUMIFS(ERFASSUNG!$E$6:$E$3005,ERFASSUNG!$D$6:$D$3005,$A75))</f>
        <v/>
      </c>
      <c r="D75" s="42">
        <f>IF($A75="","",SUMIFS(ERFASSUNG!$F$6:$F$3005,ERFASSUNG!$D$6:$D$3005,$A75))</f>
        <v/>
      </c>
      <c r="E75" s="42">
        <f>IF($A75="","",SUMIFS(ERFASSUNG!$G$6:$G$3005,ERFASSUNG!$D$6:$D$3005,$A75))</f>
        <v/>
      </c>
      <c r="F75" s="42">
        <f>IF($A75="","",SUMIFS(ERFASSUNG!$H$6:$H$3005,ERFASSUNG!$D$6:$D$3005,$A75))</f>
        <v/>
      </c>
      <c r="G75" s="42">
        <f>IF($A75="","",SUMIFS(ERFASSUNG!$I$6:$I$3005,ERFASSUNG!$D$6:$D$3005,$A75))</f>
        <v/>
      </c>
      <c r="H75" s="42">
        <f>IF($A75="","",SUMIFS(ERFASSUNG!$J$6:$J$3005,ERFASSUNG!$D$6:$D$3005,$A75))</f>
        <v/>
      </c>
      <c r="I75" s="42">
        <f>IF($A75="","",SUMIFS(ERFASSUNG!$K$6:$K$3005,ERFASSUNG!$D$6:$D$3005,$A75))</f>
        <v/>
      </c>
      <c r="J75" s="42">
        <f>IF($A75="","",SUMIFS(ERFASSUNG!$L$6:$L$3005,ERFASSUNG!$D$6:$D$3005,$A75))</f>
        <v/>
      </c>
      <c r="K75" s="42">
        <f>IF($A75="","",SUMIFS(ERFASSUNG!$M$6:$M$3005,ERFASSUNG!$D$6:$D$3005,$A75))</f>
        <v/>
      </c>
      <c r="L75" s="42">
        <f>IF($A75="","",SUMIFS(ERFASSUNG!$N$6:$N$3005,ERFASSUNG!$D$6:$D$3005,$A75))</f>
        <v/>
      </c>
      <c r="M75" s="43">
        <f>IF(OR($A75="",N($G$76)=0),"",G75/$G$76)</f>
        <v/>
      </c>
    </row>
    <row r="76">
      <c r="A76" s="38" t="inlineStr">
        <is>
          <t>SUMME</t>
        </is>
      </c>
      <c r="B76" s="18">
        <f>SUM(B46:B75)</f>
        <v/>
      </c>
      <c r="C76" s="18">
        <f>SUM(C46:C75)</f>
        <v/>
      </c>
      <c r="D76" s="18">
        <f>SUM(D46:D75)</f>
        <v/>
      </c>
      <c r="E76" s="18">
        <f>SUM(E46:E75)</f>
        <v/>
      </c>
      <c r="F76" s="18">
        <f>SUM(F46:F75)</f>
        <v/>
      </c>
      <c r="G76" s="18">
        <f>SUM(G46:G75)</f>
        <v/>
      </c>
      <c r="H76" s="18">
        <f>SUM(H46:H75)</f>
        <v/>
      </c>
      <c r="I76" s="18">
        <f>SUM(I46:I75)</f>
        <v/>
      </c>
      <c r="J76" s="18">
        <f>SUM(J46:J75)</f>
        <v/>
      </c>
      <c r="K76" s="18">
        <f>SUM(K46:K75)</f>
        <v/>
      </c>
      <c r="L76" s="18">
        <f>SUM(L46:L75)</f>
        <v/>
      </c>
      <c r="M76" s="18" t="n"/>
    </row>
    <row r="78">
      <c r="A78" s="5" t="inlineStr">
        <is>
          <t>Wochentage</t>
        </is>
      </c>
      <c r="F78" s="5" t="inlineStr">
        <is>
          <t>Team im Jahr</t>
        </is>
      </c>
    </row>
    <row r="79">
      <c r="A79" s="6" t="inlineStr">
        <is>
          <t>Wochentag</t>
        </is>
      </c>
      <c r="B79" s="6" t="inlineStr">
        <is>
          <t>Öffnungstage</t>
        </is>
      </c>
      <c r="C79" s="6" t="inlineStr">
        <is>
          <t>Kontakte</t>
        </is>
      </c>
      <c r="D79" s="6" t="inlineStr">
        <is>
          <t>Ø Kontakte</t>
        </is>
      </c>
      <c r="F79" s="6" t="inlineStr">
        <is>
          <t>Team</t>
        </is>
      </c>
      <c r="G79" s="6" t="inlineStr">
        <is>
          <t>Einsätze</t>
        </is>
      </c>
      <c r="H79" s="6" t="inlineStr">
        <is>
          <t>Stunden</t>
        </is>
      </c>
    </row>
    <row r="80">
      <c r="A80" s="53" t="inlineStr">
        <is>
          <t>Montag</t>
        </is>
      </c>
      <c r="B80" s="54">
        <f>SUMIFS(KALENDER!$G$5:$G$370,KALENDER!$E$5:$E$370,1)</f>
        <v/>
      </c>
      <c r="C80" s="54">
        <f>SUMIFS(KALENDER!$L$5:$L$370,KALENDER!$E$5:$E$370,1)</f>
        <v/>
      </c>
      <c r="D80" s="58">
        <f>IF(B80=0,0,C80/B80)</f>
        <v/>
      </c>
      <c r="F80" s="39">
        <f>IF(LISTEN!$C$2="","",LISTEN!$C$2)</f>
        <v/>
      </c>
      <c r="G80" s="7">
        <f>IF($F80="","",COUNTIFS(ERFASSUNG!$P$6:$P$3005,$F80)+COUNTIFS(ERFASSUNG!$Q$6:$Q$3005,$F80)+COUNTIFS(ERFASSUNG!$R$6:$R$3005,$F80))</f>
        <v/>
      </c>
      <c r="H80" s="37">
        <f>IF($F80="","",SUMIFS(ERFASSUNG!$E$6:$E$3005,ERFASSUNG!$P$6:$P$3005,$F80)+SUMIFS(ERFASSUNG!$E$6:$E$3005,ERFASSUNG!$Q$6:$Q$3005,$F80)+SUMIFS(ERFASSUNG!$E$6:$E$3005,ERFASSUNG!$R$6:$R$3005,$F80))</f>
        <v/>
      </c>
    </row>
    <row r="81">
      <c r="A81" s="53" t="inlineStr">
        <is>
          <t>Dienstag</t>
        </is>
      </c>
      <c r="B81" s="54">
        <f>SUMIFS(KALENDER!$G$5:$G$370,KALENDER!$E$5:$E$370,2)</f>
        <v/>
      </c>
      <c r="C81" s="54">
        <f>SUMIFS(KALENDER!$L$5:$L$370,KALENDER!$E$5:$E$370,2)</f>
        <v/>
      </c>
      <c r="D81" s="58">
        <f>IF(B81=0,0,C81/B81)</f>
        <v/>
      </c>
      <c r="F81" s="41">
        <f>IF(LISTEN!$C$3="","",LISTEN!$C$3)</f>
        <v/>
      </c>
      <c r="G81" s="42">
        <f>IF($F81="","",COUNTIFS(ERFASSUNG!$P$6:$P$3005,$F81)+COUNTIFS(ERFASSUNG!$Q$6:$Q$3005,$F81)+COUNTIFS(ERFASSUNG!$R$6:$R$3005,$F81))</f>
        <v/>
      </c>
      <c r="H81" s="47">
        <f>IF($F81="","",SUMIFS(ERFASSUNG!$E$6:$E$3005,ERFASSUNG!$P$6:$P$3005,$F81)+SUMIFS(ERFASSUNG!$E$6:$E$3005,ERFASSUNG!$Q$6:$Q$3005,$F81)+SUMIFS(ERFASSUNG!$E$6:$E$3005,ERFASSUNG!$R$6:$R$3005,$F81))</f>
        <v/>
      </c>
    </row>
    <row r="82">
      <c r="A82" s="53" t="inlineStr">
        <is>
          <t>Mittwoch</t>
        </is>
      </c>
      <c r="B82" s="54">
        <f>SUMIFS(KALENDER!$G$5:$G$370,KALENDER!$E$5:$E$370,3)</f>
        <v/>
      </c>
      <c r="C82" s="54">
        <f>SUMIFS(KALENDER!$L$5:$L$370,KALENDER!$E$5:$E$370,3)</f>
        <v/>
      </c>
      <c r="D82" s="58">
        <f>IF(B82=0,0,C82/B82)</f>
        <v/>
      </c>
      <c r="F82" s="39">
        <f>IF(LISTEN!$C$4="","",LISTEN!$C$4)</f>
        <v/>
      </c>
      <c r="G82" s="7">
        <f>IF($F82="","",COUNTIFS(ERFASSUNG!$P$6:$P$3005,$F82)+COUNTIFS(ERFASSUNG!$Q$6:$Q$3005,$F82)+COUNTIFS(ERFASSUNG!$R$6:$R$3005,$F82))</f>
        <v/>
      </c>
      <c r="H82" s="37">
        <f>IF($F82="","",SUMIFS(ERFASSUNG!$E$6:$E$3005,ERFASSUNG!$P$6:$P$3005,$F82)+SUMIFS(ERFASSUNG!$E$6:$E$3005,ERFASSUNG!$Q$6:$Q$3005,$F82)+SUMIFS(ERFASSUNG!$E$6:$E$3005,ERFASSUNG!$R$6:$R$3005,$F82))</f>
        <v/>
      </c>
    </row>
    <row r="83">
      <c r="A83" s="53" t="inlineStr">
        <is>
          <t>Donnerstag</t>
        </is>
      </c>
      <c r="B83" s="54">
        <f>SUMIFS(KALENDER!$G$5:$G$370,KALENDER!$E$5:$E$370,4)</f>
        <v/>
      </c>
      <c r="C83" s="54">
        <f>SUMIFS(KALENDER!$L$5:$L$370,KALENDER!$E$5:$E$370,4)</f>
        <v/>
      </c>
      <c r="D83" s="58">
        <f>IF(B83=0,0,C83/B83)</f>
        <v/>
      </c>
      <c r="F83" s="41">
        <f>IF(LISTEN!$C$5="","",LISTEN!$C$5)</f>
        <v/>
      </c>
      <c r="G83" s="42">
        <f>IF($F83="","",COUNTIFS(ERFASSUNG!$P$6:$P$3005,$F83)+COUNTIFS(ERFASSUNG!$Q$6:$Q$3005,$F83)+COUNTIFS(ERFASSUNG!$R$6:$R$3005,$F83))</f>
        <v/>
      </c>
      <c r="H83" s="47">
        <f>IF($F83="","",SUMIFS(ERFASSUNG!$E$6:$E$3005,ERFASSUNG!$P$6:$P$3005,$F83)+SUMIFS(ERFASSUNG!$E$6:$E$3005,ERFASSUNG!$Q$6:$Q$3005,$F83)+SUMIFS(ERFASSUNG!$E$6:$E$3005,ERFASSUNG!$R$6:$R$3005,$F83))</f>
        <v/>
      </c>
    </row>
    <row r="84">
      <c r="A84" s="53" t="inlineStr">
        <is>
          <t>Freitag</t>
        </is>
      </c>
      <c r="B84" s="54">
        <f>SUMIFS(KALENDER!$G$5:$G$370,KALENDER!$E$5:$E$370,5)</f>
        <v/>
      </c>
      <c r="C84" s="54">
        <f>SUMIFS(KALENDER!$L$5:$L$370,KALENDER!$E$5:$E$370,5)</f>
        <v/>
      </c>
      <c r="D84" s="58">
        <f>IF(B84=0,0,C84/B84)</f>
        <v/>
      </c>
      <c r="F84" s="39">
        <f>IF(LISTEN!$C$6="","",LISTEN!$C$6)</f>
        <v/>
      </c>
      <c r="G84" s="7">
        <f>IF($F84="","",COUNTIFS(ERFASSUNG!$P$6:$P$3005,$F84)+COUNTIFS(ERFASSUNG!$Q$6:$Q$3005,$F84)+COUNTIFS(ERFASSUNG!$R$6:$R$3005,$F84))</f>
        <v/>
      </c>
      <c r="H84" s="37">
        <f>IF($F84="","",SUMIFS(ERFASSUNG!$E$6:$E$3005,ERFASSUNG!$P$6:$P$3005,$F84)+SUMIFS(ERFASSUNG!$E$6:$E$3005,ERFASSUNG!$Q$6:$Q$3005,$F84)+SUMIFS(ERFASSUNG!$E$6:$E$3005,ERFASSUNG!$R$6:$R$3005,$F84))</f>
        <v/>
      </c>
    </row>
    <row r="85">
      <c r="A85" s="53" t="inlineStr">
        <is>
          <t>Samstag</t>
        </is>
      </c>
      <c r="B85" s="54">
        <f>SUMIFS(KALENDER!$G$5:$G$370,KALENDER!$E$5:$E$370,6)</f>
        <v/>
      </c>
      <c r="C85" s="54">
        <f>SUMIFS(KALENDER!$L$5:$L$370,KALENDER!$E$5:$E$370,6)</f>
        <v/>
      </c>
      <c r="D85" s="58">
        <f>IF(B85=0,0,C85/B85)</f>
        <v/>
      </c>
      <c r="F85" s="41">
        <f>IF(LISTEN!$C$7="","",LISTEN!$C$7)</f>
        <v/>
      </c>
      <c r="G85" s="42">
        <f>IF($F85="","",COUNTIFS(ERFASSUNG!$P$6:$P$3005,$F85)+COUNTIFS(ERFASSUNG!$Q$6:$Q$3005,$F85)+COUNTIFS(ERFASSUNG!$R$6:$R$3005,$F85))</f>
        <v/>
      </c>
      <c r="H85" s="47">
        <f>IF($F85="","",SUMIFS(ERFASSUNG!$E$6:$E$3005,ERFASSUNG!$P$6:$P$3005,$F85)+SUMIFS(ERFASSUNG!$E$6:$E$3005,ERFASSUNG!$Q$6:$Q$3005,$F85)+SUMIFS(ERFASSUNG!$E$6:$E$3005,ERFASSUNG!$R$6:$R$3005,$F85))</f>
        <v/>
      </c>
    </row>
    <row r="86">
      <c r="A86" s="53" t="inlineStr">
        <is>
          <t>Sonntag</t>
        </is>
      </c>
      <c r="B86" s="54">
        <f>SUMIFS(KALENDER!$G$5:$G$370,KALENDER!$E$5:$E$370,7)</f>
        <v/>
      </c>
      <c r="C86" s="54">
        <f>SUMIFS(KALENDER!$L$5:$L$370,KALENDER!$E$5:$E$370,7)</f>
        <v/>
      </c>
      <c r="D86" s="58">
        <f>IF(B86=0,0,C86/B86)</f>
        <v/>
      </c>
      <c r="F86" s="39">
        <f>IF(LISTEN!$C$8="","",LISTEN!$C$8)</f>
        <v/>
      </c>
      <c r="G86" s="7">
        <f>IF($F86="","",COUNTIFS(ERFASSUNG!$P$6:$P$3005,$F86)+COUNTIFS(ERFASSUNG!$Q$6:$Q$3005,$F86)+COUNTIFS(ERFASSUNG!$R$6:$R$3005,$F86))</f>
        <v/>
      </c>
      <c r="H86" s="37">
        <f>IF($F86="","",SUMIFS(ERFASSUNG!$E$6:$E$3005,ERFASSUNG!$P$6:$P$3005,$F86)+SUMIFS(ERFASSUNG!$E$6:$E$3005,ERFASSUNG!$Q$6:$Q$3005,$F86)+SUMIFS(ERFASSUNG!$E$6:$E$3005,ERFASSUNG!$R$6:$R$3005,$F86))</f>
        <v/>
      </c>
    </row>
    <row r="87">
      <c r="F87" s="41">
        <f>IF(LISTEN!$C$9="","",LISTEN!$C$9)</f>
        <v/>
      </c>
      <c r="G87" s="42">
        <f>IF($F87="","",COUNTIFS(ERFASSUNG!$P$6:$P$3005,$F87)+COUNTIFS(ERFASSUNG!$Q$6:$Q$3005,$F87)+COUNTIFS(ERFASSUNG!$R$6:$R$3005,$F87))</f>
        <v/>
      </c>
      <c r="H87" s="47">
        <f>IF($F87="","",SUMIFS(ERFASSUNG!$E$6:$E$3005,ERFASSUNG!$P$6:$P$3005,$F87)+SUMIFS(ERFASSUNG!$E$6:$E$3005,ERFASSUNG!$Q$6:$Q$3005,$F87)+SUMIFS(ERFASSUNG!$E$6:$E$3005,ERFASSUNG!$R$6:$R$3005,$F87))</f>
        <v/>
      </c>
    </row>
    <row r="88">
      <c r="F88" s="39">
        <f>IF(LISTEN!$C$10="","",LISTEN!$C$10)</f>
        <v/>
      </c>
      <c r="G88" s="7">
        <f>IF($F88="","",COUNTIFS(ERFASSUNG!$P$6:$P$3005,$F88)+COUNTIFS(ERFASSUNG!$Q$6:$Q$3005,$F88)+COUNTIFS(ERFASSUNG!$R$6:$R$3005,$F88))</f>
        <v/>
      </c>
      <c r="H88" s="37">
        <f>IF($F88="","",SUMIFS(ERFASSUNG!$E$6:$E$3005,ERFASSUNG!$P$6:$P$3005,$F88)+SUMIFS(ERFASSUNG!$E$6:$E$3005,ERFASSUNG!$Q$6:$Q$3005,$F88)+SUMIFS(ERFASSUNG!$E$6:$E$3005,ERFASSUNG!$R$6:$R$3005,$F88))</f>
        <v/>
      </c>
    </row>
    <row r="89">
      <c r="F89" s="41">
        <f>IF(LISTEN!$C$11="","",LISTEN!$C$11)</f>
        <v/>
      </c>
      <c r="G89" s="42">
        <f>IF($F89="","",COUNTIFS(ERFASSUNG!$P$6:$P$3005,$F89)+COUNTIFS(ERFASSUNG!$Q$6:$Q$3005,$F89)+COUNTIFS(ERFASSUNG!$R$6:$R$3005,$F89))</f>
        <v/>
      </c>
      <c r="H89" s="47">
        <f>IF($F89="","",SUMIFS(ERFASSUNG!$E$6:$E$3005,ERFASSUNG!$P$6:$P$3005,$F89)+SUMIFS(ERFASSUNG!$E$6:$E$3005,ERFASSUNG!$Q$6:$Q$3005,$F89)+SUMIFS(ERFASSUNG!$E$6:$E$3005,ERFASSUNG!$R$6:$R$3005,$F89))</f>
        <v/>
      </c>
    </row>
    <row r="90">
      <c r="F90" s="39">
        <f>IF(LISTEN!$C$12="","",LISTEN!$C$12)</f>
        <v/>
      </c>
      <c r="G90" s="7">
        <f>IF($F90="","",COUNTIFS(ERFASSUNG!$P$6:$P$3005,$F90)+COUNTIFS(ERFASSUNG!$Q$6:$Q$3005,$F90)+COUNTIFS(ERFASSUNG!$R$6:$R$3005,$F90))</f>
        <v/>
      </c>
      <c r="H90" s="37">
        <f>IF($F90="","",SUMIFS(ERFASSUNG!$E$6:$E$3005,ERFASSUNG!$P$6:$P$3005,$F90)+SUMIFS(ERFASSUNG!$E$6:$E$3005,ERFASSUNG!$Q$6:$Q$3005,$F90)+SUMIFS(ERFASSUNG!$E$6:$E$3005,ERFASSUNG!$R$6:$R$3005,$F90))</f>
        <v/>
      </c>
    </row>
    <row r="91">
      <c r="F91" s="41">
        <f>IF(LISTEN!$C$13="","",LISTEN!$C$13)</f>
        <v/>
      </c>
      <c r="G91" s="42">
        <f>IF($F91="","",COUNTIFS(ERFASSUNG!$P$6:$P$3005,$F91)+COUNTIFS(ERFASSUNG!$Q$6:$Q$3005,$F91)+COUNTIFS(ERFASSUNG!$R$6:$R$3005,$F91))</f>
        <v/>
      </c>
      <c r="H91" s="47">
        <f>IF($F91="","",SUMIFS(ERFASSUNG!$E$6:$E$3005,ERFASSUNG!$P$6:$P$3005,$F91)+SUMIFS(ERFASSUNG!$E$6:$E$3005,ERFASSUNG!$Q$6:$Q$3005,$F91)+SUMIFS(ERFASSUNG!$E$6:$E$3005,ERFASSUNG!$R$6:$R$3005,$F91))</f>
        <v/>
      </c>
    </row>
    <row r="92">
      <c r="F92" s="39">
        <f>IF(LISTEN!$C$14="","",LISTEN!$C$14)</f>
        <v/>
      </c>
      <c r="G92" s="7">
        <f>IF($F92="","",COUNTIFS(ERFASSUNG!$P$6:$P$3005,$F92)+COUNTIFS(ERFASSUNG!$Q$6:$Q$3005,$F92)+COUNTIFS(ERFASSUNG!$R$6:$R$3005,$F92))</f>
        <v/>
      </c>
      <c r="H92" s="37">
        <f>IF($F92="","",SUMIFS(ERFASSUNG!$E$6:$E$3005,ERFASSUNG!$P$6:$P$3005,$F92)+SUMIFS(ERFASSUNG!$E$6:$E$3005,ERFASSUNG!$Q$6:$Q$3005,$F92)+SUMIFS(ERFASSUNG!$E$6:$E$3005,ERFASSUNG!$R$6:$R$3005,$F92))</f>
        <v/>
      </c>
    </row>
    <row r="93">
      <c r="F93" s="41">
        <f>IF(LISTEN!$C$15="","",LISTEN!$C$15)</f>
        <v/>
      </c>
      <c r="G93" s="42">
        <f>IF($F93="","",COUNTIFS(ERFASSUNG!$P$6:$P$3005,$F93)+COUNTIFS(ERFASSUNG!$Q$6:$Q$3005,$F93)+COUNTIFS(ERFASSUNG!$R$6:$R$3005,$F93))</f>
        <v/>
      </c>
      <c r="H93" s="47">
        <f>IF($F93="","",SUMIFS(ERFASSUNG!$E$6:$E$3005,ERFASSUNG!$P$6:$P$3005,$F93)+SUMIFS(ERFASSUNG!$E$6:$E$3005,ERFASSUNG!$Q$6:$Q$3005,$F93)+SUMIFS(ERFASSUNG!$E$6:$E$3005,ERFASSUNG!$R$6:$R$3005,$F93))</f>
        <v/>
      </c>
    </row>
    <row r="94">
      <c r="F94" s="39">
        <f>IF(LISTEN!$C$16="","",LISTEN!$C$16)</f>
        <v/>
      </c>
      <c r="G94" s="7">
        <f>IF($F94="","",COUNTIFS(ERFASSUNG!$P$6:$P$3005,$F94)+COUNTIFS(ERFASSUNG!$Q$6:$Q$3005,$F94)+COUNTIFS(ERFASSUNG!$R$6:$R$3005,$F94))</f>
        <v/>
      </c>
      <c r="H94" s="37">
        <f>IF($F94="","",SUMIFS(ERFASSUNG!$E$6:$E$3005,ERFASSUNG!$P$6:$P$3005,$F94)+SUMIFS(ERFASSUNG!$E$6:$E$3005,ERFASSUNG!$Q$6:$Q$3005,$F94)+SUMIFS(ERFASSUNG!$E$6:$E$3005,ERFASSUNG!$R$6:$R$3005,$F94))</f>
        <v/>
      </c>
    </row>
    <row r="95">
      <c r="F95" s="41">
        <f>IF(LISTEN!$C$17="","",LISTEN!$C$17)</f>
        <v/>
      </c>
      <c r="G95" s="42">
        <f>IF($F95="","",COUNTIFS(ERFASSUNG!$P$6:$P$3005,$F95)+COUNTIFS(ERFASSUNG!$Q$6:$Q$3005,$F95)+COUNTIFS(ERFASSUNG!$R$6:$R$3005,$F95))</f>
        <v/>
      </c>
      <c r="H95" s="47">
        <f>IF($F95="","",SUMIFS(ERFASSUNG!$E$6:$E$3005,ERFASSUNG!$P$6:$P$3005,$F95)+SUMIFS(ERFASSUNG!$E$6:$E$3005,ERFASSUNG!$Q$6:$Q$3005,$F95)+SUMIFS(ERFASSUNG!$E$6:$E$3005,ERFASSUNG!$R$6:$R$3005,$F95))</f>
        <v/>
      </c>
    </row>
    <row r="96">
      <c r="F96" s="39">
        <f>IF(LISTEN!$C$18="","",LISTEN!$C$18)</f>
        <v/>
      </c>
      <c r="G96" s="7">
        <f>IF($F96="","",COUNTIFS(ERFASSUNG!$P$6:$P$3005,$F96)+COUNTIFS(ERFASSUNG!$Q$6:$Q$3005,$F96)+COUNTIFS(ERFASSUNG!$R$6:$R$3005,$F96))</f>
        <v/>
      </c>
      <c r="H96" s="37">
        <f>IF($F96="","",SUMIFS(ERFASSUNG!$E$6:$E$3005,ERFASSUNG!$P$6:$P$3005,$F96)+SUMIFS(ERFASSUNG!$E$6:$E$3005,ERFASSUNG!$Q$6:$Q$3005,$F96)+SUMIFS(ERFASSUNG!$E$6:$E$3005,ERFASSUNG!$R$6:$R$3005,$F96))</f>
        <v/>
      </c>
    </row>
    <row r="97">
      <c r="F97" s="41">
        <f>IF(LISTEN!$C$19="","",LISTEN!$C$19)</f>
        <v/>
      </c>
      <c r="G97" s="42">
        <f>IF($F97="","",COUNTIFS(ERFASSUNG!$P$6:$P$3005,$F97)+COUNTIFS(ERFASSUNG!$Q$6:$Q$3005,$F97)+COUNTIFS(ERFASSUNG!$R$6:$R$3005,$F97))</f>
        <v/>
      </c>
      <c r="H97" s="47">
        <f>IF($F97="","",SUMIFS(ERFASSUNG!$E$6:$E$3005,ERFASSUNG!$P$6:$P$3005,$F97)+SUMIFS(ERFASSUNG!$E$6:$E$3005,ERFASSUNG!$Q$6:$Q$3005,$F97)+SUMIFS(ERFASSUNG!$E$6:$E$3005,ERFASSUNG!$R$6:$R$3005,$F97))</f>
        <v/>
      </c>
    </row>
    <row r="98">
      <c r="F98" s="39">
        <f>IF(LISTEN!$C$20="","",LISTEN!$C$20)</f>
        <v/>
      </c>
      <c r="G98" s="7">
        <f>IF($F98="","",COUNTIFS(ERFASSUNG!$P$6:$P$3005,$F98)+COUNTIFS(ERFASSUNG!$Q$6:$Q$3005,$F98)+COUNTIFS(ERFASSUNG!$R$6:$R$3005,$F98))</f>
        <v/>
      </c>
      <c r="H98" s="37">
        <f>IF($F98="","",SUMIFS(ERFASSUNG!$E$6:$E$3005,ERFASSUNG!$P$6:$P$3005,$F98)+SUMIFS(ERFASSUNG!$E$6:$E$3005,ERFASSUNG!$Q$6:$Q$3005,$F98)+SUMIFS(ERFASSUNG!$E$6:$E$3005,ERFASSUNG!$R$6:$R$3005,$F98))</f>
        <v/>
      </c>
    </row>
    <row r="99">
      <c r="F99" s="41">
        <f>IF(LISTEN!$C$21="","",LISTEN!$C$21)</f>
        <v/>
      </c>
      <c r="G99" s="42">
        <f>IF($F99="","",COUNTIFS(ERFASSUNG!$P$6:$P$3005,$F99)+COUNTIFS(ERFASSUNG!$Q$6:$Q$3005,$F99)+COUNTIFS(ERFASSUNG!$R$6:$R$3005,$F99))</f>
        <v/>
      </c>
      <c r="H99" s="47">
        <f>IF($F99="","",SUMIFS(ERFASSUNG!$E$6:$E$3005,ERFASSUNG!$P$6:$P$3005,$F99)+SUMIFS(ERFASSUNG!$E$6:$E$3005,ERFASSUNG!$Q$6:$Q$3005,$F99)+SUMIFS(ERFASSUNG!$E$6:$E$3005,ERFASSUNG!$R$6:$R$3005,$F99))</f>
        <v/>
      </c>
    </row>
    <row r="100">
      <c r="F100" s="39">
        <f>IF(LISTEN!$C$22="","",LISTEN!$C$22)</f>
        <v/>
      </c>
      <c r="G100" s="7">
        <f>IF($F100="","",COUNTIFS(ERFASSUNG!$P$6:$P$3005,$F100)+COUNTIFS(ERFASSUNG!$Q$6:$Q$3005,$F100)+COUNTIFS(ERFASSUNG!$R$6:$R$3005,$F100))</f>
        <v/>
      </c>
      <c r="H100" s="37">
        <f>IF($F100="","",SUMIFS(ERFASSUNG!$E$6:$E$3005,ERFASSUNG!$P$6:$P$3005,$F100)+SUMIFS(ERFASSUNG!$E$6:$E$3005,ERFASSUNG!$Q$6:$Q$3005,$F100)+SUMIFS(ERFASSUNG!$E$6:$E$3005,ERFASSUNG!$R$6:$R$3005,$F100))</f>
        <v/>
      </c>
    </row>
    <row r="101">
      <c r="F101" s="41">
        <f>IF(LISTEN!$C$23="","",LISTEN!$C$23)</f>
        <v/>
      </c>
      <c r="G101" s="42">
        <f>IF($F101="","",COUNTIFS(ERFASSUNG!$P$6:$P$3005,$F101)+COUNTIFS(ERFASSUNG!$Q$6:$Q$3005,$F101)+COUNTIFS(ERFASSUNG!$R$6:$R$3005,$F101))</f>
        <v/>
      </c>
      <c r="H101" s="47">
        <f>IF($F101="","",SUMIFS(ERFASSUNG!$E$6:$E$3005,ERFASSUNG!$P$6:$P$3005,$F101)+SUMIFS(ERFASSUNG!$E$6:$E$3005,ERFASSUNG!$Q$6:$Q$3005,$F101)+SUMIFS(ERFASSUNG!$E$6:$E$3005,ERFASSUNG!$R$6:$R$3005,$F101))</f>
        <v/>
      </c>
    </row>
    <row r="102">
      <c r="F102" s="39">
        <f>IF(LISTEN!$C$24="","",LISTEN!$C$24)</f>
        <v/>
      </c>
      <c r="G102" s="7">
        <f>IF($F102="","",COUNTIFS(ERFASSUNG!$P$6:$P$3005,$F102)+COUNTIFS(ERFASSUNG!$Q$6:$Q$3005,$F102)+COUNTIFS(ERFASSUNG!$R$6:$R$3005,$F102))</f>
        <v/>
      </c>
      <c r="H102" s="37">
        <f>IF($F102="","",SUMIFS(ERFASSUNG!$E$6:$E$3005,ERFASSUNG!$P$6:$P$3005,$F102)+SUMIFS(ERFASSUNG!$E$6:$E$3005,ERFASSUNG!$Q$6:$Q$3005,$F102)+SUMIFS(ERFASSUNG!$E$6:$E$3005,ERFASSUNG!$R$6:$R$3005,$F102))</f>
        <v/>
      </c>
    </row>
    <row r="103">
      <c r="F103" s="41">
        <f>IF(LISTEN!$C$25="","",LISTEN!$C$25)</f>
        <v/>
      </c>
      <c r="G103" s="42">
        <f>IF($F103="","",COUNTIFS(ERFASSUNG!$P$6:$P$3005,$F103)+COUNTIFS(ERFASSUNG!$Q$6:$Q$3005,$F103)+COUNTIFS(ERFASSUNG!$R$6:$R$3005,$F103))</f>
        <v/>
      </c>
      <c r="H103" s="47">
        <f>IF($F103="","",SUMIFS(ERFASSUNG!$E$6:$E$3005,ERFASSUNG!$P$6:$P$3005,$F103)+SUMIFS(ERFASSUNG!$E$6:$E$3005,ERFASSUNG!$Q$6:$Q$3005,$F103)+SUMIFS(ERFASSUNG!$E$6:$E$3005,ERFASSUNG!$R$6:$R$3005,$F103))</f>
        <v/>
      </c>
    </row>
    <row r="104">
      <c r="F104" s="39">
        <f>IF(LISTEN!$C$26="","",LISTEN!$C$26)</f>
        <v/>
      </c>
      <c r="G104" s="7">
        <f>IF($F104="","",COUNTIFS(ERFASSUNG!$P$6:$P$3005,$F104)+COUNTIFS(ERFASSUNG!$Q$6:$Q$3005,$F104)+COUNTIFS(ERFASSUNG!$R$6:$R$3005,$F104))</f>
        <v/>
      </c>
      <c r="H104" s="37">
        <f>IF($F104="","",SUMIFS(ERFASSUNG!$E$6:$E$3005,ERFASSUNG!$P$6:$P$3005,$F104)+SUMIFS(ERFASSUNG!$E$6:$E$3005,ERFASSUNG!$Q$6:$Q$3005,$F104)+SUMIFS(ERFASSUNG!$E$6:$E$3005,ERFASSUNG!$R$6:$R$3005,$F104))</f>
        <v/>
      </c>
    </row>
    <row r="105">
      <c r="F105" s="41">
        <f>IF(LISTEN!$C$27="","",LISTEN!$C$27)</f>
        <v/>
      </c>
      <c r="G105" s="42">
        <f>IF($F105="","",COUNTIFS(ERFASSUNG!$P$6:$P$3005,$F105)+COUNTIFS(ERFASSUNG!$Q$6:$Q$3005,$F105)+COUNTIFS(ERFASSUNG!$R$6:$R$3005,$F105))</f>
        <v/>
      </c>
      <c r="H105" s="47">
        <f>IF($F105="","",SUMIFS(ERFASSUNG!$E$6:$E$3005,ERFASSUNG!$P$6:$P$3005,$F105)+SUMIFS(ERFASSUNG!$E$6:$E$3005,ERFASSUNG!$Q$6:$Q$3005,$F105)+SUMIFS(ERFASSUNG!$E$6:$E$3005,ERFASSUNG!$R$6:$R$3005,$F105))</f>
        <v/>
      </c>
    </row>
    <row r="106">
      <c r="F106" s="39">
        <f>IF(LISTEN!$C$28="","",LISTEN!$C$28)</f>
        <v/>
      </c>
      <c r="G106" s="7">
        <f>IF($F106="","",COUNTIFS(ERFASSUNG!$P$6:$P$3005,$F106)+COUNTIFS(ERFASSUNG!$Q$6:$Q$3005,$F106)+COUNTIFS(ERFASSUNG!$R$6:$R$3005,$F106))</f>
        <v/>
      </c>
      <c r="H106" s="37">
        <f>IF($F106="","",SUMIFS(ERFASSUNG!$E$6:$E$3005,ERFASSUNG!$P$6:$P$3005,$F106)+SUMIFS(ERFASSUNG!$E$6:$E$3005,ERFASSUNG!$Q$6:$Q$3005,$F106)+SUMIFS(ERFASSUNG!$E$6:$E$3005,ERFASSUNG!$R$6:$R$3005,$F106))</f>
        <v/>
      </c>
    </row>
    <row r="107">
      <c r="F107" s="41">
        <f>IF(LISTEN!$C$29="","",LISTEN!$C$29)</f>
        <v/>
      </c>
      <c r="G107" s="42">
        <f>IF($F107="","",COUNTIFS(ERFASSUNG!$P$6:$P$3005,$F107)+COUNTIFS(ERFASSUNG!$Q$6:$Q$3005,$F107)+COUNTIFS(ERFASSUNG!$R$6:$R$3005,$F107))</f>
        <v/>
      </c>
      <c r="H107" s="47">
        <f>IF($F107="","",SUMIFS(ERFASSUNG!$E$6:$E$3005,ERFASSUNG!$P$6:$P$3005,$F107)+SUMIFS(ERFASSUNG!$E$6:$E$3005,ERFASSUNG!$Q$6:$Q$3005,$F107)+SUMIFS(ERFASSUNG!$E$6:$E$3005,ERFASSUNG!$R$6:$R$3005,$F107))</f>
        <v/>
      </c>
    </row>
    <row r="108">
      <c r="F108" s="39">
        <f>IF(LISTEN!$C$30="","",LISTEN!$C$30)</f>
        <v/>
      </c>
      <c r="G108" s="7">
        <f>IF($F108="","",COUNTIFS(ERFASSUNG!$P$6:$P$3005,$F108)+COUNTIFS(ERFASSUNG!$Q$6:$Q$3005,$F108)+COUNTIFS(ERFASSUNG!$R$6:$R$3005,$F108))</f>
        <v/>
      </c>
      <c r="H108" s="37">
        <f>IF($F108="","",SUMIFS(ERFASSUNG!$E$6:$E$3005,ERFASSUNG!$P$6:$P$3005,$F108)+SUMIFS(ERFASSUNG!$E$6:$E$3005,ERFASSUNG!$Q$6:$Q$3005,$F108)+SUMIFS(ERFASSUNG!$E$6:$E$3005,ERFASSUNG!$R$6:$R$3005,$F108))</f>
        <v/>
      </c>
    </row>
    <row r="109">
      <c r="F109" s="41">
        <f>IF(LISTEN!$C$31="","",LISTEN!$C$31)</f>
        <v/>
      </c>
      <c r="G109" s="42">
        <f>IF($F109="","",COUNTIFS(ERFASSUNG!$P$6:$P$3005,$F109)+COUNTIFS(ERFASSUNG!$Q$6:$Q$3005,$F109)+COUNTIFS(ERFASSUNG!$R$6:$R$3005,$F109))</f>
        <v/>
      </c>
      <c r="H109" s="47">
        <f>IF($F109="","",SUMIFS(ERFASSUNG!$E$6:$E$3005,ERFASSUNG!$P$6:$P$3005,$F109)+SUMIFS(ERFASSUNG!$E$6:$E$3005,ERFASSUNG!$Q$6:$Q$3005,$F109)+SUMIFS(ERFASSUNG!$E$6:$E$3005,ERFASSUNG!$R$6:$R$3005,$F109))</f>
        <v/>
      </c>
    </row>
    <row r="111">
      <c r="A111" s="5" t="inlineStr">
        <is>
          <t>Kontakte pro Kalenderwoche</t>
        </is>
      </c>
    </row>
    <row r="112">
      <c r="A112" s="6" t="inlineStr">
        <is>
          <t>KW</t>
        </is>
      </c>
      <c r="B112" s="6" t="inlineStr">
        <is>
          <t>Öffnungstage</t>
        </is>
      </c>
      <c r="C112" s="6" t="inlineStr">
        <is>
          <t>Einträge</t>
        </is>
      </c>
      <c r="D112" s="6" t="inlineStr">
        <is>
          <t>w</t>
        </is>
      </c>
      <c r="E112" s="6" t="inlineStr">
        <is>
          <t>d</t>
        </is>
      </c>
      <c r="F112" s="6" t="inlineStr">
        <is>
          <t>m</t>
        </is>
      </c>
      <c r="G112" s="6" t="inlineStr">
        <is>
          <t>gesamt</t>
        </is>
      </c>
    </row>
    <row r="113">
      <c r="A113" s="7" t="n">
        <v>1</v>
      </c>
      <c r="B113" s="7">
        <f>SUMIFS(KALENDER!$G$5:$G$370,KALENDER!$C$5:$C$370,A113)</f>
        <v/>
      </c>
      <c r="C113" s="7">
        <f>SUMIFS(KALENDER!$F$5:$F$370,KALENDER!$C$5:$C$370,A113)</f>
        <v/>
      </c>
      <c r="D113" s="7">
        <f>SUMIFS(KALENDER!$I$5:$I$370,KALENDER!$C$5:$C$370,A113)</f>
        <v/>
      </c>
      <c r="E113" s="7">
        <f>SUMIFS(KALENDER!$J$5:$J$370,KALENDER!$C$5:$C$370,A113)</f>
        <v/>
      </c>
      <c r="F113" s="7">
        <f>SUMIFS(KALENDER!$K$5:$K$370,KALENDER!$C$5:$C$370,A113)</f>
        <v/>
      </c>
      <c r="G113" s="7">
        <f>SUMIFS(KALENDER!$L$5:$L$370,KALENDER!$C$5:$C$370,A113)</f>
        <v/>
      </c>
    </row>
    <row r="114">
      <c r="A114" s="42" t="n">
        <v>2</v>
      </c>
      <c r="B114" s="42">
        <f>SUMIFS(KALENDER!$G$5:$G$370,KALENDER!$C$5:$C$370,A114)</f>
        <v/>
      </c>
      <c r="C114" s="42">
        <f>SUMIFS(KALENDER!$F$5:$F$370,KALENDER!$C$5:$C$370,A114)</f>
        <v/>
      </c>
      <c r="D114" s="42">
        <f>SUMIFS(KALENDER!$I$5:$I$370,KALENDER!$C$5:$C$370,A114)</f>
        <v/>
      </c>
      <c r="E114" s="42">
        <f>SUMIFS(KALENDER!$J$5:$J$370,KALENDER!$C$5:$C$370,A114)</f>
        <v/>
      </c>
      <c r="F114" s="42">
        <f>SUMIFS(KALENDER!$K$5:$K$370,KALENDER!$C$5:$C$370,A114)</f>
        <v/>
      </c>
      <c r="G114" s="42">
        <f>SUMIFS(KALENDER!$L$5:$L$370,KALENDER!$C$5:$C$370,A114)</f>
        <v/>
      </c>
    </row>
    <row r="115">
      <c r="A115" s="7" t="n">
        <v>3</v>
      </c>
      <c r="B115" s="7">
        <f>SUMIFS(KALENDER!$G$5:$G$370,KALENDER!$C$5:$C$370,A115)</f>
        <v/>
      </c>
      <c r="C115" s="7">
        <f>SUMIFS(KALENDER!$F$5:$F$370,KALENDER!$C$5:$C$370,A115)</f>
        <v/>
      </c>
      <c r="D115" s="7">
        <f>SUMIFS(KALENDER!$I$5:$I$370,KALENDER!$C$5:$C$370,A115)</f>
        <v/>
      </c>
      <c r="E115" s="7">
        <f>SUMIFS(KALENDER!$J$5:$J$370,KALENDER!$C$5:$C$370,A115)</f>
        <v/>
      </c>
      <c r="F115" s="7">
        <f>SUMIFS(KALENDER!$K$5:$K$370,KALENDER!$C$5:$C$370,A115)</f>
        <v/>
      </c>
      <c r="G115" s="7">
        <f>SUMIFS(KALENDER!$L$5:$L$370,KALENDER!$C$5:$C$370,A115)</f>
        <v/>
      </c>
    </row>
    <row r="116">
      <c r="A116" s="42" t="n">
        <v>4</v>
      </c>
      <c r="B116" s="42">
        <f>SUMIFS(KALENDER!$G$5:$G$370,KALENDER!$C$5:$C$370,A116)</f>
        <v/>
      </c>
      <c r="C116" s="42">
        <f>SUMIFS(KALENDER!$F$5:$F$370,KALENDER!$C$5:$C$370,A116)</f>
        <v/>
      </c>
      <c r="D116" s="42">
        <f>SUMIFS(KALENDER!$I$5:$I$370,KALENDER!$C$5:$C$370,A116)</f>
        <v/>
      </c>
      <c r="E116" s="42">
        <f>SUMIFS(KALENDER!$J$5:$J$370,KALENDER!$C$5:$C$370,A116)</f>
        <v/>
      </c>
      <c r="F116" s="42">
        <f>SUMIFS(KALENDER!$K$5:$K$370,KALENDER!$C$5:$C$370,A116)</f>
        <v/>
      </c>
      <c r="G116" s="42">
        <f>SUMIFS(KALENDER!$L$5:$L$370,KALENDER!$C$5:$C$370,A116)</f>
        <v/>
      </c>
    </row>
    <row r="117">
      <c r="A117" s="7" t="n">
        <v>5</v>
      </c>
      <c r="B117" s="7">
        <f>SUMIFS(KALENDER!$G$5:$G$370,KALENDER!$C$5:$C$370,A117)</f>
        <v/>
      </c>
      <c r="C117" s="7">
        <f>SUMIFS(KALENDER!$F$5:$F$370,KALENDER!$C$5:$C$370,A117)</f>
        <v/>
      </c>
      <c r="D117" s="7">
        <f>SUMIFS(KALENDER!$I$5:$I$370,KALENDER!$C$5:$C$370,A117)</f>
        <v/>
      </c>
      <c r="E117" s="7">
        <f>SUMIFS(KALENDER!$J$5:$J$370,KALENDER!$C$5:$C$370,A117)</f>
        <v/>
      </c>
      <c r="F117" s="7">
        <f>SUMIFS(KALENDER!$K$5:$K$370,KALENDER!$C$5:$C$370,A117)</f>
        <v/>
      </c>
      <c r="G117" s="7">
        <f>SUMIFS(KALENDER!$L$5:$L$370,KALENDER!$C$5:$C$370,A117)</f>
        <v/>
      </c>
    </row>
    <row r="118">
      <c r="A118" s="42" t="n">
        <v>6</v>
      </c>
      <c r="B118" s="42">
        <f>SUMIFS(KALENDER!$G$5:$G$370,KALENDER!$C$5:$C$370,A118)</f>
        <v/>
      </c>
      <c r="C118" s="42">
        <f>SUMIFS(KALENDER!$F$5:$F$370,KALENDER!$C$5:$C$370,A118)</f>
        <v/>
      </c>
      <c r="D118" s="42">
        <f>SUMIFS(KALENDER!$I$5:$I$370,KALENDER!$C$5:$C$370,A118)</f>
        <v/>
      </c>
      <c r="E118" s="42">
        <f>SUMIFS(KALENDER!$J$5:$J$370,KALENDER!$C$5:$C$370,A118)</f>
        <v/>
      </c>
      <c r="F118" s="42">
        <f>SUMIFS(KALENDER!$K$5:$K$370,KALENDER!$C$5:$C$370,A118)</f>
        <v/>
      </c>
      <c r="G118" s="42">
        <f>SUMIFS(KALENDER!$L$5:$L$370,KALENDER!$C$5:$C$370,A118)</f>
        <v/>
      </c>
    </row>
    <row r="119">
      <c r="A119" s="7" t="n">
        <v>7</v>
      </c>
      <c r="B119" s="7">
        <f>SUMIFS(KALENDER!$G$5:$G$370,KALENDER!$C$5:$C$370,A119)</f>
        <v/>
      </c>
      <c r="C119" s="7">
        <f>SUMIFS(KALENDER!$F$5:$F$370,KALENDER!$C$5:$C$370,A119)</f>
        <v/>
      </c>
      <c r="D119" s="7">
        <f>SUMIFS(KALENDER!$I$5:$I$370,KALENDER!$C$5:$C$370,A119)</f>
        <v/>
      </c>
      <c r="E119" s="7">
        <f>SUMIFS(KALENDER!$J$5:$J$370,KALENDER!$C$5:$C$370,A119)</f>
        <v/>
      </c>
      <c r="F119" s="7">
        <f>SUMIFS(KALENDER!$K$5:$K$370,KALENDER!$C$5:$C$370,A119)</f>
        <v/>
      </c>
      <c r="G119" s="7">
        <f>SUMIFS(KALENDER!$L$5:$L$370,KALENDER!$C$5:$C$370,A119)</f>
        <v/>
      </c>
    </row>
    <row r="120">
      <c r="A120" s="42" t="n">
        <v>8</v>
      </c>
      <c r="B120" s="42">
        <f>SUMIFS(KALENDER!$G$5:$G$370,KALENDER!$C$5:$C$370,A120)</f>
        <v/>
      </c>
      <c r="C120" s="42">
        <f>SUMIFS(KALENDER!$F$5:$F$370,KALENDER!$C$5:$C$370,A120)</f>
        <v/>
      </c>
      <c r="D120" s="42">
        <f>SUMIFS(KALENDER!$I$5:$I$370,KALENDER!$C$5:$C$370,A120)</f>
        <v/>
      </c>
      <c r="E120" s="42">
        <f>SUMIFS(KALENDER!$J$5:$J$370,KALENDER!$C$5:$C$370,A120)</f>
        <v/>
      </c>
      <c r="F120" s="42">
        <f>SUMIFS(KALENDER!$K$5:$K$370,KALENDER!$C$5:$C$370,A120)</f>
        <v/>
      </c>
      <c r="G120" s="42">
        <f>SUMIFS(KALENDER!$L$5:$L$370,KALENDER!$C$5:$C$370,A120)</f>
        <v/>
      </c>
    </row>
    <row r="121">
      <c r="A121" s="7" t="n">
        <v>9</v>
      </c>
      <c r="B121" s="7">
        <f>SUMIFS(KALENDER!$G$5:$G$370,KALENDER!$C$5:$C$370,A121)</f>
        <v/>
      </c>
      <c r="C121" s="7">
        <f>SUMIFS(KALENDER!$F$5:$F$370,KALENDER!$C$5:$C$370,A121)</f>
        <v/>
      </c>
      <c r="D121" s="7">
        <f>SUMIFS(KALENDER!$I$5:$I$370,KALENDER!$C$5:$C$370,A121)</f>
        <v/>
      </c>
      <c r="E121" s="7">
        <f>SUMIFS(KALENDER!$J$5:$J$370,KALENDER!$C$5:$C$370,A121)</f>
        <v/>
      </c>
      <c r="F121" s="7">
        <f>SUMIFS(KALENDER!$K$5:$K$370,KALENDER!$C$5:$C$370,A121)</f>
        <v/>
      </c>
      <c r="G121" s="7">
        <f>SUMIFS(KALENDER!$L$5:$L$370,KALENDER!$C$5:$C$370,A121)</f>
        <v/>
      </c>
    </row>
    <row r="122">
      <c r="A122" s="42" t="n">
        <v>10</v>
      </c>
      <c r="B122" s="42">
        <f>SUMIFS(KALENDER!$G$5:$G$370,KALENDER!$C$5:$C$370,A122)</f>
        <v/>
      </c>
      <c r="C122" s="42">
        <f>SUMIFS(KALENDER!$F$5:$F$370,KALENDER!$C$5:$C$370,A122)</f>
        <v/>
      </c>
      <c r="D122" s="42">
        <f>SUMIFS(KALENDER!$I$5:$I$370,KALENDER!$C$5:$C$370,A122)</f>
        <v/>
      </c>
      <c r="E122" s="42">
        <f>SUMIFS(KALENDER!$J$5:$J$370,KALENDER!$C$5:$C$370,A122)</f>
        <v/>
      </c>
      <c r="F122" s="42">
        <f>SUMIFS(KALENDER!$K$5:$K$370,KALENDER!$C$5:$C$370,A122)</f>
        <v/>
      </c>
      <c r="G122" s="42">
        <f>SUMIFS(KALENDER!$L$5:$L$370,KALENDER!$C$5:$C$370,A122)</f>
        <v/>
      </c>
    </row>
    <row r="123">
      <c r="A123" s="7" t="n">
        <v>11</v>
      </c>
      <c r="B123" s="7">
        <f>SUMIFS(KALENDER!$G$5:$G$370,KALENDER!$C$5:$C$370,A123)</f>
        <v/>
      </c>
      <c r="C123" s="7">
        <f>SUMIFS(KALENDER!$F$5:$F$370,KALENDER!$C$5:$C$370,A123)</f>
        <v/>
      </c>
      <c r="D123" s="7">
        <f>SUMIFS(KALENDER!$I$5:$I$370,KALENDER!$C$5:$C$370,A123)</f>
        <v/>
      </c>
      <c r="E123" s="7">
        <f>SUMIFS(KALENDER!$J$5:$J$370,KALENDER!$C$5:$C$370,A123)</f>
        <v/>
      </c>
      <c r="F123" s="7">
        <f>SUMIFS(KALENDER!$K$5:$K$370,KALENDER!$C$5:$C$370,A123)</f>
        <v/>
      </c>
      <c r="G123" s="7">
        <f>SUMIFS(KALENDER!$L$5:$L$370,KALENDER!$C$5:$C$370,A123)</f>
        <v/>
      </c>
    </row>
    <row r="124">
      <c r="A124" s="42" t="n">
        <v>12</v>
      </c>
      <c r="B124" s="42">
        <f>SUMIFS(KALENDER!$G$5:$G$370,KALENDER!$C$5:$C$370,A124)</f>
        <v/>
      </c>
      <c r="C124" s="42">
        <f>SUMIFS(KALENDER!$F$5:$F$370,KALENDER!$C$5:$C$370,A124)</f>
        <v/>
      </c>
      <c r="D124" s="42">
        <f>SUMIFS(KALENDER!$I$5:$I$370,KALENDER!$C$5:$C$370,A124)</f>
        <v/>
      </c>
      <c r="E124" s="42">
        <f>SUMIFS(KALENDER!$J$5:$J$370,KALENDER!$C$5:$C$370,A124)</f>
        <v/>
      </c>
      <c r="F124" s="42">
        <f>SUMIFS(KALENDER!$K$5:$K$370,KALENDER!$C$5:$C$370,A124)</f>
        <v/>
      </c>
      <c r="G124" s="42">
        <f>SUMIFS(KALENDER!$L$5:$L$370,KALENDER!$C$5:$C$370,A124)</f>
        <v/>
      </c>
    </row>
    <row r="125">
      <c r="A125" s="7" t="n">
        <v>13</v>
      </c>
      <c r="B125" s="7">
        <f>SUMIFS(KALENDER!$G$5:$G$370,KALENDER!$C$5:$C$370,A125)</f>
        <v/>
      </c>
      <c r="C125" s="7">
        <f>SUMIFS(KALENDER!$F$5:$F$370,KALENDER!$C$5:$C$370,A125)</f>
        <v/>
      </c>
      <c r="D125" s="7">
        <f>SUMIFS(KALENDER!$I$5:$I$370,KALENDER!$C$5:$C$370,A125)</f>
        <v/>
      </c>
      <c r="E125" s="7">
        <f>SUMIFS(KALENDER!$J$5:$J$370,KALENDER!$C$5:$C$370,A125)</f>
        <v/>
      </c>
      <c r="F125" s="7">
        <f>SUMIFS(KALENDER!$K$5:$K$370,KALENDER!$C$5:$C$370,A125)</f>
        <v/>
      </c>
      <c r="G125" s="7">
        <f>SUMIFS(KALENDER!$L$5:$L$370,KALENDER!$C$5:$C$370,A125)</f>
        <v/>
      </c>
    </row>
    <row r="126">
      <c r="A126" s="42" t="n">
        <v>14</v>
      </c>
      <c r="B126" s="42">
        <f>SUMIFS(KALENDER!$G$5:$G$370,KALENDER!$C$5:$C$370,A126)</f>
        <v/>
      </c>
      <c r="C126" s="42">
        <f>SUMIFS(KALENDER!$F$5:$F$370,KALENDER!$C$5:$C$370,A126)</f>
        <v/>
      </c>
      <c r="D126" s="42">
        <f>SUMIFS(KALENDER!$I$5:$I$370,KALENDER!$C$5:$C$370,A126)</f>
        <v/>
      </c>
      <c r="E126" s="42">
        <f>SUMIFS(KALENDER!$J$5:$J$370,KALENDER!$C$5:$C$370,A126)</f>
        <v/>
      </c>
      <c r="F126" s="42">
        <f>SUMIFS(KALENDER!$K$5:$K$370,KALENDER!$C$5:$C$370,A126)</f>
        <v/>
      </c>
      <c r="G126" s="42">
        <f>SUMIFS(KALENDER!$L$5:$L$370,KALENDER!$C$5:$C$370,A126)</f>
        <v/>
      </c>
    </row>
    <row r="127">
      <c r="A127" s="7" t="n">
        <v>15</v>
      </c>
      <c r="B127" s="7">
        <f>SUMIFS(KALENDER!$G$5:$G$370,KALENDER!$C$5:$C$370,A127)</f>
        <v/>
      </c>
      <c r="C127" s="7">
        <f>SUMIFS(KALENDER!$F$5:$F$370,KALENDER!$C$5:$C$370,A127)</f>
        <v/>
      </c>
      <c r="D127" s="7">
        <f>SUMIFS(KALENDER!$I$5:$I$370,KALENDER!$C$5:$C$370,A127)</f>
        <v/>
      </c>
      <c r="E127" s="7">
        <f>SUMIFS(KALENDER!$J$5:$J$370,KALENDER!$C$5:$C$370,A127)</f>
        <v/>
      </c>
      <c r="F127" s="7">
        <f>SUMIFS(KALENDER!$K$5:$K$370,KALENDER!$C$5:$C$370,A127)</f>
        <v/>
      </c>
      <c r="G127" s="7">
        <f>SUMIFS(KALENDER!$L$5:$L$370,KALENDER!$C$5:$C$370,A127)</f>
        <v/>
      </c>
    </row>
    <row r="128">
      <c r="A128" s="42" t="n">
        <v>16</v>
      </c>
      <c r="B128" s="42">
        <f>SUMIFS(KALENDER!$G$5:$G$370,KALENDER!$C$5:$C$370,A128)</f>
        <v/>
      </c>
      <c r="C128" s="42">
        <f>SUMIFS(KALENDER!$F$5:$F$370,KALENDER!$C$5:$C$370,A128)</f>
        <v/>
      </c>
      <c r="D128" s="42">
        <f>SUMIFS(KALENDER!$I$5:$I$370,KALENDER!$C$5:$C$370,A128)</f>
        <v/>
      </c>
      <c r="E128" s="42">
        <f>SUMIFS(KALENDER!$J$5:$J$370,KALENDER!$C$5:$C$370,A128)</f>
        <v/>
      </c>
      <c r="F128" s="42">
        <f>SUMIFS(KALENDER!$K$5:$K$370,KALENDER!$C$5:$C$370,A128)</f>
        <v/>
      </c>
      <c r="G128" s="42">
        <f>SUMIFS(KALENDER!$L$5:$L$370,KALENDER!$C$5:$C$370,A128)</f>
        <v/>
      </c>
    </row>
    <row r="129">
      <c r="A129" s="7" t="n">
        <v>17</v>
      </c>
      <c r="B129" s="7">
        <f>SUMIFS(KALENDER!$G$5:$G$370,KALENDER!$C$5:$C$370,A129)</f>
        <v/>
      </c>
      <c r="C129" s="7">
        <f>SUMIFS(KALENDER!$F$5:$F$370,KALENDER!$C$5:$C$370,A129)</f>
        <v/>
      </c>
      <c r="D129" s="7">
        <f>SUMIFS(KALENDER!$I$5:$I$370,KALENDER!$C$5:$C$370,A129)</f>
        <v/>
      </c>
      <c r="E129" s="7">
        <f>SUMIFS(KALENDER!$J$5:$J$370,KALENDER!$C$5:$C$370,A129)</f>
        <v/>
      </c>
      <c r="F129" s="7">
        <f>SUMIFS(KALENDER!$K$5:$K$370,KALENDER!$C$5:$C$370,A129)</f>
        <v/>
      </c>
      <c r="G129" s="7">
        <f>SUMIFS(KALENDER!$L$5:$L$370,KALENDER!$C$5:$C$370,A129)</f>
        <v/>
      </c>
    </row>
    <row r="130">
      <c r="A130" s="42" t="n">
        <v>18</v>
      </c>
      <c r="B130" s="42">
        <f>SUMIFS(KALENDER!$G$5:$G$370,KALENDER!$C$5:$C$370,A130)</f>
        <v/>
      </c>
      <c r="C130" s="42">
        <f>SUMIFS(KALENDER!$F$5:$F$370,KALENDER!$C$5:$C$370,A130)</f>
        <v/>
      </c>
      <c r="D130" s="42">
        <f>SUMIFS(KALENDER!$I$5:$I$370,KALENDER!$C$5:$C$370,A130)</f>
        <v/>
      </c>
      <c r="E130" s="42">
        <f>SUMIFS(KALENDER!$J$5:$J$370,KALENDER!$C$5:$C$370,A130)</f>
        <v/>
      </c>
      <c r="F130" s="42">
        <f>SUMIFS(KALENDER!$K$5:$K$370,KALENDER!$C$5:$C$370,A130)</f>
        <v/>
      </c>
      <c r="G130" s="42">
        <f>SUMIFS(KALENDER!$L$5:$L$370,KALENDER!$C$5:$C$370,A130)</f>
        <v/>
      </c>
    </row>
    <row r="131">
      <c r="A131" s="7" t="n">
        <v>19</v>
      </c>
      <c r="B131" s="7">
        <f>SUMIFS(KALENDER!$G$5:$G$370,KALENDER!$C$5:$C$370,A131)</f>
        <v/>
      </c>
      <c r="C131" s="7">
        <f>SUMIFS(KALENDER!$F$5:$F$370,KALENDER!$C$5:$C$370,A131)</f>
        <v/>
      </c>
      <c r="D131" s="7">
        <f>SUMIFS(KALENDER!$I$5:$I$370,KALENDER!$C$5:$C$370,A131)</f>
        <v/>
      </c>
      <c r="E131" s="7">
        <f>SUMIFS(KALENDER!$J$5:$J$370,KALENDER!$C$5:$C$370,A131)</f>
        <v/>
      </c>
      <c r="F131" s="7">
        <f>SUMIFS(KALENDER!$K$5:$K$370,KALENDER!$C$5:$C$370,A131)</f>
        <v/>
      </c>
      <c r="G131" s="7">
        <f>SUMIFS(KALENDER!$L$5:$L$370,KALENDER!$C$5:$C$370,A131)</f>
        <v/>
      </c>
    </row>
    <row r="132">
      <c r="A132" s="42" t="n">
        <v>20</v>
      </c>
      <c r="B132" s="42">
        <f>SUMIFS(KALENDER!$G$5:$G$370,KALENDER!$C$5:$C$370,A132)</f>
        <v/>
      </c>
      <c r="C132" s="42">
        <f>SUMIFS(KALENDER!$F$5:$F$370,KALENDER!$C$5:$C$370,A132)</f>
        <v/>
      </c>
      <c r="D132" s="42">
        <f>SUMIFS(KALENDER!$I$5:$I$370,KALENDER!$C$5:$C$370,A132)</f>
        <v/>
      </c>
      <c r="E132" s="42">
        <f>SUMIFS(KALENDER!$J$5:$J$370,KALENDER!$C$5:$C$370,A132)</f>
        <v/>
      </c>
      <c r="F132" s="42">
        <f>SUMIFS(KALENDER!$K$5:$K$370,KALENDER!$C$5:$C$370,A132)</f>
        <v/>
      </c>
      <c r="G132" s="42">
        <f>SUMIFS(KALENDER!$L$5:$L$370,KALENDER!$C$5:$C$370,A132)</f>
        <v/>
      </c>
    </row>
    <row r="133">
      <c r="A133" s="7" t="n">
        <v>21</v>
      </c>
      <c r="B133" s="7">
        <f>SUMIFS(KALENDER!$G$5:$G$370,KALENDER!$C$5:$C$370,A133)</f>
        <v/>
      </c>
      <c r="C133" s="7">
        <f>SUMIFS(KALENDER!$F$5:$F$370,KALENDER!$C$5:$C$370,A133)</f>
        <v/>
      </c>
      <c r="D133" s="7">
        <f>SUMIFS(KALENDER!$I$5:$I$370,KALENDER!$C$5:$C$370,A133)</f>
        <v/>
      </c>
      <c r="E133" s="7">
        <f>SUMIFS(KALENDER!$J$5:$J$370,KALENDER!$C$5:$C$370,A133)</f>
        <v/>
      </c>
      <c r="F133" s="7">
        <f>SUMIFS(KALENDER!$K$5:$K$370,KALENDER!$C$5:$C$370,A133)</f>
        <v/>
      </c>
      <c r="G133" s="7">
        <f>SUMIFS(KALENDER!$L$5:$L$370,KALENDER!$C$5:$C$370,A133)</f>
        <v/>
      </c>
    </row>
    <row r="134">
      <c r="A134" s="42" t="n">
        <v>22</v>
      </c>
      <c r="B134" s="42">
        <f>SUMIFS(KALENDER!$G$5:$G$370,KALENDER!$C$5:$C$370,A134)</f>
        <v/>
      </c>
      <c r="C134" s="42">
        <f>SUMIFS(KALENDER!$F$5:$F$370,KALENDER!$C$5:$C$370,A134)</f>
        <v/>
      </c>
      <c r="D134" s="42">
        <f>SUMIFS(KALENDER!$I$5:$I$370,KALENDER!$C$5:$C$370,A134)</f>
        <v/>
      </c>
      <c r="E134" s="42">
        <f>SUMIFS(KALENDER!$J$5:$J$370,KALENDER!$C$5:$C$370,A134)</f>
        <v/>
      </c>
      <c r="F134" s="42">
        <f>SUMIFS(KALENDER!$K$5:$K$370,KALENDER!$C$5:$C$370,A134)</f>
        <v/>
      </c>
      <c r="G134" s="42">
        <f>SUMIFS(KALENDER!$L$5:$L$370,KALENDER!$C$5:$C$370,A134)</f>
        <v/>
      </c>
    </row>
    <row r="135">
      <c r="A135" s="7" t="n">
        <v>23</v>
      </c>
      <c r="B135" s="7">
        <f>SUMIFS(KALENDER!$G$5:$G$370,KALENDER!$C$5:$C$370,A135)</f>
        <v/>
      </c>
      <c r="C135" s="7">
        <f>SUMIFS(KALENDER!$F$5:$F$370,KALENDER!$C$5:$C$370,A135)</f>
        <v/>
      </c>
      <c r="D135" s="7">
        <f>SUMIFS(KALENDER!$I$5:$I$370,KALENDER!$C$5:$C$370,A135)</f>
        <v/>
      </c>
      <c r="E135" s="7">
        <f>SUMIFS(KALENDER!$J$5:$J$370,KALENDER!$C$5:$C$370,A135)</f>
        <v/>
      </c>
      <c r="F135" s="7">
        <f>SUMIFS(KALENDER!$K$5:$K$370,KALENDER!$C$5:$C$370,A135)</f>
        <v/>
      </c>
      <c r="G135" s="7">
        <f>SUMIFS(KALENDER!$L$5:$L$370,KALENDER!$C$5:$C$370,A135)</f>
        <v/>
      </c>
    </row>
    <row r="136">
      <c r="A136" s="42" t="n">
        <v>24</v>
      </c>
      <c r="B136" s="42">
        <f>SUMIFS(KALENDER!$G$5:$G$370,KALENDER!$C$5:$C$370,A136)</f>
        <v/>
      </c>
      <c r="C136" s="42">
        <f>SUMIFS(KALENDER!$F$5:$F$370,KALENDER!$C$5:$C$370,A136)</f>
        <v/>
      </c>
      <c r="D136" s="42">
        <f>SUMIFS(KALENDER!$I$5:$I$370,KALENDER!$C$5:$C$370,A136)</f>
        <v/>
      </c>
      <c r="E136" s="42">
        <f>SUMIFS(KALENDER!$J$5:$J$370,KALENDER!$C$5:$C$370,A136)</f>
        <v/>
      </c>
      <c r="F136" s="42">
        <f>SUMIFS(KALENDER!$K$5:$K$370,KALENDER!$C$5:$C$370,A136)</f>
        <v/>
      </c>
      <c r="G136" s="42">
        <f>SUMIFS(KALENDER!$L$5:$L$370,KALENDER!$C$5:$C$370,A136)</f>
        <v/>
      </c>
    </row>
    <row r="137">
      <c r="A137" s="7" t="n">
        <v>25</v>
      </c>
      <c r="B137" s="7">
        <f>SUMIFS(KALENDER!$G$5:$G$370,KALENDER!$C$5:$C$370,A137)</f>
        <v/>
      </c>
      <c r="C137" s="7">
        <f>SUMIFS(KALENDER!$F$5:$F$370,KALENDER!$C$5:$C$370,A137)</f>
        <v/>
      </c>
      <c r="D137" s="7">
        <f>SUMIFS(KALENDER!$I$5:$I$370,KALENDER!$C$5:$C$370,A137)</f>
        <v/>
      </c>
      <c r="E137" s="7">
        <f>SUMIFS(KALENDER!$J$5:$J$370,KALENDER!$C$5:$C$370,A137)</f>
        <v/>
      </c>
      <c r="F137" s="7">
        <f>SUMIFS(KALENDER!$K$5:$K$370,KALENDER!$C$5:$C$370,A137)</f>
        <v/>
      </c>
      <c r="G137" s="7">
        <f>SUMIFS(KALENDER!$L$5:$L$370,KALENDER!$C$5:$C$370,A137)</f>
        <v/>
      </c>
    </row>
    <row r="138">
      <c r="A138" s="42" t="n">
        <v>26</v>
      </c>
      <c r="B138" s="42">
        <f>SUMIFS(KALENDER!$G$5:$G$370,KALENDER!$C$5:$C$370,A138)</f>
        <v/>
      </c>
      <c r="C138" s="42">
        <f>SUMIFS(KALENDER!$F$5:$F$370,KALENDER!$C$5:$C$370,A138)</f>
        <v/>
      </c>
      <c r="D138" s="42">
        <f>SUMIFS(KALENDER!$I$5:$I$370,KALENDER!$C$5:$C$370,A138)</f>
        <v/>
      </c>
      <c r="E138" s="42">
        <f>SUMIFS(KALENDER!$J$5:$J$370,KALENDER!$C$5:$C$370,A138)</f>
        <v/>
      </c>
      <c r="F138" s="42">
        <f>SUMIFS(KALENDER!$K$5:$K$370,KALENDER!$C$5:$C$370,A138)</f>
        <v/>
      </c>
      <c r="G138" s="42">
        <f>SUMIFS(KALENDER!$L$5:$L$370,KALENDER!$C$5:$C$370,A138)</f>
        <v/>
      </c>
    </row>
    <row r="139">
      <c r="A139" s="7" t="n">
        <v>27</v>
      </c>
      <c r="B139" s="7">
        <f>SUMIFS(KALENDER!$G$5:$G$370,KALENDER!$C$5:$C$370,A139)</f>
        <v/>
      </c>
      <c r="C139" s="7">
        <f>SUMIFS(KALENDER!$F$5:$F$370,KALENDER!$C$5:$C$370,A139)</f>
        <v/>
      </c>
      <c r="D139" s="7">
        <f>SUMIFS(KALENDER!$I$5:$I$370,KALENDER!$C$5:$C$370,A139)</f>
        <v/>
      </c>
      <c r="E139" s="7">
        <f>SUMIFS(KALENDER!$J$5:$J$370,KALENDER!$C$5:$C$370,A139)</f>
        <v/>
      </c>
      <c r="F139" s="7">
        <f>SUMIFS(KALENDER!$K$5:$K$370,KALENDER!$C$5:$C$370,A139)</f>
        <v/>
      </c>
      <c r="G139" s="7">
        <f>SUMIFS(KALENDER!$L$5:$L$370,KALENDER!$C$5:$C$370,A139)</f>
        <v/>
      </c>
    </row>
    <row r="140">
      <c r="A140" s="42" t="n">
        <v>28</v>
      </c>
      <c r="B140" s="42">
        <f>SUMIFS(KALENDER!$G$5:$G$370,KALENDER!$C$5:$C$370,A140)</f>
        <v/>
      </c>
      <c r="C140" s="42">
        <f>SUMIFS(KALENDER!$F$5:$F$370,KALENDER!$C$5:$C$370,A140)</f>
        <v/>
      </c>
      <c r="D140" s="42">
        <f>SUMIFS(KALENDER!$I$5:$I$370,KALENDER!$C$5:$C$370,A140)</f>
        <v/>
      </c>
      <c r="E140" s="42">
        <f>SUMIFS(KALENDER!$J$5:$J$370,KALENDER!$C$5:$C$370,A140)</f>
        <v/>
      </c>
      <c r="F140" s="42">
        <f>SUMIFS(KALENDER!$K$5:$K$370,KALENDER!$C$5:$C$370,A140)</f>
        <v/>
      </c>
      <c r="G140" s="42">
        <f>SUMIFS(KALENDER!$L$5:$L$370,KALENDER!$C$5:$C$370,A140)</f>
        <v/>
      </c>
    </row>
    <row r="141">
      <c r="A141" s="7" t="n">
        <v>29</v>
      </c>
      <c r="B141" s="7">
        <f>SUMIFS(KALENDER!$G$5:$G$370,KALENDER!$C$5:$C$370,A141)</f>
        <v/>
      </c>
      <c r="C141" s="7">
        <f>SUMIFS(KALENDER!$F$5:$F$370,KALENDER!$C$5:$C$370,A141)</f>
        <v/>
      </c>
      <c r="D141" s="7">
        <f>SUMIFS(KALENDER!$I$5:$I$370,KALENDER!$C$5:$C$370,A141)</f>
        <v/>
      </c>
      <c r="E141" s="7">
        <f>SUMIFS(KALENDER!$J$5:$J$370,KALENDER!$C$5:$C$370,A141)</f>
        <v/>
      </c>
      <c r="F141" s="7">
        <f>SUMIFS(KALENDER!$K$5:$K$370,KALENDER!$C$5:$C$370,A141)</f>
        <v/>
      </c>
      <c r="G141" s="7">
        <f>SUMIFS(KALENDER!$L$5:$L$370,KALENDER!$C$5:$C$370,A141)</f>
        <v/>
      </c>
    </row>
    <row r="142">
      <c r="A142" s="42" t="n">
        <v>30</v>
      </c>
      <c r="B142" s="42">
        <f>SUMIFS(KALENDER!$G$5:$G$370,KALENDER!$C$5:$C$370,A142)</f>
        <v/>
      </c>
      <c r="C142" s="42">
        <f>SUMIFS(KALENDER!$F$5:$F$370,KALENDER!$C$5:$C$370,A142)</f>
        <v/>
      </c>
      <c r="D142" s="42">
        <f>SUMIFS(KALENDER!$I$5:$I$370,KALENDER!$C$5:$C$370,A142)</f>
        <v/>
      </c>
      <c r="E142" s="42">
        <f>SUMIFS(KALENDER!$J$5:$J$370,KALENDER!$C$5:$C$370,A142)</f>
        <v/>
      </c>
      <c r="F142" s="42">
        <f>SUMIFS(KALENDER!$K$5:$K$370,KALENDER!$C$5:$C$370,A142)</f>
        <v/>
      </c>
      <c r="G142" s="42">
        <f>SUMIFS(KALENDER!$L$5:$L$370,KALENDER!$C$5:$C$370,A142)</f>
        <v/>
      </c>
    </row>
    <row r="143">
      <c r="A143" s="7" t="n">
        <v>31</v>
      </c>
      <c r="B143" s="7">
        <f>SUMIFS(KALENDER!$G$5:$G$370,KALENDER!$C$5:$C$370,A143)</f>
        <v/>
      </c>
      <c r="C143" s="7">
        <f>SUMIFS(KALENDER!$F$5:$F$370,KALENDER!$C$5:$C$370,A143)</f>
        <v/>
      </c>
      <c r="D143" s="7">
        <f>SUMIFS(KALENDER!$I$5:$I$370,KALENDER!$C$5:$C$370,A143)</f>
        <v/>
      </c>
      <c r="E143" s="7">
        <f>SUMIFS(KALENDER!$J$5:$J$370,KALENDER!$C$5:$C$370,A143)</f>
        <v/>
      </c>
      <c r="F143" s="7">
        <f>SUMIFS(KALENDER!$K$5:$K$370,KALENDER!$C$5:$C$370,A143)</f>
        <v/>
      </c>
      <c r="G143" s="7">
        <f>SUMIFS(KALENDER!$L$5:$L$370,KALENDER!$C$5:$C$370,A143)</f>
        <v/>
      </c>
    </row>
    <row r="144">
      <c r="A144" s="42" t="n">
        <v>32</v>
      </c>
      <c r="B144" s="42">
        <f>SUMIFS(KALENDER!$G$5:$G$370,KALENDER!$C$5:$C$370,A144)</f>
        <v/>
      </c>
      <c r="C144" s="42">
        <f>SUMIFS(KALENDER!$F$5:$F$370,KALENDER!$C$5:$C$370,A144)</f>
        <v/>
      </c>
      <c r="D144" s="42">
        <f>SUMIFS(KALENDER!$I$5:$I$370,KALENDER!$C$5:$C$370,A144)</f>
        <v/>
      </c>
      <c r="E144" s="42">
        <f>SUMIFS(KALENDER!$J$5:$J$370,KALENDER!$C$5:$C$370,A144)</f>
        <v/>
      </c>
      <c r="F144" s="42">
        <f>SUMIFS(KALENDER!$K$5:$K$370,KALENDER!$C$5:$C$370,A144)</f>
        <v/>
      </c>
      <c r="G144" s="42">
        <f>SUMIFS(KALENDER!$L$5:$L$370,KALENDER!$C$5:$C$370,A144)</f>
        <v/>
      </c>
    </row>
    <row r="145">
      <c r="A145" s="7" t="n">
        <v>33</v>
      </c>
      <c r="B145" s="7">
        <f>SUMIFS(KALENDER!$G$5:$G$370,KALENDER!$C$5:$C$370,A145)</f>
        <v/>
      </c>
      <c r="C145" s="7">
        <f>SUMIFS(KALENDER!$F$5:$F$370,KALENDER!$C$5:$C$370,A145)</f>
        <v/>
      </c>
      <c r="D145" s="7">
        <f>SUMIFS(KALENDER!$I$5:$I$370,KALENDER!$C$5:$C$370,A145)</f>
        <v/>
      </c>
      <c r="E145" s="7">
        <f>SUMIFS(KALENDER!$J$5:$J$370,KALENDER!$C$5:$C$370,A145)</f>
        <v/>
      </c>
      <c r="F145" s="7">
        <f>SUMIFS(KALENDER!$K$5:$K$370,KALENDER!$C$5:$C$370,A145)</f>
        <v/>
      </c>
      <c r="G145" s="7">
        <f>SUMIFS(KALENDER!$L$5:$L$370,KALENDER!$C$5:$C$370,A145)</f>
        <v/>
      </c>
    </row>
    <row r="146">
      <c r="A146" s="42" t="n">
        <v>34</v>
      </c>
      <c r="B146" s="42">
        <f>SUMIFS(KALENDER!$G$5:$G$370,KALENDER!$C$5:$C$370,A146)</f>
        <v/>
      </c>
      <c r="C146" s="42">
        <f>SUMIFS(KALENDER!$F$5:$F$370,KALENDER!$C$5:$C$370,A146)</f>
        <v/>
      </c>
      <c r="D146" s="42">
        <f>SUMIFS(KALENDER!$I$5:$I$370,KALENDER!$C$5:$C$370,A146)</f>
        <v/>
      </c>
      <c r="E146" s="42">
        <f>SUMIFS(KALENDER!$J$5:$J$370,KALENDER!$C$5:$C$370,A146)</f>
        <v/>
      </c>
      <c r="F146" s="42">
        <f>SUMIFS(KALENDER!$K$5:$K$370,KALENDER!$C$5:$C$370,A146)</f>
        <v/>
      </c>
      <c r="G146" s="42">
        <f>SUMIFS(KALENDER!$L$5:$L$370,KALENDER!$C$5:$C$370,A146)</f>
        <v/>
      </c>
    </row>
    <row r="147">
      <c r="A147" s="7" t="n">
        <v>35</v>
      </c>
      <c r="B147" s="7">
        <f>SUMIFS(KALENDER!$G$5:$G$370,KALENDER!$C$5:$C$370,A147)</f>
        <v/>
      </c>
      <c r="C147" s="7">
        <f>SUMIFS(KALENDER!$F$5:$F$370,KALENDER!$C$5:$C$370,A147)</f>
        <v/>
      </c>
      <c r="D147" s="7">
        <f>SUMIFS(KALENDER!$I$5:$I$370,KALENDER!$C$5:$C$370,A147)</f>
        <v/>
      </c>
      <c r="E147" s="7">
        <f>SUMIFS(KALENDER!$J$5:$J$370,KALENDER!$C$5:$C$370,A147)</f>
        <v/>
      </c>
      <c r="F147" s="7">
        <f>SUMIFS(KALENDER!$K$5:$K$370,KALENDER!$C$5:$C$370,A147)</f>
        <v/>
      </c>
      <c r="G147" s="7">
        <f>SUMIFS(KALENDER!$L$5:$L$370,KALENDER!$C$5:$C$370,A147)</f>
        <v/>
      </c>
    </row>
    <row r="148">
      <c r="A148" s="42" t="n">
        <v>36</v>
      </c>
      <c r="B148" s="42">
        <f>SUMIFS(KALENDER!$G$5:$G$370,KALENDER!$C$5:$C$370,A148)</f>
        <v/>
      </c>
      <c r="C148" s="42">
        <f>SUMIFS(KALENDER!$F$5:$F$370,KALENDER!$C$5:$C$370,A148)</f>
        <v/>
      </c>
      <c r="D148" s="42">
        <f>SUMIFS(KALENDER!$I$5:$I$370,KALENDER!$C$5:$C$370,A148)</f>
        <v/>
      </c>
      <c r="E148" s="42">
        <f>SUMIFS(KALENDER!$J$5:$J$370,KALENDER!$C$5:$C$370,A148)</f>
        <v/>
      </c>
      <c r="F148" s="42">
        <f>SUMIFS(KALENDER!$K$5:$K$370,KALENDER!$C$5:$C$370,A148)</f>
        <v/>
      </c>
      <c r="G148" s="42">
        <f>SUMIFS(KALENDER!$L$5:$L$370,KALENDER!$C$5:$C$370,A148)</f>
        <v/>
      </c>
    </row>
    <row r="149">
      <c r="A149" s="7" t="n">
        <v>37</v>
      </c>
      <c r="B149" s="7">
        <f>SUMIFS(KALENDER!$G$5:$G$370,KALENDER!$C$5:$C$370,A149)</f>
        <v/>
      </c>
      <c r="C149" s="7">
        <f>SUMIFS(KALENDER!$F$5:$F$370,KALENDER!$C$5:$C$370,A149)</f>
        <v/>
      </c>
      <c r="D149" s="7">
        <f>SUMIFS(KALENDER!$I$5:$I$370,KALENDER!$C$5:$C$370,A149)</f>
        <v/>
      </c>
      <c r="E149" s="7">
        <f>SUMIFS(KALENDER!$J$5:$J$370,KALENDER!$C$5:$C$370,A149)</f>
        <v/>
      </c>
      <c r="F149" s="7">
        <f>SUMIFS(KALENDER!$K$5:$K$370,KALENDER!$C$5:$C$370,A149)</f>
        <v/>
      </c>
      <c r="G149" s="7">
        <f>SUMIFS(KALENDER!$L$5:$L$370,KALENDER!$C$5:$C$370,A149)</f>
        <v/>
      </c>
    </row>
    <row r="150">
      <c r="A150" s="42" t="n">
        <v>38</v>
      </c>
      <c r="B150" s="42">
        <f>SUMIFS(KALENDER!$G$5:$G$370,KALENDER!$C$5:$C$370,A150)</f>
        <v/>
      </c>
      <c r="C150" s="42">
        <f>SUMIFS(KALENDER!$F$5:$F$370,KALENDER!$C$5:$C$370,A150)</f>
        <v/>
      </c>
      <c r="D150" s="42">
        <f>SUMIFS(KALENDER!$I$5:$I$370,KALENDER!$C$5:$C$370,A150)</f>
        <v/>
      </c>
      <c r="E150" s="42">
        <f>SUMIFS(KALENDER!$J$5:$J$370,KALENDER!$C$5:$C$370,A150)</f>
        <v/>
      </c>
      <c r="F150" s="42">
        <f>SUMIFS(KALENDER!$K$5:$K$370,KALENDER!$C$5:$C$370,A150)</f>
        <v/>
      </c>
      <c r="G150" s="42">
        <f>SUMIFS(KALENDER!$L$5:$L$370,KALENDER!$C$5:$C$370,A150)</f>
        <v/>
      </c>
    </row>
    <row r="151">
      <c r="A151" s="7" t="n">
        <v>39</v>
      </c>
      <c r="B151" s="7">
        <f>SUMIFS(KALENDER!$G$5:$G$370,KALENDER!$C$5:$C$370,A151)</f>
        <v/>
      </c>
      <c r="C151" s="7">
        <f>SUMIFS(KALENDER!$F$5:$F$370,KALENDER!$C$5:$C$370,A151)</f>
        <v/>
      </c>
      <c r="D151" s="7">
        <f>SUMIFS(KALENDER!$I$5:$I$370,KALENDER!$C$5:$C$370,A151)</f>
        <v/>
      </c>
      <c r="E151" s="7">
        <f>SUMIFS(KALENDER!$J$5:$J$370,KALENDER!$C$5:$C$370,A151)</f>
        <v/>
      </c>
      <c r="F151" s="7">
        <f>SUMIFS(KALENDER!$K$5:$K$370,KALENDER!$C$5:$C$370,A151)</f>
        <v/>
      </c>
      <c r="G151" s="7">
        <f>SUMIFS(KALENDER!$L$5:$L$370,KALENDER!$C$5:$C$370,A151)</f>
        <v/>
      </c>
    </row>
    <row r="152">
      <c r="A152" s="42" t="n">
        <v>40</v>
      </c>
      <c r="B152" s="42">
        <f>SUMIFS(KALENDER!$G$5:$G$370,KALENDER!$C$5:$C$370,A152)</f>
        <v/>
      </c>
      <c r="C152" s="42">
        <f>SUMIFS(KALENDER!$F$5:$F$370,KALENDER!$C$5:$C$370,A152)</f>
        <v/>
      </c>
      <c r="D152" s="42">
        <f>SUMIFS(KALENDER!$I$5:$I$370,KALENDER!$C$5:$C$370,A152)</f>
        <v/>
      </c>
      <c r="E152" s="42">
        <f>SUMIFS(KALENDER!$J$5:$J$370,KALENDER!$C$5:$C$370,A152)</f>
        <v/>
      </c>
      <c r="F152" s="42">
        <f>SUMIFS(KALENDER!$K$5:$K$370,KALENDER!$C$5:$C$370,A152)</f>
        <v/>
      </c>
      <c r="G152" s="42">
        <f>SUMIFS(KALENDER!$L$5:$L$370,KALENDER!$C$5:$C$370,A152)</f>
        <v/>
      </c>
    </row>
    <row r="153">
      <c r="A153" s="7" t="n">
        <v>41</v>
      </c>
      <c r="B153" s="7">
        <f>SUMIFS(KALENDER!$G$5:$G$370,KALENDER!$C$5:$C$370,A153)</f>
        <v/>
      </c>
      <c r="C153" s="7">
        <f>SUMIFS(KALENDER!$F$5:$F$370,KALENDER!$C$5:$C$370,A153)</f>
        <v/>
      </c>
      <c r="D153" s="7">
        <f>SUMIFS(KALENDER!$I$5:$I$370,KALENDER!$C$5:$C$370,A153)</f>
        <v/>
      </c>
      <c r="E153" s="7">
        <f>SUMIFS(KALENDER!$J$5:$J$370,KALENDER!$C$5:$C$370,A153)</f>
        <v/>
      </c>
      <c r="F153" s="7">
        <f>SUMIFS(KALENDER!$K$5:$K$370,KALENDER!$C$5:$C$370,A153)</f>
        <v/>
      </c>
      <c r="G153" s="7">
        <f>SUMIFS(KALENDER!$L$5:$L$370,KALENDER!$C$5:$C$370,A153)</f>
        <v/>
      </c>
    </row>
    <row r="154">
      <c r="A154" s="42" t="n">
        <v>42</v>
      </c>
      <c r="B154" s="42">
        <f>SUMIFS(KALENDER!$G$5:$G$370,KALENDER!$C$5:$C$370,A154)</f>
        <v/>
      </c>
      <c r="C154" s="42">
        <f>SUMIFS(KALENDER!$F$5:$F$370,KALENDER!$C$5:$C$370,A154)</f>
        <v/>
      </c>
      <c r="D154" s="42">
        <f>SUMIFS(KALENDER!$I$5:$I$370,KALENDER!$C$5:$C$370,A154)</f>
        <v/>
      </c>
      <c r="E154" s="42">
        <f>SUMIFS(KALENDER!$J$5:$J$370,KALENDER!$C$5:$C$370,A154)</f>
        <v/>
      </c>
      <c r="F154" s="42">
        <f>SUMIFS(KALENDER!$K$5:$K$370,KALENDER!$C$5:$C$370,A154)</f>
        <v/>
      </c>
      <c r="G154" s="42">
        <f>SUMIFS(KALENDER!$L$5:$L$370,KALENDER!$C$5:$C$370,A154)</f>
        <v/>
      </c>
    </row>
    <row r="155">
      <c r="A155" s="7" t="n">
        <v>43</v>
      </c>
      <c r="B155" s="7">
        <f>SUMIFS(KALENDER!$G$5:$G$370,KALENDER!$C$5:$C$370,A155)</f>
        <v/>
      </c>
      <c r="C155" s="7">
        <f>SUMIFS(KALENDER!$F$5:$F$370,KALENDER!$C$5:$C$370,A155)</f>
        <v/>
      </c>
      <c r="D155" s="7">
        <f>SUMIFS(KALENDER!$I$5:$I$370,KALENDER!$C$5:$C$370,A155)</f>
        <v/>
      </c>
      <c r="E155" s="7">
        <f>SUMIFS(KALENDER!$J$5:$J$370,KALENDER!$C$5:$C$370,A155)</f>
        <v/>
      </c>
      <c r="F155" s="7">
        <f>SUMIFS(KALENDER!$K$5:$K$370,KALENDER!$C$5:$C$370,A155)</f>
        <v/>
      </c>
      <c r="G155" s="7">
        <f>SUMIFS(KALENDER!$L$5:$L$370,KALENDER!$C$5:$C$370,A155)</f>
        <v/>
      </c>
    </row>
    <row r="156">
      <c r="A156" s="42" t="n">
        <v>44</v>
      </c>
      <c r="B156" s="42">
        <f>SUMIFS(KALENDER!$G$5:$G$370,KALENDER!$C$5:$C$370,A156)</f>
        <v/>
      </c>
      <c r="C156" s="42">
        <f>SUMIFS(KALENDER!$F$5:$F$370,KALENDER!$C$5:$C$370,A156)</f>
        <v/>
      </c>
      <c r="D156" s="42">
        <f>SUMIFS(KALENDER!$I$5:$I$370,KALENDER!$C$5:$C$370,A156)</f>
        <v/>
      </c>
      <c r="E156" s="42">
        <f>SUMIFS(KALENDER!$J$5:$J$370,KALENDER!$C$5:$C$370,A156)</f>
        <v/>
      </c>
      <c r="F156" s="42">
        <f>SUMIFS(KALENDER!$K$5:$K$370,KALENDER!$C$5:$C$370,A156)</f>
        <v/>
      </c>
      <c r="G156" s="42">
        <f>SUMIFS(KALENDER!$L$5:$L$370,KALENDER!$C$5:$C$370,A156)</f>
        <v/>
      </c>
    </row>
    <row r="157">
      <c r="A157" s="7" t="n">
        <v>45</v>
      </c>
      <c r="B157" s="7">
        <f>SUMIFS(KALENDER!$G$5:$G$370,KALENDER!$C$5:$C$370,A157)</f>
        <v/>
      </c>
      <c r="C157" s="7">
        <f>SUMIFS(KALENDER!$F$5:$F$370,KALENDER!$C$5:$C$370,A157)</f>
        <v/>
      </c>
      <c r="D157" s="7">
        <f>SUMIFS(KALENDER!$I$5:$I$370,KALENDER!$C$5:$C$370,A157)</f>
        <v/>
      </c>
      <c r="E157" s="7">
        <f>SUMIFS(KALENDER!$J$5:$J$370,KALENDER!$C$5:$C$370,A157)</f>
        <v/>
      </c>
      <c r="F157" s="7">
        <f>SUMIFS(KALENDER!$K$5:$K$370,KALENDER!$C$5:$C$370,A157)</f>
        <v/>
      </c>
      <c r="G157" s="7">
        <f>SUMIFS(KALENDER!$L$5:$L$370,KALENDER!$C$5:$C$370,A157)</f>
        <v/>
      </c>
    </row>
    <row r="158">
      <c r="A158" s="42" t="n">
        <v>46</v>
      </c>
      <c r="B158" s="42">
        <f>SUMIFS(KALENDER!$G$5:$G$370,KALENDER!$C$5:$C$370,A158)</f>
        <v/>
      </c>
      <c r="C158" s="42">
        <f>SUMIFS(KALENDER!$F$5:$F$370,KALENDER!$C$5:$C$370,A158)</f>
        <v/>
      </c>
      <c r="D158" s="42">
        <f>SUMIFS(KALENDER!$I$5:$I$370,KALENDER!$C$5:$C$370,A158)</f>
        <v/>
      </c>
      <c r="E158" s="42">
        <f>SUMIFS(KALENDER!$J$5:$J$370,KALENDER!$C$5:$C$370,A158)</f>
        <v/>
      </c>
      <c r="F158" s="42">
        <f>SUMIFS(KALENDER!$K$5:$K$370,KALENDER!$C$5:$C$370,A158)</f>
        <v/>
      </c>
      <c r="G158" s="42">
        <f>SUMIFS(KALENDER!$L$5:$L$370,KALENDER!$C$5:$C$370,A158)</f>
        <v/>
      </c>
    </row>
    <row r="159">
      <c r="A159" s="7" t="n">
        <v>47</v>
      </c>
      <c r="B159" s="7">
        <f>SUMIFS(KALENDER!$G$5:$G$370,KALENDER!$C$5:$C$370,A159)</f>
        <v/>
      </c>
      <c r="C159" s="7">
        <f>SUMIFS(KALENDER!$F$5:$F$370,KALENDER!$C$5:$C$370,A159)</f>
        <v/>
      </c>
      <c r="D159" s="7">
        <f>SUMIFS(KALENDER!$I$5:$I$370,KALENDER!$C$5:$C$370,A159)</f>
        <v/>
      </c>
      <c r="E159" s="7">
        <f>SUMIFS(KALENDER!$J$5:$J$370,KALENDER!$C$5:$C$370,A159)</f>
        <v/>
      </c>
      <c r="F159" s="7">
        <f>SUMIFS(KALENDER!$K$5:$K$370,KALENDER!$C$5:$C$370,A159)</f>
        <v/>
      </c>
      <c r="G159" s="7">
        <f>SUMIFS(KALENDER!$L$5:$L$370,KALENDER!$C$5:$C$370,A159)</f>
        <v/>
      </c>
    </row>
    <row r="160">
      <c r="A160" s="42" t="n">
        <v>48</v>
      </c>
      <c r="B160" s="42">
        <f>SUMIFS(KALENDER!$G$5:$G$370,KALENDER!$C$5:$C$370,A160)</f>
        <v/>
      </c>
      <c r="C160" s="42">
        <f>SUMIFS(KALENDER!$F$5:$F$370,KALENDER!$C$5:$C$370,A160)</f>
        <v/>
      </c>
      <c r="D160" s="42">
        <f>SUMIFS(KALENDER!$I$5:$I$370,KALENDER!$C$5:$C$370,A160)</f>
        <v/>
      </c>
      <c r="E160" s="42">
        <f>SUMIFS(KALENDER!$J$5:$J$370,KALENDER!$C$5:$C$370,A160)</f>
        <v/>
      </c>
      <c r="F160" s="42">
        <f>SUMIFS(KALENDER!$K$5:$K$370,KALENDER!$C$5:$C$370,A160)</f>
        <v/>
      </c>
      <c r="G160" s="42">
        <f>SUMIFS(KALENDER!$L$5:$L$370,KALENDER!$C$5:$C$370,A160)</f>
        <v/>
      </c>
    </row>
    <row r="161">
      <c r="A161" s="7" t="n">
        <v>49</v>
      </c>
      <c r="B161" s="7">
        <f>SUMIFS(KALENDER!$G$5:$G$370,KALENDER!$C$5:$C$370,A161)</f>
        <v/>
      </c>
      <c r="C161" s="7">
        <f>SUMIFS(KALENDER!$F$5:$F$370,KALENDER!$C$5:$C$370,A161)</f>
        <v/>
      </c>
      <c r="D161" s="7">
        <f>SUMIFS(KALENDER!$I$5:$I$370,KALENDER!$C$5:$C$370,A161)</f>
        <v/>
      </c>
      <c r="E161" s="7">
        <f>SUMIFS(KALENDER!$J$5:$J$370,KALENDER!$C$5:$C$370,A161)</f>
        <v/>
      </c>
      <c r="F161" s="7">
        <f>SUMIFS(KALENDER!$K$5:$K$370,KALENDER!$C$5:$C$370,A161)</f>
        <v/>
      </c>
      <c r="G161" s="7">
        <f>SUMIFS(KALENDER!$L$5:$L$370,KALENDER!$C$5:$C$370,A161)</f>
        <v/>
      </c>
    </row>
    <row r="162">
      <c r="A162" s="42" t="n">
        <v>50</v>
      </c>
      <c r="B162" s="42">
        <f>SUMIFS(KALENDER!$G$5:$G$370,KALENDER!$C$5:$C$370,A162)</f>
        <v/>
      </c>
      <c r="C162" s="42">
        <f>SUMIFS(KALENDER!$F$5:$F$370,KALENDER!$C$5:$C$370,A162)</f>
        <v/>
      </c>
      <c r="D162" s="42">
        <f>SUMIFS(KALENDER!$I$5:$I$370,KALENDER!$C$5:$C$370,A162)</f>
        <v/>
      </c>
      <c r="E162" s="42">
        <f>SUMIFS(KALENDER!$J$5:$J$370,KALENDER!$C$5:$C$370,A162)</f>
        <v/>
      </c>
      <c r="F162" s="42">
        <f>SUMIFS(KALENDER!$K$5:$K$370,KALENDER!$C$5:$C$370,A162)</f>
        <v/>
      </c>
      <c r="G162" s="42">
        <f>SUMIFS(KALENDER!$L$5:$L$370,KALENDER!$C$5:$C$370,A162)</f>
        <v/>
      </c>
    </row>
    <row r="163">
      <c r="A163" s="7" t="n">
        <v>51</v>
      </c>
      <c r="B163" s="7">
        <f>SUMIFS(KALENDER!$G$5:$G$370,KALENDER!$C$5:$C$370,A163)</f>
        <v/>
      </c>
      <c r="C163" s="7">
        <f>SUMIFS(KALENDER!$F$5:$F$370,KALENDER!$C$5:$C$370,A163)</f>
        <v/>
      </c>
      <c r="D163" s="7">
        <f>SUMIFS(KALENDER!$I$5:$I$370,KALENDER!$C$5:$C$370,A163)</f>
        <v/>
      </c>
      <c r="E163" s="7">
        <f>SUMIFS(KALENDER!$J$5:$J$370,KALENDER!$C$5:$C$370,A163)</f>
        <v/>
      </c>
      <c r="F163" s="7">
        <f>SUMIFS(KALENDER!$K$5:$K$370,KALENDER!$C$5:$C$370,A163)</f>
        <v/>
      </c>
      <c r="G163" s="7">
        <f>SUMIFS(KALENDER!$L$5:$L$370,KALENDER!$C$5:$C$370,A163)</f>
        <v/>
      </c>
    </row>
    <row r="164">
      <c r="A164" s="42" t="n">
        <v>52</v>
      </c>
      <c r="B164" s="42">
        <f>SUMIFS(KALENDER!$G$5:$G$370,KALENDER!$C$5:$C$370,A164)</f>
        <v/>
      </c>
      <c r="C164" s="42">
        <f>SUMIFS(KALENDER!$F$5:$F$370,KALENDER!$C$5:$C$370,A164)</f>
        <v/>
      </c>
      <c r="D164" s="42">
        <f>SUMIFS(KALENDER!$I$5:$I$370,KALENDER!$C$5:$C$370,A164)</f>
        <v/>
      </c>
      <c r="E164" s="42">
        <f>SUMIFS(KALENDER!$J$5:$J$370,KALENDER!$C$5:$C$370,A164)</f>
        <v/>
      </c>
      <c r="F164" s="42">
        <f>SUMIFS(KALENDER!$K$5:$K$370,KALENDER!$C$5:$C$370,A164)</f>
        <v/>
      </c>
      <c r="G164" s="42">
        <f>SUMIFS(KALENDER!$L$5:$L$370,KALENDER!$C$5:$C$370,A164)</f>
        <v/>
      </c>
    </row>
    <row r="165">
      <c r="A165" s="7" t="n">
        <v>53</v>
      </c>
      <c r="B165" s="7">
        <f>SUMIFS(KALENDER!$G$5:$G$370,KALENDER!$C$5:$C$370,A165)</f>
        <v/>
      </c>
      <c r="C165" s="7">
        <f>SUMIFS(KALENDER!$F$5:$F$370,KALENDER!$C$5:$C$370,A165)</f>
        <v/>
      </c>
      <c r="D165" s="7">
        <f>SUMIFS(KALENDER!$I$5:$I$370,KALENDER!$C$5:$C$370,A165)</f>
        <v/>
      </c>
      <c r="E165" s="7">
        <f>SUMIFS(KALENDER!$J$5:$J$370,KALENDER!$C$5:$C$370,A165)</f>
        <v/>
      </c>
      <c r="F165" s="7">
        <f>SUMIFS(KALENDER!$K$5:$K$370,KALENDER!$C$5:$C$370,A165)</f>
        <v/>
      </c>
      <c r="G165" s="7">
        <f>SUMIFS(KALENDER!$L$5:$L$370,KALENDER!$C$5:$C$370,A165)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6">
    <mergeCell ref="A15:B15"/>
    <mergeCell ref="A11:B11"/>
    <mergeCell ref="C5:D5"/>
    <mergeCell ref="E5:F5"/>
    <mergeCell ref="K5:L5"/>
    <mergeCell ref="M5:N5"/>
    <mergeCell ref="K4:L4"/>
    <mergeCell ref="C4:D4"/>
    <mergeCell ref="E4:F4"/>
    <mergeCell ref="A16:B16"/>
    <mergeCell ref="O5:P5"/>
    <mergeCell ref="O4:P4"/>
    <mergeCell ref="A12:B12"/>
    <mergeCell ref="A5:B5"/>
    <mergeCell ref="G5:H5"/>
    <mergeCell ref="I5:J5"/>
    <mergeCell ref="A14:B14"/>
    <mergeCell ref="A8:B8"/>
    <mergeCell ref="A4:B4"/>
    <mergeCell ref="G4:H4"/>
    <mergeCell ref="I4:J4"/>
    <mergeCell ref="A10:B10"/>
    <mergeCell ref="A13:B13"/>
    <mergeCell ref="G8:P16"/>
    <mergeCell ref="A9:B9"/>
    <mergeCell ref="M4:N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FD966"/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" customWidth="1" min="2" max="2"/>
    <col width="22" customWidth="1" min="3" max="3"/>
    <col width="3" customWidth="1" min="4" max="4"/>
    <col width="14" customWidth="1" min="5" max="5"/>
    <col width="16" customWidth="1" min="6" max="6"/>
    <col width="3" customWidth="1" min="7" max="7"/>
    <col width="14" customWidth="1" min="8" max="8"/>
  </cols>
  <sheetData>
    <row r="1">
      <c r="A1" s="6" t="n"/>
      <c r="C1" s="6" t="n"/>
      <c r="E1" s="6" t="n"/>
      <c r="F1" s="6" t="n"/>
      <c r="H1" s="6" t="n"/>
    </row>
    <row r="2">
      <c r="A2" s="68" t="inlineStr">
        <is>
          <t>MITTAG</t>
        </is>
      </c>
      <c r="C2" s="68" t="n"/>
      <c r="E2" s="69" t="inlineStr">
        <is>
          <t>Jahr</t>
        </is>
      </c>
      <c r="F2" s="70" t="n">
        <v>2026</v>
      </c>
      <c r="H2" s="71" t="inlineStr">
        <is>
          <t>Jänner</t>
        </is>
      </c>
    </row>
    <row r="3">
      <c r="A3" s="68" t="inlineStr">
        <is>
          <t>JUGENDCAFE</t>
        </is>
      </c>
      <c r="C3" s="68" t="n"/>
      <c r="E3" s="69" t="inlineStr">
        <is>
          <t>Einrichtung</t>
        </is>
      </c>
      <c r="F3" s="70" t="inlineStr">
        <is>
          <t>Villa K.</t>
        </is>
      </c>
      <c r="H3" s="71" t="inlineStr">
        <is>
          <t>Februar</t>
        </is>
      </c>
    </row>
    <row r="4">
      <c r="A4" s="68" t="inlineStr">
        <is>
          <t>JUGENDCAFE NEXT</t>
        </is>
      </c>
      <c r="C4" s="68" t="n"/>
      <c r="H4" s="71" t="inlineStr">
        <is>
          <t>März</t>
        </is>
      </c>
    </row>
    <row r="5">
      <c r="A5" s="68" t="inlineStr">
        <is>
          <t>OSA</t>
        </is>
      </c>
      <c r="C5" s="68" t="n"/>
      <c r="H5" s="71" t="inlineStr">
        <is>
          <t>April</t>
        </is>
      </c>
    </row>
    <row r="6">
      <c r="A6" s="68" t="inlineStr">
        <is>
          <t>VERMIETUNGEN</t>
        </is>
      </c>
      <c r="C6" s="68" t="n"/>
      <c r="E6" s="16" t="inlineStr">
        <is>
          <t>Gelbe Zellen anpassen. Neue Einträge einfach in freie Zeilen schreiben.</t>
        </is>
      </c>
      <c r="H6" s="71" t="inlineStr">
        <is>
          <t>Mai</t>
        </is>
      </c>
    </row>
    <row r="7">
      <c r="A7" s="68" t="inlineStr">
        <is>
          <t>TRÄNKEWEG</t>
        </is>
      </c>
      <c r="C7" s="68" t="n"/>
      <c r="H7" s="71" t="inlineStr">
        <is>
          <t>Juni</t>
        </is>
      </c>
    </row>
    <row r="8">
      <c r="A8" s="68" t="inlineStr">
        <is>
          <t>TANZEN</t>
        </is>
      </c>
      <c r="C8" s="68" t="n"/>
      <c r="H8" s="71" t="inlineStr">
        <is>
          <t>Juli</t>
        </is>
      </c>
    </row>
    <row r="9">
      <c r="A9" s="68" t="inlineStr">
        <is>
          <t>KONZERTE</t>
        </is>
      </c>
      <c r="C9" s="68" t="n"/>
      <c r="H9" s="71" t="inlineStr">
        <is>
          <t>August</t>
        </is>
      </c>
    </row>
    <row r="10">
      <c r="A10" s="68" t="inlineStr">
        <is>
          <t>JUNGS</t>
        </is>
      </c>
      <c r="C10" s="68" t="n"/>
      <c r="H10" s="71" t="inlineStr">
        <is>
          <t>September</t>
        </is>
      </c>
    </row>
    <row r="11">
      <c r="A11" s="68" t="inlineStr">
        <is>
          <t>MÄDCHEN</t>
        </is>
      </c>
      <c r="C11" s="68" t="n"/>
      <c r="H11" s="71" t="inlineStr">
        <is>
          <t>Oktober</t>
        </is>
      </c>
    </row>
    <row r="12">
      <c r="A12" s="68" t="inlineStr">
        <is>
          <t>JSA</t>
        </is>
      </c>
      <c r="C12" s="68" t="n"/>
      <c r="H12" s="71" t="inlineStr">
        <is>
          <t>November</t>
        </is>
      </c>
    </row>
    <row r="13">
      <c r="A13" s="68" t="inlineStr">
        <is>
          <t>RADIKALISIERUNG</t>
        </is>
      </c>
      <c r="C13" s="68" t="n"/>
      <c r="H13" s="71" t="inlineStr">
        <is>
          <t>Dezember</t>
        </is>
      </c>
    </row>
    <row r="14">
      <c r="A14" s="68" t="inlineStr">
        <is>
          <t>SCHULE</t>
        </is>
      </c>
      <c r="C14" s="68" t="n"/>
    </row>
    <row r="15">
      <c r="A15" s="68" t="inlineStr">
        <is>
          <t>WORKSHOPS</t>
        </is>
      </c>
      <c r="C15" s="68" t="n"/>
    </row>
    <row r="16">
      <c r="A16" s="68" t="inlineStr">
        <is>
          <t>CARITAS</t>
        </is>
      </c>
      <c r="C16" s="68" t="n"/>
    </row>
    <row r="17">
      <c r="A17" s="68" t="inlineStr">
        <is>
          <t>KINDERTHEATER</t>
        </is>
      </c>
      <c r="C17" s="68" t="n"/>
    </row>
    <row r="18">
      <c r="A18" s="68" t="inlineStr">
        <is>
          <t>WOODROCK</t>
        </is>
      </c>
      <c r="C18" s="68" t="n"/>
    </row>
    <row r="19">
      <c r="A19" s="68" t="inlineStr">
        <is>
          <t>KOOPERATIONEN</t>
        </is>
      </c>
      <c r="C19" s="68" t="n"/>
    </row>
    <row r="20">
      <c r="A20" s="68" t="inlineStr">
        <is>
          <t>ÖA</t>
        </is>
      </c>
      <c r="C20" s="68" t="n"/>
    </row>
    <row r="21">
      <c r="A21" s="68" t="inlineStr">
        <is>
          <t>OUTDOORFUN</t>
        </is>
      </c>
      <c r="C21" s="68" t="n"/>
    </row>
    <row r="22">
      <c r="A22" s="68" t="inlineStr">
        <is>
          <t>ONLINE</t>
        </is>
      </c>
      <c r="C22" s="68" t="n"/>
    </row>
    <row r="23">
      <c r="A23" s="68" t="inlineStr">
        <is>
          <t>MOJA</t>
        </is>
      </c>
      <c r="C23" s="68" t="n"/>
    </row>
    <row r="24">
      <c r="A24" s="68" t="inlineStr">
        <is>
          <t>SKATERPLATZ</t>
        </is>
      </c>
      <c r="C24" s="68" t="n"/>
    </row>
    <row r="25">
      <c r="A25" s="68" t="inlineStr">
        <is>
          <t>BERATUNG / TEL</t>
        </is>
      </c>
      <c r="C25" s="68" t="n"/>
    </row>
    <row r="26">
      <c r="A26" s="68" t="n"/>
      <c r="C26" s="68" t="n"/>
    </row>
    <row r="27">
      <c r="A27" s="68" t="n"/>
      <c r="C27" s="68" t="n"/>
    </row>
    <row r="28">
      <c r="A28" s="68" t="n"/>
      <c r="C28" s="68" t="n"/>
    </row>
    <row r="29">
      <c r="A29" s="68" t="n"/>
      <c r="C29" s="68" t="n"/>
    </row>
    <row r="30">
      <c r="A30" s="68" t="n"/>
      <c r="C30" s="68" t="n"/>
    </row>
    <row r="31">
      <c r="A31" s="68" t="n"/>
      <c r="C31" s="6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/>
  </sheetPr>
  <dimension ref="A1:Q37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5" t="inlineStr">
        <is>
          <t>Kalender (rechnet automatisch)</t>
        </is>
      </c>
    </row>
    <row r="2">
      <c r="A2" s="16" t="inlineStr">
        <is>
          <t>Hilfsblatt: jeder Tag des Jahres mit Summen aus der Erfassung.</t>
        </is>
      </c>
    </row>
    <row r="4">
      <c r="A4" s="6" t="inlineStr">
        <is>
          <t>Datum</t>
        </is>
      </c>
      <c r="B4" s="6" t="inlineStr">
        <is>
          <t>Tag</t>
        </is>
      </c>
      <c r="C4" s="6" t="inlineStr">
        <is>
          <t>KW</t>
        </is>
      </c>
      <c r="D4" s="6" t="inlineStr">
        <is>
          <t>Monat</t>
        </is>
      </c>
      <c r="E4" s="6" t="inlineStr">
        <is>
          <t>Wochentag-Nr</t>
        </is>
      </c>
      <c r="F4" s="6" t="inlineStr">
        <is>
          <t>Einträge</t>
        </is>
      </c>
      <c r="G4" s="6" t="inlineStr">
        <is>
          <t>offen</t>
        </is>
      </c>
      <c r="H4" s="6" t="inlineStr">
        <is>
          <t>Stunden</t>
        </is>
      </c>
      <c r="I4" s="6" t="inlineStr">
        <is>
          <t>w</t>
        </is>
      </c>
      <c r="J4" s="6" t="inlineStr">
        <is>
          <t>d</t>
        </is>
      </c>
      <c r="K4" s="6" t="inlineStr">
        <is>
          <t>m</t>
        </is>
      </c>
      <c r="L4" s="6" t="inlineStr">
        <is>
          <t>gesamt</t>
        </is>
      </c>
      <c r="M4" s="6" t="inlineStr">
        <is>
          <t>unter 10</t>
        </is>
      </c>
      <c r="N4" s="6" t="inlineStr">
        <is>
          <t>ab 10</t>
        </is>
      </c>
      <c r="O4" s="6" t="inlineStr">
        <is>
          <t>ab 14</t>
        </is>
      </c>
      <c r="P4" s="6" t="inlineStr">
        <is>
          <t>ab 16</t>
        </is>
      </c>
      <c r="Q4" s="6" t="inlineStr">
        <is>
          <t>ab 18</t>
        </is>
      </c>
    </row>
    <row r="5">
      <c r="A5" s="72">
        <f>IF(YEAR(DATE(LISTEN!$F$2,1,1)+0)=LISTEN!$F$2,DATE(LISTEN!$F$2,1,1)+0,"")</f>
        <v/>
      </c>
      <c r="B5" s="73">
        <f>IF(A5="","",CHOOSE(WEEKDAY(A5,2),"Mo","Di","Mi","Do","Fr","Sa","So"))</f>
        <v/>
      </c>
      <c r="C5" s="73">
        <f>IF(A5="","",INT((A5-DATE(YEAR(A5-WEEKDAY(A5-1)+4),1,3)+WEEKDAY(DATE(YEAR(A5-WEEKDAY(A5-1)+4),1,3))+5)/7))</f>
        <v/>
      </c>
      <c r="D5" s="73">
        <f>IF(A5="","",MONTH(A5))</f>
        <v/>
      </c>
      <c r="E5" s="73">
        <f>IF(A5="","",WEEKDAY(A5,2))</f>
        <v/>
      </c>
      <c r="F5" s="73">
        <f>IF(A5="","",COUNTIF(ERFASSUNG!$A$6:$A$3005,A5))</f>
        <v/>
      </c>
      <c r="G5" s="73">
        <f>IF(A5="","",IF(F5&gt;0,1,0))</f>
        <v/>
      </c>
      <c r="H5" s="73">
        <f>IF(A5="","",SUMIFS(ERFASSUNG!$E$6:$E$3005,ERFASSUNG!$A$6:$A$3005,A5))</f>
        <v/>
      </c>
      <c r="I5" s="73">
        <f>IF(A5="","",SUMIFS(ERFASSUNG!$F$6:$F$3005,ERFASSUNG!$A$6:$A$3005,A5))</f>
        <v/>
      </c>
      <c r="J5" s="73">
        <f>IF(A5="","",SUMIFS(ERFASSUNG!$G$6:$G$3005,ERFASSUNG!$A$6:$A$3005,A5))</f>
        <v/>
      </c>
      <c r="K5" s="73">
        <f>IF(A5="","",SUMIFS(ERFASSUNG!$H$6:$H$3005,ERFASSUNG!$A$6:$A$3005,A5))</f>
        <v/>
      </c>
      <c r="L5" s="73">
        <f>IF(A5="","",SUMIFS(ERFASSUNG!$I$6:$I$3005,ERFASSUNG!$A$6:$A$3005,A5))</f>
        <v/>
      </c>
      <c r="M5" s="73">
        <f>IF(A5="","",SUMIFS(ERFASSUNG!$J$6:$J$3005,ERFASSUNG!$A$6:$A$3005,A5))</f>
        <v/>
      </c>
      <c r="N5" s="73">
        <f>IF(A5="","",SUMIFS(ERFASSUNG!$K$6:$K$3005,ERFASSUNG!$A$6:$A$3005,A5))</f>
        <v/>
      </c>
      <c r="O5" s="73">
        <f>IF(A5="","",SUMIFS(ERFASSUNG!$L$6:$L$3005,ERFASSUNG!$A$6:$A$3005,A5))</f>
        <v/>
      </c>
      <c r="P5" s="73">
        <f>IF(A5="","",SUMIFS(ERFASSUNG!$M$6:$M$3005,ERFASSUNG!$A$6:$A$3005,A5))</f>
        <v/>
      </c>
      <c r="Q5" s="73">
        <f>IF(A5="","",SUMIFS(ERFASSUNG!$N$6:$N$3005,ERFASSUNG!$A$6:$A$3005,A5))</f>
        <v/>
      </c>
    </row>
    <row r="6">
      <c r="A6" s="72">
        <f>IF(YEAR(DATE(LISTEN!$F$2,1,1)+1)=LISTEN!$F$2,DATE(LISTEN!$F$2,1,1)+1,"")</f>
        <v/>
      </c>
      <c r="B6" s="73">
        <f>IF(A6="","",CHOOSE(WEEKDAY(A6,2),"Mo","Di","Mi","Do","Fr","Sa","So"))</f>
        <v/>
      </c>
      <c r="C6" s="73">
        <f>IF(A6="","",INT((A6-DATE(YEAR(A6-WEEKDAY(A6-1)+4),1,3)+WEEKDAY(DATE(YEAR(A6-WEEKDAY(A6-1)+4),1,3))+5)/7))</f>
        <v/>
      </c>
      <c r="D6" s="73">
        <f>IF(A6="","",MONTH(A6))</f>
        <v/>
      </c>
      <c r="E6" s="73">
        <f>IF(A6="","",WEEKDAY(A6,2))</f>
        <v/>
      </c>
      <c r="F6" s="73">
        <f>IF(A6="","",COUNTIF(ERFASSUNG!$A$6:$A$3005,A6))</f>
        <v/>
      </c>
      <c r="G6" s="73">
        <f>IF(A6="","",IF(F6&gt;0,1,0))</f>
        <v/>
      </c>
      <c r="H6" s="73">
        <f>IF(A6="","",SUMIFS(ERFASSUNG!$E$6:$E$3005,ERFASSUNG!$A$6:$A$3005,A6))</f>
        <v/>
      </c>
      <c r="I6" s="73">
        <f>IF(A6="","",SUMIFS(ERFASSUNG!$F$6:$F$3005,ERFASSUNG!$A$6:$A$3005,A6))</f>
        <v/>
      </c>
      <c r="J6" s="73">
        <f>IF(A6="","",SUMIFS(ERFASSUNG!$G$6:$G$3005,ERFASSUNG!$A$6:$A$3005,A6))</f>
        <v/>
      </c>
      <c r="K6" s="73">
        <f>IF(A6="","",SUMIFS(ERFASSUNG!$H$6:$H$3005,ERFASSUNG!$A$6:$A$3005,A6))</f>
        <v/>
      </c>
      <c r="L6" s="73">
        <f>IF(A6="","",SUMIFS(ERFASSUNG!$I$6:$I$3005,ERFASSUNG!$A$6:$A$3005,A6))</f>
        <v/>
      </c>
      <c r="M6" s="73">
        <f>IF(A6="","",SUMIFS(ERFASSUNG!$J$6:$J$3005,ERFASSUNG!$A$6:$A$3005,A6))</f>
        <v/>
      </c>
      <c r="N6" s="73">
        <f>IF(A6="","",SUMIFS(ERFASSUNG!$K$6:$K$3005,ERFASSUNG!$A$6:$A$3005,A6))</f>
        <v/>
      </c>
      <c r="O6" s="73">
        <f>IF(A6="","",SUMIFS(ERFASSUNG!$L$6:$L$3005,ERFASSUNG!$A$6:$A$3005,A6))</f>
        <v/>
      </c>
      <c r="P6" s="73">
        <f>IF(A6="","",SUMIFS(ERFASSUNG!$M$6:$M$3005,ERFASSUNG!$A$6:$A$3005,A6))</f>
        <v/>
      </c>
      <c r="Q6" s="73">
        <f>IF(A6="","",SUMIFS(ERFASSUNG!$N$6:$N$3005,ERFASSUNG!$A$6:$A$3005,A6))</f>
        <v/>
      </c>
    </row>
    <row r="7">
      <c r="A7" s="72">
        <f>IF(YEAR(DATE(LISTEN!$F$2,1,1)+2)=LISTEN!$F$2,DATE(LISTEN!$F$2,1,1)+2,"")</f>
        <v/>
      </c>
      <c r="B7" s="73">
        <f>IF(A7="","",CHOOSE(WEEKDAY(A7,2),"Mo","Di","Mi","Do","Fr","Sa","So"))</f>
        <v/>
      </c>
      <c r="C7" s="73">
        <f>IF(A7="","",INT((A7-DATE(YEAR(A7-WEEKDAY(A7-1)+4),1,3)+WEEKDAY(DATE(YEAR(A7-WEEKDAY(A7-1)+4),1,3))+5)/7))</f>
        <v/>
      </c>
      <c r="D7" s="73">
        <f>IF(A7="","",MONTH(A7))</f>
        <v/>
      </c>
      <c r="E7" s="73">
        <f>IF(A7="","",WEEKDAY(A7,2))</f>
        <v/>
      </c>
      <c r="F7" s="73">
        <f>IF(A7="","",COUNTIF(ERFASSUNG!$A$6:$A$3005,A7))</f>
        <v/>
      </c>
      <c r="G7" s="73">
        <f>IF(A7="","",IF(F7&gt;0,1,0))</f>
        <v/>
      </c>
      <c r="H7" s="73">
        <f>IF(A7="","",SUMIFS(ERFASSUNG!$E$6:$E$3005,ERFASSUNG!$A$6:$A$3005,A7))</f>
        <v/>
      </c>
      <c r="I7" s="73">
        <f>IF(A7="","",SUMIFS(ERFASSUNG!$F$6:$F$3005,ERFASSUNG!$A$6:$A$3005,A7))</f>
        <v/>
      </c>
      <c r="J7" s="73">
        <f>IF(A7="","",SUMIFS(ERFASSUNG!$G$6:$G$3005,ERFASSUNG!$A$6:$A$3005,A7))</f>
        <v/>
      </c>
      <c r="K7" s="73">
        <f>IF(A7="","",SUMIFS(ERFASSUNG!$H$6:$H$3005,ERFASSUNG!$A$6:$A$3005,A7))</f>
        <v/>
      </c>
      <c r="L7" s="73">
        <f>IF(A7="","",SUMIFS(ERFASSUNG!$I$6:$I$3005,ERFASSUNG!$A$6:$A$3005,A7))</f>
        <v/>
      </c>
      <c r="M7" s="73">
        <f>IF(A7="","",SUMIFS(ERFASSUNG!$J$6:$J$3005,ERFASSUNG!$A$6:$A$3005,A7))</f>
        <v/>
      </c>
      <c r="N7" s="73">
        <f>IF(A7="","",SUMIFS(ERFASSUNG!$K$6:$K$3005,ERFASSUNG!$A$6:$A$3005,A7))</f>
        <v/>
      </c>
      <c r="O7" s="73">
        <f>IF(A7="","",SUMIFS(ERFASSUNG!$L$6:$L$3005,ERFASSUNG!$A$6:$A$3005,A7))</f>
        <v/>
      </c>
      <c r="P7" s="73">
        <f>IF(A7="","",SUMIFS(ERFASSUNG!$M$6:$M$3005,ERFASSUNG!$A$6:$A$3005,A7))</f>
        <v/>
      </c>
      <c r="Q7" s="73">
        <f>IF(A7="","",SUMIFS(ERFASSUNG!$N$6:$N$3005,ERFASSUNG!$A$6:$A$3005,A7))</f>
        <v/>
      </c>
    </row>
    <row r="8">
      <c r="A8" s="72">
        <f>IF(YEAR(DATE(LISTEN!$F$2,1,1)+3)=LISTEN!$F$2,DATE(LISTEN!$F$2,1,1)+3,"")</f>
        <v/>
      </c>
      <c r="B8" s="73">
        <f>IF(A8="","",CHOOSE(WEEKDAY(A8,2),"Mo","Di","Mi","Do","Fr","Sa","So"))</f>
        <v/>
      </c>
      <c r="C8" s="73">
        <f>IF(A8="","",INT((A8-DATE(YEAR(A8-WEEKDAY(A8-1)+4),1,3)+WEEKDAY(DATE(YEAR(A8-WEEKDAY(A8-1)+4),1,3))+5)/7))</f>
        <v/>
      </c>
      <c r="D8" s="73">
        <f>IF(A8="","",MONTH(A8))</f>
        <v/>
      </c>
      <c r="E8" s="73">
        <f>IF(A8="","",WEEKDAY(A8,2))</f>
        <v/>
      </c>
      <c r="F8" s="73">
        <f>IF(A8="","",COUNTIF(ERFASSUNG!$A$6:$A$3005,A8))</f>
        <v/>
      </c>
      <c r="G8" s="73">
        <f>IF(A8="","",IF(F8&gt;0,1,0))</f>
        <v/>
      </c>
      <c r="H8" s="73">
        <f>IF(A8="","",SUMIFS(ERFASSUNG!$E$6:$E$3005,ERFASSUNG!$A$6:$A$3005,A8))</f>
        <v/>
      </c>
      <c r="I8" s="73">
        <f>IF(A8="","",SUMIFS(ERFASSUNG!$F$6:$F$3005,ERFASSUNG!$A$6:$A$3005,A8))</f>
        <v/>
      </c>
      <c r="J8" s="73">
        <f>IF(A8="","",SUMIFS(ERFASSUNG!$G$6:$G$3005,ERFASSUNG!$A$6:$A$3005,A8))</f>
        <v/>
      </c>
      <c r="K8" s="73">
        <f>IF(A8="","",SUMIFS(ERFASSUNG!$H$6:$H$3005,ERFASSUNG!$A$6:$A$3005,A8))</f>
        <v/>
      </c>
      <c r="L8" s="73">
        <f>IF(A8="","",SUMIFS(ERFASSUNG!$I$6:$I$3005,ERFASSUNG!$A$6:$A$3005,A8))</f>
        <v/>
      </c>
      <c r="M8" s="73">
        <f>IF(A8="","",SUMIFS(ERFASSUNG!$J$6:$J$3005,ERFASSUNG!$A$6:$A$3005,A8))</f>
        <v/>
      </c>
      <c r="N8" s="73">
        <f>IF(A8="","",SUMIFS(ERFASSUNG!$K$6:$K$3005,ERFASSUNG!$A$6:$A$3005,A8))</f>
        <v/>
      </c>
      <c r="O8" s="73">
        <f>IF(A8="","",SUMIFS(ERFASSUNG!$L$6:$L$3005,ERFASSUNG!$A$6:$A$3005,A8))</f>
        <v/>
      </c>
      <c r="P8" s="73">
        <f>IF(A8="","",SUMIFS(ERFASSUNG!$M$6:$M$3005,ERFASSUNG!$A$6:$A$3005,A8))</f>
        <v/>
      </c>
      <c r="Q8" s="73">
        <f>IF(A8="","",SUMIFS(ERFASSUNG!$N$6:$N$3005,ERFASSUNG!$A$6:$A$3005,A8))</f>
        <v/>
      </c>
    </row>
    <row r="9">
      <c r="A9" s="72">
        <f>IF(YEAR(DATE(LISTEN!$F$2,1,1)+4)=LISTEN!$F$2,DATE(LISTEN!$F$2,1,1)+4,"")</f>
        <v/>
      </c>
      <c r="B9" s="73">
        <f>IF(A9="","",CHOOSE(WEEKDAY(A9,2),"Mo","Di","Mi","Do","Fr","Sa","So"))</f>
        <v/>
      </c>
      <c r="C9" s="73">
        <f>IF(A9="","",INT((A9-DATE(YEAR(A9-WEEKDAY(A9-1)+4),1,3)+WEEKDAY(DATE(YEAR(A9-WEEKDAY(A9-1)+4),1,3))+5)/7))</f>
        <v/>
      </c>
      <c r="D9" s="73">
        <f>IF(A9="","",MONTH(A9))</f>
        <v/>
      </c>
      <c r="E9" s="73">
        <f>IF(A9="","",WEEKDAY(A9,2))</f>
        <v/>
      </c>
      <c r="F9" s="73">
        <f>IF(A9="","",COUNTIF(ERFASSUNG!$A$6:$A$3005,A9))</f>
        <v/>
      </c>
      <c r="G9" s="73">
        <f>IF(A9="","",IF(F9&gt;0,1,0))</f>
        <v/>
      </c>
      <c r="H9" s="73">
        <f>IF(A9="","",SUMIFS(ERFASSUNG!$E$6:$E$3005,ERFASSUNG!$A$6:$A$3005,A9))</f>
        <v/>
      </c>
      <c r="I9" s="73">
        <f>IF(A9="","",SUMIFS(ERFASSUNG!$F$6:$F$3005,ERFASSUNG!$A$6:$A$3005,A9))</f>
        <v/>
      </c>
      <c r="J9" s="73">
        <f>IF(A9="","",SUMIFS(ERFASSUNG!$G$6:$G$3005,ERFASSUNG!$A$6:$A$3005,A9))</f>
        <v/>
      </c>
      <c r="K9" s="73">
        <f>IF(A9="","",SUMIFS(ERFASSUNG!$H$6:$H$3005,ERFASSUNG!$A$6:$A$3005,A9))</f>
        <v/>
      </c>
      <c r="L9" s="73">
        <f>IF(A9="","",SUMIFS(ERFASSUNG!$I$6:$I$3005,ERFASSUNG!$A$6:$A$3005,A9))</f>
        <v/>
      </c>
      <c r="M9" s="73">
        <f>IF(A9="","",SUMIFS(ERFASSUNG!$J$6:$J$3005,ERFASSUNG!$A$6:$A$3005,A9))</f>
        <v/>
      </c>
      <c r="N9" s="73">
        <f>IF(A9="","",SUMIFS(ERFASSUNG!$K$6:$K$3005,ERFASSUNG!$A$6:$A$3005,A9))</f>
        <v/>
      </c>
      <c r="O9" s="73">
        <f>IF(A9="","",SUMIFS(ERFASSUNG!$L$6:$L$3005,ERFASSUNG!$A$6:$A$3005,A9))</f>
        <v/>
      </c>
      <c r="P9" s="73">
        <f>IF(A9="","",SUMIFS(ERFASSUNG!$M$6:$M$3005,ERFASSUNG!$A$6:$A$3005,A9))</f>
        <v/>
      </c>
      <c r="Q9" s="73">
        <f>IF(A9="","",SUMIFS(ERFASSUNG!$N$6:$N$3005,ERFASSUNG!$A$6:$A$3005,A9))</f>
        <v/>
      </c>
    </row>
    <row r="10">
      <c r="A10" s="72">
        <f>IF(YEAR(DATE(LISTEN!$F$2,1,1)+5)=LISTEN!$F$2,DATE(LISTEN!$F$2,1,1)+5,"")</f>
        <v/>
      </c>
      <c r="B10" s="73">
        <f>IF(A10="","",CHOOSE(WEEKDAY(A10,2),"Mo","Di","Mi","Do","Fr","Sa","So"))</f>
        <v/>
      </c>
      <c r="C10" s="73">
        <f>IF(A10="","",INT((A10-DATE(YEAR(A10-WEEKDAY(A10-1)+4),1,3)+WEEKDAY(DATE(YEAR(A10-WEEKDAY(A10-1)+4),1,3))+5)/7))</f>
        <v/>
      </c>
      <c r="D10" s="73">
        <f>IF(A10="","",MONTH(A10))</f>
        <v/>
      </c>
      <c r="E10" s="73">
        <f>IF(A10="","",WEEKDAY(A10,2))</f>
        <v/>
      </c>
      <c r="F10" s="73">
        <f>IF(A10="","",COUNTIF(ERFASSUNG!$A$6:$A$3005,A10))</f>
        <v/>
      </c>
      <c r="G10" s="73">
        <f>IF(A10="","",IF(F10&gt;0,1,0))</f>
        <v/>
      </c>
      <c r="H10" s="73">
        <f>IF(A10="","",SUMIFS(ERFASSUNG!$E$6:$E$3005,ERFASSUNG!$A$6:$A$3005,A10))</f>
        <v/>
      </c>
      <c r="I10" s="73">
        <f>IF(A10="","",SUMIFS(ERFASSUNG!$F$6:$F$3005,ERFASSUNG!$A$6:$A$3005,A10))</f>
        <v/>
      </c>
      <c r="J10" s="73">
        <f>IF(A10="","",SUMIFS(ERFASSUNG!$G$6:$G$3005,ERFASSUNG!$A$6:$A$3005,A10))</f>
        <v/>
      </c>
      <c r="K10" s="73">
        <f>IF(A10="","",SUMIFS(ERFASSUNG!$H$6:$H$3005,ERFASSUNG!$A$6:$A$3005,A10))</f>
        <v/>
      </c>
      <c r="L10" s="73">
        <f>IF(A10="","",SUMIFS(ERFASSUNG!$I$6:$I$3005,ERFASSUNG!$A$6:$A$3005,A10))</f>
        <v/>
      </c>
      <c r="M10" s="73">
        <f>IF(A10="","",SUMIFS(ERFASSUNG!$J$6:$J$3005,ERFASSUNG!$A$6:$A$3005,A10))</f>
        <v/>
      </c>
      <c r="N10" s="73">
        <f>IF(A10="","",SUMIFS(ERFASSUNG!$K$6:$K$3005,ERFASSUNG!$A$6:$A$3005,A10))</f>
        <v/>
      </c>
      <c r="O10" s="73">
        <f>IF(A10="","",SUMIFS(ERFASSUNG!$L$6:$L$3005,ERFASSUNG!$A$6:$A$3005,A10))</f>
        <v/>
      </c>
      <c r="P10" s="73">
        <f>IF(A10="","",SUMIFS(ERFASSUNG!$M$6:$M$3005,ERFASSUNG!$A$6:$A$3005,A10))</f>
        <v/>
      </c>
      <c r="Q10" s="73">
        <f>IF(A10="","",SUMIFS(ERFASSUNG!$N$6:$N$3005,ERFASSUNG!$A$6:$A$3005,A10))</f>
        <v/>
      </c>
    </row>
    <row r="11">
      <c r="A11" s="72">
        <f>IF(YEAR(DATE(LISTEN!$F$2,1,1)+6)=LISTEN!$F$2,DATE(LISTEN!$F$2,1,1)+6,"")</f>
        <v/>
      </c>
      <c r="B11" s="73">
        <f>IF(A11="","",CHOOSE(WEEKDAY(A11,2),"Mo","Di","Mi","Do","Fr","Sa","So"))</f>
        <v/>
      </c>
      <c r="C11" s="73">
        <f>IF(A11="","",INT((A11-DATE(YEAR(A11-WEEKDAY(A11-1)+4),1,3)+WEEKDAY(DATE(YEAR(A11-WEEKDAY(A11-1)+4),1,3))+5)/7))</f>
        <v/>
      </c>
      <c r="D11" s="73">
        <f>IF(A11="","",MONTH(A11))</f>
        <v/>
      </c>
      <c r="E11" s="73">
        <f>IF(A11="","",WEEKDAY(A11,2))</f>
        <v/>
      </c>
      <c r="F11" s="73">
        <f>IF(A11="","",COUNTIF(ERFASSUNG!$A$6:$A$3005,A11))</f>
        <v/>
      </c>
      <c r="G11" s="73">
        <f>IF(A11="","",IF(F11&gt;0,1,0))</f>
        <v/>
      </c>
      <c r="H11" s="73">
        <f>IF(A11="","",SUMIFS(ERFASSUNG!$E$6:$E$3005,ERFASSUNG!$A$6:$A$3005,A11))</f>
        <v/>
      </c>
      <c r="I11" s="73">
        <f>IF(A11="","",SUMIFS(ERFASSUNG!$F$6:$F$3005,ERFASSUNG!$A$6:$A$3005,A11))</f>
        <v/>
      </c>
      <c r="J11" s="73">
        <f>IF(A11="","",SUMIFS(ERFASSUNG!$G$6:$G$3005,ERFASSUNG!$A$6:$A$3005,A11))</f>
        <v/>
      </c>
      <c r="K11" s="73">
        <f>IF(A11="","",SUMIFS(ERFASSUNG!$H$6:$H$3005,ERFASSUNG!$A$6:$A$3005,A11))</f>
        <v/>
      </c>
      <c r="L11" s="73">
        <f>IF(A11="","",SUMIFS(ERFASSUNG!$I$6:$I$3005,ERFASSUNG!$A$6:$A$3005,A11))</f>
        <v/>
      </c>
      <c r="M11" s="73">
        <f>IF(A11="","",SUMIFS(ERFASSUNG!$J$6:$J$3005,ERFASSUNG!$A$6:$A$3005,A11))</f>
        <v/>
      </c>
      <c r="N11" s="73">
        <f>IF(A11="","",SUMIFS(ERFASSUNG!$K$6:$K$3005,ERFASSUNG!$A$6:$A$3005,A11))</f>
        <v/>
      </c>
      <c r="O11" s="73">
        <f>IF(A11="","",SUMIFS(ERFASSUNG!$L$6:$L$3005,ERFASSUNG!$A$6:$A$3005,A11))</f>
        <v/>
      </c>
      <c r="P11" s="73">
        <f>IF(A11="","",SUMIFS(ERFASSUNG!$M$6:$M$3005,ERFASSUNG!$A$6:$A$3005,A11))</f>
        <v/>
      </c>
      <c r="Q11" s="73">
        <f>IF(A11="","",SUMIFS(ERFASSUNG!$N$6:$N$3005,ERFASSUNG!$A$6:$A$3005,A11))</f>
        <v/>
      </c>
    </row>
    <row r="12">
      <c r="A12" s="72">
        <f>IF(YEAR(DATE(LISTEN!$F$2,1,1)+7)=LISTEN!$F$2,DATE(LISTEN!$F$2,1,1)+7,"")</f>
        <v/>
      </c>
      <c r="B12" s="73">
        <f>IF(A12="","",CHOOSE(WEEKDAY(A12,2),"Mo","Di","Mi","Do","Fr","Sa","So"))</f>
        <v/>
      </c>
      <c r="C12" s="73">
        <f>IF(A12="","",INT((A12-DATE(YEAR(A12-WEEKDAY(A12-1)+4),1,3)+WEEKDAY(DATE(YEAR(A12-WEEKDAY(A12-1)+4),1,3))+5)/7))</f>
        <v/>
      </c>
      <c r="D12" s="73">
        <f>IF(A12="","",MONTH(A12))</f>
        <v/>
      </c>
      <c r="E12" s="73">
        <f>IF(A12="","",WEEKDAY(A12,2))</f>
        <v/>
      </c>
      <c r="F12" s="73">
        <f>IF(A12="","",COUNTIF(ERFASSUNG!$A$6:$A$3005,A12))</f>
        <v/>
      </c>
      <c r="G12" s="73">
        <f>IF(A12="","",IF(F12&gt;0,1,0))</f>
        <v/>
      </c>
      <c r="H12" s="73">
        <f>IF(A12="","",SUMIFS(ERFASSUNG!$E$6:$E$3005,ERFASSUNG!$A$6:$A$3005,A12))</f>
        <v/>
      </c>
      <c r="I12" s="73">
        <f>IF(A12="","",SUMIFS(ERFASSUNG!$F$6:$F$3005,ERFASSUNG!$A$6:$A$3005,A12))</f>
        <v/>
      </c>
      <c r="J12" s="73">
        <f>IF(A12="","",SUMIFS(ERFASSUNG!$G$6:$G$3005,ERFASSUNG!$A$6:$A$3005,A12))</f>
        <v/>
      </c>
      <c r="K12" s="73">
        <f>IF(A12="","",SUMIFS(ERFASSUNG!$H$6:$H$3005,ERFASSUNG!$A$6:$A$3005,A12))</f>
        <v/>
      </c>
      <c r="L12" s="73">
        <f>IF(A12="","",SUMIFS(ERFASSUNG!$I$6:$I$3005,ERFASSUNG!$A$6:$A$3005,A12))</f>
        <v/>
      </c>
      <c r="M12" s="73">
        <f>IF(A12="","",SUMIFS(ERFASSUNG!$J$6:$J$3005,ERFASSUNG!$A$6:$A$3005,A12))</f>
        <v/>
      </c>
      <c r="N12" s="73">
        <f>IF(A12="","",SUMIFS(ERFASSUNG!$K$6:$K$3005,ERFASSUNG!$A$6:$A$3005,A12))</f>
        <v/>
      </c>
      <c r="O12" s="73">
        <f>IF(A12="","",SUMIFS(ERFASSUNG!$L$6:$L$3005,ERFASSUNG!$A$6:$A$3005,A12))</f>
        <v/>
      </c>
      <c r="P12" s="73">
        <f>IF(A12="","",SUMIFS(ERFASSUNG!$M$6:$M$3005,ERFASSUNG!$A$6:$A$3005,A12))</f>
        <v/>
      </c>
      <c r="Q12" s="73">
        <f>IF(A12="","",SUMIFS(ERFASSUNG!$N$6:$N$3005,ERFASSUNG!$A$6:$A$3005,A12))</f>
        <v/>
      </c>
    </row>
    <row r="13">
      <c r="A13" s="72">
        <f>IF(YEAR(DATE(LISTEN!$F$2,1,1)+8)=LISTEN!$F$2,DATE(LISTEN!$F$2,1,1)+8,"")</f>
        <v/>
      </c>
      <c r="B13" s="73">
        <f>IF(A13="","",CHOOSE(WEEKDAY(A13,2),"Mo","Di","Mi","Do","Fr","Sa","So"))</f>
        <v/>
      </c>
      <c r="C13" s="73">
        <f>IF(A13="","",INT((A13-DATE(YEAR(A13-WEEKDAY(A13-1)+4),1,3)+WEEKDAY(DATE(YEAR(A13-WEEKDAY(A13-1)+4),1,3))+5)/7))</f>
        <v/>
      </c>
      <c r="D13" s="73">
        <f>IF(A13="","",MONTH(A13))</f>
        <v/>
      </c>
      <c r="E13" s="73">
        <f>IF(A13="","",WEEKDAY(A13,2))</f>
        <v/>
      </c>
      <c r="F13" s="73">
        <f>IF(A13="","",COUNTIF(ERFASSUNG!$A$6:$A$3005,A13))</f>
        <v/>
      </c>
      <c r="G13" s="73">
        <f>IF(A13="","",IF(F13&gt;0,1,0))</f>
        <v/>
      </c>
      <c r="H13" s="73">
        <f>IF(A13="","",SUMIFS(ERFASSUNG!$E$6:$E$3005,ERFASSUNG!$A$6:$A$3005,A13))</f>
        <v/>
      </c>
      <c r="I13" s="73">
        <f>IF(A13="","",SUMIFS(ERFASSUNG!$F$6:$F$3005,ERFASSUNG!$A$6:$A$3005,A13))</f>
        <v/>
      </c>
      <c r="J13" s="73">
        <f>IF(A13="","",SUMIFS(ERFASSUNG!$G$6:$G$3005,ERFASSUNG!$A$6:$A$3005,A13))</f>
        <v/>
      </c>
      <c r="K13" s="73">
        <f>IF(A13="","",SUMIFS(ERFASSUNG!$H$6:$H$3005,ERFASSUNG!$A$6:$A$3005,A13))</f>
        <v/>
      </c>
      <c r="L13" s="73">
        <f>IF(A13="","",SUMIFS(ERFASSUNG!$I$6:$I$3005,ERFASSUNG!$A$6:$A$3005,A13))</f>
        <v/>
      </c>
      <c r="M13" s="73">
        <f>IF(A13="","",SUMIFS(ERFASSUNG!$J$6:$J$3005,ERFASSUNG!$A$6:$A$3005,A13))</f>
        <v/>
      </c>
      <c r="N13" s="73">
        <f>IF(A13="","",SUMIFS(ERFASSUNG!$K$6:$K$3005,ERFASSUNG!$A$6:$A$3005,A13))</f>
        <v/>
      </c>
      <c r="O13" s="73">
        <f>IF(A13="","",SUMIFS(ERFASSUNG!$L$6:$L$3005,ERFASSUNG!$A$6:$A$3005,A13))</f>
        <v/>
      </c>
      <c r="P13" s="73">
        <f>IF(A13="","",SUMIFS(ERFASSUNG!$M$6:$M$3005,ERFASSUNG!$A$6:$A$3005,A13))</f>
        <v/>
      </c>
      <c r="Q13" s="73">
        <f>IF(A13="","",SUMIFS(ERFASSUNG!$N$6:$N$3005,ERFASSUNG!$A$6:$A$3005,A13))</f>
        <v/>
      </c>
    </row>
    <row r="14">
      <c r="A14" s="72">
        <f>IF(YEAR(DATE(LISTEN!$F$2,1,1)+9)=LISTEN!$F$2,DATE(LISTEN!$F$2,1,1)+9,"")</f>
        <v/>
      </c>
      <c r="B14" s="73">
        <f>IF(A14="","",CHOOSE(WEEKDAY(A14,2),"Mo","Di","Mi","Do","Fr","Sa","So"))</f>
        <v/>
      </c>
      <c r="C14" s="73">
        <f>IF(A14="","",INT((A14-DATE(YEAR(A14-WEEKDAY(A14-1)+4),1,3)+WEEKDAY(DATE(YEAR(A14-WEEKDAY(A14-1)+4),1,3))+5)/7))</f>
        <v/>
      </c>
      <c r="D14" s="73">
        <f>IF(A14="","",MONTH(A14))</f>
        <v/>
      </c>
      <c r="E14" s="73">
        <f>IF(A14="","",WEEKDAY(A14,2))</f>
        <v/>
      </c>
      <c r="F14" s="73">
        <f>IF(A14="","",COUNTIF(ERFASSUNG!$A$6:$A$3005,A14))</f>
        <v/>
      </c>
      <c r="G14" s="73">
        <f>IF(A14="","",IF(F14&gt;0,1,0))</f>
        <v/>
      </c>
      <c r="H14" s="73">
        <f>IF(A14="","",SUMIFS(ERFASSUNG!$E$6:$E$3005,ERFASSUNG!$A$6:$A$3005,A14))</f>
        <v/>
      </c>
      <c r="I14" s="73">
        <f>IF(A14="","",SUMIFS(ERFASSUNG!$F$6:$F$3005,ERFASSUNG!$A$6:$A$3005,A14))</f>
        <v/>
      </c>
      <c r="J14" s="73">
        <f>IF(A14="","",SUMIFS(ERFASSUNG!$G$6:$G$3005,ERFASSUNG!$A$6:$A$3005,A14))</f>
        <v/>
      </c>
      <c r="K14" s="73">
        <f>IF(A14="","",SUMIFS(ERFASSUNG!$H$6:$H$3005,ERFASSUNG!$A$6:$A$3005,A14))</f>
        <v/>
      </c>
      <c r="L14" s="73">
        <f>IF(A14="","",SUMIFS(ERFASSUNG!$I$6:$I$3005,ERFASSUNG!$A$6:$A$3005,A14))</f>
        <v/>
      </c>
      <c r="M14" s="73">
        <f>IF(A14="","",SUMIFS(ERFASSUNG!$J$6:$J$3005,ERFASSUNG!$A$6:$A$3005,A14))</f>
        <v/>
      </c>
      <c r="N14" s="73">
        <f>IF(A14="","",SUMIFS(ERFASSUNG!$K$6:$K$3005,ERFASSUNG!$A$6:$A$3005,A14))</f>
        <v/>
      </c>
      <c r="O14" s="73">
        <f>IF(A14="","",SUMIFS(ERFASSUNG!$L$6:$L$3005,ERFASSUNG!$A$6:$A$3005,A14))</f>
        <v/>
      </c>
      <c r="P14" s="73">
        <f>IF(A14="","",SUMIFS(ERFASSUNG!$M$6:$M$3005,ERFASSUNG!$A$6:$A$3005,A14))</f>
        <v/>
      </c>
      <c r="Q14" s="73">
        <f>IF(A14="","",SUMIFS(ERFASSUNG!$N$6:$N$3005,ERFASSUNG!$A$6:$A$3005,A14))</f>
        <v/>
      </c>
    </row>
    <row r="15">
      <c r="A15" s="72">
        <f>IF(YEAR(DATE(LISTEN!$F$2,1,1)+10)=LISTEN!$F$2,DATE(LISTEN!$F$2,1,1)+10,"")</f>
        <v/>
      </c>
      <c r="B15" s="73">
        <f>IF(A15="","",CHOOSE(WEEKDAY(A15,2),"Mo","Di","Mi","Do","Fr","Sa","So"))</f>
        <v/>
      </c>
      <c r="C15" s="73">
        <f>IF(A15="","",INT((A15-DATE(YEAR(A15-WEEKDAY(A15-1)+4),1,3)+WEEKDAY(DATE(YEAR(A15-WEEKDAY(A15-1)+4),1,3))+5)/7))</f>
        <v/>
      </c>
      <c r="D15" s="73">
        <f>IF(A15="","",MONTH(A15))</f>
        <v/>
      </c>
      <c r="E15" s="73">
        <f>IF(A15="","",WEEKDAY(A15,2))</f>
        <v/>
      </c>
      <c r="F15" s="73">
        <f>IF(A15="","",COUNTIF(ERFASSUNG!$A$6:$A$3005,A15))</f>
        <v/>
      </c>
      <c r="G15" s="73">
        <f>IF(A15="","",IF(F15&gt;0,1,0))</f>
        <v/>
      </c>
      <c r="H15" s="73">
        <f>IF(A15="","",SUMIFS(ERFASSUNG!$E$6:$E$3005,ERFASSUNG!$A$6:$A$3005,A15))</f>
        <v/>
      </c>
      <c r="I15" s="73">
        <f>IF(A15="","",SUMIFS(ERFASSUNG!$F$6:$F$3005,ERFASSUNG!$A$6:$A$3005,A15))</f>
        <v/>
      </c>
      <c r="J15" s="73">
        <f>IF(A15="","",SUMIFS(ERFASSUNG!$G$6:$G$3005,ERFASSUNG!$A$6:$A$3005,A15))</f>
        <v/>
      </c>
      <c r="K15" s="73">
        <f>IF(A15="","",SUMIFS(ERFASSUNG!$H$6:$H$3005,ERFASSUNG!$A$6:$A$3005,A15))</f>
        <v/>
      </c>
      <c r="L15" s="73">
        <f>IF(A15="","",SUMIFS(ERFASSUNG!$I$6:$I$3005,ERFASSUNG!$A$6:$A$3005,A15))</f>
        <v/>
      </c>
      <c r="M15" s="73">
        <f>IF(A15="","",SUMIFS(ERFASSUNG!$J$6:$J$3005,ERFASSUNG!$A$6:$A$3005,A15))</f>
        <v/>
      </c>
      <c r="N15" s="73">
        <f>IF(A15="","",SUMIFS(ERFASSUNG!$K$6:$K$3005,ERFASSUNG!$A$6:$A$3005,A15))</f>
        <v/>
      </c>
      <c r="O15" s="73">
        <f>IF(A15="","",SUMIFS(ERFASSUNG!$L$6:$L$3005,ERFASSUNG!$A$6:$A$3005,A15))</f>
        <v/>
      </c>
      <c r="P15" s="73">
        <f>IF(A15="","",SUMIFS(ERFASSUNG!$M$6:$M$3005,ERFASSUNG!$A$6:$A$3005,A15))</f>
        <v/>
      </c>
      <c r="Q15" s="73">
        <f>IF(A15="","",SUMIFS(ERFASSUNG!$N$6:$N$3005,ERFASSUNG!$A$6:$A$3005,A15))</f>
        <v/>
      </c>
    </row>
    <row r="16">
      <c r="A16" s="72">
        <f>IF(YEAR(DATE(LISTEN!$F$2,1,1)+11)=LISTEN!$F$2,DATE(LISTEN!$F$2,1,1)+11,"")</f>
        <v/>
      </c>
      <c r="B16" s="73">
        <f>IF(A16="","",CHOOSE(WEEKDAY(A16,2),"Mo","Di","Mi","Do","Fr","Sa","So"))</f>
        <v/>
      </c>
      <c r="C16" s="73">
        <f>IF(A16="","",INT((A16-DATE(YEAR(A16-WEEKDAY(A16-1)+4),1,3)+WEEKDAY(DATE(YEAR(A16-WEEKDAY(A16-1)+4),1,3))+5)/7))</f>
        <v/>
      </c>
      <c r="D16" s="73">
        <f>IF(A16="","",MONTH(A16))</f>
        <v/>
      </c>
      <c r="E16" s="73">
        <f>IF(A16="","",WEEKDAY(A16,2))</f>
        <v/>
      </c>
      <c r="F16" s="73">
        <f>IF(A16="","",COUNTIF(ERFASSUNG!$A$6:$A$3005,A16))</f>
        <v/>
      </c>
      <c r="G16" s="73">
        <f>IF(A16="","",IF(F16&gt;0,1,0))</f>
        <v/>
      </c>
      <c r="H16" s="73">
        <f>IF(A16="","",SUMIFS(ERFASSUNG!$E$6:$E$3005,ERFASSUNG!$A$6:$A$3005,A16))</f>
        <v/>
      </c>
      <c r="I16" s="73">
        <f>IF(A16="","",SUMIFS(ERFASSUNG!$F$6:$F$3005,ERFASSUNG!$A$6:$A$3005,A16))</f>
        <v/>
      </c>
      <c r="J16" s="73">
        <f>IF(A16="","",SUMIFS(ERFASSUNG!$G$6:$G$3005,ERFASSUNG!$A$6:$A$3005,A16))</f>
        <v/>
      </c>
      <c r="K16" s="73">
        <f>IF(A16="","",SUMIFS(ERFASSUNG!$H$6:$H$3005,ERFASSUNG!$A$6:$A$3005,A16))</f>
        <v/>
      </c>
      <c r="L16" s="73">
        <f>IF(A16="","",SUMIFS(ERFASSUNG!$I$6:$I$3005,ERFASSUNG!$A$6:$A$3005,A16))</f>
        <v/>
      </c>
      <c r="M16" s="73">
        <f>IF(A16="","",SUMIFS(ERFASSUNG!$J$6:$J$3005,ERFASSUNG!$A$6:$A$3005,A16))</f>
        <v/>
      </c>
      <c r="N16" s="73">
        <f>IF(A16="","",SUMIFS(ERFASSUNG!$K$6:$K$3005,ERFASSUNG!$A$6:$A$3005,A16))</f>
        <v/>
      </c>
      <c r="O16" s="73">
        <f>IF(A16="","",SUMIFS(ERFASSUNG!$L$6:$L$3005,ERFASSUNG!$A$6:$A$3005,A16))</f>
        <v/>
      </c>
      <c r="P16" s="73">
        <f>IF(A16="","",SUMIFS(ERFASSUNG!$M$6:$M$3005,ERFASSUNG!$A$6:$A$3005,A16))</f>
        <v/>
      </c>
      <c r="Q16" s="73">
        <f>IF(A16="","",SUMIFS(ERFASSUNG!$N$6:$N$3005,ERFASSUNG!$A$6:$A$3005,A16))</f>
        <v/>
      </c>
    </row>
    <row r="17">
      <c r="A17" s="72">
        <f>IF(YEAR(DATE(LISTEN!$F$2,1,1)+12)=LISTEN!$F$2,DATE(LISTEN!$F$2,1,1)+12,"")</f>
        <v/>
      </c>
      <c r="B17" s="73">
        <f>IF(A17="","",CHOOSE(WEEKDAY(A17,2),"Mo","Di","Mi","Do","Fr","Sa","So"))</f>
        <v/>
      </c>
      <c r="C17" s="73">
        <f>IF(A17="","",INT((A17-DATE(YEAR(A17-WEEKDAY(A17-1)+4),1,3)+WEEKDAY(DATE(YEAR(A17-WEEKDAY(A17-1)+4),1,3))+5)/7))</f>
        <v/>
      </c>
      <c r="D17" s="73">
        <f>IF(A17="","",MONTH(A17))</f>
        <v/>
      </c>
      <c r="E17" s="73">
        <f>IF(A17="","",WEEKDAY(A17,2))</f>
        <v/>
      </c>
      <c r="F17" s="73">
        <f>IF(A17="","",COUNTIF(ERFASSUNG!$A$6:$A$3005,A17))</f>
        <v/>
      </c>
      <c r="G17" s="73">
        <f>IF(A17="","",IF(F17&gt;0,1,0))</f>
        <v/>
      </c>
      <c r="H17" s="73">
        <f>IF(A17="","",SUMIFS(ERFASSUNG!$E$6:$E$3005,ERFASSUNG!$A$6:$A$3005,A17))</f>
        <v/>
      </c>
      <c r="I17" s="73">
        <f>IF(A17="","",SUMIFS(ERFASSUNG!$F$6:$F$3005,ERFASSUNG!$A$6:$A$3005,A17))</f>
        <v/>
      </c>
      <c r="J17" s="73">
        <f>IF(A17="","",SUMIFS(ERFASSUNG!$G$6:$G$3005,ERFASSUNG!$A$6:$A$3005,A17))</f>
        <v/>
      </c>
      <c r="K17" s="73">
        <f>IF(A17="","",SUMIFS(ERFASSUNG!$H$6:$H$3005,ERFASSUNG!$A$6:$A$3005,A17))</f>
        <v/>
      </c>
      <c r="L17" s="73">
        <f>IF(A17="","",SUMIFS(ERFASSUNG!$I$6:$I$3005,ERFASSUNG!$A$6:$A$3005,A17))</f>
        <v/>
      </c>
      <c r="M17" s="73">
        <f>IF(A17="","",SUMIFS(ERFASSUNG!$J$6:$J$3005,ERFASSUNG!$A$6:$A$3005,A17))</f>
        <v/>
      </c>
      <c r="N17" s="73">
        <f>IF(A17="","",SUMIFS(ERFASSUNG!$K$6:$K$3005,ERFASSUNG!$A$6:$A$3005,A17))</f>
        <v/>
      </c>
      <c r="O17" s="73">
        <f>IF(A17="","",SUMIFS(ERFASSUNG!$L$6:$L$3005,ERFASSUNG!$A$6:$A$3005,A17))</f>
        <v/>
      </c>
      <c r="P17" s="73">
        <f>IF(A17="","",SUMIFS(ERFASSUNG!$M$6:$M$3005,ERFASSUNG!$A$6:$A$3005,A17))</f>
        <v/>
      </c>
      <c r="Q17" s="73">
        <f>IF(A17="","",SUMIFS(ERFASSUNG!$N$6:$N$3005,ERFASSUNG!$A$6:$A$3005,A17))</f>
        <v/>
      </c>
    </row>
    <row r="18">
      <c r="A18" s="72">
        <f>IF(YEAR(DATE(LISTEN!$F$2,1,1)+13)=LISTEN!$F$2,DATE(LISTEN!$F$2,1,1)+13,"")</f>
        <v/>
      </c>
      <c r="B18" s="73">
        <f>IF(A18="","",CHOOSE(WEEKDAY(A18,2),"Mo","Di","Mi","Do","Fr","Sa","So"))</f>
        <v/>
      </c>
      <c r="C18" s="73">
        <f>IF(A18="","",INT((A18-DATE(YEAR(A18-WEEKDAY(A18-1)+4),1,3)+WEEKDAY(DATE(YEAR(A18-WEEKDAY(A18-1)+4),1,3))+5)/7))</f>
        <v/>
      </c>
      <c r="D18" s="73">
        <f>IF(A18="","",MONTH(A18))</f>
        <v/>
      </c>
      <c r="E18" s="73">
        <f>IF(A18="","",WEEKDAY(A18,2))</f>
        <v/>
      </c>
      <c r="F18" s="73">
        <f>IF(A18="","",COUNTIF(ERFASSUNG!$A$6:$A$3005,A18))</f>
        <v/>
      </c>
      <c r="G18" s="73">
        <f>IF(A18="","",IF(F18&gt;0,1,0))</f>
        <v/>
      </c>
      <c r="H18" s="73">
        <f>IF(A18="","",SUMIFS(ERFASSUNG!$E$6:$E$3005,ERFASSUNG!$A$6:$A$3005,A18))</f>
        <v/>
      </c>
      <c r="I18" s="73">
        <f>IF(A18="","",SUMIFS(ERFASSUNG!$F$6:$F$3005,ERFASSUNG!$A$6:$A$3005,A18))</f>
        <v/>
      </c>
      <c r="J18" s="73">
        <f>IF(A18="","",SUMIFS(ERFASSUNG!$G$6:$G$3005,ERFASSUNG!$A$6:$A$3005,A18))</f>
        <v/>
      </c>
      <c r="K18" s="73">
        <f>IF(A18="","",SUMIFS(ERFASSUNG!$H$6:$H$3005,ERFASSUNG!$A$6:$A$3005,A18))</f>
        <v/>
      </c>
      <c r="L18" s="73">
        <f>IF(A18="","",SUMIFS(ERFASSUNG!$I$6:$I$3005,ERFASSUNG!$A$6:$A$3005,A18))</f>
        <v/>
      </c>
      <c r="M18" s="73">
        <f>IF(A18="","",SUMIFS(ERFASSUNG!$J$6:$J$3005,ERFASSUNG!$A$6:$A$3005,A18))</f>
        <v/>
      </c>
      <c r="N18" s="73">
        <f>IF(A18="","",SUMIFS(ERFASSUNG!$K$6:$K$3005,ERFASSUNG!$A$6:$A$3005,A18))</f>
        <v/>
      </c>
      <c r="O18" s="73">
        <f>IF(A18="","",SUMIFS(ERFASSUNG!$L$6:$L$3005,ERFASSUNG!$A$6:$A$3005,A18))</f>
        <v/>
      </c>
      <c r="P18" s="73">
        <f>IF(A18="","",SUMIFS(ERFASSUNG!$M$6:$M$3005,ERFASSUNG!$A$6:$A$3005,A18))</f>
        <v/>
      </c>
      <c r="Q18" s="73">
        <f>IF(A18="","",SUMIFS(ERFASSUNG!$N$6:$N$3005,ERFASSUNG!$A$6:$A$3005,A18))</f>
        <v/>
      </c>
    </row>
    <row r="19">
      <c r="A19" s="72">
        <f>IF(YEAR(DATE(LISTEN!$F$2,1,1)+14)=LISTEN!$F$2,DATE(LISTEN!$F$2,1,1)+14,"")</f>
        <v/>
      </c>
      <c r="B19" s="73">
        <f>IF(A19="","",CHOOSE(WEEKDAY(A19,2),"Mo","Di","Mi","Do","Fr","Sa","So"))</f>
        <v/>
      </c>
      <c r="C19" s="73">
        <f>IF(A19="","",INT((A19-DATE(YEAR(A19-WEEKDAY(A19-1)+4),1,3)+WEEKDAY(DATE(YEAR(A19-WEEKDAY(A19-1)+4),1,3))+5)/7))</f>
        <v/>
      </c>
      <c r="D19" s="73">
        <f>IF(A19="","",MONTH(A19))</f>
        <v/>
      </c>
      <c r="E19" s="73">
        <f>IF(A19="","",WEEKDAY(A19,2))</f>
        <v/>
      </c>
      <c r="F19" s="73">
        <f>IF(A19="","",COUNTIF(ERFASSUNG!$A$6:$A$3005,A19))</f>
        <v/>
      </c>
      <c r="G19" s="73">
        <f>IF(A19="","",IF(F19&gt;0,1,0))</f>
        <v/>
      </c>
      <c r="H19" s="73">
        <f>IF(A19="","",SUMIFS(ERFASSUNG!$E$6:$E$3005,ERFASSUNG!$A$6:$A$3005,A19))</f>
        <v/>
      </c>
      <c r="I19" s="73">
        <f>IF(A19="","",SUMIFS(ERFASSUNG!$F$6:$F$3005,ERFASSUNG!$A$6:$A$3005,A19))</f>
        <v/>
      </c>
      <c r="J19" s="73">
        <f>IF(A19="","",SUMIFS(ERFASSUNG!$G$6:$G$3005,ERFASSUNG!$A$6:$A$3005,A19))</f>
        <v/>
      </c>
      <c r="K19" s="73">
        <f>IF(A19="","",SUMIFS(ERFASSUNG!$H$6:$H$3005,ERFASSUNG!$A$6:$A$3005,A19))</f>
        <v/>
      </c>
      <c r="L19" s="73">
        <f>IF(A19="","",SUMIFS(ERFASSUNG!$I$6:$I$3005,ERFASSUNG!$A$6:$A$3005,A19))</f>
        <v/>
      </c>
      <c r="M19" s="73">
        <f>IF(A19="","",SUMIFS(ERFASSUNG!$J$6:$J$3005,ERFASSUNG!$A$6:$A$3005,A19))</f>
        <v/>
      </c>
      <c r="N19" s="73">
        <f>IF(A19="","",SUMIFS(ERFASSUNG!$K$6:$K$3005,ERFASSUNG!$A$6:$A$3005,A19))</f>
        <v/>
      </c>
      <c r="O19" s="73">
        <f>IF(A19="","",SUMIFS(ERFASSUNG!$L$6:$L$3005,ERFASSUNG!$A$6:$A$3005,A19))</f>
        <v/>
      </c>
      <c r="P19" s="73">
        <f>IF(A19="","",SUMIFS(ERFASSUNG!$M$6:$M$3005,ERFASSUNG!$A$6:$A$3005,A19))</f>
        <v/>
      </c>
      <c r="Q19" s="73">
        <f>IF(A19="","",SUMIFS(ERFASSUNG!$N$6:$N$3005,ERFASSUNG!$A$6:$A$3005,A19))</f>
        <v/>
      </c>
    </row>
    <row r="20">
      <c r="A20" s="72">
        <f>IF(YEAR(DATE(LISTEN!$F$2,1,1)+15)=LISTEN!$F$2,DATE(LISTEN!$F$2,1,1)+15,"")</f>
        <v/>
      </c>
      <c r="B20" s="73">
        <f>IF(A20="","",CHOOSE(WEEKDAY(A20,2),"Mo","Di","Mi","Do","Fr","Sa","So"))</f>
        <v/>
      </c>
      <c r="C20" s="73">
        <f>IF(A20="","",INT((A20-DATE(YEAR(A20-WEEKDAY(A20-1)+4),1,3)+WEEKDAY(DATE(YEAR(A20-WEEKDAY(A20-1)+4),1,3))+5)/7))</f>
        <v/>
      </c>
      <c r="D20" s="73">
        <f>IF(A20="","",MONTH(A20))</f>
        <v/>
      </c>
      <c r="E20" s="73">
        <f>IF(A20="","",WEEKDAY(A20,2))</f>
        <v/>
      </c>
      <c r="F20" s="73">
        <f>IF(A20="","",COUNTIF(ERFASSUNG!$A$6:$A$3005,A20))</f>
        <v/>
      </c>
      <c r="G20" s="73">
        <f>IF(A20="","",IF(F20&gt;0,1,0))</f>
        <v/>
      </c>
      <c r="H20" s="73">
        <f>IF(A20="","",SUMIFS(ERFASSUNG!$E$6:$E$3005,ERFASSUNG!$A$6:$A$3005,A20))</f>
        <v/>
      </c>
      <c r="I20" s="73">
        <f>IF(A20="","",SUMIFS(ERFASSUNG!$F$6:$F$3005,ERFASSUNG!$A$6:$A$3005,A20))</f>
        <v/>
      </c>
      <c r="J20" s="73">
        <f>IF(A20="","",SUMIFS(ERFASSUNG!$G$6:$G$3005,ERFASSUNG!$A$6:$A$3005,A20))</f>
        <v/>
      </c>
      <c r="K20" s="73">
        <f>IF(A20="","",SUMIFS(ERFASSUNG!$H$6:$H$3005,ERFASSUNG!$A$6:$A$3005,A20))</f>
        <v/>
      </c>
      <c r="L20" s="73">
        <f>IF(A20="","",SUMIFS(ERFASSUNG!$I$6:$I$3005,ERFASSUNG!$A$6:$A$3005,A20))</f>
        <v/>
      </c>
      <c r="M20" s="73">
        <f>IF(A20="","",SUMIFS(ERFASSUNG!$J$6:$J$3005,ERFASSUNG!$A$6:$A$3005,A20))</f>
        <v/>
      </c>
      <c r="N20" s="73">
        <f>IF(A20="","",SUMIFS(ERFASSUNG!$K$6:$K$3005,ERFASSUNG!$A$6:$A$3005,A20))</f>
        <v/>
      </c>
      <c r="O20" s="73">
        <f>IF(A20="","",SUMIFS(ERFASSUNG!$L$6:$L$3005,ERFASSUNG!$A$6:$A$3005,A20))</f>
        <v/>
      </c>
      <c r="P20" s="73">
        <f>IF(A20="","",SUMIFS(ERFASSUNG!$M$6:$M$3005,ERFASSUNG!$A$6:$A$3005,A20))</f>
        <v/>
      </c>
      <c r="Q20" s="73">
        <f>IF(A20="","",SUMIFS(ERFASSUNG!$N$6:$N$3005,ERFASSUNG!$A$6:$A$3005,A20))</f>
        <v/>
      </c>
    </row>
    <row r="21">
      <c r="A21" s="72">
        <f>IF(YEAR(DATE(LISTEN!$F$2,1,1)+16)=LISTEN!$F$2,DATE(LISTEN!$F$2,1,1)+16,"")</f>
        <v/>
      </c>
      <c r="B21" s="73">
        <f>IF(A21="","",CHOOSE(WEEKDAY(A21,2),"Mo","Di","Mi","Do","Fr","Sa","So"))</f>
        <v/>
      </c>
      <c r="C21" s="73">
        <f>IF(A21="","",INT((A21-DATE(YEAR(A21-WEEKDAY(A21-1)+4),1,3)+WEEKDAY(DATE(YEAR(A21-WEEKDAY(A21-1)+4),1,3))+5)/7))</f>
        <v/>
      </c>
      <c r="D21" s="73">
        <f>IF(A21="","",MONTH(A21))</f>
        <v/>
      </c>
      <c r="E21" s="73">
        <f>IF(A21="","",WEEKDAY(A21,2))</f>
        <v/>
      </c>
      <c r="F21" s="73">
        <f>IF(A21="","",COUNTIF(ERFASSUNG!$A$6:$A$3005,A21))</f>
        <v/>
      </c>
      <c r="G21" s="73">
        <f>IF(A21="","",IF(F21&gt;0,1,0))</f>
        <v/>
      </c>
      <c r="H21" s="73">
        <f>IF(A21="","",SUMIFS(ERFASSUNG!$E$6:$E$3005,ERFASSUNG!$A$6:$A$3005,A21))</f>
        <v/>
      </c>
      <c r="I21" s="73">
        <f>IF(A21="","",SUMIFS(ERFASSUNG!$F$6:$F$3005,ERFASSUNG!$A$6:$A$3005,A21))</f>
        <v/>
      </c>
      <c r="J21" s="73">
        <f>IF(A21="","",SUMIFS(ERFASSUNG!$G$6:$G$3005,ERFASSUNG!$A$6:$A$3005,A21))</f>
        <v/>
      </c>
      <c r="K21" s="73">
        <f>IF(A21="","",SUMIFS(ERFASSUNG!$H$6:$H$3005,ERFASSUNG!$A$6:$A$3005,A21))</f>
        <v/>
      </c>
      <c r="L21" s="73">
        <f>IF(A21="","",SUMIFS(ERFASSUNG!$I$6:$I$3005,ERFASSUNG!$A$6:$A$3005,A21))</f>
        <v/>
      </c>
      <c r="M21" s="73">
        <f>IF(A21="","",SUMIFS(ERFASSUNG!$J$6:$J$3005,ERFASSUNG!$A$6:$A$3005,A21))</f>
        <v/>
      </c>
      <c r="N21" s="73">
        <f>IF(A21="","",SUMIFS(ERFASSUNG!$K$6:$K$3005,ERFASSUNG!$A$6:$A$3005,A21))</f>
        <v/>
      </c>
      <c r="O21" s="73">
        <f>IF(A21="","",SUMIFS(ERFASSUNG!$L$6:$L$3005,ERFASSUNG!$A$6:$A$3005,A21))</f>
        <v/>
      </c>
      <c r="P21" s="73">
        <f>IF(A21="","",SUMIFS(ERFASSUNG!$M$6:$M$3005,ERFASSUNG!$A$6:$A$3005,A21))</f>
        <v/>
      </c>
      <c r="Q21" s="73">
        <f>IF(A21="","",SUMIFS(ERFASSUNG!$N$6:$N$3005,ERFASSUNG!$A$6:$A$3005,A21))</f>
        <v/>
      </c>
    </row>
    <row r="22">
      <c r="A22" s="72">
        <f>IF(YEAR(DATE(LISTEN!$F$2,1,1)+17)=LISTEN!$F$2,DATE(LISTEN!$F$2,1,1)+17,"")</f>
        <v/>
      </c>
      <c r="B22" s="73">
        <f>IF(A22="","",CHOOSE(WEEKDAY(A22,2),"Mo","Di","Mi","Do","Fr","Sa","So"))</f>
        <v/>
      </c>
      <c r="C22" s="73">
        <f>IF(A22="","",INT((A22-DATE(YEAR(A22-WEEKDAY(A22-1)+4),1,3)+WEEKDAY(DATE(YEAR(A22-WEEKDAY(A22-1)+4),1,3))+5)/7))</f>
        <v/>
      </c>
      <c r="D22" s="73">
        <f>IF(A22="","",MONTH(A22))</f>
        <v/>
      </c>
      <c r="E22" s="73">
        <f>IF(A22="","",WEEKDAY(A22,2))</f>
        <v/>
      </c>
      <c r="F22" s="73">
        <f>IF(A22="","",COUNTIF(ERFASSUNG!$A$6:$A$3005,A22))</f>
        <v/>
      </c>
      <c r="G22" s="73">
        <f>IF(A22="","",IF(F22&gt;0,1,0))</f>
        <v/>
      </c>
      <c r="H22" s="73">
        <f>IF(A22="","",SUMIFS(ERFASSUNG!$E$6:$E$3005,ERFASSUNG!$A$6:$A$3005,A22))</f>
        <v/>
      </c>
      <c r="I22" s="73">
        <f>IF(A22="","",SUMIFS(ERFASSUNG!$F$6:$F$3005,ERFASSUNG!$A$6:$A$3005,A22))</f>
        <v/>
      </c>
      <c r="J22" s="73">
        <f>IF(A22="","",SUMIFS(ERFASSUNG!$G$6:$G$3005,ERFASSUNG!$A$6:$A$3005,A22))</f>
        <v/>
      </c>
      <c r="K22" s="73">
        <f>IF(A22="","",SUMIFS(ERFASSUNG!$H$6:$H$3005,ERFASSUNG!$A$6:$A$3005,A22))</f>
        <v/>
      </c>
      <c r="L22" s="73">
        <f>IF(A22="","",SUMIFS(ERFASSUNG!$I$6:$I$3005,ERFASSUNG!$A$6:$A$3005,A22))</f>
        <v/>
      </c>
      <c r="M22" s="73">
        <f>IF(A22="","",SUMIFS(ERFASSUNG!$J$6:$J$3005,ERFASSUNG!$A$6:$A$3005,A22))</f>
        <v/>
      </c>
      <c r="N22" s="73">
        <f>IF(A22="","",SUMIFS(ERFASSUNG!$K$6:$K$3005,ERFASSUNG!$A$6:$A$3005,A22))</f>
        <v/>
      </c>
      <c r="O22" s="73">
        <f>IF(A22="","",SUMIFS(ERFASSUNG!$L$6:$L$3005,ERFASSUNG!$A$6:$A$3005,A22))</f>
        <v/>
      </c>
      <c r="P22" s="73">
        <f>IF(A22="","",SUMIFS(ERFASSUNG!$M$6:$M$3005,ERFASSUNG!$A$6:$A$3005,A22))</f>
        <v/>
      </c>
      <c r="Q22" s="73">
        <f>IF(A22="","",SUMIFS(ERFASSUNG!$N$6:$N$3005,ERFASSUNG!$A$6:$A$3005,A22))</f>
        <v/>
      </c>
    </row>
    <row r="23">
      <c r="A23" s="72">
        <f>IF(YEAR(DATE(LISTEN!$F$2,1,1)+18)=LISTEN!$F$2,DATE(LISTEN!$F$2,1,1)+18,"")</f>
        <v/>
      </c>
      <c r="B23" s="73">
        <f>IF(A23="","",CHOOSE(WEEKDAY(A23,2),"Mo","Di","Mi","Do","Fr","Sa","So"))</f>
        <v/>
      </c>
      <c r="C23" s="73">
        <f>IF(A23="","",INT((A23-DATE(YEAR(A23-WEEKDAY(A23-1)+4),1,3)+WEEKDAY(DATE(YEAR(A23-WEEKDAY(A23-1)+4),1,3))+5)/7))</f>
        <v/>
      </c>
      <c r="D23" s="73">
        <f>IF(A23="","",MONTH(A23))</f>
        <v/>
      </c>
      <c r="E23" s="73">
        <f>IF(A23="","",WEEKDAY(A23,2))</f>
        <v/>
      </c>
      <c r="F23" s="73">
        <f>IF(A23="","",COUNTIF(ERFASSUNG!$A$6:$A$3005,A23))</f>
        <v/>
      </c>
      <c r="G23" s="73">
        <f>IF(A23="","",IF(F23&gt;0,1,0))</f>
        <v/>
      </c>
      <c r="H23" s="73">
        <f>IF(A23="","",SUMIFS(ERFASSUNG!$E$6:$E$3005,ERFASSUNG!$A$6:$A$3005,A23))</f>
        <v/>
      </c>
      <c r="I23" s="73">
        <f>IF(A23="","",SUMIFS(ERFASSUNG!$F$6:$F$3005,ERFASSUNG!$A$6:$A$3005,A23))</f>
        <v/>
      </c>
      <c r="J23" s="73">
        <f>IF(A23="","",SUMIFS(ERFASSUNG!$G$6:$G$3005,ERFASSUNG!$A$6:$A$3005,A23))</f>
        <v/>
      </c>
      <c r="K23" s="73">
        <f>IF(A23="","",SUMIFS(ERFASSUNG!$H$6:$H$3005,ERFASSUNG!$A$6:$A$3005,A23))</f>
        <v/>
      </c>
      <c r="L23" s="73">
        <f>IF(A23="","",SUMIFS(ERFASSUNG!$I$6:$I$3005,ERFASSUNG!$A$6:$A$3005,A23))</f>
        <v/>
      </c>
      <c r="M23" s="73">
        <f>IF(A23="","",SUMIFS(ERFASSUNG!$J$6:$J$3005,ERFASSUNG!$A$6:$A$3005,A23))</f>
        <v/>
      </c>
      <c r="N23" s="73">
        <f>IF(A23="","",SUMIFS(ERFASSUNG!$K$6:$K$3005,ERFASSUNG!$A$6:$A$3005,A23))</f>
        <v/>
      </c>
      <c r="O23" s="73">
        <f>IF(A23="","",SUMIFS(ERFASSUNG!$L$6:$L$3005,ERFASSUNG!$A$6:$A$3005,A23))</f>
        <v/>
      </c>
      <c r="P23" s="73">
        <f>IF(A23="","",SUMIFS(ERFASSUNG!$M$6:$M$3005,ERFASSUNG!$A$6:$A$3005,A23))</f>
        <v/>
      </c>
      <c r="Q23" s="73">
        <f>IF(A23="","",SUMIFS(ERFASSUNG!$N$6:$N$3005,ERFASSUNG!$A$6:$A$3005,A23))</f>
        <v/>
      </c>
    </row>
    <row r="24">
      <c r="A24" s="72">
        <f>IF(YEAR(DATE(LISTEN!$F$2,1,1)+19)=LISTEN!$F$2,DATE(LISTEN!$F$2,1,1)+19,"")</f>
        <v/>
      </c>
      <c r="B24" s="73">
        <f>IF(A24="","",CHOOSE(WEEKDAY(A24,2),"Mo","Di","Mi","Do","Fr","Sa","So"))</f>
        <v/>
      </c>
      <c r="C24" s="73">
        <f>IF(A24="","",INT((A24-DATE(YEAR(A24-WEEKDAY(A24-1)+4),1,3)+WEEKDAY(DATE(YEAR(A24-WEEKDAY(A24-1)+4),1,3))+5)/7))</f>
        <v/>
      </c>
      <c r="D24" s="73">
        <f>IF(A24="","",MONTH(A24))</f>
        <v/>
      </c>
      <c r="E24" s="73">
        <f>IF(A24="","",WEEKDAY(A24,2))</f>
        <v/>
      </c>
      <c r="F24" s="73">
        <f>IF(A24="","",COUNTIF(ERFASSUNG!$A$6:$A$3005,A24))</f>
        <v/>
      </c>
      <c r="G24" s="73">
        <f>IF(A24="","",IF(F24&gt;0,1,0))</f>
        <v/>
      </c>
      <c r="H24" s="73">
        <f>IF(A24="","",SUMIFS(ERFASSUNG!$E$6:$E$3005,ERFASSUNG!$A$6:$A$3005,A24))</f>
        <v/>
      </c>
      <c r="I24" s="73">
        <f>IF(A24="","",SUMIFS(ERFASSUNG!$F$6:$F$3005,ERFASSUNG!$A$6:$A$3005,A24))</f>
        <v/>
      </c>
      <c r="J24" s="73">
        <f>IF(A24="","",SUMIFS(ERFASSUNG!$G$6:$G$3005,ERFASSUNG!$A$6:$A$3005,A24))</f>
        <v/>
      </c>
      <c r="K24" s="73">
        <f>IF(A24="","",SUMIFS(ERFASSUNG!$H$6:$H$3005,ERFASSUNG!$A$6:$A$3005,A24))</f>
        <v/>
      </c>
      <c r="L24" s="73">
        <f>IF(A24="","",SUMIFS(ERFASSUNG!$I$6:$I$3005,ERFASSUNG!$A$6:$A$3005,A24))</f>
        <v/>
      </c>
      <c r="M24" s="73">
        <f>IF(A24="","",SUMIFS(ERFASSUNG!$J$6:$J$3005,ERFASSUNG!$A$6:$A$3005,A24))</f>
        <v/>
      </c>
      <c r="N24" s="73">
        <f>IF(A24="","",SUMIFS(ERFASSUNG!$K$6:$K$3005,ERFASSUNG!$A$6:$A$3005,A24))</f>
        <v/>
      </c>
      <c r="O24" s="73">
        <f>IF(A24="","",SUMIFS(ERFASSUNG!$L$6:$L$3005,ERFASSUNG!$A$6:$A$3005,A24))</f>
        <v/>
      </c>
      <c r="P24" s="73">
        <f>IF(A24="","",SUMIFS(ERFASSUNG!$M$6:$M$3005,ERFASSUNG!$A$6:$A$3005,A24))</f>
        <v/>
      </c>
      <c r="Q24" s="73">
        <f>IF(A24="","",SUMIFS(ERFASSUNG!$N$6:$N$3005,ERFASSUNG!$A$6:$A$3005,A24))</f>
        <v/>
      </c>
    </row>
    <row r="25">
      <c r="A25" s="72">
        <f>IF(YEAR(DATE(LISTEN!$F$2,1,1)+20)=LISTEN!$F$2,DATE(LISTEN!$F$2,1,1)+20,"")</f>
        <v/>
      </c>
      <c r="B25" s="73">
        <f>IF(A25="","",CHOOSE(WEEKDAY(A25,2),"Mo","Di","Mi","Do","Fr","Sa","So"))</f>
        <v/>
      </c>
      <c r="C25" s="73">
        <f>IF(A25="","",INT((A25-DATE(YEAR(A25-WEEKDAY(A25-1)+4),1,3)+WEEKDAY(DATE(YEAR(A25-WEEKDAY(A25-1)+4),1,3))+5)/7))</f>
        <v/>
      </c>
      <c r="D25" s="73">
        <f>IF(A25="","",MONTH(A25))</f>
        <v/>
      </c>
      <c r="E25" s="73">
        <f>IF(A25="","",WEEKDAY(A25,2))</f>
        <v/>
      </c>
      <c r="F25" s="73">
        <f>IF(A25="","",COUNTIF(ERFASSUNG!$A$6:$A$3005,A25))</f>
        <v/>
      </c>
      <c r="G25" s="73">
        <f>IF(A25="","",IF(F25&gt;0,1,0))</f>
        <v/>
      </c>
      <c r="H25" s="73">
        <f>IF(A25="","",SUMIFS(ERFASSUNG!$E$6:$E$3005,ERFASSUNG!$A$6:$A$3005,A25))</f>
        <v/>
      </c>
      <c r="I25" s="73">
        <f>IF(A25="","",SUMIFS(ERFASSUNG!$F$6:$F$3005,ERFASSUNG!$A$6:$A$3005,A25))</f>
        <v/>
      </c>
      <c r="J25" s="73">
        <f>IF(A25="","",SUMIFS(ERFASSUNG!$G$6:$G$3005,ERFASSUNG!$A$6:$A$3005,A25))</f>
        <v/>
      </c>
      <c r="K25" s="73">
        <f>IF(A25="","",SUMIFS(ERFASSUNG!$H$6:$H$3005,ERFASSUNG!$A$6:$A$3005,A25))</f>
        <v/>
      </c>
      <c r="L25" s="73">
        <f>IF(A25="","",SUMIFS(ERFASSUNG!$I$6:$I$3005,ERFASSUNG!$A$6:$A$3005,A25))</f>
        <v/>
      </c>
      <c r="M25" s="73">
        <f>IF(A25="","",SUMIFS(ERFASSUNG!$J$6:$J$3005,ERFASSUNG!$A$6:$A$3005,A25))</f>
        <v/>
      </c>
      <c r="N25" s="73">
        <f>IF(A25="","",SUMIFS(ERFASSUNG!$K$6:$K$3005,ERFASSUNG!$A$6:$A$3005,A25))</f>
        <v/>
      </c>
      <c r="O25" s="73">
        <f>IF(A25="","",SUMIFS(ERFASSUNG!$L$6:$L$3005,ERFASSUNG!$A$6:$A$3005,A25))</f>
        <v/>
      </c>
      <c r="P25" s="73">
        <f>IF(A25="","",SUMIFS(ERFASSUNG!$M$6:$M$3005,ERFASSUNG!$A$6:$A$3005,A25))</f>
        <v/>
      </c>
      <c r="Q25" s="73">
        <f>IF(A25="","",SUMIFS(ERFASSUNG!$N$6:$N$3005,ERFASSUNG!$A$6:$A$3005,A25))</f>
        <v/>
      </c>
    </row>
    <row r="26">
      <c r="A26" s="72">
        <f>IF(YEAR(DATE(LISTEN!$F$2,1,1)+21)=LISTEN!$F$2,DATE(LISTEN!$F$2,1,1)+21,"")</f>
        <v/>
      </c>
      <c r="B26" s="73">
        <f>IF(A26="","",CHOOSE(WEEKDAY(A26,2),"Mo","Di","Mi","Do","Fr","Sa","So"))</f>
        <v/>
      </c>
      <c r="C26" s="73">
        <f>IF(A26="","",INT((A26-DATE(YEAR(A26-WEEKDAY(A26-1)+4),1,3)+WEEKDAY(DATE(YEAR(A26-WEEKDAY(A26-1)+4),1,3))+5)/7))</f>
        <v/>
      </c>
      <c r="D26" s="73">
        <f>IF(A26="","",MONTH(A26))</f>
        <v/>
      </c>
      <c r="E26" s="73">
        <f>IF(A26="","",WEEKDAY(A26,2))</f>
        <v/>
      </c>
      <c r="F26" s="73">
        <f>IF(A26="","",COUNTIF(ERFASSUNG!$A$6:$A$3005,A26))</f>
        <v/>
      </c>
      <c r="G26" s="73">
        <f>IF(A26="","",IF(F26&gt;0,1,0))</f>
        <v/>
      </c>
      <c r="H26" s="73">
        <f>IF(A26="","",SUMIFS(ERFASSUNG!$E$6:$E$3005,ERFASSUNG!$A$6:$A$3005,A26))</f>
        <v/>
      </c>
      <c r="I26" s="73">
        <f>IF(A26="","",SUMIFS(ERFASSUNG!$F$6:$F$3005,ERFASSUNG!$A$6:$A$3005,A26))</f>
        <v/>
      </c>
      <c r="J26" s="73">
        <f>IF(A26="","",SUMIFS(ERFASSUNG!$G$6:$G$3005,ERFASSUNG!$A$6:$A$3005,A26))</f>
        <v/>
      </c>
      <c r="K26" s="73">
        <f>IF(A26="","",SUMIFS(ERFASSUNG!$H$6:$H$3005,ERFASSUNG!$A$6:$A$3005,A26))</f>
        <v/>
      </c>
      <c r="L26" s="73">
        <f>IF(A26="","",SUMIFS(ERFASSUNG!$I$6:$I$3005,ERFASSUNG!$A$6:$A$3005,A26))</f>
        <v/>
      </c>
      <c r="M26" s="73">
        <f>IF(A26="","",SUMIFS(ERFASSUNG!$J$6:$J$3005,ERFASSUNG!$A$6:$A$3005,A26))</f>
        <v/>
      </c>
      <c r="N26" s="73">
        <f>IF(A26="","",SUMIFS(ERFASSUNG!$K$6:$K$3005,ERFASSUNG!$A$6:$A$3005,A26))</f>
        <v/>
      </c>
      <c r="O26" s="73">
        <f>IF(A26="","",SUMIFS(ERFASSUNG!$L$6:$L$3005,ERFASSUNG!$A$6:$A$3005,A26))</f>
        <v/>
      </c>
      <c r="P26" s="73">
        <f>IF(A26="","",SUMIFS(ERFASSUNG!$M$6:$M$3005,ERFASSUNG!$A$6:$A$3005,A26))</f>
        <v/>
      </c>
      <c r="Q26" s="73">
        <f>IF(A26="","",SUMIFS(ERFASSUNG!$N$6:$N$3005,ERFASSUNG!$A$6:$A$3005,A26))</f>
        <v/>
      </c>
    </row>
    <row r="27">
      <c r="A27" s="72">
        <f>IF(YEAR(DATE(LISTEN!$F$2,1,1)+22)=LISTEN!$F$2,DATE(LISTEN!$F$2,1,1)+22,"")</f>
        <v/>
      </c>
      <c r="B27" s="73">
        <f>IF(A27="","",CHOOSE(WEEKDAY(A27,2),"Mo","Di","Mi","Do","Fr","Sa","So"))</f>
        <v/>
      </c>
      <c r="C27" s="73">
        <f>IF(A27="","",INT((A27-DATE(YEAR(A27-WEEKDAY(A27-1)+4),1,3)+WEEKDAY(DATE(YEAR(A27-WEEKDAY(A27-1)+4),1,3))+5)/7))</f>
        <v/>
      </c>
      <c r="D27" s="73">
        <f>IF(A27="","",MONTH(A27))</f>
        <v/>
      </c>
      <c r="E27" s="73">
        <f>IF(A27="","",WEEKDAY(A27,2))</f>
        <v/>
      </c>
      <c r="F27" s="73">
        <f>IF(A27="","",COUNTIF(ERFASSUNG!$A$6:$A$3005,A27))</f>
        <v/>
      </c>
      <c r="G27" s="73">
        <f>IF(A27="","",IF(F27&gt;0,1,0))</f>
        <v/>
      </c>
      <c r="H27" s="73">
        <f>IF(A27="","",SUMIFS(ERFASSUNG!$E$6:$E$3005,ERFASSUNG!$A$6:$A$3005,A27))</f>
        <v/>
      </c>
      <c r="I27" s="73">
        <f>IF(A27="","",SUMIFS(ERFASSUNG!$F$6:$F$3005,ERFASSUNG!$A$6:$A$3005,A27))</f>
        <v/>
      </c>
      <c r="J27" s="73">
        <f>IF(A27="","",SUMIFS(ERFASSUNG!$G$6:$G$3005,ERFASSUNG!$A$6:$A$3005,A27))</f>
        <v/>
      </c>
      <c r="K27" s="73">
        <f>IF(A27="","",SUMIFS(ERFASSUNG!$H$6:$H$3005,ERFASSUNG!$A$6:$A$3005,A27))</f>
        <v/>
      </c>
      <c r="L27" s="73">
        <f>IF(A27="","",SUMIFS(ERFASSUNG!$I$6:$I$3005,ERFASSUNG!$A$6:$A$3005,A27))</f>
        <v/>
      </c>
      <c r="M27" s="73">
        <f>IF(A27="","",SUMIFS(ERFASSUNG!$J$6:$J$3005,ERFASSUNG!$A$6:$A$3005,A27))</f>
        <v/>
      </c>
      <c r="N27" s="73">
        <f>IF(A27="","",SUMIFS(ERFASSUNG!$K$6:$K$3005,ERFASSUNG!$A$6:$A$3005,A27))</f>
        <v/>
      </c>
      <c r="O27" s="73">
        <f>IF(A27="","",SUMIFS(ERFASSUNG!$L$6:$L$3005,ERFASSUNG!$A$6:$A$3005,A27))</f>
        <v/>
      </c>
      <c r="P27" s="73">
        <f>IF(A27="","",SUMIFS(ERFASSUNG!$M$6:$M$3005,ERFASSUNG!$A$6:$A$3005,A27))</f>
        <v/>
      </c>
      <c r="Q27" s="73">
        <f>IF(A27="","",SUMIFS(ERFASSUNG!$N$6:$N$3005,ERFASSUNG!$A$6:$A$3005,A27))</f>
        <v/>
      </c>
    </row>
    <row r="28">
      <c r="A28" s="72">
        <f>IF(YEAR(DATE(LISTEN!$F$2,1,1)+23)=LISTEN!$F$2,DATE(LISTEN!$F$2,1,1)+23,"")</f>
        <v/>
      </c>
      <c r="B28" s="73">
        <f>IF(A28="","",CHOOSE(WEEKDAY(A28,2),"Mo","Di","Mi","Do","Fr","Sa","So"))</f>
        <v/>
      </c>
      <c r="C28" s="73">
        <f>IF(A28="","",INT((A28-DATE(YEAR(A28-WEEKDAY(A28-1)+4),1,3)+WEEKDAY(DATE(YEAR(A28-WEEKDAY(A28-1)+4),1,3))+5)/7))</f>
        <v/>
      </c>
      <c r="D28" s="73">
        <f>IF(A28="","",MONTH(A28))</f>
        <v/>
      </c>
      <c r="E28" s="73">
        <f>IF(A28="","",WEEKDAY(A28,2))</f>
        <v/>
      </c>
      <c r="F28" s="73">
        <f>IF(A28="","",COUNTIF(ERFASSUNG!$A$6:$A$3005,A28))</f>
        <v/>
      </c>
      <c r="G28" s="73">
        <f>IF(A28="","",IF(F28&gt;0,1,0))</f>
        <v/>
      </c>
      <c r="H28" s="73">
        <f>IF(A28="","",SUMIFS(ERFASSUNG!$E$6:$E$3005,ERFASSUNG!$A$6:$A$3005,A28))</f>
        <v/>
      </c>
      <c r="I28" s="73">
        <f>IF(A28="","",SUMIFS(ERFASSUNG!$F$6:$F$3005,ERFASSUNG!$A$6:$A$3005,A28))</f>
        <v/>
      </c>
      <c r="J28" s="73">
        <f>IF(A28="","",SUMIFS(ERFASSUNG!$G$6:$G$3005,ERFASSUNG!$A$6:$A$3005,A28))</f>
        <v/>
      </c>
      <c r="K28" s="73">
        <f>IF(A28="","",SUMIFS(ERFASSUNG!$H$6:$H$3005,ERFASSUNG!$A$6:$A$3005,A28))</f>
        <v/>
      </c>
      <c r="L28" s="73">
        <f>IF(A28="","",SUMIFS(ERFASSUNG!$I$6:$I$3005,ERFASSUNG!$A$6:$A$3005,A28))</f>
        <v/>
      </c>
      <c r="M28" s="73">
        <f>IF(A28="","",SUMIFS(ERFASSUNG!$J$6:$J$3005,ERFASSUNG!$A$6:$A$3005,A28))</f>
        <v/>
      </c>
      <c r="N28" s="73">
        <f>IF(A28="","",SUMIFS(ERFASSUNG!$K$6:$K$3005,ERFASSUNG!$A$6:$A$3005,A28))</f>
        <v/>
      </c>
      <c r="O28" s="73">
        <f>IF(A28="","",SUMIFS(ERFASSUNG!$L$6:$L$3005,ERFASSUNG!$A$6:$A$3005,A28))</f>
        <v/>
      </c>
      <c r="P28" s="73">
        <f>IF(A28="","",SUMIFS(ERFASSUNG!$M$6:$M$3005,ERFASSUNG!$A$6:$A$3005,A28))</f>
        <v/>
      </c>
      <c r="Q28" s="73">
        <f>IF(A28="","",SUMIFS(ERFASSUNG!$N$6:$N$3005,ERFASSUNG!$A$6:$A$3005,A28))</f>
        <v/>
      </c>
    </row>
    <row r="29">
      <c r="A29" s="72">
        <f>IF(YEAR(DATE(LISTEN!$F$2,1,1)+24)=LISTEN!$F$2,DATE(LISTEN!$F$2,1,1)+24,"")</f>
        <v/>
      </c>
      <c r="B29" s="73">
        <f>IF(A29="","",CHOOSE(WEEKDAY(A29,2),"Mo","Di","Mi","Do","Fr","Sa","So"))</f>
        <v/>
      </c>
      <c r="C29" s="73">
        <f>IF(A29="","",INT((A29-DATE(YEAR(A29-WEEKDAY(A29-1)+4),1,3)+WEEKDAY(DATE(YEAR(A29-WEEKDAY(A29-1)+4),1,3))+5)/7))</f>
        <v/>
      </c>
      <c r="D29" s="73">
        <f>IF(A29="","",MONTH(A29))</f>
        <v/>
      </c>
      <c r="E29" s="73">
        <f>IF(A29="","",WEEKDAY(A29,2))</f>
        <v/>
      </c>
      <c r="F29" s="73">
        <f>IF(A29="","",COUNTIF(ERFASSUNG!$A$6:$A$3005,A29))</f>
        <v/>
      </c>
      <c r="G29" s="73">
        <f>IF(A29="","",IF(F29&gt;0,1,0))</f>
        <v/>
      </c>
      <c r="H29" s="73">
        <f>IF(A29="","",SUMIFS(ERFASSUNG!$E$6:$E$3005,ERFASSUNG!$A$6:$A$3005,A29))</f>
        <v/>
      </c>
      <c r="I29" s="73">
        <f>IF(A29="","",SUMIFS(ERFASSUNG!$F$6:$F$3005,ERFASSUNG!$A$6:$A$3005,A29))</f>
        <v/>
      </c>
      <c r="J29" s="73">
        <f>IF(A29="","",SUMIFS(ERFASSUNG!$G$6:$G$3005,ERFASSUNG!$A$6:$A$3005,A29))</f>
        <v/>
      </c>
      <c r="K29" s="73">
        <f>IF(A29="","",SUMIFS(ERFASSUNG!$H$6:$H$3005,ERFASSUNG!$A$6:$A$3005,A29))</f>
        <v/>
      </c>
      <c r="L29" s="73">
        <f>IF(A29="","",SUMIFS(ERFASSUNG!$I$6:$I$3005,ERFASSUNG!$A$6:$A$3005,A29))</f>
        <v/>
      </c>
      <c r="M29" s="73">
        <f>IF(A29="","",SUMIFS(ERFASSUNG!$J$6:$J$3005,ERFASSUNG!$A$6:$A$3005,A29))</f>
        <v/>
      </c>
      <c r="N29" s="73">
        <f>IF(A29="","",SUMIFS(ERFASSUNG!$K$6:$K$3005,ERFASSUNG!$A$6:$A$3005,A29))</f>
        <v/>
      </c>
      <c r="O29" s="73">
        <f>IF(A29="","",SUMIFS(ERFASSUNG!$L$6:$L$3005,ERFASSUNG!$A$6:$A$3005,A29))</f>
        <v/>
      </c>
      <c r="P29" s="73">
        <f>IF(A29="","",SUMIFS(ERFASSUNG!$M$6:$M$3005,ERFASSUNG!$A$6:$A$3005,A29))</f>
        <v/>
      </c>
      <c r="Q29" s="73">
        <f>IF(A29="","",SUMIFS(ERFASSUNG!$N$6:$N$3005,ERFASSUNG!$A$6:$A$3005,A29))</f>
        <v/>
      </c>
    </row>
    <row r="30">
      <c r="A30" s="72">
        <f>IF(YEAR(DATE(LISTEN!$F$2,1,1)+25)=LISTEN!$F$2,DATE(LISTEN!$F$2,1,1)+25,"")</f>
        <v/>
      </c>
      <c r="B30" s="73">
        <f>IF(A30="","",CHOOSE(WEEKDAY(A30,2),"Mo","Di","Mi","Do","Fr","Sa","So"))</f>
        <v/>
      </c>
      <c r="C30" s="73">
        <f>IF(A30="","",INT((A30-DATE(YEAR(A30-WEEKDAY(A30-1)+4),1,3)+WEEKDAY(DATE(YEAR(A30-WEEKDAY(A30-1)+4),1,3))+5)/7))</f>
        <v/>
      </c>
      <c r="D30" s="73">
        <f>IF(A30="","",MONTH(A30))</f>
        <v/>
      </c>
      <c r="E30" s="73">
        <f>IF(A30="","",WEEKDAY(A30,2))</f>
        <v/>
      </c>
      <c r="F30" s="73">
        <f>IF(A30="","",COUNTIF(ERFASSUNG!$A$6:$A$3005,A30))</f>
        <v/>
      </c>
      <c r="G30" s="73">
        <f>IF(A30="","",IF(F30&gt;0,1,0))</f>
        <v/>
      </c>
      <c r="H30" s="73">
        <f>IF(A30="","",SUMIFS(ERFASSUNG!$E$6:$E$3005,ERFASSUNG!$A$6:$A$3005,A30))</f>
        <v/>
      </c>
      <c r="I30" s="73">
        <f>IF(A30="","",SUMIFS(ERFASSUNG!$F$6:$F$3005,ERFASSUNG!$A$6:$A$3005,A30))</f>
        <v/>
      </c>
      <c r="J30" s="73">
        <f>IF(A30="","",SUMIFS(ERFASSUNG!$G$6:$G$3005,ERFASSUNG!$A$6:$A$3005,A30))</f>
        <v/>
      </c>
      <c r="K30" s="73">
        <f>IF(A30="","",SUMIFS(ERFASSUNG!$H$6:$H$3005,ERFASSUNG!$A$6:$A$3005,A30))</f>
        <v/>
      </c>
      <c r="L30" s="73">
        <f>IF(A30="","",SUMIFS(ERFASSUNG!$I$6:$I$3005,ERFASSUNG!$A$6:$A$3005,A30))</f>
        <v/>
      </c>
      <c r="M30" s="73">
        <f>IF(A30="","",SUMIFS(ERFASSUNG!$J$6:$J$3005,ERFASSUNG!$A$6:$A$3005,A30))</f>
        <v/>
      </c>
      <c r="N30" s="73">
        <f>IF(A30="","",SUMIFS(ERFASSUNG!$K$6:$K$3005,ERFASSUNG!$A$6:$A$3005,A30))</f>
        <v/>
      </c>
      <c r="O30" s="73">
        <f>IF(A30="","",SUMIFS(ERFASSUNG!$L$6:$L$3005,ERFASSUNG!$A$6:$A$3005,A30))</f>
        <v/>
      </c>
      <c r="P30" s="73">
        <f>IF(A30="","",SUMIFS(ERFASSUNG!$M$6:$M$3005,ERFASSUNG!$A$6:$A$3005,A30))</f>
        <v/>
      </c>
      <c r="Q30" s="73">
        <f>IF(A30="","",SUMIFS(ERFASSUNG!$N$6:$N$3005,ERFASSUNG!$A$6:$A$3005,A30))</f>
        <v/>
      </c>
    </row>
    <row r="31">
      <c r="A31" s="72">
        <f>IF(YEAR(DATE(LISTEN!$F$2,1,1)+26)=LISTEN!$F$2,DATE(LISTEN!$F$2,1,1)+26,"")</f>
        <v/>
      </c>
      <c r="B31" s="73">
        <f>IF(A31="","",CHOOSE(WEEKDAY(A31,2),"Mo","Di","Mi","Do","Fr","Sa","So"))</f>
        <v/>
      </c>
      <c r="C31" s="73">
        <f>IF(A31="","",INT((A31-DATE(YEAR(A31-WEEKDAY(A31-1)+4),1,3)+WEEKDAY(DATE(YEAR(A31-WEEKDAY(A31-1)+4),1,3))+5)/7))</f>
        <v/>
      </c>
      <c r="D31" s="73">
        <f>IF(A31="","",MONTH(A31))</f>
        <v/>
      </c>
      <c r="E31" s="73">
        <f>IF(A31="","",WEEKDAY(A31,2))</f>
        <v/>
      </c>
      <c r="F31" s="73">
        <f>IF(A31="","",COUNTIF(ERFASSUNG!$A$6:$A$3005,A31))</f>
        <v/>
      </c>
      <c r="G31" s="73">
        <f>IF(A31="","",IF(F31&gt;0,1,0))</f>
        <v/>
      </c>
      <c r="H31" s="73">
        <f>IF(A31="","",SUMIFS(ERFASSUNG!$E$6:$E$3005,ERFASSUNG!$A$6:$A$3005,A31))</f>
        <v/>
      </c>
      <c r="I31" s="73">
        <f>IF(A31="","",SUMIFS(ERFASSUNG!$F$6:$F$3005,ERFASSUNG!$A$6:$A$3005,A31))</f>
        <v/>
      </c>
      <c r="J31" s="73">
        <f>IF(A31="","",SUMIFS(ERFASSUNG!$G$6:$G$3005,ERFASSUNG!$A$6:$A$3005,A31))</f>
        <v/>
      </c>
      <c r="K31" s="73">
        <f>IF(A31="","",SUMIFS(ERFASSUNG!$H$6:$H$3005,ERFASSUNG!$A$6:$A$3005,A31))</f>
        <v/>
      </c>
      <c r="L31" s="73">
        <f>IF(A31="","",SUMIFS(ERFASSUNG!$I$6:$I$3005,ERFASSUNG!$A$6:$A$3005,A31))</f>
        <v/>
      </c>
      <c r="M31" s="73">
        <f>IF(A31="","",SUMIFS(ERFASSUNG!$J$6:$J$3005,ERFASSUNG!$A$6:$A$3005,A31))</f>
        <v/>
      </c>
      <c r="N31" s="73">
        <f>IF(A31="","",SUMIFS(ERFASSUNG!$K$6:$K$3005,ERFASSUNG!$A$6:$A$3005,A31))</f>
        <v/>
      </c>
      <c r="O31" s="73">
        <f>IF(A31="","",SUMIFS(ERFASSUNG!$L$6:$L$3005,ERFASSUNG!$A$6:$A$3005,A31))</f>
        <v/>
      </c>
      <c r="P31" s="73">
        <f>IF(A31="","",SUMIFS(ERFASSUNG!$M$6:$M$3005,ERFASSUNG!$A$6:$A$3005,A31))</f>
        <v/>
      </c>
      <c r="Q31" s="73">
        <f>IF(A31="","",SUMIFS(ERFASSUNG!$N$6:$N$3005,ERFASSUNG!$A$6:$A$3005,A31))</f>
        <v/>
      </c>
    </row>
    <row r="32">
      <c r="A32" s="72">
        <f>IF(YEAR(DATE(LISTEN!$F$2,1,1)+27)=LISTEN!$F$2,DATE(LISTEN!$F$2,1,1)+27,"")</f>
        <v/>
      </c>
      <c r="B32" s="73">
        <f>IF(A32="","",CHOOSE(WEEKDAY(A32,2),"Mo","Di","Mi","Do","Fr","Sa","So"))</f>
        <v/>
      </c>
      <c r="C32" s="73">
        <f>IF(A32="","",INT((A32-DATE(YEAR(A32-WEEKDAY(A32-1)+4),1,3)+WEEKDAY(DATE(YEAR(A32-WEEKDAY(A32-1)+4),1,3))+5)/7))</f>
        <v/>
      </c>
      <c r="D32" s="73">
        <f>IF(A32="","",MONTH(A32))</f>
        <v/>
      </c>
      <c r="E32" s="73">
        <f>IF(A32="","",WEEKDAY(A32,2))</f>
        <v/>
      </c>
      <c r="F32" s="73">
        <f>IF(A32="","",COUNTIF(ERFASSUNG!$A$6:$A$3005,A32))</f>
        <v/>
      </c>
      <c r="G32" s="73">
        <f>IF(A32="","",IF(F32&gt;0,1,0))</f>
        <v/>
      </c>
      <c r="H32" s="73">
        <f>IF(A32="","",SUMIFS(ERFASSUNG!$E$6:$E$3005,ERFASSUNG!$A$6:$A$3005,A32))</f>
        <v/>
      </c>
      <c r="I32" s="73">
        <f>IF(A32="","",SUMIFS(ERFASSUNG!$F$6:$F$3005,ERFASSUNG!$A$6:$A$3005,A32))</f>
        <v/>
      </c>
      <c r="J32" s="73">
        <f>IF(A32="","",SUMIFS(ERFASSUNG!$G$6:$G$3005,ERFASSUNG!$A$6:$A$3005,A32))</f>
        <v/>
      </c>
      <c r="K32" s="73">
        <f>IF(A32="","",SUMIFS(ERFASSUNG!$H$6:$H$3005,ERFASSUNG!$A$6:$A$3005,A32))</f>
        <v/>
      </c>
      <c r="L32" s="73">
        <f>IF(A32="","",SUMIFS(ERFASSUNG!$I$6:$I$3005,ERFASSUNG!$A$6:$A$3005,A32))</f>
        <v/>
      </c>
      <c r="M32" s="73">
        <f>IF(A32="","",SUMIFS(ERFASSUNG!$J$6:$J$3005,ERFASSUNG!$A$6:$A$3005,A32))</f>
        <v/>
      </c>
      <c r="N32" s="73">
        <f>IF(A32="","",SUMIFS(ERFASSUNG!$K$6:$K$3005,ERFASSUNG!$A$6:$A$3005,A32))</f>
        <v/>
      </c>
      <c r="O32" s="73">
        <f>IF(A32="","",SUMIFS(ERFASSUNG!$L$6:$L$3005,ERFASSUNG!$A$6:$A$3005,A32))</f>
        <v/>
      </c>
      <c r="P32" s="73">
        <f>IF(A32="","",SUMIFS(ERFASSUNG!$M$6:$M$3005,ERFASSUNG!$A$6:$A$3005,A32))</f>
        <v/>
      </c>
      <c r="Q32" s="73">
        <f>IF(A32="","",SUMIFS(ERFASSUNG!$N$6:$N$3005,ERFASSUNG!$A$6:$A$3005,A32))</f>
        <v/>
      </c>
    </row>
    <row r="33">
      <c r="A33" s="72">
        <f>IF(YEAR(DATE(LISTEN!$F$2,1,1)+28)=LISTEN!$F$2,DATE(LISTEN!$F$2,1,1)+28,"")</f>
        <v/>
      </c>
      <c r="B33" s="73">
        <f>IF(A33="","",CHOOSE(WEEKDAY(A33,2),"Mo","Di","Mi","Do","Fr","Sa","So"))</f>
        <v/>
      </c>
      <c r="C33" s="73">
        <f>IF(A33="","",INT((A33-DATE(YEAR(A33-WEEKDAY(A33-1)+4),1,3)+WEEKDAY(DATE(YEAR(A33-WEEKDAY(A33-1)+4),1,3))+5)/7))</f>
        <v/>
      </c>
      <c r="D33" s="73">
        <f>IF(A33="","",MONTH(A33))</f>
        <v/>
      </c>
      <c r="E33" s="73">
        <f>IF(A33="","",WEEKDAY(A33,2))</f>
        <v/>
      </c>
      <c r="F33" s="73">
        <f>IF(A33="","",COUNTIF(ERFASSUNG!$A$6:$A$3005,A33))</f>
        <v/>
      </c>
      <c r="G33" s="73">
        <f>IF(A33="","",IF(F33&gt;0,1,0))</f>
        <v/>
      </c>
      <c r="H33" s="73">
        <f>IF(A33="","",SUMIFS(ERFASSUNG!$E$6:$E$3005,ERFASSUNG!$A$6:$A$3005,A33))</f>
        <v/>
      </c>
      <c r="I33" s="73">
        <f>IF(A33="","",SUMIFS(ERFASSUNG!$F$6:$F$3005,ERFASSUNG!$A$6:$A$3005,A33))</f>
        <v/>
      </c>
      <c r="J33" s="73">
        <f>IF(A33="","",SUMIFS(ERFASSUNG!$G$6:$G$3005,ERFASSUNG!$A$6:$A$3005,A33))</f>
        <v/>
      </c>
      <c r="K33" s="73">
        <f>IF(A33="","",SUMIFS(ERFASSUNG!$H$6:$H$3005,ERFASSUNG!$A$6:$A$3005,A33))</f>
        <v/>
      </c>
      <c r="L33" s="73">
        <f>IF(A33="","",SUMIFS(ERFASSUNG!$I$6:$I$3005,ERFASSUNG!$A$6:$A$3005,A33))</f>
        <v/>
      </c>
      <c r="M33" s="73">
        <f>IF(A33="","",SUMIFS(ERFASSUNG!$J$6:$J$3005,ERFASSUNG!$A$6:$A$3005,A33))</f>
        <v/>
      </c>
      <c r="N33" s="73">
        <f>IF(A33="","",SUMIFS(ERFASSUNG!$K$6:$K$3005,ERFASSUNG!$A$6:$A$3005,A33))</f>
        <v/>
      </c>
      <c r="O33" s="73">
        <f>IF(A33="","",SUMIFS(ERFASSUNG!$L$6:$L$3005,ERFASSUNG!$A$6:$A$3005,A33))</f>
        <v/>
      </c>
      <c r="P33" s="73">
        <f>IF(A33="","",SUMIFS(ERFASSUNG!$M$6:$M$3005,ERFASSUNG!$A$6:$A$3005,A33))</f>
        <v/>
      </c>
      <c r="Q33" s="73">
        <f>IF(A33="","",SUMIFS(ERFASSUNG!$N$6:$N$3005,ERFASSUNG!$A$6:$A$3005,A33))</f>
        <v/>
      </c>
    </row>
    <row r="34">
      <c r="A34" s="72">
        <f>IF(YEAR(DATE(LISTEN!$F$2,1,1)+29)=LISTEN!$F$2,DATE(LISTEN!$F$2,1,1)+29,"")</f>
        <v/>
      </c>
      <c r="B34" s="73">
        <f>IF(A34="","",CHOOSE(WEEKDAY(A34,2),"Mo","Di","Mi","Do","Fr","Sa","So"))</f>
        <v/>
      </c>
      <c r="C34" s="73">
        <f>IF(A34="","",INT((A34-DATE(YEAR(A34-WEEKDAY(A34-1)+4),1,3)+WEEKDAY(DATE(YEAR(A34-WEEKDAY(A34-1)+4),1,3))+5)/7))</f>
        <v/>
      </c>
      <c r="D34" s="73">
        <f>IF(A34="","",MONTH(A34))</f>
        <v/>
      </c>
      <c r="E34" s="73">
        <f>IF(A34="","",WEEKDAY(A34,2))</f>
        <v/>
      </c>
      <c r="F34" s="73">
        <f>IF(A34="","",COUNTIF(ERFASSUNG!$A$6:$A$3005,A34))</f>
        <v/>
      </c>
      <c r="G34" s="73">
        <f>IF(A34="","",IF(F34&gt;0,1,0))</f>
        <v/>
      </c>
      <c r="H34" s="73">
        <f>IF(A34="","",SUMIFS(ERFASSUNG!$E$6:$E$3005,ERFASSUNG!$A$6:$A$3005,A34))</f>
        <v/>
      </c>
      <c r="I34" s="73">
        <f>IF(A34="","",SUMIFS(ERFASSUNG!$F$6:$F$3005,ERFASSUNG!$A$6:$A$3005,A34))</f>
        <v/>
      </c>
      <c r="J34" s="73">
        <f>IF(A34="","",SUMIFS(ERFASSUNG!$G$6:$G$3005,ERFASSUNG!$A$6:$A$3005,A34))</f>
        <v/>
      </c>
      <c r="K34" s="73">
        <f>IF(A34="","",SUMIFS(ERFASSUNG!$H$6:$H$3005,ERFASSUNG!$A$6:$A$3005,A34))</f>
        <v/>
      </c>
      <c r="L34" s="73">
        <f>IF(A34="","",SUMIFS(ERFASSUNG!$I$6:$I$3005,ERFASSUNG!$A$6:$A$3005,A34))</f>
        <v/>
      </c>
      <c r="M34" s="73">
        <f>IF(A34="","",SUMIFS(ERFASSUNG!$J$6:$J$3005,ERFASSUNG!$A$6:$A$3005,A34))</f>
        <v/>
      </c>
      <c r="N34" s="73">
        <f>IF(A34="","",SUMIFS(ERFASSUNG!$K$6:$K$3005,ERFASSUNG!$A$6:$A$3005,A34))</f>
        <v/>
      </c>
      <c r="O34" s="73">
        <f>IF(A34="","",SUMIFS(ERFASSUNG!$L$6:$L$3005,ERFASSUNG!$A$6:$A$3005,A34))</f>
        <v/>
      </c>
      <c r="P34" s="73">
        <f>IF(A34="","",SUMIFS(ERFASSUNG!$M$6:$M$3005,ERFASSUNG!$A$6:$A$3005,A34))</f>
        <v/>
      </c>
      <c r="Q34" s="73">
        <f>IF(A34="","",SUMIFS(ERFASSUNG!$N$6:$N$3005,ERFASSUNG!$A$6:$A$3005,A34))</f>
        <v/>
      </c>
    </row>
    <row r="35">
      <c r="A35" s="72">
        <f>IF(YEAR(DATE(LISTEN!$F$2,1,1)+30)=LISTEN!$F$2,DATE(LISTEN!$F$2,1,1)+30,"")</f>
        <v/>
      </c>
      <c r="B35" s="73">
        <f>IF(A35="","",CHOOSE(WEEKDAY(A35,2),"Mo","Di","Mi","Do","Fr","Sa","So"))</f>
        <v/>
      </c>
      <c r="C35" s="73">
        <f>IF(A35="","",INT((A35-DATE(YEAR(A35-WEEKDAY(A35-1)+4),1,3)+WEEKDAY(DATE(YEAR(A35-WEEKDAY(A35-1)+4),1,3))+5)/7))</f>
        <v/>
      </c>
      <c r="D35" s="73">
        <f>IF(A35="","",MONTH(A35))</f>
        <v/>
      </c>
      <c r="E35" s="73">
        <f>IF(A35="","",WEEKDAY(A35,2))</f>
        <v/>
      </c>
      <c r="F35" s="73">
        <f>IF(A35="","",COUNTIF(ERFASSUNG!$A$6:$A$3005,A35))</f>
        <v/>
      </c>
      <c r="G35" s="73">
        <f>IF(A35="","",IF(F35&gt;0,1,0))</f>
        <v/>
      </c>
      <c r="H35" s="73">
        <f>IF(A35="","",SUMIFS(ERFASSUNG!$E$6:$E$3005,ERFASSUNG!$A$6:$A$3005,A35))</f>
        <v/>
      </c>
      <c r="I35" s="73">
        <f>IF(A35="","",SUMIFS(ERFASSUNG!$F$6:$F$3005,ERFASSUNG!$A$6:$A$3005,A35))</f>
        <v/>
      </c>
      <c r="J35" s="73">
        <f>IF(A35="","",SUMIFS(ERFASSUNG!$G$6:$G$3005,ERFASSUNG!$A$6:$A$3005,A35))</f>
        <v/>
      </c>
      <c r="K35" s="73">
        <f>IF(A35="","",SUMIFS(ERFASSUNG!$H$6:$H$3005,ERFASSUNG!$A$6:$A$3005,A35))</f>
        <v/>
      </c>
      <c r="L35" s="73">
        <f>IF(A35="","",SUMIFS(ERFASSUNG!$I$6:$I$3005,ERFASSUNG!$A$6:$A$3005,A35))</f>
        <v/>
      </c>
      <c r="M35" s="73">
        <f>IF(A35="","",SUMIFS(ERFASSUNG!$J$6:$J$3005,ERFASSUNG!$A$6:$A$3005,A35))</f>
        <v/>
      </c>
      <c r="N35" s="73">
        <f>IF(A35="","",SUMIFS(ERFASSUNG!$K$6:$K$3005,ERFASSUNG!$A$6:$A$3005,A35))</f>
        <v/>
      </c>
      <c r="O35" s="73">
        <f>IF(A35="","",SUMIFS(ERFASSUNG!$L$6:$L$3005,ERFASSUNG!$A$6:$A$3005,A35))</f>
        <v/>
      </c>
      <c r="P35" s="73">
        <f>IF(A35="","",SUMIFS(ERFASSUNG!$M$6:$M$3005,ERFASSUNG!$A$6:$A$3005,A35))</f>
        <v/>
      </c>
      <c r="Q35" s="73">
        <f>IF(A35="","",SUMIFS(ERFASSUNG!$N$6:$N$3005,ERFASSUNG!$A$6:$A$3005,A35))</f>
        <v/>
      </c>
    </row>
    <row r="36">
      <c r="A36" s="72">
        <f>IF(YEAR(DATE(LISTEN!$F$2,1,1)+31)=LISTEN!$F$2,DATE(LISTEN!$F$2,1,1)+31,"")</f>
        <v/>
      </c>
      <c r="B36" s="73">
        <f>IF(A36="","",CHOOSE(WEEKDAY(A36,2),"Mo","Di","Mi","Do","Fr","Sa","So"))</f>
        <v/>
      </c>
      <c r="C36" s="73">
        <f>IF(A36="","",INT((A36-DATE(YEAR(A36-WEEKDAY(A36-1)+4),1,3)+WEEKDAY(DATE(YEAR(A36-WEEKDAY(A36-1)+4),1,3))+5)/7))</f>
        <v/>
      </c>
      <c r="D36" s="73">
        <f>IF(A36="","",MONTH(A36))</f>
        <v/>
      </c>
      <c r="E36" s="73">
        <f>IF(A36="","",WEEKDAY(A36,2))</f>
        <v/>
      </c>
      <c r="F36" s="73">
        <f>IF(A36="","",COUNTIF(ERFASSUNG!$A$6:$A$3005,A36))</f>
        <v/>
      </c>
      <c r="G36" s="73">
        <f>IF(A36="","",IF(F36&gt;0,1,0))</f>
        <v/>
      </c>
      <c r="H36" s="73">
        <f>IF(A36="","",SUMIFS(ERFASSUNG!$E$6:$E$3005,ERFASSUNG!$A$6:$A$3005,A36))</f>
        <v/>
      </c>
      <c r="I36" s="73">
        <f>IF(A36="","",SUMIFS(ERFASSUNG!$F$6:$F$3005,ERFASSUNG!$A$6:$A$3005,A36))</f>
        <v/>
      </c>
      <c r="J36" s="73">
        <f>IF(A36="","",SUMIFS(ERFASSUNG!$G$6:$G$3005,ERFASSUNG!$A$6:$A$3005,A36))</f>
        <v/>
      </c>
      <c r="K36" s="73">
        <f>IF(A36="","",SUMIFS(ERFASSUNG!$H$6:$H$3005,ERFASSUNG!$A$6:$A$3005,A36))</f>
        <v/>
      </c>
      <c r="L36" s="73">
        <f>IF(A36="","",SUMIFS(ERFASSUNG!$I$6:$I$3005,ERFASSUNG!$A$6:$A$3005,A36))</f>
        <v/>
      </c>
      <c r="M36" s="73">
        <f>IF(A36="","",SUMIFS(ERFASSUNG!$J$6:$J$3005,ERFASSUNG!$A$6:$A$3005,A36))</f>
        <v/>
      </c>
      <c r="N36" s="73">
        <f>IF(A36="","",SUMIFS(ERFASSUNG!$K$6:$K$3005,ERFASSUNG!$A$6:$A$3005,A36))</f>
        <v/>
      </c>
      <c r="O36" s="73">
        <f>IF(A36="","",SUMIFS(ERFASSUNG!$L$6:$L$3005,ERFASSUNG!$A$6:$A$3005,A36))</f>
        <v/>
      </c>
      <c r="P36" s="73">
        <f>IF(A36="","",SUMIFS(ERFASSUNG!$M$6:$M$3005,ERFASSUNG!$A$6:$A$3005,A36))</f>
        <v/>
      </c>
      <c r="Q36" s="73">
        <f>IF(A36="","",SUMIFS(ERFASSUNG!$N$6:$N$3005,ERFASSUNG!$A$6:$A$3005,A36))</f>
        <v/>
      </c>
    </row>
    <row r="37">
      <c r="A37" s="72">
        <f>IF(YEAR(DATE(LISTEN!$F$2,1,1)+32)=LISTEN!$F$2,DATE(LISTEN!$F$2,1,1)+32,"")</f>
        <v/>
      </c>
      <c r="B37" s="73">
        <f>IF(A37="","",CHOOSE(WEEKDAY(A37,2),"Mo","Di","Mi","Do","Fr","Sa","So"))</f>
        <v/>
      </c>
      <c r="C37" s="73">
        <f>IF(A37="","",INT((A37-DATE(YEAR(A37-WEEKDAY(A37-1)+4),1,3)+WEEKDAY(DATE(YEAR(A37-WEEKDAY(A37-1)+4),1,3))+5)/7))</f>
        <v/>
      </c>
      <c r="D37" s="73">
        <f>IF(A37="","",MONTH(A37))</f>
        <v/>
      </c>
      <c r="E37" s="73">
        <f>IF(A37="","",WEEKDAY(A37,2))</f>
        <v/>
      </c>
      <c r="F37" s="73">
        <f>IF(A37="","",COUNTIF(ERFASSUNG!$A$6:$A$3005,A37))</f>
        <v/>
      </c>
      <c r="G37" s="73">
        <f>IF(A37="","",IF(F37&gt;0,1,0))</f>
        <v/>
      </c>
      <c r="H37" s="73">
        <f>IF(A37="","",SUMIFS(ERFASSUNG!$E$6:$E$3005,ERFASSUNG!$A$6:$A$3005,A37))</f>
        <v/>
      </c>
      <c r="I37" s="73">
        <f>IF(A37="","",SUMIFS(ERFASSUNG!$F$6:$F$3005,ERFASSUNG!$A$6:$A$3005,A37))</f>
        <v/>
      </c>
      <c r="J37" s="73">
        <f>IF(A37="","",SUMIFS(ERFASSUNG!$G$6:$G$3005,ERFASSUNG!$A$6:$A$3005,A37))</f>
        <v/>
      </c>
      <c r="K37" s="73">
        <f>IF(A37="","",SUMIFS(ERFASSUNG!$H$6:$H$3005,ERFASSUNG!$A$6:$A$3005,A37))</f>
        <v/>
      </c>
      <c r="L37" s="73">
        <f>IF(A37="","",SUMIFS(ERFASSUNG!$I$6:$I$3005,ERFASSUNG!$A$6:$A$3005,A37))</f>
        <v/>
      </c>
      <c r="M37" s="73">
        <f>IF(A37="","",SUMIFS(ERFASSUNG!$J$6:$J$3005,ERFASSUNG!$A$6:$A$3005,A37))</f>
        <v/>
      </c>
      <c r="N37" s="73">
        <f>IF(A37="","",SUMIFS(ERFASSUNG!$K$6:$K$3005,ERFASSUNG!$A$6:$A$3005,A37))</f>
        <v/>
      </c>
      <c r="O37" s="73">
        <f>IF(A37="","",SUMIFS(ERFASSUNG!$L$6:$L$3005,ERFASSUNG!$A$6:$A$3005,A37))</f>
        <v/>
      </c>
      <c r="P37" s="73">
        <f>IF(A37="","",SUMIFS(ERFASSUNG!$M$6:$M$3005,ERFASSUNG!$A$6:$A$3005,A37))</f>
        <v/>
      </c>
      <c r="Q37" s="73">
        <f>IF(A37="","",SUMIFS(ERFASSUNG!$N$6:$N$3005,ERFASSUNG!$A$6:$A$3005,A37))</f>
        <v/>
      </c>
    </row>
    <row r="38">
      <c r="A38" s="72">
        <f>IF(YEAR(DATE(LISTEN!$F$2,1,1)+33)=LISTEN!$F$2,DATE(LISTEN!$F$2,1,1)+33,"")</f>
        <v/>
      </c>
      <c r="B38" s="73">
        <f>IF(A38="","",CHOOSE(WEEKDAY(A38,2),"Mo","Di","Mi","Do","Fr","Sa","So"))</f>
        <v/>
      </c>
      <c r="C38" s="73">
        <f>IF(A38="","",INT((A38-DATE(YEAR(A38-WEEKDAY(A38-1)+4),1,3)+WEEKDAY(DATE(YEAR(A38-WEEKDAY(A38-1)+4),1,3))+5)/7))</f>
        <v/>
      </c>
      <c r="D38" s="73">
        <f>IF(A38="","",MONTH(A38))</f>
        <v/>
      </c>
      <c r="E38" s="73">
        <f>IF(A38="","",WEEKDAY(A38,2))</f>
        <v/>
      </c>
      <c r="F38" s="73">
        <f>IF(A38="","",COUNTIF(ERFASSUNG!$A$6:$A$3005,A38))</f>
        <v/>
      </c>
      <c r="G38" s="73">
        <f>IF(A38="","",IF(F38&gt;0,1,0))</f>
        <v/>
      </c>
      <c r="H38" s="73">
        <f>IF(A38="","",SUMIFS(ERFASSUNG!$E$6:$E$3005,ERFASSUNG!$A$6:$A$3005,A38))</f>
        <v/>
      </c>
      <c r="I38" s="73">
        <f>IF(A38="","",SUMIFS(ERFASSUNG!$F$6:$F$3005,ERFASSUNG!$A$6:$A$3005,A38))</f>
        <v/>
      </c>
      <c r="J38" s="73">
        <f>IF(A38="","",SUMIFS(ERFASSUNG!$G$6:$G$3005,ERFASSUNG!$A$6:$A$3005,A38))</f>
        <v/>
      </c>
      <c r="K38" s="73">
        <f>IF(A38="","",SUMIFS(ERFASSUNG!$H$6:$H$3005,ERFASSUNG!$A$6:$A$3005,A38))</f>
        <v/>
      </c>
      <c r="L38" s="73">
        <f>IF(A38="","",SUMIFS(ERFASSUNG!$I$6:$I$3005,ERFASSUNG!$A$6:$A$3005,A38))</f>
        <v/>
      </c>
      <c r="M38" s="73">
        <f>IF(A38="","",SUMIFS(ERFASSUNG!$J$6:$J$3005,ERFASSUNG!$A$6:$A$3005,A38))</f>
        <v/>
      </c>
      <c r="N38" s="73">
        <f>IF(A38="","",SUMIFS(ERFASSUNG!$K$6:$K$3005,ERFASSUNG!$A$6:$A$3005,A38))</f>
        <v/>
      </c>
      <c r="O38" s="73">
        <f>IF(A38="","",SUMIFS(ERFASSUNG!$L$6:$L$3005,ERFASSUNG!$A$6:$A$3005,A38))</f>
        <v/>
      </c>
      <c r="P38" s="73">
        <f>IF(A38="","",SUMIFS(ERFASSUNG!$M$6:$M$3005,ERFASSUNG!$A$6:$A$3005,A38))</f>
        <v/>
      </c>
      <c r="Q38" s="73">
        <f>IF(A38="","",SUMIFS(ERFASSUNG!$N$6:$N$3005,ERFASSUNG!$A$6:$A$3005,A38))</f>
        <v/>
      </c>
    </row>
    <row r="39">
      <c r="A39" s="72">
        <f>IF(YEAR(DATE(LISTEN!$F$2,1,1)+34)=LISTEN!$F$2,DATE(LISTEN!$F$2,1,1)+34,"")</f>
        <v/>
      </c>
      <c r="B39" s="73">
        <f>IF(A39="","",CHOOSE(WEEKDAY(A39,2),"Mo","Di","Mi","Do","Fr","Sa","So"))</f>
        <v/>
      </c>
      <c r="C39" s="73">
        <f>IF(A39="","",INT((A39-DATE(YEAR(A39-WEEKDAY(A39-1)+4),1,3)+WEEKDAY(DATE(YEAR(A39-WEEKDAY(A39-1)+4),1,3))+5)/7))</f>
        <v/>
      </c>
      <c r="D39" s="73">
        <f>IF(A39="","",MONTH(A39))</f>
        <v/>
      </c>
      <c r="E39" s="73">
        <f>IF(A39="","",WEEKDAY(A39,2))</f>
        <v/>
      </c>
      <c r="F39" s="73">
        <f>IF(A39="","",COUNTIF(ERFASSUNG!$A$6:$A$3005,A39))</f>
        <v/>
      </c>
      <c r="G39" s="73">
        <f>IF(A39="","",IF(F39&gt;0,1,0))</f>
        <v/>
      </c>
      <c r="H39" s="73">
        <f>IF(A39="","",SUMIFS(ERFASSUNG!$E$6:$E$3005,ERFASSUNG!$A$6:$A$3005,A39))</f>
        <v/>
      </c>
      <c r="I39" s="73">
        <f>IF(A39="","",SUMIFS(ERFASSUNG!$F$6:$F$3005,ERFASSUNG!$A$6:$A$3005,A39))</f>
        <v/>
      </c>
      <c r="J39" s="73">
        <f>IF(A39="","",SUMIFS(ERFASSUNG!$G$6:$G$3005,ERFASSUNG!$A$6:$A$3005,A39))</f>
        <v/>
      </c>
      <c r="K39" s="73">
        <f>IF(A39="","",SUMIFS(ERFASSUNG!$H$6:$H$3005,ERFASSUNG!$A$6:$A$3005,A39))</f>
        <v/>
      </c>
      <c r="L39" s="73">
        <f>IF(A39="","",SUMIFS(ERFASSUNG!$I$6:$I$3005,ERFASSUNG!$A$6:$A$3005,A39))</f>
        <v/>
      </c>
      <c r="M39" s="73">
        <f>IF(A39="","",SUMIFS(ERFASSUNG!$J$6:$J$3005,ERFASSUNG!$A$6:$A$3005,A39))</f>
        <v/>
      </c>
      <c r="N39" s="73">
        <f>IF(A39="","",SUMIFS(ERFASSUNG!$K$6:$K$3005,ERFASSUNG!$A$6:$A$3005,A39))</f>
        <v/>
      </c>
      <c r="O39" s="73">
        <f>IF(A39="","",SUMIFS(ERFASSUNG!$L$6:$L$3005,ERFASSUNG!$A$6:$A$3005,A39))</f>
        <v/>
      </c>
      <c r="P39" s="73">
        <f>IF(A39="","",SUMIFS(ERFASSUNG!$M$6:$M$3005,ERFASSUNG!$A$6:$A$3005,A39))</f>
        <v/>
      </c>
      <c r="Q39" s="73">
        <f>IF(A39="","",SUMIFS(ERFASSUNG!$N$6:$N$3005,ERFASSUNG!$A$6:$A$3005,A39))</f>
        <v/>
      </c>
    </row>
    <row r="40">
      <c r="A40" s="72">
        <f>IF(YEAR(DATE(LISTEN!$F$2,1,1)+35)=LISTEN!$F$2,DATE(LISTEN!$F$2,1,1)+35,"")</f>
        <v/>
      </c>
      <c r="B40" s="73">
        <f>IF(A40="","",CHOOSE(WEEKDAY(A40,2),"Mo","Di","Mi","Do","Fr","Sa","So"))</f>
        <v/>
      </c>
      <c r="C40" s="73">
        <f>IF(A40="","",INT((A40-DATE(YEAR(A40-WEEKDAY(A40-1)+4),1,3)+WEEKDAY(DATE(YEAR(A40-WEEKDAY(A40-1)+4),1,3))+5)/7))</f>
        <v/>
      </c>
      <c r="D40" s="73">
        <f>IF(A40="","",MONTH(A40))</f>
        <v/>
      </c>
      <c r="E40" s="73">
        <f>IF(A40="","",WEEKDAY(A40,2))</f>
        <v/>
      </c>
      <c r="F40" s="73">
        <f>IF(A40="","",COUNTIF(ERFASSUNG!$A$6:$A$3005,A40))</f>
        <v/>
      </c>
      <c r="G40" s="73">
        <f>IF(A40="","",IF(F40&gt;0,1,0))</f>
        <v/>
      </c>
      <c r="H40" s="73">
        <f>IF(A40="","",SUMIFS(ERFASSUNG!$E$6:$E$3005,ERFASSUNG!$A$6:$A$3005,A40))</f>
        <v/>
      </c>
      <c r="I40" s="73">
        <f>IF(A40="","",SUMIFS(ERFASSUNG!$F$6:$F$3005,ERFASSUNG!$A$6:$A$3005,A40))</f>
        <v/>
      </c>
      <c r="J40" s="73">
        <f>IF(A40="","",SUMIFS(ERFASSUNG!$G$6:$G$3005,ERFASSUNG!$A$6:$A$3005,A40))</f>
        <v/>
      </c>
      <c r="K40" s="73">
        <f>IF(A40="","",SUMIFS(ERFASSUNG!$H$6:$H$3005,ERFASSUNG!$A$6:$A$3005,A40))</f>
        <v/>
      </c>
      <c r="L40" s="73">
        <f>IF(A40="","",SUMIFS(ERFASSUNG!$I$6:$I$3005,ERFASSUNG!$A$6:$A$3005,A40))</f>
        <v/>
      </c>
      <c r="M40" s="73">
        <f>IF(A40="","",SUMIFS(ERFASSUNG!$J$6:$J$3005,ERFASSUNG!$A$6:$A$3005,A40))</f>
        <v/>
      </c>
      <c r="N40" s="73">
        <f>IF(A40="","",SUMIFS(ERFASSUNG!$K$6:$K$3005,ERFASSUNG!$A$6:$A$3005,A40))</f>
        <v/>
      </c>
      <c r="O40" s="73">
        <f>IF(A40="","",SUMIFS(ERFASSUNG!$L$6:$L$3005,ERFASSUNG!$A$6:$A$3005,A40))</f>
        <v/>
      </c>
      <c r="P40" s="73">
        <f>IF(A40="","",SUMIFS(ERFASSUNG!$M$6:$M$3005,ERFASSUNG!$A$6:$A$3005,A40))</f>
        <v/>
      </c>
      <c r="Q40" s="73">
        <f>IF(A40="","",SUMIFS(ERFASSUNG!$N$6:$N$3005,ERFASSUNG!$A$6:$A$3005,A40))</f>
        <v/>
      </c>
    </row>
    <row r="41">
      <c r="A41" s="72">
        <f>IF(YEAR(DATE(LISTEN!$F$2,1,1)+36)=LISTEN!$F$2,DATE(LISTEN!$F$2,1,1)+36,"")</f>
        <v/>
      </c>
      <c r="B41" s="73">
        <f>IF(A41="","",CHOOSE(WEEKDAY(A41,2),"Mo","Di","Mi","Do","Fr","Sa","So"))</f>
        <v/>
      </c>
      <c r="C41" s="73">
        <f>IF(A41="","",INT((A41-DATE(YEAR(A41-WEEKDAY(A41-1)+4),1,3)+WEEKDAY(DATE(YEAR(A41-WEEKDAY(A41-1)+4),1,3))+5)/7))</f>
        <v/>
      </c>
      <c r="D41" s="73">
        <f>IF(A41="","",MONTH(A41))</f>
        <v/>
      </c>
      <c r="E41" s="73">
        <f>IF(A41="","",WEEKDAY(A41,2))</f>
        <v/>
      </c>
      <c r="F41" s="73">
        <f>IF(A41="","",COUNTIF(ERFASSUNG!$A$6:$A$3005,A41))</f>
        <v/>
      </c>
      <c r="G41" s="73">
        <f>IF(A41="","",IF(F41&gt;0,1,0))</f>
        <v/>
      </c>
      <c r="H41" s="73">
        <f>IF(A41="","",SUMIFS(ERFASSUNG!$E$6:$E$3005,ERFASSUNG!$A$6:$A$3005,A41))</f>
        <v/>
      </c>
      <c r="I41" s="73">
        <f>IF(A41="","",SUMIFS(ERFASSUNG!$F$6:$F$3005,ERFASSUNG!$A$6:$A$3005,A41))</f>
        <v/>
      </c>
      <c r="J41" s="73">
        <f>IF(A41="","",SUMIFS(ERFASSUNG!$G$6:$G$3005,ERFASSUNG!$A$6:$A$3005,A41))</f>
        <v/>
      </c>
      <c r="K41" s="73">
        <f>IF(A41="","",SUMIFS(ERFASSUNG!$H$6:$H$3005,ERFASSUNG!$A$6:$A$3005,A41))</f>
        <v/>
      </c>
      <c r="L41" s="73">
        <f>IF(A41="","",SUMIFS(ERFASSUNG!$I$6:$I$3005,ERFASSUNG!$A$6:$A$3005,A41))</f>
        <v/>
      </c>
      <c r="M41" s="73">
        <f>IF(A41="","",SUMIFS(ERFASSUNG!$J$6:$J$3005,ERFASSUNG!$A$6:$A$3005,A41))</f>
        <v/>
      </c>
      <c r="N41" s="73">
        <f>IF(A41="","",SUMIFS(ERFASSUNG!$K$6:$K$3005,ERFASSUNG!$A$6:$A$3005,A41))</f>
        <v/>
      </c>
      <c r="O41" s="73">
        <f>IF(A41="","",SUMIFS(ERFASSUNG!$L$6:$L$3005,ERFASSUNG!$A$6:$A$3005,A41))</f>
        <v/>
      </c>
      <c r="P41" s="73">
        <f>IF(A41="","",SUMIFS(ERFASSUNG!$M$6:$M$3005,ERFASSUNG!$A$6:$A$3005,A41))</f>
        <v/>
      </c>
      <c r="Q41" s="73">
        <f>IF(A41="","",SUMIFS(ERFASSUNG!$N$6:$N$3005,ERFASSUNG!$A$6:$A$3005,A41))</f>
        <v/>
      </c>
    </row>
    <row r="42">
      <c r="A42" s="72">
        <f>IF(YEAR(DATE(LISTEN!$F$2,1,1)+37)=LISTEN!$F$2,DATE(LISTEN!$F$2,1,1)+37,"")</f>
        <v/>
      </c>
      <c r="B42" s="73">
        <f>IF(A42="","",CHOOSE(WEEKDAY(A42,2),"Mo","Di","Mi","Do","Fr","Sa","So"))</f>
        <v/>
      </c>
      <c r="C42" s="73">
        <f>IF(A42="","",INT((A42-DATE(YEAR(A42-WEEKDAY(A42-1)+4),1,3)+WEEKDAY(DATE(YEAR(A42-WEEKDAY(A42-1)+4),1,3))+5)/7))</f>
        <v/>
      </c>
      <c r="D42" s="73">
        <f>IF(A42="","",MONTH(A42))</f>
        <v/>
      </c>
      <c r="E42" s="73">
        <f>IF(A42="","",WEEKDAY(A42,2))</f>
        <v/>
      </c>
      <c r="F42" s="73">
        <f>IF(A42="","",COUNTIF(ERFASSUNG!$A$6:$A$3005,A42))</f>
        <v/>
      </c>
      <c r="G42" s="73">
        <f>IF(A42="","",IF(F42&gt;0,1,0))</f>
        <v/>
      </c>
      <c r="H42" s="73">
        <f>IF(A42="","",SUMIFS(ERFASSUNG!$E$6:$E$3005,ERFASSUNG!$A$6:$A$3005,A42))</f>
        <v/>
      </c>
      <c r="I42" s="73">
        <f>IF(A42="","",SUMIFS(ERFASSUNG!$F$6:$F$3005,ERFASSUNG!$A$6:$A$3005,A42))</f>
        <v/>
      </c>
      <c r="J42" s="73">
        <f>IF(A42="","",SUMIFS(ERFASSUNG!$G$6:$G$3005,ERFASSUNG!$A$6:$A$3005,A42))</f>
        <v/>
      </c>
      <c r="K42" s="73">
        <f>IF(A42="","",SUMIFS(ERFASSUNG!$H$6:$H$3005,ERFASSUNG!$A$6:$A$3005,A42))</f>
        <v/>
      </c>
      <c r="L42" s="73">
        <f>IF(A42="","",SUMIFS(ERFASSUNG!$I$6:$I$3005,ERFASSUNG!$A$6:$A$3005,A42))</f>
        <v/>
      </c>
      <c r="M42" s="73">
        <f>IF(A42="","",SUMIFS(ERFASSUNG!$J$6:$J$3005,ERFASSUNG!$A$6:$A$3005,A42))</f>
        <v/>
      </c>
      <c r="N42" s="73">
        <f>IF(A42="","",SUMIFS(ERFASSUNG!$K$6:$K$3005,ERFASSUNG!$A$6:$A$3005,A42))</f>
        <v/>
      </c>
      <c r="O42" s="73">
        <f>IF(A42="","",SUMIFS(ERFASSUNG!$L$6:$L$3005,ERFASSUNG!$A$6:$A$3005,A42))</f>
        <v/>
      </c>
      <c r="P42" s="73">
        <f>IF(A42="","",SUMIFS(ERFASSUNG!$M$6:$M$3005,ERFASSUNG!$A$6:$A$3005,A42))</f>
        <v/>
      </c>
      <c r="Q42" s="73">
        <f>IF(A42="","",SUMIFS(ERFASSUNG!$N$6:$N$3005,ERFASSUNG!$A$6:$A$3005,A42))</f>
        <v/>
      </c>
    </row>
    <row r="43">
      <c r="A43" s="72">
        <f>IF(YEAR(DATE(LISTEN!$F$2,1,1)+38)=LISTEN!$F$2,DATE(LISTEN!$F$2,1,1)+38,"")</f>
        <v/>
      </c>
      <c r="B43" s="73">
        <f>IF(A43="","",CHOOSE(WEEKDAY(A43,2),"Mo","Di","Mi","Do","Fr","Sa","So"))</f>
        <v/>
      </c>
      <c r="C43" s="73">
        <f>IF(A43="","",INT((A43-DATE(YEAR(A43-WEEKDAY(A43-1)+4),1,3)+WEEKDAY(DATE(YEAR(A43-WEEKDAY(A43-1)+4),1,3))+5)/7))</f>
        <v/>
      </c>
      <c r="D43" s="73">
        <f>IF(A43="","",MONTH(A43))</f>
        <v/>
      </c>
      <c r="E43" s="73">
        <f>IF(A43="","",WEEKDAY(A43,2))</f>
        <v/>
      </c>
      <c r="F43" s="73">
        <f>IF(A43="","",COUNTIF(ERFASSUNG!$A$6:$A$3005,A43))</f>
        <v/>
      </c>
      <c r="G43" s="73">
        <f>IF(A43="","",IF(F43&gt;0,1,0))</f>
        <v/>
      </c>
      <c r="H43" s="73">
        <f>IF(A43="","",SUMIFS(ERFASSUNG!$E$6:$E$3005,ERFASSUNG!$A$6:$A$3005,A43))</f>
        <v/>
      </c>
      <c r="I43" s="73">
        <f>IF(A43="","",SUMIFS(ERFASSUNG!$F$6:$F$3005,ERFASSUNG!$A$6:$A$3005,A43))</f>
        <v/>
      </c>
      <c r="J43" s="73">
        <f>IF(A43="","",SUMIFS(ERFASSUNG!$G$6:$G$3005,ERFASSUNG!$A$6:$A$3005,A43))</f>
        <v/>
      </c>
      <c r="K43" s="73">
        <f>IF(A43="","",SUMIFS(ERFASSUNG!$H$6:$H$3005,ERFASSUNG!$A$6:$A$3005,A43))</f>
        <v/>
      </c>
      <c r="L43" s="73">
        <f>IF(A43="","",SUMIFS(ERFASSUNG!$I$6:$I$3005,ERFASSUNG!$A$6:$A$3005,A43))</f>
        <v/>
      </c>
      <c r="M43" s="73">
        <f>IF(A43="","",SUMIFS(ERFASSUNG!$J$6:$J$3005,ERFASSUNG!$A$6:$A$3005,A43))</f>
        <v/>
      </c>
      <c r="N43" s="73">
        <f>IF(A43="","",SUMIFS(ERFASSUNG!$K$6:$K$3005,ERFASSUNG!$A$6:$A$3005,A43))</f>
        <v/>
      </c>
      <c r="O43" s="73">
        <f>IF(A43="","",SUMIFS(ERFASSUNG!$L$6:$L$3005,ERFASSUNG!$A$6:$A$3005,A43))</f>
        <v/>
      </c>
      <c r="P43" s="73">
        <f>IF(A43="","",SUMIFS(ERFASSUNG!$M$6:$M$3005,ERFASSUNG!$A$6:$A$3005,A43))</f>
        <v/>
      </c>
      <c r="Q43" s="73">
        <f>IF(A43="","",SUMIFS(ERFASSUNG!$N$6:$N$3005,ERFASSUNG!$A$6:$A$3005,A43))</f>
        <v/>
      </c>
    </row>
    <row r="44">
      <c r="A44" s="72">
        <f>IF(YEAR(DATE(LISTEN!$F$2,1,1)+39)=LISTEN!$F$2,DATE(LISTEN!$F$2,1,1)+39,"")</f>
        <v/>
      </c>
      <c r="B44" s="73">
        <f>IF(A44="","",CHOOSE(WEEKDAY(A44,2),"Mo","Di","Mi","Do","Fr","Sa","So"))</f>
        <v/>
      </c>
      <c r="C44" s="73">
        <f>IF(A44="","",INT((A44-DATE(YEAR(A44-WEEKDAY(A44-1)+4),1,3)+WEEKDAY(DATE(YEAR(A44-WEEKDAY(A44-1)+4),1,3))+5)/7))</f>
        <v/>
      </c>
      <c r="D44" s="73">
        <f>IF(A44="","",MONTH(A44))</f>
        <v/>
      </c>
      <c r="E44" s="73">
        <f>IF(A44="","",WEEKDAY(A44,2))</f>
        <v/>
      </c>
      <c r="F44" s="73">
        <f>IF(A44="","",COUNTIF(ERFASSUNG!$A$6:$A$3005,A44))</f>
        <v/>
      </c>
      <c r="G44" s="73">
        <f>IF(A44="","",IF(F44&gt;0,1,0))</f>
        <v/>
      </c>
      <c r="H44" s="73">
        <f>IF(A44="","",SUMIFS(ERFASSUNG!$E$6:$E$3005,ERFASSUNG!$A$6:$A$3005,A44))</f>
        <v/>
      </c>
      <c r="I44" s="73">
        <f>IF(A44="","",SUMIFS(ERFASSUNG!$F$6:$F$3005,ERFASSUNG!$A$6:$A$3005,A44))</f>
        <v/>
      </c>
      <c r="J44" s="73">
        <f>IF(A44="","",SUMIFS(ERFASSUNG!$G$6:$G$3005,ERFASSUNG!$A$6:$A$3005,A44))</f>
        <v/>
      </c>
      <c r="K44" s="73">
        <f>IF(A44="","",SUMIFS(ERFASSUNG!$H$6:$H$3005,ERFASSUNG!$A$6:$A$3005,A44))</f>
        <v/>
      </c>
      <c r="L44" s="73">
        <f>IF(A44="","",SUMIFS(ERFASSUNG!$I$6:$I$3005,ERFASSUNG!$A$6:$A$3005,A44))</f>
        <v/>
      </c>
      <c r="M44" s="73">
        <f>IF(A44="","",SUMIFS(ERFASSUNG!$J$6:$J$3005,ERFASSUNG!$A$6:$A$3005,A44))</f>
        <v/>
      </c>
      <c r="N44" s="73">
        <f>IF(A44="","",SUMIFS(ERFASSUNG!$K$6:$K$3005,ERFASSUNG!$A$6:$A$3005,A44))</f>
        <v/>
      </c>
      <c r="O44" s="73">
        <f>IF(A44="","",SUMIFS(ERFASSUNG!$L$6:$L$3005,ERFASSUNG!$A$6:$A$3005,A44))</f>
        <v/>
      </c>
      <c r="P44" s="73">
        <f>IF(A44="","",SUMIFS(ERFASSUNG!$M$6:$M$3005,ERFASSUNG!$A$6:$A$3005,A44))</f>
        <v/>
      </c>
      <c r="Q44" s="73">
        <f>IF(A44="","",SUMIFS(ERFASSUNG!$N$6:$N$3005,ERFASSUNG!$A$6:$A$3005,A44))</f>
        <v/>
      </c>
    </row>
    <row r="45">
      <c r="A45" s="72">
        <f>IF(YEAR(DATE(LISTEN!$F$2,1,1)+40)=LISTEN!$F$2,DATE(LISTEN!$F$2,1,1)+40,"")</f>
        <v/>
      </c>
      <c r="B45" s="73">
        <f>IF(A45="","",CHOOSE(WEEKDAY(A45,2),"Mo","Di","Mi","Do","Fr","Sa","So"))</f>
        <v/>
      </c>
      <c r="C45" s="73">
        <f>IF(A45="","",INT((A45-DATE(YEAR(A45-WEEKDAY(A45-1)+4),1,3)+WEEKDAY(DATE(YEAR(A45-WEEKDAY(A45-1)+4),1,3))+5)/7))</f>
        <v/>
      </c>
      <c r="D45" s="73">
        <f>IF(A45="","",MONTH(A45))</f>
        <v/>
      </c>
      <c r="E45" s="73">
        <f>IF(A45="","",WEEKDAY(A45,2))</f>
        <v/>
      </c>
      <c r="F45" s="73">
        <f>IF(A45="","",COUNTIF(ERFASSUNG!$A$6:$A$3005,A45))</f>
        <v/>
      </c>
      <c r="G45" s="73">
        <f>IF(A45="","",IF(F45&gt;0,1,0))</f>
        <v/>
      </c>
      <c r="H45" s="73">
        <f>IF(A45="","",SUMIFS(ERFASSUNG!$E$6:$E$3005,ERFASSUNG!$A$6:$A$3005,A45))</f>
        <v/>
      </c>
      <c r="I45" s="73">
        <f>IF(A45="","",SUMIFS(ERFASSUNG!$F$6:$F$3005,ERFASSUNG!$A$6:$A$3005,A45))</f>
        <v/>
      </c>
      <c r="J45" s="73">
        <f>IF(A45="","",SUMIFS(ERFASSUNG!$G$6:$G$3005,ERFASSUNG!$A$6:$A$3005,A45))</f>
        <v/>
      </c>
      <c r="K45" s="73">
        <f>IF(A45="","",SUMIFS(ERFASSUNG!$H$6:$H$3005,ERFASSUNG!$A$6:$A$3005,A45))</f>
        <v/>
      </c>
      <c r="L45" s="73">
        <f>IF(A45="","",SUMIFS(ERFASSUNG!$I$6:$I$3005,ERFASSUNG!$A$6:$A$3005,A45))</f>
        <v/>
      </c>
      <c r="M45" s="73">
        <f>IF(A45="","",SUMIFS(ERFASSUNG!$J$6:$J$3005,ERFASSUNG!$A$6:$A$3005,A45))</f>
        <v/>
      </c>
      <c r="N45" s="73">
        <f>IF(A45="","",SUMIFS(ERFASSUNG!$K$6:$K$3005,ERFASSUNG!$A$6:$A$3005,A45))</f>
        <v/>
      </c>
      <c r="O45" s="73">
        <f>IF(A45="","",SUMIFS(ERFASSUNG!$L$6:$L$3005,ERFASSUNG!$A$6:$A$3005,A45))</f>
        <v/>
      </c>
      <c r="P45" s="73">
        <f>IF(A45="","",SUMIFS(ERFASSUNG!$M$6:$M$3005,ERFASSUNG!$A$6:$A$3005,A45))</f>
        <v/>
      </c>
      <c r="Q45" s="73">
        <f>IF(A45="","",SUMIFS(ERFASSUNG!$N$6:$N$3005,ERFASSUNG!$A$6:$A$3005,A45))</f>
        <v/>
      </c>
    </row>
    <row r="46">
      <c r="A46" s="72">
        <f>IF(YEAR(DATE(LISTEN!$F$2,1,1)+41)=LISTEN!$F$2,DATE(LISTEN!$F$2,1,1)+41,"")</f>
        <v/>
      </c>
      <c r="B46" s="73">
        <f>IF(A46="","",CHOOSE(WEEKDAY(A46,2),"Mo","Di","Mi","Do","Fr","Sa","So"))</f>
        <v/>
      </c>
      <c r="C46" s="73">
        <f>IF(A46="","",INT((A46-DATE(YEAR(A46-WEEKDAY(A46-1)+4),1,3)+WEEKDAY(DATE(YEAR(A46-WEEKDAY(A46-1)+4),1,3))+5)/7))</f>
        <v/>
      </c>
      <c r="D46" s="73">
        <f>IF(A46="","",MONTH(A46))</f>
        <v/>
      </c>
      <c r="E46" s="73">
        <f>IF(A46="","",WEEKDAY(A46,2))</f>
        <v/>
      </c>
      <c r="F46" s="73">
        <f>IF(A46="","",COUNTIF(ERFASSUNG!$A$6:$A$3005,A46))</f>
        <v/>
      </c>
      <c r="G46" s="73">
        <f>IF(A46="","",IF(F46&gt;0,1,0))</f>
        <v/>
      </c>
      <c r="H46" s="73">
        <f>IF(A46="","",SUMIFS(ERFASSUNG!$E$6:$E$3005,ERFASSUNG!$A$6:$A$3005,A46))</f>
        <v/>
      </c>
      <c r="I46" s="73">
        <f>IF(A46="","",SUMIFS(ERFASSUNG!$F$6:$F$3005,ERFASSUNG!$A$6:$A$3005,A46))</f>
        <v/>
      </c>
      <c r="J46" s="73">
        <f>IF(A46="","",SUMIFS(ERFASSUNG!$G$6:$G$3005,ERFASSUNG!$A$6:$A$3005,A46))</f>
        <v/>
      </c>
      <c r="K46" s="73">
        <f>IF(A46="","",SUMIFS(ERFASSUNG!$H$6:$H$3005,ERFASSUNG!$A$6:$A$3005,A46))</f>
        <v/>
      </c>
      <c r="L46" s="73">
        <f>IF(A46="","",SUMIFS(ERFASSUNG!$I$6:$I$3005,ERFASSUNG!$A$6:$A$3005,A46))</f>
        <v/>
      </c>
      <c r="M46" s="73">
        <f>IF(A46="","",SUMIFS(ERFASSUNG!$J$6:$J$3005,ERFASSUNG!$A$6:$A$3005,A46))</f>
        <v/>
      </c>
      <c r="N46" s="73">
        <f>IF(A46="","",SUMIFS(ERFASSUNG!$K$6:$K$3005,ERFASSUNG!$A$6:$A$3005,A46))</f>
        <v/>
      </c>
      <c r="O46" s="73">
        <f>IF(A46="","",SUMIFS(ERFASSUNG!$L$6:$L$3005,ERFASSUNG!$A$6:$A$3005,A46))</f>
        <v/>
      </c>
      <c r="P46" s="73">
        <f>IF(A46="","",SUMIFS(ERFASSUNG!$M$6:$M$3005,ERFASSUNG!$A$6:$A$3005,A46))</f>
        <v/>
      </c>
      <c r="Q46" s="73">
        <f>IF(A46="","",SUMIFS(ERFASSUNG!$N$6:$N$3005,ERFASSUNG!$A$6:$A$3005,A46))</f>
        <v/>
      </c>
    </row>
    <row r="47">
      <c r="A47" s="72">
        <f>IF(YEAR(DATE(LISTEN!$F$2,1,1)+42)=LISTEN!$F$2,DATE(LISTEN!$F$2,1,1)+42,"")</f>
        <v/>
      </c>
      <c r="B47" s="73">
        <f>IF(A47="","",CHOOSE(WEEKDAY(A47,2),"Mo","Di","Mi","Do","Fr","Sa","So"))</f>
        <v/>
      </c>
      <c r="C47" s="73">
        <f>IF(A47="","",INT((A47-DATE(YEAR(A47-WEEKDAY(A47-1)+4),1,3)+WEEKDAY(DATE(YEAR(A47-WEEKDAY(A47-1)+4),1,3))+5)/7))</f>
        <v/>
      </c>
      <c r="D47" s="73">
        <f>IF(A47="","",MONTH(A47))</f>
        <v/>
      </c>
      <c r="E47" s="73">
        <f>IF(A47="","",WEEKDAY(A47,2))</f>
        <v/>
      </c>
      <c r="F47" s="73">
        <f>IF(A47="","",COUNTIF(ERFASSUNG!$A$6:$A$3005,A47))</f>
        <v/>
      </c>
      <c r="G47" s="73">
        <f>IF(A47="","",IF(F47&gt;0,1,0))</f>
        <v/>
      </c>
      <c r="H47" s="73">
        <f>IF(A47="","",SUMIFS(ERFASSUNG!$E$6:$E$3005,ERFASSUNG!$A$6:$A$3005,A47))</f>
        <v/>
      </c>
      <c r="I47" s="73">
        <f>IF(A47="","",SUMIFS(ERFASSUNG!$F$6:$F$3005,ERFASSUNG!$A$6:$A$3005,A47))</f>
        <v/>
      </c>
      <c r="J47" s="73">
        <f>IF(A47="","",SUMIFS(ERFASSUNG!$G$6:$G$3005,ERFASSUNG!$A$6:$A$3005,A47))</f>
        <v/>
      </c>
      <c r="K47" s="73">
        <f>IF(A47="","",SUMIFS(ERFASSUNG!$H$6:$H$3005,ERFASSUNG!$A$6:$A$3005,A47))</f>
        <v/>
      </c>
      <c r="L47" s="73">
        <f>IF(A47="","",SUMIFS(ERFASSUNG!$I$6:$I$3005,ERFASSUNG!$A$6:$A$3005,A47))</f>
        <v/>
      </c>
      <c r="M47" s="73">
        <f>IF(A47="","",SUMIFS(ERFASSUNG!$J$6:$J$3005,ERFASSUNG!$A$6:$A$3005,A47))</f>
        <v/>
      </c>
      <c r="N47" s="73">
        <f>IF(A47="","",SUMIFS(ERFASSUNG!$K$6:$K$3005,ERFASSUNG!$A$6:$A$3005,A47))</f>
        <v/>
      </c>
      <c r="O47" s="73">
        <f>IF(A47="","",SUMIFS(ERFASSUNG!$L$6:$L$3005,ERFASSUNG!$A$6:$A$3005,A47))</f>
        <v/>
      </c>
      <c r="P47" s="73">
        <f>IF(A47="","",SUMIFS(ERFASSUNG!$M$6:$M$3005,ERFASSUNG!$A$6:$A$3005,A47))</f>
        <v/>
      </c>
      <c r="Q47" s="73">
        <f>IF(A47="","",SUMIFS(ERFASSUNG!$N$6:$N$3005,ERFASSUNG!$A$6:$A$3005,A47))</f>
        <v/>
      </c>
    </row>
    <row r="48">
      <c r="A48" s="72">
        <f>IF(YEAR(DATE(LISTEN!$F$2,1,1)+43)=LISTEN!$F$2,DATE(LISTEN!$F$2,1,1)+43,"")</f>
        <v/>
      </c>
      <c r="B48" s="73">
        <f>IF(A48="","",CHOOSE(WEEKDAY(A48,2),"Mo","Di","Mi","Do","Fr","Sa","So"))</f>
        <v/>
      </c>
      <c r="C48" s="73">
        <f>IF(A48="","",INT((A48-DATE(YEAR(A48-WEEKDAY(A48-1)+4),1,3)+WEEKDAY(DATE(YEAR(A48-WEEKDAY(A48-1)+4),1,3))+5)/7))</f>
        <v/>
      </c>
      <c r="D48" s="73">
        <f>IF(A48="","",MONTH(A48))</f>
        <v/>
      </c>
      <c r="E48" s="73">
        <f>IF(A48="","",WEEKDAY(A48,2))</f>
        <v/>
      </c>
      <c r="F48" s="73">
        <f>IF(A48="","",COUNTIF(ERFASSUNG!$A$6:$A$3005,A48))</f>
        <v/>
      </c>
      <c r="G48" s="73">
        <f>IF(A48="","",IF(F48&gt;0,1,0))</f>
        <v/>
      </c>
      <c r="H48" s="73">
        <f>IF(A48="","",SUMIFS(ERFASSUNG!$E$6:$E$3005,ERFASSUNG!$A$6:$A$3005,A48))</f>
        <v/>
      </c>
      <c r="I48" s="73">
        <f>IF(A48="","",SUMIFS(ERFASSUNG!$F$6:$F$3005,ERFASSUNG!$A$6:$A$3005,A48))</f>
        <v/>
      </c>
      <c r="J48" s="73">
        <f>IF(A48="","",SUMIFS(ERFASSUNG!$G$6:$G$3005,ERFASSUNG!$A$6:$A$3005,A48))</f>
        <v/>
      </c>
      <c r="K48" s="73">
        <f>IF(A48="","",SUMIFS(ERFASSUNG!$H$6:$H$3005,ERFASSUNG!$A$6:$A$3005,A48))</f>
        <v/>
      </c>
      <c r="L48" s="73">
        <f>IF(A48="","",SUMIFS(ERFASSUNG!$I$6:$I$3005,ERFASSUNG!$A$6:$A$3005,A48))</f>
        <v/>
      </c>
      <c r="M48" s="73">
        <f>IF(A48="","",SUMIFS(ERFASSUNG!$J$6:$J$3005,ERFASSUNG!$A$6:$A$3005,A48))</f>
        <v/>
      </c>
      <c r="N48" s="73">
        <f>IF(A48="","",SUMIFS(ERFASSUNG!$K$6:$K$3005,ERFASSUNG!$A$6:$A$3005,A48))</f>
        <v/>
      </c>
      <c r="O48" s="73">
        <f>IF(A48="","",SUMIFS(ERFASSUNG!$L$6:$L$3005,ERFASSUNG!$A$6:$A$3005,A48))</f>
        <v/>
      </c>
      <c r="P48" s="73">
        <f>IF(A48="","",SUMIFS(ERFASSUNG!$M$6:$M$3005,ERFASSUNG!$A$6:$A$3005,A48))</f>
        <v/>
      </c>
      <c r="Q48" s="73">
        <f>IF(A48="","",SUMIFS(ERFASSUNG!$N$6:$N$3005,ERFASSUNG!$A$6:$A$3005,A48))</f>
        <v/>
      </c>
    </row>
    <row r="49">
      <c r="A49" s="72">
        <f>IF(YEAR(DATE(LISTEN!$F$2,1,1)+44)=LISTEN!$F$2,DATE(LISTEN!$F$2,1,1)+44,"")</f>
        <v/>
      </c>
      <c r="B49" s="73">
        <f>IF(A49="","",CHOOSE(WEEKDAY(A49,2),"Mo","Di","Mi","Do","Fr","Sa","So"))</f>
        <v/>
      </c>
      <c r="C49" s="73">
        <f>IF(A49="","",INT((A49-DATE(YEAR(A49-WEEKDAY(A49-1)+4),1,3)+WEEKDAY(DATE(YEAR(A49-WEEKDAY(A49-1)+4),1,3))+5)/7))</f>
        <v/>
      </c>
      <c r="D49" s="73">
        <f>IF(A49="","",MONTH(A49))</f>
        <v/>
      </c>
      <c r="E49" s="73">
        <f>IF(A49="","",WEEKDAY(A49,2))</f>
        <v/>
      </c>
      <c r="F49" s="73">
        <f>IF(A49="","",COUNTIF(ERFASSUNG!$A$6:$A$3005,A49))</f>
        <v/>
      </c>
      <c r="G49" s="73">
        <f>IF(A49="","",IF(F49&gt;0,1,0))</f>
        <v/>
      </c>
      <c r="H49" s="73">
        <f>IF(A49="","",SUMIFS(ERFASSUNG!$E$6:$E$3005,ERFASSUNG!$A$6:$A$3005,A49))</f>
        <v/>
      </c>
      <c r="I49" s="73">
        <f>IF(A49="","",SUMIFS(ERFASSUNG!$F$6:$F$3005,ERFASSUNG!$A$6:$A$3005,A49))</f>
        <v/>
      </c>
      <c r="J49" s="73">
        <f>IF(A49="","",SUMIFS(ERFASSUNG!$G$6:$G$3005,ERFASSUNG!$A$6:$A$3005,A49))</f>
        <v/>
      </c>
      <c r="K49" s="73">
        <f>IF(A49="","",SUMIFS(ERFASSUNG!$H$6:$H$3005,ERFASSUNG!$A$6:$A$3005,A49))</f>
        <v/>
      </c>
      <c r="L49" s="73">
        <f>IF(A49="","",SUMIFS(ERFASSUNG!$I$6:$I$3005,ERFASSUNG!$A$6:$A$3005,A49))</f>
        <v/>
      </c>
      <c r="M49" s="73">
        <f>IF(A49="","",SUMIFS(ERFASSUNG!$J$6:$J$3005,ERFASSUNG!$A$6:$A$3005,A49))</f>
        <v/>
      </c>
      <c r="N49" s="73">
        <f>IF(A49="","",SUMIFS(ERFASSUNG!$K$6:$K$3005,ERFASSUNG!$A$6:$A$3005,A49))</f>
        <v/>
      </c>
      <c r="O49" s="73">
        <f>IF(A49="","",SUMIFS(ERFASSUNG!$L$6:$L$3005,ERFASSUNG!$A$6:$A$3005,A49))</f>
        <v/>
      </c>
      <c r="P49" s="73">
        <f>IF(A49="","",SUMIFS(ERFASSUNG!$M$6:$M$3005,ERFASSUNG!$A$6:$A$3005,A49))</f>
        <v/>
      </c>
      <c r="Q49" s="73">
        <f>IF(A49="","",SUMIFS(ERFASSUNG!$N$6:$N$3005,ERFASSUNG!$A$6:$A$3005,A49))</f>
        <v/>
      </c>
    </row>
    <row r="50">
      <c r="A50" s="72">
        <f>IF(YEAR(DATE(LISTEN!$F$2,1,1)+45)=LISTEN!$F$2,DATE(LISTEN!$F$2,1,1)+45,"")</f>
        <v/>
      </c>
      <c r="B50" s="73">
        <f>IF(A50="","",CHOOSE(WEEKDAY(A50,2),"Mo","Di","Mi","Do","Fr","Sa","So"))</f>
        <v/>
      </c>
      <c r="C50" s="73">
        <f>IF(A50="","",INT((A50-DATE(YEAR(A50-WEEKDAY(A50-1)+4),1,3)+WEEKDAY(DATE(YEAR(A50-WEEKDAY(A50-1)+4),1,3))+5)/7))</f>
        <v/>
      </c>
      <c r="D50" s="73">
        <f>IF(A50="","",MONTH(A50))</f>
        <v/>
      </c>
      <c r="E50" s="73">
        <f>IF(A50="","",WEEKDAY(A50,2))</f>
        <v/>
      </c>
      <c r="F50" s="73">
        <f>IF(A50="","",COUNTIF(ERFASSUNG!$A$6:$A$3005,A50))</f>
        <v/>
      </c>
      <c r="G50" s="73">
        <f>IF(A50="","",IF(F50&gt;0,1,0))</f>
        <v/>
      </c>
      <c r="H50" s="73">
        <f>IF(A50="","",SUMIFS(ERFASSUNG!$E$6:$E$3005,ERFASSUNG!$A$6:$A$3005,A50))</f>
        <v/>
      </c>
      <c r="I50" s="73">
        <f>IF(A50="","",SUMIFS(ERFASSUNG!$F$6:$F$3005,ERFASSUNG!$A$6:$A$3005,A50))</f>
        <v/>
      </c>
      <c r="J50" s="73">
        <f>IF(A50="","",SUMIFS(ERFASSUNG!$G$6:$G$3005,ERFASSUNG!$A$6:$A$3005,A50))</f>
        <v/>
      </c>
      <c r="K50" s="73">
        <f>IF(A50="","",SUMIFS(ERFASSUNG!$H$6:$H$3005,ERFASSUNG!$A$6:$A$3005,A50))</f>
        <v/>
      </c>
      <c r="L50" s="73">
        <f>IF(A50="","",SUMIFS(ERFASSUNG!$I$6:$I$3005,ERFASSUNG!$A$6:$A$3005,A50))</f>
        <v/>
      </c>
      <c r="M50" s="73">
        <f>IF(A50="","",SUMIFS(ERFASSUNG!$J$6:$J$3005,ERFASSUNG!$A$6:$A$3005,A50))</f>
        <v/>
      </c>
      <c r="N50" s="73">
        <f>IF(A50="","",SUMIFS(ERFASSUNG!$K$6:$K$3005,ERFASSUNG!$A$6:$A$3005,A50))</f>
        <v/>
      </c>
      <c r="O50" s="73">
        <f>IF(A50="","",SUMIFS(ERFASSUNG!$L$6:$L$3005,ERFASSUNG!$A$6:$A$3005,A50))</f>
        <v/>
      </c>
      <c r="P50" s="73">
        <f>IF(A50="","",SUMIFS(ERFASSUNG!$M$6:$M$3005,ERFASSUNG!$A$6:$A$3005,A50))</f>
        <v/>
      </c>
      <c r="Q50" s="73">
        <f>IF(A50="","",SUMIFS(ERFASSUNG!$N$6:$N$3005,ERFASSUNG!$A$6:$A$3005,A50))</f>
        <v/>
      </c>
    </row>
    <row r="51">
      <c r="A51" s="72">
        <f>IF(YEAR(DATE(LISTEN!$F$2,1,1)+46)=LISTEN!$F$2,DATE(LISTEN!$F$2,1,1)+46,"")</f>
        <v/>
      </c>
      <c r="B51" s="73">
        <f>IF(A51="","",CHOOSE(WEEKDAY(A51,2),"Mo","Di","Mi","Do","Fr","Sa","So"))</f>
        <v/>
      </c>
      <c r="C51" s="73">
        <f>IF(A51="","",INT((A51-DATE(YEAR(A51-WEEKDAY(A51-1)+4),1,3)+WEEKDAY(DATE(YEAR(A51-WEEKDAY(A51-1)+4),1,3))+5)/7))</f>
        <v/>
      </c>
      <c r="D51" s="73">
        <f>IF(A51="","",MONTH(A51))</f>
        <v/>
      </c>
      <c r="E51" s="73">
        <f>IF(A51="","",WEEKDAY(A51,2))</f>
        <v/>
      </c>
      <c r="F51" s="73">
        <f>IF(A51="","",COUNTIF(ERFASSUNG!$A$6:$A$3005,A51))</f>
        <v/>
      </c>
      <c r="G51" s="73">
        <f>IF(A51="","",IF(F51&gt;0,1,0))</f>
        <v/>
      </c>
      <c r="H51" s="73">
        <f>IF(A51="","",SUMIFS(ERFASSUNG!$E$6:$E$3005,ERFASSUNG!$A$6:$A$3005,A51))</f>
        <v/>
      </c>
      <c r="I51" s="73">
        <f>IF(A51="","",SUMIFS(ERFASSUNG!$F$6:$F$3005,ERFASSUNG!$A$6:$A$3005,A51))</f>
        <v/>
      </c>
      <c r="J51" s="73">
        <f>IF(A51="","",SUMIFS(ERFASSUNG!$G$6:$G$3005,ERFASSUNG!$A$6:$A$3005,A51))</f>
        <v/>
      </c>
      <c r="K51" s="73">
        <f>IF(A51="","",SUMIFS(ERFASSUNG!$H$6:$H$3005,ERFASSUNG!$A$6:$A$3005,A51))</f>
        <v/>
      </c>
      <c r="L51" s="73">
        <f>IF(A51="","",SUMIFS(ERFASSUNG!$I$6:$I$3005,ERFASSUNG!$A$6:$A$3005,A51))</f>
        <v/>
      </c>
      <c r="M51" s="73">
        <f>IF(A51="","",SUMIFS(ERFASSUNG!$J$6:$J$3005,ERFASSUNG!$A$6:$A$3005,A51))</f>
        <v/>
      </c>
      <c r="N51" s="73">
        <f>IF(A51="","",SUMIFS(ERFASSUNG!$K$6:$K$3005,ERFASSUNG!$A$6:$A$3005,A51))</f>
        <v/>
      </c>
      <c r="O51" s="73">
        <f>IF(A51="","",SUMIFS(ERFASSUNG!$L$6:$L$3005,ERFASSUNG!$A$6:$A$3005,A51))</f>
        <v/>
      </c>
      <c r="P51" s="73">
        <f>IF(A51="","",SUMIFS(ERFASSUNG!$M$6:$M$3005,ERFASSUNG!$A$6:$A$3005,A51))</f>
        <v/>
      </c>
      <c r="Q51" s="73">
        <f>IF(A51="","",SUMIFS(ERFASSUNG!$N$6:$N$3005,ERFASSUNG!$A$6:$A$3005,A51))</f>
        <v/>
      </c>
    </row>
    <row r="52">
      <c r="A52" s="72">
        <f>IF(YEAR(DATE(LISTEN!$F$2,1,1)+47)=LISTEN!$F$2,DATE(LISTEN!$F$2,1,1)+47,"")</f>
        <v/>
      </c>
      <c r="B52" s="73">
        <f>IF(A52="","",CHOOSE(WEEKDAY(A52,2),"Mo","Di","Mi","Do","Fr","Sa","So"))</f>
        <v/>
      </c>
      <c r="C52" s="73">
        <f>IF(A52="","",INT((A52-DATE(YEAR(A52-WEEKDAY(A52-1)+4),1,3)+WEEKDAY(DATE(YEAR(A52-WEEKDAY(A52-1)+4),1,3))+5)/7))</f>
        <v/>
      </c>
      <c r="D52" s="73">
        <f>IF(A52="","",MONTH(A52))</f>
        <v/>
      </c>
      <c r="E52" s="73">
        <f>IF(A52="","",WEEKDAY(A52,2))</f>
        <v/>
      </c>
      <c r="F52" s="73">
        <f>IF(A52="","",COUNTIF(ERFASSUNG!$A$6:$A$3005,A52))</f>
        <v/>
      </c>
      <c r="G52" s="73">
        <f>IF(A52="","",IF(F52&gt;0,1,0))</f>
        <v/>
      </c>
      <c r="H52" s="73">
        <f>IF(A52="","",SUMIFS(ERFASSUNG!$E$6:$E$3005,ERFASSUNG!$A$6:$A$3005,A52))</f>
        <v/>
      </c>
      <c r="I52" s="73">
        <f>IF(A52="","",SUMIFS(ERFASSUNG!$F$6:$F$3005,ERFASSUNG!$A$6:$A$3005,A52))</f>
        <v/>
      </c>
      <c r="J52" s="73">
        <f>IF(A52="","",SUMIFS(ERFASSUNG!$G$6:$G$3005,ERFASSUNG!$A$6:$A$3005,A52))</f>
        <v/>
      </c>
      <c r="K52" s="73">
        <f>IF(A52="","",SUMIFS(ERFASSUNG!$H$6:$H$3005,ERFASSUNG!$A$6:$A$3005,A52))</f>
        <v/>
      </c>
      <c r="L52" s="73">
        <f>IF(A52="","",SUMIFS(ERFASSUNG!$I$6:$I$3005,ERFASSUNG!$A$6:$A$3005,A52))</f>
        <v/>
      </c>
      <c r="M52" s="73">
        <f>IF(A52="","",SUMIFS(ERFASSUNG!$J$6:$J$3005,ERFASSUNG!$A$6:$A$3005,A52))</f>
        <v/>
      </c>
      <c r="N52" s="73">
        <f>IF(A52="","",SUMIFS(ERFASSUNG!$K$6:$K$3005,ERFASSUNG!$A$6:$A$3005,A52))</f>
        <v/>
      </c>
      <c r="O52" s="73">
        <f>IF(A52="","",SUMIFS(ERFASSUNG!$L$6:$L$3005,ERFASSUNG!$A$6:$A$3005,A52))</f>
        <v/>
      </c>
      <c r="P52" s="73">
        <f>IF(A52="","",SUMIFS(ERFASSUNG!$M$6:$M$3005,ERFASSUNG!$A$6:$A$3005,A52))</f>
        <v/>
      </c>
      <c r="Q52" s="73">
        <f>IF(A52="","",SUMIFS(ERFASSUNG!$N$6:$N$3005,ERFASSUNG!$A$6:$A$3005,A52))</f>
        <v/>
      </c>
    </row>
    <row r="53">
      <c r="A53" s="72">
        <f>IF(YEAR(DATE(LISTEN!$F$2,1,1)+48)=LISTEN!$F$2,DATE(LISTEN!$F$2,1,1)+48,"")</f>
        <v/>
      </c>
      <c r="B53" s="73">
        <f>IF(A53="","",CHOOSE(WEEKDAY(A53,2),"Mo","Di","Mi","Do","Fr","Sa","So"))</f>
        <v/>
      </c>
      <c r="C53" s="73">
        <f>IF(A53="","",INT((A53-DATE(YEAR(A53-WEEKDAY(A53-1)+4),1,3)+WEEKDAY(DATE(YEAR(A53-WEEKDAY(A53-1)+4),1,3))+5)/7))</f>
        <v/>
      </c>
      <c r="D53" s="73">
        <f>IF(A53="","",MONTH(A53))</f>
        <v/>
      </c>
      <c r="E53" s="73">
        <f>IF(A53="","",WEEKDAY(A53,2))</f>
        <v/>
      </c>
      <c r="F53" s="73">
        <f>IF(A53="","",COUNTIF(ERFASSUNG!$A$6:$A$3005,A53))</f>
        <v/>
      </c>
      <c r="G53" s="73">
        <f>IF(A53="","",IF(F53&gt;0,1,0))</f>
        <v/>
      </c>
      <c r="H53" s="73">
        <f>IF(A53="","",SUMIFS(ERFASSUNG!$E$6:$E$3005,ERFASSUNG!$A$6:$A$3005,A53))</f>
        <v/>
      </c>
      <c r="I53" s="73">
        <f>IF(A53="","",SUMIFS(ERFASSUNG!$F$6:$F$3005,ERFASSUNG!$A$6:$A$3005,A53))</f>
        <v/>
      </c>
      <c r="J53" s="73">
        <f>IF(A53="","",SUMIFS(ERFASSUNG!$G$6:$G$3005,ERFASSUNG!$A$6:$A$3005,A53))</f>
        <v/>
      </c>
      <c r="K53" s="73">
        <f>IF(A53="","",SUMIFS(ERFASSUNG!$H$6:$H$3005,ERFASSUNG!$A$6:$A$3005,A53))</f>
        <v/>
      </c>
      <c r="L53" s="73">
        <f>IF(A53="","",SUMIFS(ERFASSUNG!$I$6:$I$3005,ERFASSUNG!$A$6:$A$3005,A53))</f>
        <v/>
      </c>
      <c r="M53" s="73">
        <f>IF(A53="","",SUMIFS(ERFASSUNG!$J$6:$J$3005,ERFASSUNG!$A$6:$A$3005,A53))</f>
        <v/>
      </c>
      <c r="N53" s="73">
        <f>IF(A53="","",SUMIFS(ERFASSUNG!$K$6:$K$3005,ERFASSUNG!$A$6:$A$3005,A53))</f>
        <v/>
      </c>
      <c r="O53" s="73">
        <f>IF(A53="","",SUMIFS(ERFASSUNG!$L$6:$L$3005,ERFASSUNG!$A$6:$A$3005,A53))</f>
        <v/>
      </c>
      <c r="P53" s="73">
        <f>IF(A53="","",SUMIFS(ERFASSUNG!$M$6:$M$3005,ERFASSUNG!$A$6:$A$3005,A53))</f>
        <v/>
      </c>
      <c r="Q53" s="73">
        <f>IF(A53="","",SUMIFS(ERFASSUNG!$N$6:$N$3005,ERFASSUNG!$A$6:$A$3005,A53))</f>
        <v/>
      </c>
    </row>
    <row r="54">
      <c r="A54" s="72">
        <f>IF(YEAR(DATE(LISTEN!$F$2,1,1)+49)=LISTEN!$F$2,DATE(LISTEN!$F$2,1,1)+49,"")</f>
        <v/>
      </c>
      <c r="B54" s="73">
        <f>IF(A54="","",CHOOSE(WEEKDAY(A54,2),"Mo","Di","Mi","Do","Fr","Sa","So"))</f>
        <v/>
      </c>
      <c r="C54" s="73">
        <f>IF(A54="","",INT((A54-DATE(YEAR(A54-WEEKDAY(A54-1)+4),1,3)+WEEKDAY(DATE(YEAR(A54-WEEKDAY(A54-1)+4),1,3))+5)/7))</f>
        <v/>
      </c>
      <c r="D54" s="73">
        <f>IF(A54="","",MONTH(A54))</f>
        <v/>
      </c>
      <c r="E54" s="73">
        <f>IF(A54="","",WEEKDAY(A54,2))</f>
        <v/>
      </c>
      <c r="F54" s="73">
        <f>IF(A54="","",COUNTIF(ERFASSUNG!$A$6:$A$3005,A54))</f>
        <v/>
      </c>
      <c r="G54" s="73">
        <f>IF(A54="","",IF(F54&gt;0,1,0))</f>
        <v/>
      </c>
      <c r="H54" s="73">
        <f>IF(A54="","",SUMIFS(ERFASSUNG!$E$6:$E$3005,ERFASSUNG!$A$6:$A$3005,A54))</f>
        <v/>
      </c>
      <c r="I54" s="73">
        <f>IF(A54="","",SUMIFS(ERFASSUNG!$F$6:$F$3005,ERFASSUNG!$A$6:$A$3005,A54))</f>
        <v/>
      </c>
      <c r="J54" s="73">
        <f>IF(A54="","",SUMIFS(ERFASSUNG!$G$6:$G$3005,ERFASSUNG!$A$6:$A$3005,A54))</f>
        <v/>
      </c>
      <c r="K54" s="73">
        <f>IF(A54="","",SUMIFS(ERFASSUNG!$H$6:$H$3005,ERFASSUNG!$A$6:$A$3005,A54))</f>
        <v/>
      </c>
      <c r="L54" s="73">
        <f>IF(A54="","",SUMIFS(ERFASSUNG!$I$6:$I$3005,ERFASSUNG!$A$6:$A$3005,A54))</f>
        <v/>
      </c>
      <c r="M54" s="73">
        <f>IF(A54="","",SUMIFS(ERFASSUNG!$J$6:$J$3005,ERFASSUNG!$A$6:$A$3005,A54))</f>
        <v/>
      </c>
      <c r="N54" s="73">
        <f>IF(A54="","",SUMIFS(ERFASSUNG!$K$6:$K$3005,ERFASSUNG!$A$6:$A$3005,A54))</f>
        <v/>
      </c>
      <c r="O54" s="73">
        <f>IF(A54="","",SUMIFS(ERFASSUNG!$L$6:$L$3005,ERFASSUNG!$A$6:$A$3005,A54))</f>
        <v/>
      </c>
      <c r="P54" s="73">
        <f>IF(A54="","",SUMIFS(ERFASSUNG!$M$6:$M$3005,ERFASSUNG!$A$6:$A$3005,A54))</f>
        <v/>
      </c>
      <c r="Q54" s="73">
        <f>IF(A54="","",SUMIFS(ERFASSUNG!$N$6:$N$3005,ERFASSUNG!$A$6:$A$3005,A54))</f>
        <v/>
      </c>
    </row>
    <row r="55">
      <c r="A55" s="72">
        <f>IF(YEAR(DATE(LISTEN!$F$2,1,1)+50)=LISTEN!$F$2,DATE(LISTEN!$F$2,1,1)+50,"")</f>
        <v/>
      </c>
      <c r="B55" s="73">
        <f>IF(A55="","",CHOOSE(WEEKDAY(A55,2),"Mo","Di","Mi","Do","Fr","Sa","So"))</f>
        <v/>
      </c>
      <c r="C55" s="73">
        <f>IF(A55="","",INT((A55-DATE(YEAR(A55-WEEKDAY(A55-1)+4),1,3)+WEEKDAY(DATE(YEAR(A55-WEEKDAY(A55-1)+4),1,3))+5)/7))</f>
        <v/>
      </c>
      <c r="D55" s="73">
        <f>IF(A55="","",MONTH(A55))</f>
        <v/>
      </c>
      <c r="E55" s="73">
        <f>IF(A55="","",WEEKDAY(A55,2))</f>
        <v/>
      </c>
      <c r="F55" s="73">
        <f>IF(A55="","",COUNTIF(ERFASSUNG!$A$6:$A$3005,A55))</f>
        <v/>
      </c>
      <c r="G55" s="73">
        <f>IF(A55="","",IF(F55&gt;0,1,0))</f>
        <v/>
      </c>
      <c r="H55" s="73">
        <f>IF(A55="","",SUMIFS(ERFASSUNG!$E$6:$E$3005,ERFASSUNG!$A$6:$A$3005,A55))</f>
        <v/>
      </c>
      <c r="I55" s="73">
        <f>IF(A55="","",SUMIFS(ERFASSUNG!$F$6:$F$3005,ERFASSUNG!$A$6:$A$3005,A55))</f>
        <v/>
      </c>
      <c r="J55" s="73">
        <f>IF(A55="","",SUMIFS(ERFASSUNG!$G$6:$G$3005,ERFASSUNG!$A$6:$A$3005,A55))</f>
        <v/>
      </c>
      <c r="K55" s="73">
        <f>IF(A55="","",SUMIFS(ERFASSUNG!$H$6:$H$3005,ERFASSUNG!$A$6:$A$3005,A55))</f>
        <v/>
      </c>
      <c r="L55" s="73">
        <f>IF(A55="","",SUMIFS(ERFASSUNG!$I$6:$I$3005,ERFASSUNG!$A$6:$A$3005,A55))</f>
        <v/>
      </c>
      <c r="M55" s="73">
        <f>IF(A55="","",SUMIFS(ERFASSUNG!$J$6:$J$3005,ERFASSUNG!$A$6:$A$3005,A55))</f>
        <v/>
      </c>
      <c r="N55" s="73">
        <f>IF(A55="","",SUMIFS(ERFASSUNG!$K$6:$K$3005,ERFASSUNG!$A$6:$A$3005,A55))</f>
        <v/>
      </c>
      <c r="O55" s="73">
        <f>IF(A55="","",SUMIFS(ERFASSUNG!$L$6:$L$3005,ERFASSUNG!$A$6:$A$3005,A55))</f>
        <v/>
      </c>
      <c r="P55" s="73">
        <f>IF(A55="","",SUMIFS(ERFASSUNG!$M$6:$M$3005,ERFASSUNG!$A$6:$A$3005,A55))</f>
        <v/>
      </c>
      <c r="Q55" s="73">
        <f>IF(A55="","",SUMIFS(ERFASSUNG!$N$6:$N$3005,ERFASSUNG!$A$6:$A$3005,A55))</f>
        <v/>
      </c>
    </row>
    <row r="56">
      <c r="A56" s="72">
        <f>IF(YEAR(DATE(LISTEN!$F$2,1,1)+51)=LISTEN!$F$2,DATE(LISTEN!$F$2,1,1)+51,"")</f>
        <v/>
      </c>
      <c r="B56" s="73">
        <f>IF(A56="","",CHOOSE(WEEKDAY(A56,2),"Mo","Di","Mi","Do","Fr","Sa","So"))</f>
        <v/>
      </c>
      <c r="C56" s="73">
        <f>IF(A56="","",INT((A56-DATE(YEAR(A56-WEEKDAY(A56-1)+4),1,3)+WEEKDAY(DATE(YEAR(A56-WEEKDAY(A56-1)+4),1,3))+5)/7))</f>
        <v/>
      </c>
      <c r="D56" s="73">
        <f>IF(A56="","",MONTH(A56))</f>
        <v/>
      </c>
      <c r="E56" s="73">
        <f>IF(A56="","",WEEKDAY(A56,2))</f>
        <v/>
      </c>
      <c r="F56" s="73">
        <f>IF(A56="","",COUNTIF(ERFASSUNG!$A$6:$A$3005,A56))</f>
        <v/>
      </c>
      <c r="G56" s="73">
        <f>IF(A56="","",IF(F56&gt;0,1,0))</f>
        <v/>
      </c>
      <c r="H56" s="73">
        <f>IF(A56="","",SUMIFS(ERFASSUNG!$E$6:$E$3005,ERFASSUNG!$A$6:$A$3005,A56))</f>
        <v/>
      </c>
      <c r="I56" s="73">
        <f>IF(A56="","",SUMIFS(ERFASSUNG!$F$6:$F$3005,ERFASSUNG!$A$6:$A$3005,A56))</f>
        <v/>
      </c>
      <c r="J56" s="73">
        <f>IF(A56="","",SUMIFS(ERFASSUNG!$G$6:$G$3005,ERFASSUNG!$A$6:$A$3005,A56))</f>
        <v/>
      </c>
      <c r="K56" s="73">
        <f>IF(A56="","",SUMIFS(ERFASSUNG!$H$6:$H$3005,ERFASSUNG!$A$6:$A$3005,A56))</f>
        <v/>
      </c>
      <c r="L56" s="73">
        <f>IF(A56="","",SUMIFS(ERFASSUNG!$I$6:$I$3005,ERFASSUNG!$A$6:$A$3005,A56))</f>
        <v/>
      </c>
      <c r="M56" s="73">
        <f>IF(A56="","",SUMIFS(ERFASSUNG!$J$6:$J$3005,ERFASSUNG!$A$6:$A$3005,A56))</f>
        <v/>
      </c>
      <c r="N56" s="73">
        <f>IF(A56="","",SUMIFS(ERFASSUNG!$K$6:$K$3005,ERFASSUNG!$A$6:$A$3005,A56))</f>
        <v/>
      </c>
      <c r="O56" s="73">
        <f>IF(A56="","",SUMIFS(ERFASSUNG!$L$6:$L$3005,ERFASSUNG!$A$6:$A$3005,A56))</f>
        <v/>
      </c>
      <c r="P56" s="73">
        <f>IF(A56="","",SUMIFS(ERFASSUNG!$M$6:$M$3005,ERFASSUNG!$A$6:$A$3005,A56))</f>
        <v/>
      </c>
      <c r="Q56" s="73">
        <f>IF(A56="","",SUMIFS(ERFASSUNG!$N$6:$N$3005,ERFASSUNG!$A$6:$A$3005,A56))</f>
        <v/>
      </c>
    </row>
    <row r="57">
      <c r="A57" s="72">
        <f>IF(YEAR(DATE(LISTEN!$F$2,1,1)+52)=LISTEN!$F$2,DATE(LISTEN!$F$2,1,1)+52,"")</f>
        <v/>
      </c>
      <c r="B57" s="73">
        <f>IF(A57="","",CHOOSE(WEEKDAY(A57,2),"Mo","Di","Mi","Do","Fr","Sa","So"))</f>
        <v/>
      </c>
      <c r="C57" s="73">
        <f>IF(A57="","",INT((A57-DATE(YEAR(A57-WEEKDAY(A57-1)+4),1,3)+WEEKDAY(DATE(YEAR(A57-WEEKDAY(A57-1)+4),1,3))+5)/7))</f>
        <v/>
      </c>
      <c r="D57" s="73">
        <f>IF(A57="","",MONTH(A57))</f>
        <v/>
      </c>
      <c r="E57" s="73">
        <f>IF(A57="","",WEEKDAY(A57,2))</f>
        <v/>
      </c>
      <c r="F57" s="73">
        <f>IF(A57="","",COUNTIF(ERFASSUNG!$A$6:$A$3005,A57))</f>
        <v/>
      </c>
      <c r="G57" s="73">
        <f>IF(A57="","",IF(F57&gt;0,1,0))</f>
        <v/>
      </c>
      <c r="H57" s="73">
        <f>IF(A57="","",SUMIFS(ERFASSUNG!$E$6:$E$3005,ERFASSUNG!$A$6:$A$3005,A57))</f>
        <v/>
      </c>
      <c r="I57" s="73">
        <f>IF(A57="","",SUMIFS(ERFASSUNG!$F$6:$F$3005,ERFASSUNG!$A$6:$A$3005,A57))</f>
        <v/>
      </c>
      <c r="J57" s="73">
        <f>IF(A57="","",SUMIFS(ERFASSUNG!$G$6:$G$3005,ERFASSUNG!$A$6:$A$3005,A57))</f>
        <v/>
      </c>
      <c r="K57" s="73">
        <f>IF(A57="","",SUMIFS(ERFASSUNG!$H$6:$H$3005,ERFASSUNG!$A$6:$A$3005,A57))</f>
        <v/>
      </c>
      <c r="L57" s="73">
        <f>IF(A57="","",SUMIFS(ERFASSUNG!$I$6:$I$3005,ERFASSUNG!$A$6:$A$3005,A57))</f>
        <v/>
      </c>
      <c r="M57" s="73">
        <f>IF(A57="","",SUMIFS(ERFASSUNG!$J$6:$J$3005,ERFASSUNG!$A$6:$A$3005,A57))</f>
        <v/>
      </c>
      <c r="N57" s="73">
        <f>IF(A57="","",SUMIFS(ERFASSUNG!$K$6:$K$3005,ERFASSUNG!$A$6:$A$3005,A57))</f>
        <v/>
      </c>
      <c r="O57" s="73">
        <f>IF(A57="","",SUMIFS(ERFASSUNG!$L$6:$L$3005,ERFASSUNG!$A$6:$A$3005,A57))</f>
        <v/>
      </c>
      <c r="P57" s="73">
        <f>IF(A57="","",SUMIFS(ERFASSUNG!$M$6:$M$3005,ERFASSUNG!$A$6:$A$3005,A57))</f>
        <v/>
      </c>
      <c r="Q57" s="73">
        <f>IF(A57="","",SUMIFS(ERFASSUNG!$N$6:$N$3005,ERFASSUNG!$A$6:$A$3005,A57))</f>
        <v/>
      </c>
    </row>
    <row r="58">
      <c r="A58" s="72">
        <f>IF(YEAR(DATE(LISTEN!$F$2,1,1)+53)=LISTEN!$F$2,DATE(LISTEN!$F$2,1,1)+53,"")</f>
        <v/>
      </c>
      <c r="B58" s="73">
        <f>IF(A58="","",CHOOSE(WEEKDAY(A58,2),"Mo","Di","Mi","Do","Fr","Sa","So"))</f>
        <v/>
      </c>
      <c r="C58" s="73">
        <f>IF(A58="","",INT((A58-DATE(YEAR(A58-WEEKDAY(A58-1)+4),1,3)+WEEKDAY(DATE(YEAR(A58-WEEKDAY(A58-1)+4),1,3))+5)/7))</f>
        <v/>
      </c>
      <c r="D58" s="73">
        <f>IF(A58="","",MONTH(A58))</f>
        <v/>
      </c>
      <c r="E58" s="73">
        <f>IF(A58="","",WEEKDAY(A58,2))</f>
        <v/>
      </c>
      <c r="F58" s="73">
        <f>IF(A58="","",COUNTIF(ERFASSUNG!$A$6:$A$3005,A58))</f>
        <v/>
      </c>
      <c r="G58" s="73">
        <f>IF(A58="","",IF(F58&gt;0,1,0))</f>
        <v/>
      </c>
      <c r="H58" s="73">
        <f>IF(A58="","",SUMIFS(ERFASSUNG!$E$6:$E$3005,ERFASSUNG!$A$6:$A$3005,A58))</f>
        <v/>
      </c>
      <c r="I58" s="73">
        <f>IF(A58="","",SUMIFS(ERFASSUNG!$F$6:$F$3005,ERFASSUNG!$A$6:$A$3005,A58))</f>
        <v/>
      </c>
      <c r="J58" s="73">
        <f>IF(A58="","",SUMIFS(ERFASSUNG!$G$6:$G$3005,ERFASSUNG!$A$6:$A$3005,A58))</f>
        <v/>
      </c>
      <c r="K58" s="73">
        <f>IF(A58="","",SUMIFS(ERFASSUNG!$H$6:$H$3005,ERFASSUNG!$A$6:$A$3005,A58))</f>
        <v/>
      </c>
      <c r="L58" s="73">
        <f>IF(A58="","",SUMIFS(ERFASSUNG!$I$6:$I$3005,ERFASSUNG!$A$6:$A$3005,A58))</f>
        <v/>
      </c>
      <c r="M58" s="73">
        <f>IF(A58="","",SUMIFS(ERFASSUNG!$J$6:$J$3005,ERFASSUNG!$A$6:$A$3005,A58))</f>
        <v/>
      </c>
      <c r="N58" s="73">
        <f>IF(A58="","",SUMIFS(ERFASSUNG!$K$6:$K$3005,ERFASSUNG!$A$6:$A$3005,A58))</f>
        <v/>
      </c>
      <c r="O58" s="73">
        <f>IF(A58="","",SUMIFS(ERFASSUNG!$L$6:$L$3005,ERFASSUNG!$A$6:$A$3005,A58))</f>
        <v/>
      </c>
      <c r="P58" s="73">
        <f>IF(A58="","",SUMIFS(ERFASSUNG!$M$6:$M$3005,ERFASSUNG!$A$6:$A$3005,A58))</f>
        <v/>
      </c>
      <c r="Q58" s="73">
        <f>IF(A58="","",SUMIFS(ERFASSUNG!$N$6:$N$3005,ERFASSUNG!$A$6:$A$3005,A58))</f>
        <v/>
      </c>
    </row>
    <row r="59">
      <c r="A59" s="72">
        <f>IF(YEAR(DATE(LISTEN!$F$2,1,1)+54)=LISTEN!$F$2,DATE(LISTEN!$F$2,1,1)+54,"")</f>
        <v/>
      </c>
      <c r="B59" s="73">
        <f>IF(A59="","",CHOOSE(WEEKDAY(A59,2),"Mo","Di","Mi","Do","Fr","Sa","So"))</f>
        <v/>
      </c>
      <c r="C59" s="73">
        <f>IF(A59="","",INT((A59-DATE(YEAR(A59-WEEKDAY(A59-1)+4),1,3)+WEEKDAY(DATE(YEAR(A59-WEEKDAY(A59-1)+4),1,3))+5)/7))</f>
        <v/>
      </c>
      <c r="D59" s="73">
        <f>IF(A59="","",MONTH(A59))</f>
        <v/>
      </c>
      <c r="E59" s="73">
        <f>IF(A59="","",WEEKDAY(A59,2))</f>
        <v/>
      </c>
      <c r="F59" s="73">
        <f>IF(A59="","",COUNTIF(ERFASSUNG!$A$6:$A$3005,A59))</f>
        <v/>
      </c>
      <c r="G59" s="73">
        <f>IF(A59="","",IF(F59&gt;0,1,0))</f>
        <v/>
      </c>
      <c r="H59" s="73">
        <f>IF(A59="","",SUMIFS(ERFASSUNG!$E$6:$E$3005,ERFASSUNG!$A$6:$A$3005,A59))</f>
        <v/>
      </c>
      <c r="I59" s="73">
        <f>IF(A59="","",SUMIFS(ERFASSUNG!$F$6:$F$3005,ERFASSUNG!$A$6:$A$3005,A59))</f>
        <v/>
      </c>
      <c r="J59" s="73">
        <f>IF(A59="","",SUMIFS(ERFASSUNG!$G$6:$G$3005,ERFASSUNG!$A$6:$A$3005,A59))</f>
        <v/>
      </c>
      <c r="K59" s="73">
        <f>IF(A59="","",SUMIFS(ERFASSUNG!$H$6:$H$3005,ERFASSUNG!$A$6:$A$3005,A59))</f>
        <v/>
      </c>
      <c r="L59" s="73">
        <f>IF(A59="","",SUMIFS(ERFASSUNG!$I$6:$I$3005,ERFASSUNG!$A$6:$A$3005,A59))</f>
        <v/>
      </c>
      <c r="M59" s="73">
        <f>IF(A59="","",SUMIFS(ERFASSUNG!$J$6:$J$3005,ERFASSUNG!$A$6:$A$3005,A59))</f>
        <v/>
      </c>
      <c r="N59" s="73">
        <f>IF(A59="","",SUMIFS(ERFASSUNG!$K$6:$K$3005,ERFASSUNG!$A$6:$A$3005,A59))</f>
        <v/>
      </c>
      <c r="O59" s="73">
        <f>IF(A59="","",SUMIFS(ERFASSUNG!$L$6:$L$3005,ERFASSUNG!$A$6:$A$3005,A59))</f>
        <v/>
      </c>
      <c r="P59" s="73">
        <f>IF(A59="","",SUMIFS(ERFASSUNG!$M$6:$M$3005,ERFASSUNG!$A$6:$A$3005,A59))</f>
        <v/>
      </c>
      <c r="Q59" s="73">
        <f>IF(A59="","",SUMIFS(ERFASSUNG!$N$6:$N$3005,ERFASSUNG!$A$6:$A$3005,A59))</f>
        <v/>
      </c>
    </row>
    <row r="60">
      <c r="A60" s="72">
        <f>IF(YEAR(DATE(LISTEN!$F$2,1,1)+55)=LISTEN!$F$2,DATE(LISTEN!$F$2,1,1)+55,"")</f>
        <v/>
      </c>
      <c r="B60" s="73">
        <f>IF(A60="","",CHOOSE(WEEKDAY(A60,2),"Mo","Di","Mi","Do","Fr","Sa","So"))</f>
        <v/>
      </c>
      <c r="C60" s="73">
        <f>IF(A60="","",INT((A60-DATE(YEAR(A60-WEEKDAY(A60-1)+4),1,3)+WEEKDAY(DATE(YEAR(A60-WEEKDAY(A60-1)+4),1,3))+5)/7))</f>
        <v/>
      </c>
      <c r="D60" s="73">
        <f>IF(A60="","",MONTH(A60))</f>
        <v/>
      </c>
      <c r="E60" s="73">
        <f>IF(A60="","",WEEKDAY(A60,2))</f>
        <v/>
      </c>
      <c r="F60" s="73">
        <f>IF(A60="","",COUNTIF(ERFASSUNG!$A$6:$A$3005,A60))</f>
        <v/>
      </c>
      <c r="G60" s="73">
        <f>IF(A60="","",IF(F60&gt;0,1,0))</f>
        <v/>
      </c>
      <c r="H60" s="73">
        <f>IF(A60="","",SUMIFS(ERFASSUNG!$E$6:$E$3005,ERFASSUNG!$A$6:$A$3005,A60))</f>
        <v/>
      </c>
      <c r="I60" s="73">
        <f>IF(A60="","",SUMIFS(ERFASSUNG!$F$6:$F$3005,ERFASSUNG!$A$6:$A$3005,A60))</f>
        <v/>
      </c>
      <c r="J60" s="73">
        <f>IF(A60="","",SUMIFS(ERFASSUNG!$G$6:$G$3005,ERFASSUNG!$A$6:$A$3005,A60))</f>
        <v/>
      </c>
      <c r="K60" s="73">
        <f>IF(A60="","",SUMIFS(ERFASSUNG!$H$6:$H$3005,ERFASSUNG!$A$6:$A$3005,A60))</f>
        <v/>
      </c>
      <c r="L60" s="73">
        <f>IF(A60="","",SUMIFS(ERFASSUNG!$I$6:$I$3005,ERFASSUNG!$A$6:$A$3005,A60))</f>
        <v/>
      </c>
      <c r="M60" s="73">
        <f>IF(A60="","",SUMIFS(ERFASSUNG!$J$6:$J$3005,ERFASSUNG!$A$6:$A$3005,A60))</f>
        <v/>
      </c>
      <c r="N60" s="73">
        <f>IF(A60="","",SUMIFS(ERFASSUNG!$K$6:$K$3005,ERFASSUNG!$A$6:$A$3005,A60))</f>
        <v/>
      </c>
      <c r="O60" s="73">
        <f>IF(A60="","",SUMIFS(ERFASSUNG!$L$6:$L$3005,ERFASSUNG!$A$6:$A$3005,A60))</f>
        <v/>
      </c>
      <c r="P60" s="73">
        <f>IF(A60="","",SUMIFS(ERFASSUNG!$M$6:$M$3005,ERFASSUNG!$A$6:$A$3005,A60))</f>
        <v/>
      </c>
      <c r="Q60" s="73">
        <f>IF(A60="","",SUMIFS(ERFASSUNG!$N$6:$N$3005,ERFASSUNG!$A$6:$A$3005,A60))</f>
        <v/>
      </c>
    </row>
    <row r="61">
      <c r="A61" s="72">
        <f>IF(YEAR(DATE(LISTEN!$F$2,1,1)+56)=LISTEN!$F$2,DATE(LISTEN!$F$2,1,1)+56,"")</f>
        <v/>
      </c>
      <c r="B61" s="73">
        <f>IF(A61="","",CHOOSE(WEEKDAY(A61,2),"Mo","Di","Mi","Do","Fr","Sa","So"))</f>
        <v/>
      </c>
      <c r="C61" s="73">
        <f>IF(A61="","",INT((A61-DATE(YEAR(A61-WEEKDAY(A61-1)+4),1,3)+WEEKDAY(DATE(YEAR(A61-WEEKDAY(A61-1)+4),1,3))+5)/7))</f>
        <v/>
      </c>
      <c r="D61" s="73">
        <f>IF(A61="","",MONTH(A61))</f>
        <v/>
      </c>
      <c r="E61" s="73">
        <f>IF(A61="","",WEEKDAY(A61,2))</f>
        <v/>
      </c>
      <c r="F61" s="73">
        <f>IF(A61="","",COUNTIF(ERFASSUNG!$A$6:$A$3005,A61))</f>
        <v/>
      </c>
      <c r="G61" s="73">
        <f>IF(A61="","",IF(F61&gt;0,1,0))</f>
        <v/>
      </c>
      <c r="H61" s="73">
        <f>IF(A61="","",SUMIFS(ERFASSUNG!$E$6:$E$3005,ERFASSUNG!$A$6:$A$3005,A61))</f>
        <v/>
      </c>
      <c r="I61" s="73">
        <f>IF(A61="","",SUMIFS(ERFASSUNG!$F$6:$F$3005,ERFASSUNG!$A$6:$A$3005,A61))</f>
        <v/>
      </c>
      <c r="J61" s="73">
        <f>IF(A61="","",SUMIFS(ERFASSUNG!$G$6:$G$3005,ERFASSUNG!$A$6:$A$3005,A61))</f>
        <v/>
      </c>
      <c r="K61" s="73">
        <f>IF(A61="","",SUMIFS(ERFASSUNG!$H$6:$H$3005,ERFASSUNG!$A$6:$A$3005,A61))</f>
        <v/>
      </c>
      <c r="L61" s="73">
        <f>IF(A61="","",SUMIFS(ERFASSUNG!$I$6:$I$3005,ERFASSUNG!$A$6:$A$3005,A61))</f>
        <v/>
      </c>
      <c r="M61" s="73">
        <f>IF(A61="","",SUMIFS(ERFASSUNG!$J$6:$J$3005,ERFASSUNG!$A$6:$A$3005,A61))</f>
        <v/>
      </c>
      <c r="N61" s="73">
        <f>IF(A61="","",SUMIFS(ERFASSUNG!$K$6:$K$3005,ERFASSUNG!$A$6:$A$3005,A61))</f>
        <v/>
      </c>
      <c r="O61" s="73">
        <f>IF(A61="","",SUMIFS(ERFASSUNG!$L$6:$L$3005,ERFASSUNG!$A$6:$A$3005,A61))</f>
        <v/>
      </c>
      <c r="P61" s="73">
        <f>IF(A61="","",SUMIFS(ERFASSUNG!$M$6:$M$3005,ERFASSUNG!$A$6:$A$3005,A61))</f>
        <v/>
      </c>
      <c r="Q61" s="73">
        <f>IF(A61="","",SUMIFS(ERFASSUNG!$N$6:$N$3005,ERFASSUNG!$A$6:$A$3005,A61))</f>
        <v/>
      </c>
    </row>
    <row r="62">
      <c r="A62" s="72">
        <f>IF(YEAR(DATE(LISTEN!$F$2,1,1)+57)=LISTEN!$F$2,DATE(LISTEN!$F$2,1,1)+57,"")</f>
        <v/>
      </c>
      <c r="B62" s="73">
        <f>IF(A62="","",CHOOSE(WEEKDAY(A62,2),"Mo","Di","Mi","Do","Fr","Sa","So"))</f>
        <v/>
      </c>
      <c r="C62" s="73">
        <f>IF(A62="","",INT((A62-DATE(YEAR(A62-WEEKDAY(A62-1)+4),1,3)+WEEKDAY(DATE(YEAR(A62-WEEKDAY(A62-1)+4),1,3))+5)/7))</f>
        <v/>
      </c>
      <c r="D62" s="73">
        <f>IF(A62="","",MONTH(A62))</f>
        <v/>
      </c>
      <c r="E62" s="73">
        <f>IF(A62="","",WEEKDAY(A62,2))</f>
        <v/>
      </c>
      <c r="F62" s="73">
        <f>IF(A62="","",COUNTIF(ERFASSUNG!$A$6:$A$3005,A62))</f>
        <v/>
      </c>
      <c r="G62" s="73">
        <f>IF(A62="","",IF(F62&gt;0,1,0))</f>
        <v/>
      </c>
      <c r="H62" s="73">
        <f>IF(A62="","",SUMIFS(ERFASSUNG!$E$6:$E$3005,ERFASSUNG!$A$6:$A$3005,A62))</f>
        <v/>
      </c>
      <c r="I62" s="73">
        <f>IF(A62="","",SUMIFS(ERFASSUNG!$F$6:$F$3005,ERFASSUNG!$A$6:$A$3005,A62))</f>
        <v/>
      </c>
      <c r="J62" s="73">
        <f>IF(A62="","",SUMIFS(ERFASSUNG!$G$6:$G$3005,ERFASSUNG!$A$6:$A$3005,A62))</f>
        <v/>
      </c>
      <c r="K62" s="73">
        <f>IF(A62="","",SUMIFS(ERFASSUNG!$H$6:$H$3005,ERFASSUNG!$A$6:$A$3005,A62))</f>
        <v/>
      </c>
      <c r="L62" s="73">
        <f>IF(A62="","",SUMIFS(ERFASSUNG!$I$6:$I$3005,ERFASSUNG!$A$6:$A$3005,A62))</f>
        <v/>
      </c>
      <c r="M62" s="73">
        <f>IF(A62="","",SUMIFS(ERFASSUNG!$J$6:$J$3005,ERFASSUNG!$A$6:$A$3005,A62))</f>
        <v/>
      </c>
      <c r="N62" s="73">
        <f>IF(A62="","",SUMIFS(ERFASSUNG!$K$6:$K$3005,ERFASSUNG!$A$6:$A$3005,A62))</f>
        <v/>
      </c>
      <c r="O62" s="73">
        <f>IF(A62="","",SUMIFS(ERFASSUNG!$L$6:$L$3005,ERFASSUNG!$A$6:$A$3005,A62))</f>
        <v/>
      </c>
      <c r="P62" s="73">
        <f>IF(A62="","",SUMIFS(ERFASSUNG!$M$6:$M$3005,ERFASSUNG!$A$6:$A$3005,A62))</f>
        <v/>
      </c>
      <c r="Q62" s="73">
        <f>IF(A62="","",SUMIFS(ERFASSUNG!$N$6:$N$3005,ERFASSUNG!$A$6:$A$3005,A62))</f>
        <v/>
      </c>
    </row>
    <row r="63">
      <c r="A63" s="72">
        <f>IF(YEAR(DATE(LISTEN!$F$2,1,1)+58)=LISTEN!$F$2,DATE(LISTEN!$F$2,1,1)+58,"")</f>
        <v/>
      </c>
      <c r="B63" s="73">
        <f>IF(A63="","",CHOOSE(WEEKDAY(A63,2),"Mo","Di","Mi","Do","Fr","Sa","So"))</f>
        <v/>
      </c>
      <c r="C63" s="73">
        <f>IF(A63="","",INT((A63-DATE(YEAR(A63-WEEKDAY(A63-1)+4),1,3)+WEEKDAY(DATE(YEAR(A63-WEEKDAY(A63-1)+4),1,3))+5)/7))</f>
        <v/>
      </c>
      <c r="D63" s="73">
        <f>IF(A63="","",MONTH(A63))</f>
        <v/>
      </c>
      <c r="E63" s="73">
        <f>IF(A63="","",WEEKDAY(A63,2))</f>
        <v/>
      </c>
      <c r="F63" s="73">
        <f>IF(A63="","",COUNTIF(ERFASSUNG!$A$6:$A$3005,A63))</f>
        <v/>
      </c>
      <c r="G63" s="73">
        <f>IF(A63="","",IF(F63&gt;0,1,0))</f>
        <v/>
      </c>
      <c r="H63" s="73">
        <f>IF(A63="","",SUMIFS(ERFASSUNG!$E$6:$E$3005,ERFASSUNG!$A$6:$A$3005,A63))</f>
        <v/>
      </c>
      <c r="I63" s="73">
        <f>IF(A63="","",SUMIFS(ERFASSUNG!$F$6:$F$3005,ERFASSUNG!$A$6:$A$3005,A63))</f>
        <v/>
      </c>
      <c r="J63" s="73">
        <f>IF(A63="","",SUMIFS(ERFASSUNG!$G$6:$G$3005,ERFASSUNG!$A$6:$A$3005,A63))</f>
        <v/>
      </c>
      <c r="K63" s="73">
        <f>IF(A63="","",SUMIFS(ERFASSUNG!$H$6:$H$3005,ERFASSUNG!$A$6:$A$3005,A63))</f>
        <v/>
      </c>
      <c r="L63" s="73">
        <f>IF(A63="","",SUMIFS(ERFASSUNG!$I$6:$I$3005,ERFASSUNG!$A$6:$A$3005,A63))</f>
        <v/>
      </c>
      <c r="M63" s="73">
        <f>IF(A63="","",SUMIFS(ERFASSUNG!$J$6:$J$3005,ERFASSUNG!$A$6:$A$3005,A63))</f>
        <v/>
      </c>
      <c r="N63" s="73">
        <f>IF(A63="","",SUMIFS(ERFASSUNG!$K$6:$K$3005,ERFASSUNG!$A$6:$A$3005,A63))</f>
        <v/>
      </c>
      <c r="O63" s="73">
        <f>IF(A63="","",SUMIFS(ERFASSUNG!$L$6:$L$3005,ERFASSUNG!$A$6:$A$3005,A63))</f>
        <v/>
      </c>
      <c r="P63" s="73">
        <f>IF(A63="","",SUMIFS(ERFASSUNG!$M$6:$M$3005,ERFASSUNG!$A$6:$A$3005,A63))</f>
        <v/>
      </c>
      <c r="Q63" s="73">
        <f>IF(A63="","",SUMIFS(ERFASSUNG!$N$6:$N$3005,ERFASSUNG!$A$6:$A$3005,A63))</f>
        <v/>
      </c>
    </row>
    <row r="64">
      <c r="A64" s="72">
        <f>IF(YEAR(DATE(LISTEN!$F$2,1,1)+59)=LISTEN!$F$2,DATE(LISTEN!$F$2,1,1)+59,"")</f>
        <v/>
      </c>
      <c r="B64" s="73">
        <f>IF(A64="","",CHOOSE(WEEKDAY(A64,2),"Mo","Di","Mi","Do","Fr","Sa","So"))</f>
        <v/>
      </c>
      <c r="C64" s="73">
        <f>IF(A64="","",INT((A64-DATE(YEAR(A64-WEEKDAY(A64-1)+4),1,3)+WEEKDAY(DATE(YEAR(A64-WEEKDAY(A64-1)+4),1,3))+5)/7))</f>
        <v/>
      </c>
      <c r="D64" s="73">
        <f>IF(A64="","",MONTH(A64))</f>
        <v/>
      </c>
      <c r="E64" s="73">
        <f>IF(A64="","",WEEKDAY(A64,2))</f>
        <v/>
      </c>
      <c r="F64" s="73">
        <f>IF(A64="","",COUNTIF(ERFASSUNG!$A$6:$A$3005,A64))</f>
        <v/>
      </c>
      <c r="G64" s="73">
        <f>IF(A64="","",IF(F64&gt;0,1,0))</f>
        <v/>
      </c>
      <c r="H64" s="73">
        <f>IF(A64="","",SUMIFS(ERFASSUNG!$E$6:$E$3005,ERFASSUNG!$A$6:$A$3005,A64))</f>
        <v/>
      </c>
      <c r="I64" s="73">
        <f>IF(A64="","",SUMIFS(ERFASSUNG!$F$6:$F$3005,ERFASSUNG!$A$6:$A$3005,A64))</f>
        <v/>
      </c>
      <c r="J64" s="73">
        <f>IF(A64="","",SUMIFS(ERFASSUNG!$G$6:$G$3005,ERFASSUNG!$A$6:$A$3005,A64))</f>
        <v/>
      </c>
      <c r="K64" s="73">
        <f>IF(A64="","",SUMIFS(ERFASSUNG!$H$6:$H$3005,ERFASSUNG!$A$6:$A$3005,A64))</f>
        <v/>
      </c>
      <c r="L64" s="73">
        <f>IF(A64="","",SUMIFS(ERFASSUNG!$I$6:$I$3005,ERFASSUNG!$A$6:$A$3005,A64))</f>
        <v/>
      </c>
      <c r="M64" s="73">
        <f>IF(A64="","",SUMIFS(ERFASSUNG!$J$6:$J$3005,ERFASSUNG!$A$6:$A$3005,A64))</f>
        <v/>
      </c>
      <c r="N64" s="73">
        <f>IF(A64="","",SUMIFS(ERFASSUNG!$K$6:$K$3005,ERFASSUNG!$A$6:$A$3005,A64))</f>
        <v/>
      </c>
      <c r="O64" s="73">
        <f>IF(A64="","",SUMIFS(ERFASSUNG!$L$6:$L$3005,ERFASSUNG!$A$6:$A$3005,A64))</f>
        <v/>
      </c>
      <c r="P64" s="73">
        <f>IF(A64="","",SUMIFS(ERFASSUNG!$M$6:$M$3005,ERFASSUNG!$A$6:$A$3005,A64))</f>
        <v/>
      </c>
      <c r="Q64" s="73">
        <f>IF(A64="","",SUMIFS(ERFASSUNG!$N$6:$N$3005,ERFASSUNG!$A$6:$A$3005,A64))</f>
        <v/>
      </c>
    </row>
    <row r="65">
      <c r="A65" s="72">
        <f>IF(YEAR(DATE(LISTEN!$F$2,1,1)+60)=LISTEN!$F$2,DATE(LISTEN!$F$2,1,1)+60,"")</f>
        <v/>
      </c>
      <c r="B65" s="73">
        <f>IF(A65="","",CHOOSE(WEEKDAY(A65,2),"Mo","Di","Mi","Do","Fr","Sa","So"))</f>
        <v/>
      </c>
      <c r="C65" s="73">
        <f>IF(A65="","",INT((A65-DATE(YEAR(A65-WEEKDAY(A65-1)+4),1,3)+WEEKDAY(DATE(YEAR(A65-WEEKDAY(A65-1)+4),1,3))+5)/7))</f>
        <v/>
      </c>
      <c r="D65" s="73">
        <f>IF(A65="","",MONTH(A65))</f>
        <v/>
      </c>
      <c r="E65" s="73">
        <f>IF(A65="","",WEEKDAY(A65,2))</f>
        <v/>
      </c>
      <c r="F65" s="73">
        <f>IF(A65="","",COUNTIF(ERFASSUNG!$A$6:$A$3005,A65))</f>
        <v/>
      </c>
      <c r="G65" s="73">
        <f>IF(A65="","",IF(F65&gt;0,1,0))</f>
        <v/>
      </c>
      <c r="H65" s="73">
        <f>IF(A65="","",SUMIFS(ERFASSUNG!$E$6:$E$3005,ERFASSUNG!$A$6:$A$3005,A65))</f>
        <v/>
      </c>
      <c r="I65" s="73">
        <f>IF(A65="","",SUMIFS(ERFASSUNG!$F$6:$F$3005,ERFASSUNG!$A$6:$A$3005,A65))</f>
        <v/>
      </c>
      <c r="J65" s="73">
        <f>IF(A65="","",SUMIFS(ERFASSUNG!$G$6:$G$3005,ERFASSUNG!$A$6:$A$3005,A65))</f>
        <v/>
      </c>
      <c r="K65" s="73">
        <f>IF(A65="","",SUMIFS(ERFASSUNG!$H$6:$H$3005,ERFASSUNG!$A$6:$A$3005,A65))</f>
        <v/>
      </c>
      <c r="L65" s="73">
        <f>IF(A65="","",SUMIFS(ERFASSUNG!$I$6:$I$3005,ERFASSUNG!$A$6:$A$3005,A65))</f>
        <v/>
      </c>
      <c r="M65" s="73">
        <f>IF(A65="","",SUMIFS(ERFASSUNG!$J$6:$J$3005,ERFASSUNG!$A$6:$A$3005,A65))</f>
        <v/>
      </c>
      <c r="N65" s="73">
        <f>IF(A65="","",SUMIFS(ERFASSUNG!$K$6:$K$3005,ERFASSUNG!$A$6:$A$3005,A65))</f>
        <v/>
      </c>
      <c r="O65" s="73">
        <f>IF(A65="","",SUMIFS(ERFASSUNG!$L$6:$L$3005,ERFASSUNG!$A$6:$A$3005,A65))</f>
        <v/>
      </c>
      <c r="P65" s="73">
        <f>IF(A65="","",SUMIFS(ERFASSUNG!$M$6:$M$3005,ERFASSUNG!$A$6:$A$3005,A65))</f>
        <v/>
      </c>
      <c r="Q65" s="73">
        <f>IF(A65="","",SUMIFS(ERFASSUNG!$N$6:$N$3005,ERFASSUNG!$A$6:$A$3005,A65))</f>
        <v/>
      </c>
    </row>
    <row r="66">
      <c r="A66" s="72">
        <f>IF(YEAR(DATE(LISTEN!$F$2,1,1)+61)=LISTEN!$F$2,DATE(LISTEN!$F$2,1,1)+61,"")</f>
        <v/>
      </c>
      <c r="B66" s="73">
        <f>IF(A66="","",CHOOSE(WEEKDAY(A66,2),"Mo","Di","Mi","Do","Fr","Sa","So"))</f>
        <v/>
      </c>
      <c r="C66" s="73">
        <f>IF(A66="","",INT((A66-DATE(YEAR(A66-WEEKDAY(A66-1)+4),1,3)+WEEKDAY(DATE(YEAR(A66-WEEKDAY(A66-1)+4),1,3))+5)/7))</f>
        <v/>
      </c>
      <c r="D66" s="73">
        <f>IF(A66="","",MONTH(A66))</f>
        <v/>
      </c>
      <c r="E66" s="73">
        <f>IF(A66="","",WEEKDAY(A66,2))</f>
        <v/>
      </c>
      <c r="F66" s="73">
        <f>IF(A66="","",COUNTIF(ERFASSUNG!$A$6:$A$3005,A66))</f>
        <v/>
      </c>
      <c r="G66" s="73">
        <f>IF(A66="","",IF(F66&gt;0,1,0))</f>
        <v/>
      </c>
      <c r="H66" s="73">
        <f>IF(A66="","",SUMIFS(ERFASSUNG!$E$6:$E$3005,ERFASSUNG!$A$6:$A$3005,A66))</f>
        <v/>
      </c>
      <c r="I66" s="73">
        <f>IF(A66="","",SUMIFS(ERFASSUNG!$F$6:$F$3005,ERFASSUNG!$A$6:$A$3005,A66))</f>
        <v/>
      </c>
      <c r="J66" s="73">
        <f>IF(A66="","",SUMIFS(ERFASSUNG!$G$6:$G$3005,ERFASSUNG!$A$6:$A$3005,A66))</f>
        <v/>
      </c>
      <c r="K66" s="73">
        <f>IF(A66="","",SUMIFS(ERFASSUNG!$H$6:$H$3005,ERFASSUNG!$A$6:$A$3005,A66))</f>
        <v/>
      </c>
      <c r="L66" s="73">
        <f>IF(A66="","",SUMIFS(ERFASSUNG!$I$6:$I$3005,ERFASSUNG!$A$6:$A$3005,A66))</f>
        <v/>
      </c>
      <c r="M66" s="73">
        <f>IF(A66="","",SUMIFS(ERFASSUNG!$J$6:$J$3005,ERFASSUNG!$A$6:$A$3005,A66))</f>
        <v/>
      </c>
      <c r="N66" s="73">
        <f>IF(A66="","",SUMIFS(ERFASSUNG!$K$6:$K$3005,ERFASSUNG!$A$6:$A$3005,A66))</f>
        <v/>
      </c>
      <c r="O66" s="73">
        <f>IF(A66="","",SUMIFS(ERFASSUNG!$L$6:$L$3005,ERFASSUNG!$A$6:$A$3005,A66))</f>
        <v/>
      </c>
      <c r="P66" s="73">
        <f>IF(A66="","",SUMIFS(ERFASSUNG!$M$6:$M$3005,ERFASSUNG!$A$6:$A$3005,A66))</f>
        <v/>
      </c>
      <c r="Q66" s="73">
        <f>IF(A66="","",SUMIFS(ERFASSUNG!$N$6:$N$3005,ERFASSUNG!$A$6:$A$3005,A66))</f>
        <v/>
      </c>
    </row>
    <row r="67">
      <c r="A67" s="72">
        <f>IF(YEAR(DATE(LISTEN!$F$2,1,1)+62)=LISTEN!$F$2,DATE(LISTEN!$F$2,1,1)+62,"")</f>
        <v/>
      </c>
      <c r="B67" s="73">
        <f>IF(A67="","",CHOOSE(WEEKDAY(A67,2),"Mo","Di","Mi","Do","Fr","Sa","So"))</f>
        <v/>
      </c>
      <c r="C67" s="73">
        <f>IF(A67="","",INT((A67-DATE(YEAR(A67-WEEKDAY(A67-1)+4),1,3)+WEEKDAY(DATE(YEAR(A67-WEEKDAY(A67-1)+4),1,3))+5)/7))</f>
        <v/>
      </c>
      <c r="D67" s="73">
        <f>IF(A67="","",MONTH(A67))</f>
        <v/>
      </c>
      <c r="E67" s="73">
        <f>IF(A67="","",WEEKDAY(A67,2))</f>
        <v/>
      </c>
      <c r="F67" s="73">
        <f>IF(A67="","",COUNTIF(ERFASSUNG!$A$6:$A$3005,A67))</f>
        <v/>
      </c>
      <c r="G67" s="73">
        <f>IF(A67="","",IF(F67&gt;0,1,0))</f>
        <v/>
      </c>
      <c r="H67" s="73">
        <f>IF(A67="","",SUMIFS(ERFASSUNG!$E$6:$E$3005,ERFASSUNG!$A$6:$A$3005,A67))</f>
        <v/>
      </c>
      <c r="I67" s="73">
        <f>IF(A67="","",SUMIFS(ERFASSUNG!$F$6:$F$3005,ERFASSUNG!$A$6:$A$3005,A67))</f>
        <v/>
      </c>
      <c r="J67" s="73">
        <f>IF(A67="","",SUMIFS(ERFASSUNG!$G$6:$G$3005,ERFASSUNG!$A$6:$A$3005,A67))</f>
        <v/>
      </c>
      <c r="K67" s="73">
        <f>IF(A67="","",SUMIFS(ERFASSUNG!$H$6:$H$3005,ERFASSUNG!$A$6:$A$3005,A67))</f>
        <v/>
      </c>
      <c r="L67" s="73">
        <f>IF(A67="","",SUMIFS(ERFASSUNG!$I$6:$I$3005,ERFASSUNG!$A$6:$A$3005,A67))</f>
        <v/>
      </c>
      <c r="M67" s="73">
        <f>IF(A67="","",SUMIFS(ERFASSUNG!$J$6:$J$3005,ERFASSUNG!$A$6:$A$3005,A67))</f>
        <v/>
      </c>
      <c r="N67" s="73">
        <f>IF(A67="","",SUMIFS(ERFASSUNG!$K$6:$K$3005,ERFASSUNG!$A$6:$A$3005,A67))</f>
        <v/>
      </c>
      <c r="O67" s="73">
        <f>IF(A67="","",SUMIFS(ERFASSUNG!$L$6:$L$3005,ERFASSUNG!$A$6:$A$3005,A67))</f>
        <v/>
      </c>
      <c r="P67" s="73">
        <f>IF(A67="","",SUMIFS(ERFASSUNG!$M$6:$M$3005,ERFASSUNG!$A$6:$A$3005,A67))</f>
        <v/>
      </c>
      <c r="Q67" s="73">
        <f>IF(A67="","",SUMIFS(ERFASSUNG!$N$6:$N$3005,ERFASSUNG!$A$6:$A$3005,A67))</f>
        <v/>
      </c>
    </row>
    <row r="68">
      <c r="A68" s="72">
        <f>IF(YEAR(DATE(LISTEN!$F$2,1,1)+63)=LISTEN!$F$2,DATE(LISTEN!$F$2,1,1)+63,"")</f>
        <v/>
      </c>
      <c r="B68" s="73">
        <f>IF(A68="","",CHOOSE(WEEKDAY(A68,2),"Mo","Di","Mi","Do","Fr","Sa","So"))</f>
        <v/>
      </c>
      <c r="C68" s="73">
        <f>IF(A68="","",INT((A68-DATE(YEAR(A68-WEEKDAY(A68-1)+4),1,3)+WEEKDAY(DATE(YEAR(A68-WEEKDAY(A68-1)+4),1,3))+5)/7))</f>
        <v/>
      </c>
      <c r="D68" s="73">
        <f>IF(A68="","",MONTH(A68))</f>
        <v/>
      </c>
      <c r="E68" s="73">
        <f>IF(A68="","",WEEKDAY(A68,2))</f>
        <v/>
      </c>
      <c r="F68" s="73">
        <f>IF(A68="","",COUNTIF(ERFASSUNG!$A$6:$A$3005,A68))</f>
        <v/>
      </c>
      <c r="G68" s="73">
        <f>IF(A68="","",IF(F68&gt;0,1,0))</f>
        <v/>
      </c>
      <c r="H68" s="73">
        <f>IF(A68="","",SUMIFS(ERFASSUNG!$E$6:$E$3005,ERFASSUNG!$A$6:$A$3005,A68))</f>
        <v/>
      </c>
      <c r="I68" s="73">
        <f>IF(A68="","",SUMIFS(ERFASSUNG!$F$6:$F$3005,ERFASSUNG!$A$6:$A$3005,A68))</f>
        <v/>
      </c>
      <c r="J68" s="73">
        <f>IF(A68="","",SUMIFS(ERFASSUNG!$G$6:$G$3005,ERFASSUNG!$A$6:$A$3005,A68))</f>
        <v/>
      </c>
      <c r="K68" s="73">
        <f>IF(A68="","",SUMIFS(ERFASSUNG!$H$6:$H$3005,ERFASSUNG!$A$6:$A$3005,A68))</f>
        <v/>
      </c>
      <c r="L68" s="73">
        <f>IF(A68="","",SUMIFS(ERFASSUNG!$I$6:$I$3005,ERFASSUNG!$A$6:$A$3005,A68))</f>
        <v/>
      </c>
      <c r="M68" s="73">
        <f>IF(A68="","",SUMIFS(ERFASSUNG!$J$6:$J$3005,ERFASSUNG!$A$6:$A$3005,A68))</f>
        <v/>
      </c>
      <c r="N68" s="73">
        <f>IF(A68="","",SUMIFS(ERFASSUNG!$K$6:$K$3005,ERFASSUNG!$A$6:$A$3005,A68))</f>
        <v/>
      </c>
      <c r="O68" s="73">
        <f>IF(A68="","",SUMIFS(ERFASSUNG!$L$6:$L$3005,ERFASSUNG!$A$6:$A$3005,A68))</f>
        <v/>
      </c>
      <c r="P68" s="73">
        <f>IF(A68="","",SUMIFS(ERFASSUNG!$M$6:$M$3005,ERFASSUNG!$A$6:$A$3005,A68))</f>
        <v/>
      </c>
      <c r="Q68" s="73">
        <f>IF(A68="","",SUMIFS(ERFASSUNG!$N$6:$N$3005,ERFASSUNG!$A$6:$A$3005,A68))</f>
        <v/>
      </c>
    </row>
    <row r="69">
      <c r="A69" s="72">
        <f>IF(YEAR(DATE(LISTEN!$F$2,1,1)+64)=LISTEN!$F$2,DATE(LISTEN!$F$2,1,1)+64,"")</f>
        <v/>
      </c>
      <c r="B69" s="73">
        <f>IF(A69="","",CHOOSE(WEEKDAY(A69,2),"Mo","Di","Mi","Do","Fr","Sa","So"))</f>
        <v/>
      </c>
      <c r="C69" s="73">
        <f>IF(A69="","",INT((A69-DATE(YEAR(A69-WEEKDAY(A69-1)+4),1,3)+WEEKDAY(DATE(YEAR(A69-WEEKDAY(A69-1)+4),1,3))+5)/7))</f>
        <v/>
      </c>
      <c r="D69" s="73">
        <f>IF(A69="","",MONTH(A69))</f>
        <v/>
      </c>
      <c r="E69" s="73">
        <f>IF(A69="","",WEEKDAY(A69,2))</f>
        <v/>
      </c>
      <c r="F69" s="73">
        <f>IF(A69="","",COUNTIF(ERFASSUNG!$A$6:$A$3005,A69))</f>
        <v/>
      </c>
      <c r="G69" s="73">
        <f>IF(A69="","",IF(F69&gt;0,1,0))</f>
        <v/>
      </c>
      <c r="H69" s="73">
        <f>IF(A69="","",SUMIFS(ERFASSUNG!$E$6:$E$3005,ERFASSUNG!$A$6:$A$3005,A69))</f>
        <v/>
      </c>
      <c r="I69" s="73">
        <f>IF(A69="","",SUMIFS(ERFASSUNG!$F$6:$F$3005,ERFASSUNG!$A$6:$A$3005,A69))</f>
        <v/>
      </c>
      <c r="J69" s="73">
        <f>IF(A69="","",SUMIFS(ERFASSUNG!$G$6:$G$3005,ERFASSUNG!$A$6:$A$3005,A69))</f>
        <v/>
      </c>
      <c r="K69" s="73">
        <f>IF(A69="","",SUMIFS(ERFASSUNG!$H$6:$H$3005,ERFASSUNG!$A$6:$A$3005,A69))</f>
        <v/>
      </c>
      <c r="L69" s="73">
        <f>IF(A69="","",SUMIFS(ERFASSUNG!$I$6:$I$3005,ERFASSUNG!$A$6:$A$3005,A69))</f>
        <v/>
      </c>
      <c r="M69" s="73">
        <f>IF(A69="","",SUMIFS(ERFASSUNG!$J$6:$J$3005,ERFASSUNG!$A$6:$A$3005,A69))</f>
        <v/>
      </c>
      <c r="N69" s="73">
        <f>IF(A69="","",SUMIFS(ERFASSUNG!$K$6:$K$3005,ERFASSUNG!$A$6:$A$3005,A69))</f>
        <v/>
      </c>
      <c r="O69" s="73">
        <f>IF(A69="","",SUMIFS(ERFASSUNG!$L$6:$L$3005,ERFASSUNG!$A$6:$A$3005,A69))</f>
        <v/>
      </c>
      <c r="P69" s="73">
        <f>IF(A69="","",SUMIFS(ERFASSUNG!$M$6:$M$3005,ERFASSUNG!$A$6:$A$3005,A69))</f>
        <v/>
      </c>
      <c r="Q69" s="73">
        <f>IF(A69="","",SUMIFS(ERFASSUNG!$N$6:$N$3005,ERFASSUNG!$A$6:$A$3005,A69))</f>
        <v/>
      </c>
    </row>
    <row r="70">
      <c r="A70" s="72">
        <f>IF(YEAR(DATE(LISTEN!$F$2,1,1)+65)=LISTEN!$F$2,DATE(LISTEN!$F$2,1,1)+65,"")</f>
        <v/>
      </c>
      <c r="B70" s="73">
        <f>IF(A70="","",CHOOSE(WEEKDAY(A70,2),"Mo","Di","Mi","Do","Fr","Sa","So"))</f>
        <v/>
      </c>
      <c r="C70" s="73">
        <f>IF(A70="","",INT((A70-DATE(YEAR(A70-WEEKDAY(A70-1)+4),1,3)+WEEKDAY(DATE(YEAR(A70-WEEKDAY(A70-1)+4),1,3))+5)/7))</f>
        <v/>
      </c>
      <c r="D70" s="73">
        <f>IF(A70="","",MONTH(A70))</f>
        <v/>
      </c>
      <c r="E70" s="73">
        <f>IF(A70="","",WEEKDAY(A70,2))</f>
        <v/>
      </c>
      <c r="F70" s="73">
        <f>IF(A70="","",COUNTIF(ERFASSUNG!$A$6:$A$3005,A70))</f>
        <v/>
      </c>
      <c r="G70" s="73">
        <f>IF(A70="","",IF(F70&gt;0,1,0))</f>
        <v/>
      </c>
      <c r="H70" s="73">
        <f>IF(A70="","",SUMIFS(ERFASSUNG!$E$6:$E$3005,ERFASSUNG!$A$6:$A$3005,A70))</f>
        <v/>
      </c>
      <c r="I70" s="73">
        <f>IF(A70="","",SUMIFS(ERFASSUNG!$F$6:$F$3005,ERFASSUNG!$A$6:$A$3005,A70))</f>
        <v/>
      </c>
      <c r="J70" s="73">
        <f>IF(A70="","",SUMIFS(ERFASSUNG!$G$6:$G$3005,ERFASSUNG!$A$6:$A$3005,A70))</f>
        <v/>
      </c>
      <c r="K70" s="73">
        <f>IF(A70="","",SUMIFS(ERFASSUNG!$H$6:$H$3005,ERFASSUNG!$A$6:$A$3005,A70))</f>
        <v/>
      </c>
      <c r="L70" s="73">
        <f>IF(A70="","",SUMIFS(ERFASSUNG!$I$6:$I$3005,ERFASSUNG!$A$6:$A$3005,A70))</f>
        <v/>
      </c>
      <c r="M70" s="73">
        <f>IF(A70="","",SUMIFS(ERFASSUNG!$J$6:$J$3005,ERFASSUNG!$A$6:$A$3005,A70))</f>
        <v/>
      </c>
      <c r="N70" s="73">
        <f>IF(A70="","",SUMIFS(ERFASSUNG!$K$6:$K$3005,ERFASSUNG!$A$6:$A$3005,A70))</f>
        <v/>
      </c>
      <c r="O70" s="73">
        <f>IF(A70="","",SUMIFS(ERFASSUNG!$L$6:$L$3005,ERFASSUNG!$A$6:$A$3005,A70))</f>
        <v/>
      </c>
      <c r="P70" s="73">
        <f>IF(A70="","",SUMIFS(ERFASSUNG!$M$6:$M$3005,ERFASSUNG!$A$6:$A$3005,A70))</f>
        <v/>
      </c>
      <c r="Q70" s="73">
        <f>IF(A70="","",SUMIFS(ERFASSUNG!$N$6:$N$3005,ERFASSUNG!$A$6:$A$3005,A70))</f>
        <v/>
      </c>
    </row>
    <row r="71">
      <c r="A71" s="72">
        <f>IF(YEAR(DATE(LISTEN!$F$2,1,1)+66)=LISTEN!$F$2,DATE(LISTEN!$F$2,1,1)+66,"")</f>
        <v/>
      </c>
      <c r="B71" s="73">
        <f>IF(A71="","",CHOOSE(WEEKDAY(A71,2),"Mo","Di","Mi","Do","Fr","Sa","So"))</f>
        <v/>
      </c>
      <c r="C71" s="73">
        <f>IF(A71="","",INT((A71-DATE(YEAR(A71-WEEKDAY(A71-1)+4),1,3)+WEEKDAY(DATE(YEAR(A71-WEEKDAY(A71-1)+4),1,3))+5)/7))</f>
        <v/>
      </c>
      <c r="D71" s="73">
        <f>IF(A71="","",MONTH(A71))</f>
        <v/>
      </c>
      <c r="E71" s="73">
        <f>IF(A71="","",WEEKDAY(A71,2))</f>
        <v/>
      </c>
      <c r="F71" s="73">
        <f>IF(A71="","",COUNTIF(ERFASSUNG!$A$6:$A$3005,A71))</f>
        <v/>
      </c>
      <c r="G71" s="73">
        <f>IF(A71="","",IF(F71&gt;0,1,0))</f>
        <v/>
      </c>
      <c r="H71" s="73">
        <f>IF(A71="","",SUMIFS(ERFASSUNG!$E$6:$E$3005,ERFASSUNG!$A$6:$A$3005,A71))</f>
        <v/>
      </c>
      <c r="I71" s="73">
        <f>IF(A71="","",SUMIFS(ERFASSUNG!$F$6:$F$3005,ERFASSUNG!$A$6:$A$3005,A71))</f>
        <v/>
      </c>
      <c r="J71" s="73">
        <f>IF(A71="","",SUMIFS(ERFASSUNG!$G$6:$G$3005,ERFASSUNG!$A$6:$A$3005,A71))</f>
        <v/>
      </c>
      <c r="K71" s="73">
        <f>IF(A71="","",SUMIFS(ERFASSUNG!$H$6:$H$3005,ERFASSUNG!$A$6:$A$3005,A71))</f>
        <v/>
      </c>
      <c r="L71" s="73">
        <f>IF(A71="","",SUMIFS(ERFASSUNG!$I$6:$I$3005,ERFASSUNG!$A$6:$A$3005,A71))</f>
        <v/>
      </c>
      <c r="M71" s="73">
        <f>IF(A71="","",SUMIFS(ERFASSUNG!$J$6:$J$3005,ERFASSUNG!$A$6:$A$3005,A71))</f>
        <v/>
      </c>
      <c r="N71" s="73">
        <f>IF(A71="","",SUMIFS(ERFASSUNG!$K$6:$K$3005,ERFASSUNG!$A$6:$A$3005,A71))</f>
        <v/>
      </c>
      <c r="O71" s="73">
        <f>IF(A71="","",SUMIFS(ERFASSUNG!$L$6:$L$3005,ERFASSUNG!$A$6:$A$3005,A71))</f>
        <v/>
      </c>
      <c r="P71" s="73">
        <f>IF(A71="","",SUMIFS(ERFASSUNG!$M$6:$M$3005,ERFASSUNG!$A$6:$A$3005,A71))</f>
        <v/>
      </c>
      <c r="Q71" s="73">
        <f>IF(A71="","",SUMIFS(ERFASSUNG!$N$6:$N$3005,ERFASSUNG!$A$6:$A$3005,A71))</f>
        <v/>
      </c>
    </row>
    <row r="72">
      <c r="A72" s="72">
        <f>IF(YEAR(DATE(LISTEN!$F$2,1,1)+67)=LISTEN!$F$2,DATE(LISTEN!$F$2,1,1)+67,"")</f>
        <v/>
      </c>
      <c r="B72" s="73">
        <f>IF(A72="","",CHOOSE(WEEKDAY(A72,2),"Mo","Di","Mi","Do","Fr","Sa","So"))</f>
        <v/>
      </c>
      <c r="C72" s="73">
        <f>IF(A72="","",INT((A72-DATE(YEAR(A72-WEEKDAY(A72-1)+4),1,3)+WEEKDAY(DATE(YEAR(A72-WEEKDAY(A72-1)+4),1,3))+5)/7))</f>
        <v/>
      </c>
      <c r="D72" s="73">
        <f>IF(A72="","",MONTH(A72))</f>
        <v/>
      </c>
      <c r="E72" s="73">
        <f>IF(A72="","",WEEKDAY(A72,2))</f>
        <v/>
      </c>
      <c r="F72" s="73">
        <f>IF(A72="","",COUNTIF(ERFASSUNG!$A$6:$A$3005,A72))</f>
        <v/>
      </c>
      <c r="G72" s="73">
        <f>IF(A72="","",IF(F72&gt;0,1,0))</f>
        <v/>
      </c>
      <c r="H72" s="73">
        <f>IF(A72="","",SUMIFS(ERFASSUNG!$E$6:$E$3005,ERFASSUNG!$A$6:$A$3005,A72))</f>
        <v/>
      </c>
      <c r="I72" s="73">
        <f>IF(A72="","",SUMIFS(ERFASSUNG!$F$6:$F$3005,ERFASSUNG!$A$6:$A$3005,A72))</f>
        <v/>
      </c>
      <c r="J72" s="73">
        <f>IF(A72="","",SUMIFS(ERFASSUNG!$G$6:$G$3005,ERFASSUNG!$A$6:$A$3005,A72))</f>
        <v/>
      </c>
      <c r="K72" s="73">
        <f>IF(A72="","",SUMIFS(ERFASSUNG!$H$6:$H$3005,ERFASSUNG!$A$6:$A$3005,A72))</f>
        <v/>
      </c>
      <c r="L72" s="73">
        <f>IF(A72="","",SUMIFS(ERFASSUNG!$I$6:$I$3005,ERFASSUNG!$A$6:$A$3005,A72))</f>
        <v/>
      </c>
      <c r="M72" s="73">
        <f>IF(A72="","",SUMIFS(ERFASSUNG!$J$6:$J$3005,ERFASSUNG!$A$6:$A$3005,A72))</f>
        <v/>
      </c>
      <c r="N72" s="73">
        <f>IF(A72="","",SUMIFS(ERFASSUNG!$K$6:$K$3005,ERFASSUNG!$A$6:$A$3005,A72))</f>
        <v/>
      </c>
      <c r="O72" s="73">
        <f>IF(A72="","",SUMIFS(ERFASSUNG!$L$6:$L$3005,ERFASSUNG!$A$6:$A$3005,A72))</f>
        <v/>
      </c>
      <c r="P72" s="73">
        <f>IF(A72="","",SUMIFS(ERFASSUNG!$M$6:$M$3005,ERFASSUNG!$A$6:$A$3005,A72))</f>
        <v/>
      </c>
      <c r="Q72" s="73">
        <f>IF(A72="","",SUMIFS(ERFASSUNG!$N$6:$N$3005,ERFASSUNG!$A$6:$A$3005,A72))</f>
        <v/>
      </c>
    </row>
    <row r="73">
      <c r="A73" s="72">
        <f>IF(YEAR(DATE(LISTEN!$F$2,1,1)+68)=LISTEN!$F$2,DATE(LISTEN!$F$2,1,1)+68,"")</f>
        <v/>
      </c>
      <c r="B73" s="73">
        <f>IF(A73="","",CHOOSE(WEEKDAY(A73,2),"Mo","Di","Mi","Do","Fr","Sa","So"))</f>
        <v/>
      </c>
      <c r="C73" s="73">
        <f>IF(A73="","",INT((A73-DATE(YEAR(A73-WEEKDAY(A73-1)+4),1,3)+WEEKDAY(DATE(YEAR(A73-WEEKDAY(A73-1)+4),1,3))+5)/7))</f>
        <v/>
      </c>
      <c r="D73" s="73">
        <f>IF(A73="","",MONTH(A73))</f>
        <v/>
      </c>
      <c r="E73" s="73">
        <f>IF(A73="","",WEEKDAY(A73,2))</f>
        <v/>
      </c>
      <c r="F73" s="73">
        <f>IF(A73="","",COUNTIF(ERFASSUNG!$A$6:$A$3005,A73))</f>
        <v/>
      </c>
      <c r="G73" s="73">
        <f>IF(A73="","",IF(F73&gt;0,1,0))</f>
        <v/>
      </c>
      <c r="H73" s="73">
        <f>IF(A73="","",SUMIFS(ERFASSUNG!$E$6:$E$3005,ERFASSUNG!$A$6:$A$3005,A73))</f>
        <v/>
      </c>
      <c r="I73" s="73">
        <f>IF(A73="","",SUMIFS(ERFASSUNG!$F$6:$F$3005,ERFASSUNG!$A$6:$A$3005,A73))</f>
        <v/>
      </c>
      <c r="J73" s="73">
        <f>IF(A73="","",SUMIFS(ERFASSUNG!$G$6:$G$3005,ERFASSUNG!$A$6:$A$3005,A73))</f>
        <v/>
      </c>
      <c r="K73" s="73">
        <f>IF(A73="","",SUMIFS(ERFASSUNG!$H$6:$H$3005,ERFASSUNG!$A$6:$A$3005,A73))</f>
        <v/>
      </c>
      <c r="L73" s="73">
        <f>IF(A73="","",SUMIFS(ERFASSUNG!$I$6:$I$3005,ERFASSUNG!$A$6:$A$3005,A73))</f>
        <v/>
      </c>
      <c r="M73" s="73">
        <f>IF(A73="","",SUMIFS(ERFASSUNG!$J$6:$J$3005,ERFASSUNG!$A$6:$A$3005,A73))</f>
        <v/>
      </c>
      <c r="N73" s="73">
        <f>IF(A73="","",SUMIFS(ERFASSUNG!$K$6:$K$3005,ERFASSUNG!$A$6:$A$3005,A73))</f>
        <v/>
      </c>
      <c r="O73" s="73">
        <f>IF(A73="","",SUMIFS(ERFASSUNG!$L$6:$L$3005,ERFASSUNG!$A$6:$A$3005,A73))</f>
        <v/>
      </c>
      <c r="P73" s="73">
        <f>IF(A73="","",SUMIFS(ERFASSUNG!$M$6:$M$3005,ERFASSUNG!$A$6:$A$3005,A73))</f>
        <v/>
      </c>
      <c r="Q73" s="73">
        <f>IF(A73="","",SUMIFS(ERFASSUNG!$N$6:$N$3005,ERFASSUNG!$A$6:$A$3005,A73))</f>
        <v/>
      </c>
    </row>
    <row r="74">
      <c r="A74" s="72">
        <f>IF(YEAR(DATE(LISTEN!$F$2,1,1)+69)=LISTEN!$F$2,DATE(LISTEN!$F$2,1,1)+69,"")</f>
        <v/>
      </c>
      <c r="B74" s="73">
        <f>IF(A74="","",CHOOSE(WEEKDAY(A74,2),"Mo","Di","Mi","Do","Fr","Sa","So"))</f>
        <v/>
      </c>
      <c r="C74" s="73">
        <f>IF(A74="","",INT((A74-DATE(YEAR(A74-WEEKDAY(A74-1)+4),1,3)+WEEKDAY(DATE(YEAR(A74-WEEKDAY(A74-1)+4),1,3))+5)/7))</f>
        <v/>
      </c>
      <c r="D74" s="73">
        <f>IF(A74="","",MONTH(A74))</f>
        <v/>
      </c>
      <c r="E74" s="73">
        <f>IF(A74="","",WEEKDAY(A74,2))</f>
        <v/>
      </c>
      <c r="F74" s="73">
        <f>IF(A74="","",COUNTIF(ERFASSUNG!$A$6:$A$3005,A74))</f>
        <v/>
      </c>
      <c r="G74" s="73">
        <f>IF(A74="","",IF(F74&gt;0,1,0))</f>
        <v/>
      </c>
      <c r="H74" s="73">
        <f>IF(A74="","",SUMIFS(ERFASSUNG!$E$6:$E$3005,ERFASSUNG!$A$6:$A$3005,A74))</f>
        <v/>
      </c>
      <c r="I74" s="73">
        <f>IF(A74="","",SUMIFS(ERFASSUNG!$F$6:$F$3005,ERFASSUNG!$A$6:$A$3005,A74))</f>
        <v/>
      </c>
      <c r="J74" s="73">
        <f>IF(A74="","",SUMIFS(ERFASSUNG!$G$6:$G$3005,ERFASSUNG!$A$6:$A$3005,A74))</f>
        <v/>
      </c>
      <c r="K74" s="73">
        <f>IF(A74="","",SUMIFS(ERFASSUNG!$H$6:$H$3005,ERFASSUNG!$A$6:$A$3005,A74))</f>
        <v/>
      </c>
      <c r="L74" s="73">
        <f>IF(A74="","",SUMIFS(ERFASSUNG!$I$6:$I$3005,ERFASSUNG!$A$6:$A$3005,A74))</f>
        <v/>
      </c>
      <c r="M74" s="73">
        <f>IF(A74="","",SUMIFS(ERFASSUNG!$J$6:$J$3005,ERFASSUNG!$A$6:$A$3005,A74))</f>
        <v/>
      </c>
      <c r="N74" s="73">
        <f>IF(A74="","",SUMIFS(ERFASSUNG!$K$6:$K$3005,ERFASSUNG!$A$6:$A$3005,A74))</f>
        <v/>
      </c>
      <c r="O74" s="73">
        <f>IF(A74="","",SUMIFS(ERFASSUNG!$L$6:$L$3005,ERFASSUNG!$A$6:$A$3005,A74))</f>
        <v/>
      </c>
      <c r="P74" s="73">
        <f>IF(A74="","",SUMIFS(ERFASSUNG!$M$6:$M$3005,ERFASSUNG!$A$6:$A$3005,A74))</f>
        <v/>
      </c>
      <c r="Q74" s="73">
        <f>IF(A74="","",SUMIFS(ERFASSUNG!$N$6:$N$3005,ERFASSUNG!$A$6:$A$3005,A74))</f>
        <v/>
      </c>
    </row>
    <row r="75">
      <c r="A75" s="72">
        <f>IF(YEAR(DATE(LISTEN!$F$2,1,1)+70)=LISTEN!$F$2,DATE(LISTEN!$F$2,1,1)+70,"")</f>
        <v/>
      </c>
      <c r="B75" s="73">
        <f>IF(A75="","",CHOOSE(WEEKDAY(A75,2),"Mo","Di","Mi","Do","Fr","Sa","So"))</f>
        <v/>
      </c>
      <c r="C75" s="73">
        <f>IF(A75="","",INT((A75-DATE(YEAR(A75-WEEKDAY(A75-1)+4),1,3)+WEEKDAY(DATE(YEAR(A75-WEEKDAY(A75-1)+4),1,3))+5)/7))</f>
        <v/>
      </c>
      <c r="D75" s="73">
        <f>IF(A75="","",MONTH(A75))</f>
        <v/>
      </c>
      <c r="E75" s="73">
        <f>IF(A75="","",WEEKDAY(A75,2))</f>
        <v/>
      </c>
      <c r="F75" s="73">
        <f>IF(A75="","",COUNTIF(ERFASSUNG!$A$6:$A$3005,A75))</f>
        <v/>
      </c>
      <c r="G75" s="73">
        <f>IF(A75="","",IF(F75&gt;0,1,0))</f>
        <v/>
      </c>
      <c r="H75" s="73">
        <f>IF(A75="","",SUMIFS(ERFASSUNG!$E$6:$E$3005,ERFASSUNG!$A$6:$A$3005,A75))</f>
        <v/>
      </c>
      <c r="I75" s="73">
        <f>IF(A75="","",SUMIFS(ERFASSUNG!$F$6:$F$3005,ERFASSUNG!$A$6:$A$3005,A75))</f>
        <v/>
      </c>
      <c r="J75" s="73">
        <f>IF(A75="","",SUMIFS(ERFASSUNG!$G$6:$G$3005,ERFASSUNG!$A$6:$A$3005,A75))</f>
        <v/>
      </c>
      <c r="K75" s="73">
        <f>IF(A75="","",SUMIFS(ERFASSUNG!$H$6:$H$3005,ERFASSUNG!$A$6:$A$3005,A75))</f>
        <v/>
      </c>
      <c r="L75" s="73">
        <f>IF(A75="","",SUMIFS(ERFASSUNG!$I$6:$I$3005,ERFASSUNG!$A$6:$A$3005,A75))</f>
        <v/>
      </c>
      <c r="M75" s="73">
        <f>IF(A75="","",SUMIFS(ERFASSUNG!$J$6:$J$3005,ERFASSUNG!$A$6:$A$3005,A75))</f>
        <v/>
      </c>
      <c r="N75" s="73">
        <f>IF(A75="","",SUMIFS(ERFASSUNG!$K$6:$K$3005,ERFASSUNG!$A$6:$A$3005,A75))</f>
        <v/>
      </c>
      <c r="O75" s="73">
        <f>IF(A75="","",SUMIFS(ERFASSUNG!$L$6:$L$3005,ERFASSUNG!$A$6:$A$3005,A75))</f>
        <v/>
      </c>
      <c r="P75" s="73">
        <f>IF(A75="","",SUMIFS(ERFASSUNG!$M$6:$M$3005,ERFASSUNG!$A$6:$A$3005,A75))</f>
        <v/>
      </c>
      <c r="Q75" s="73">
        <f>IF(A75="","",SUMIFS(ERFASSUNG!$N$6:$N$3005,ERFASSUNG!$A$6:$A$3005,A75))</f>
        <v/>
      </c>
    </row>
    <row r="76">
      <c r="A76" s="72">
        <f>IF(YEAR(DATE(LISTEN!$F$2,1,1)+71)=LISTEN!$F$2,DATE(LISTEN!$F$2,1,1)+71,"")</f>
        <v/>
      </c>
      <c r="B76" s="73">
        <f>IF(A76="","",CHOOSE(WEEKDAY(A76,2),"Mo","Di","Mi","Do","Fr","Sa","So"))</f>
        <v/>
      </c>
      <c r="C76" s="73">
        <f>IF(A76="","",INT((A76-DATE(YEAR(A76-WEEKDAY(A76-1)+4),1,3)+WEEKDAY(DATE(YEAR(A76-WEEKDAY(A76-1)+4),1,3))+5)/7))</f>
        <v/>
      </c>
      <c r="D76" s="73">
        <f>IF(A76="","",MONTH(A76))</f>
        <v/>
      </c>
      <c r="E76" s="73">
        <f>IF(A76="","",WEEKDAY(A76,2))</f>
        <v/>
      </c>
      <c r="F76" s="73">
        <f>IF(A76="","",COUNTIF(ERFASSUNG!$A$6:$A$3005,A76))</f>
        <v/>
      </c>
      <c r="G76" s="73">
        <f>IF(A76="","",IF(F76&gt;0,1,0))</f>
        <v/>
      </c>
      <c r="H76" s="73">
        <f>IF(A76="","",SUMIFS(ERFASSUNG!$E$6:$E$3005,ERFASSUNG!$A$6:$A$3005,A76))</f>
        <v/>
      </c>
      <c r="I76" s="73">
        <f>IF(A76="","",SUMIFS(ERFASSUNG!$F$6:$F$3005,ERFASSUNG!$A$6:$A$3005,A76))</f>
        <v/>
      </c>
      <c r="J76" s="73">
        <f>IF(A76="","",SUMIFS(ERFASSUNG!$G$6:$G$3005,ERFASSUNG!$A$6:$A$3005,A76))</f>
        <v/>
      </c>
      <c r="K76" s="73">
        <f>IF(A76="","",SUMIFS(ERFASSUNG!$H$6:$H$3005,ERFASSUNG!$A$6:$A$3005,A76))</f>
        <v/>
      </c>
      <c r="L76" s="73">
        <f>IF(A76="","",SUMIFS(ERFASSUNG!$I$6:$I$3005,ERFASSUNG!$A$6:$A$3005,A76))</f>
        <v/>
      </c>
      <c r="M76" s="73">
        <f>IF(A76="","",SUMIFS(ERFASSUNG!$J$6:$J$3005,ERFASSUNG!$A$6:$A$3005,A76))</f>
        <v/>
      </c>
      <c r="N76" s="73">
        <f>IF(A76="","",SUMIFS(ERFASSUNG!$K$6:$K$3005,ERFASSUNG!$A$6:$A$3005,A76))</f>
        <v/>
      </c>
      <c r="O76" s="73">
        <f>IF(A76="","",SUMIFS(ERFASSUNG!$L$6:$L$3005,ERFASSUNG!$A$6:$A$3005,A76))</f>
        <v/>
      </c>
      <c r="P76" s="73">
        <f>IF(A76="","",SUMIFS(ERFASSUNG!$M$6:$M$3005,ERFASSUNG!$A$6:$A$3005,A76))</f>
        <v/>
      </c>
      <c r="Q76" s="73">
        <f>IF(A76="","",SUMIFS(ERFASSUNG!$N$6:$N$3005,ERFASSUNG!$A$6:$A$3005,A76))</f>
        <v/>
      </c>
    </row>
    <row r="77">
      <c r="A77" s="72">
        <f>IF(YEAR(DATE(LISTEN!$F$2,1,1)+72)=LISTEN!$F$2,DATE(LISTEN!$F$2,1,1)+72,"")</f>
        <v/>
      </c>
      <c r="B77" s="73">
        <f>IF(A77="","",CHOOSE(WEEKDAY(A77,2),"Mo","Di","Mi","Do","Fr","Sa","So"))</f>
        <v/>
      </c>
      <c r="C77" s="73">
        <f>IF(A77="","",INT((A77-DATE(YEAR(A77-WEEKDAY(A77-1)+4),1,3)+WEEKDAY(DATE(YEAR(A77-WEEKDAY(A77-1)+4),1,3))+5)/7))</f>
        <v/>
      </c>
      <c r="D77" s="73">
        <f>IF(A77="","",MONTH(A77))</f>
        <v/>
      </c>
      <c r="E77" s="73">
        <f>IF(A77="","",WEEKDAY(A77,2))</f>
        <v/>
      </c>
      <c r="F77" s="73">
        <f>IF(A77="","",COUNTIF(ERFASSUNG!$A$6:$A$3005,A77))</f>
        <v/>
      </c>
      <c r="G77" s="73">
        <f>IF(A77="","",IF(F77&gt;0,1,0))</f>
        <v/>
      </c>
      <c r="H77" s="73">
        <f>IF(A77="","",SUMIFS(ERFASSUNG!$E$6:$E$3005,ERFASSUNG!$A$6:$A$3005,A77))</f>
        <v/>
      </c>
      <c r="I77" s="73">
        <f>IF(A77="","",SUMIFS(ERFASSUNG!$F$6:$F$3005,ERFASSUNG!$A$6:$A$3005,A77))</f>
        <v/>
      </c>
      <c r="J77" s="73">
        <f>IF(A77="","",SUMIFS(ERFASSUNG!$G$6:$G$3005,ERFASSUNG!$A$6:$A$3005,A77))</f>
        <v/>
      </c>
      <c r="K77" s="73">
        <f>IF(A77="","",SUMIFS(ERFASSUNG!$H$6:$H$3005,ERFASSUNG!$A$6:$A$3005,A77))</f>
        <v/>
      </c>
      <c r="L77" s="73">
        <f>IF(A77="","",SUMIFS(ERFASSUNG!$I$6:$I$3005,ERFASSUNG!$A$6:$A$3005,A77))</f>
        <v/>
      </c>
      <c r="M77" s="73">
        <f>IF(A77="","",SUMIFS(ERFASSUNG!$J$6:$J$3005,ERFASSUNG!$A$6:$A$3005,A77))</f>
        <v/>
      </c>
      <c r="N77" s="73">
        <f>IF(A77="","",SUMIFS(ERFASSUNG!$K$6:$K$3005,ERFASSUNG!$A$6:$A$3005,A77))</f>
        <v/>
      </c>
      <c r="O77" s="73">
        <f>IF(A77="","",SUMIFS(ERFASSUNG!$L$6:$L$3005,ERFASSUNG!$A$6:$A$3005,A77))</f>
        <v/>
      </c>
      <c r="P77" s="73">
        <f>IF(A77="","",SUMIFS(ERFASSUNG!$M$6:$M$3005,ERFASSUNG!$A$6:$A$3005,A77))</f>
        <v/>
      </c>
      <c r="Q77" s="73">
        <f>IF(A77="","",SUMIFS(ERFASSUNG!$N$6:$N$3005,ERFASSUNG!$A$6:$A$3005,A77))</f>
        <v/>
      </c>
    </row>
    <row r="78">
      <c r="A78" s="72">
        <f>IF(YEAR(DATE(LISTEN!$F$2,1,1)+73)=LISTEN!$F$2,DATE(LISTEN!$F$2,1,1)+73,"")</f>
        <v/>
      </c>
      <c r="B78" s="73">
        <f>IF(A78="","",CHOOSE(WEEKDAY(A78,2),"Mo","Di","Mi","Do","Fr","Sa","So"))</f>
        <v/>
      </c>
      <c r="C78" s="73">
        <f>IF(A78="","",INT((A78-DATE(YEAR(A78-WEEKDAY(A78-1)+4),1,3)+WEEKDAY(DATE(YEAR(A78-WEEKDAY(A78-1)+4),1,3))+5)/7))</f>
        <v/>
      </c>
      <c r="D78" s="73">
        <f>IF(A78="","",MONTH(A78))</f>
        <v/>
      </c>
      <c r="E78" s="73">
        <f>IF(A78="","",WEEKDAY(A78,2))</f>
        <v/>
      </c>
      <c r="F78" s="73">
        <f>IF(A78="","",COUNTIF(ERFASSUNG!$A$6:$A$3005,A78))</f>
        <v/>
      </c>
      <c r="G78" s="73">
        <f>IF(A78="","",IF(F78&gt;0,1,0))</f>
        <v/>
      </c>
      <c r="H78" s="73">
        <f>IF(A78="","",SUMIFS(ERFASSUNG!$E$6:$E$3005,ERFASSUNG!$A$6:$A$3005,A78))</f>
        <v/>
      </c>
      <c r="I78" s="73">
        <f>IF(A78="","",SUMIFS(ERFASSUNG!$F$6:$F$3005,ERFASSUNG!$A$6:$A$3005,A78))</f>
        <v/>
      </c>
      <c r="J78" s="73">
        <f>IF(A78="","",SUMIFS(ERFASSUNG!$G$6:$G$3005,ERFASSUNG!$A$6:$A$3005,A78))</f>
        <v/>
      </c>
      <c r="K78" s="73">
        <f>IF(A78="","",SUMIFS(ERFASSUNG!$H$6:$H$3005,ERFASSUNG!$A$6:$A$3005,A78))</f>
        <v/>
      </c>
      <c r="L78" s="73">
        <f>IF(A78="","",SUMIFS(ERFASSUNG!$I$6:$I$3005,ERFASSUNG!$A$6:$A$3005,A78))</f>
        <v/>
      </c>
      <c r="M78" s="73">
        <f>IF(A78="","",SUMIFS(ERFASSUNG!$J$6:$J$3005,ERFASSUNG!$A$6:$A$3005,A78))</f>
        <v/>
      </c>
      <c r="N78" s="73">
        <f>IF(A78="","",SUMIFS(ERFASSUNG!$K$6:$K$3005,ERFASSUNG!$A$6:$A$3005,A78))</f>
        <v/>
      </c>
      <c r="O78" s="73">
        <f>IF(A78="","",SUMIFS(ERFASSUNG!$L$6:$L$3005,ERFASSUNG!$A$6:$A$3005,A78))</f>
        <v/>
      </c>
      <c r="P78" s="73">
        <f>IF(A78="","",SUMIFS(ERFASSUNG!$M$6:$M$3005,ERFASSUNG!$A$6:$A$3005,A78))</f>
        <v/>
      </c>
      <c r="Q78" s="73">
        <f>IF(A78="","",SUMIFS(ERFASSUNG!$N$6:$N$3005,ERFASSUNG!$A$6:$A$3005,A78))</f>
        <v/>
      </c>
    </row>
    <row r="79">
      <c r="A79" s="72">
        <f>IF(YEAR(DATE(LISTEN!$F$2,1,1)+74)=LISTEN!$F$2,DATE(LISTEN!$F$2,1,1)+74,"")</f>
        <v/>
      </c>
      <c r="B79" s="73">
        <f>IF(A79="","",CHOOSE(WEEKDAY(A79,2),"Mo","Di","Mi","Do","Fr","Sa","So"))</f>
        <v/>
      </c>
      <c r="C79" s="73">
        <f>IF(A79="","",INT((A79-DATE(YEAR(A79-WEEKDAY(A79-1)+4),1,3)+WEEKDAY(DATE(YEAR(A79-WEEKDAY(A79-1)+4),1,3))+5)/7))</f>
        <v/>
      </c>
      <c r="D79" s="73">
        <f>IF(A79="","",MONTH(A79))</f>
        <v/>
      </c>
      <c r="E79" s="73">
        <f>IF(A79="","",WEEKDAY(A79,2))</f>
        <v/>
      </c>
      <c r="F79" s="73">
        <f>IF(A79="","",COUNTIF(ERFASSUNG!$A$6:$A$3005,A79))</f>
        <v/>
      </c>
      <c r="G79" s="73">
        <f>IF(A79="","",IF(F79&gt;0,1,0))</f>
        <v/>
      </c>
      <c r="H79" s="73">
        <f>IF(A79="","",SUMIFS(ERFASSUNG!$E$6:$E$3005,ERFASSUNG!$A$6:$A$3005,A79))</f>
        <v/>
      </c>
      <c r="I79" s="73">
        <f>IF(A79="","",SUMIFS(ERFASSUNG!$F$6:$F$3005,ERFASSUNG!$A$6:$A$3005,A79))</f>
        <v/>
      </c>
      <c r="J79" s="73">
        <f>IF(A79="","",SUMIFS(ERFASSUNG!$G$6:$G$3005,ERFASSUNG!$A$6:$A$3005,A79))</f>
        <v/>
      </c>
      <c r="K79" s="73">
        <f>IF(A79="","",SUMIFS(ERFASSUNG!$H$6:$H$3005,ERFASSUNG!$A$6:$A$3005,A79))</f>
        <v/>
      </c>
      <c r="L79" s="73">
        <f>IF(A79="","",SUMIFS(ERFASSUNG!$I$6:$I$3005,ERFASSUNG!$A$6:$A$3005,A79))</f>
        <v/>
      </c>
      <c r="M79" s="73">
        <f>IF(A79="","",SUMIFS(ERFASSUNG!$J$6:$J$3005,ERFASSUNG!$A$6:$A$3005,A79))</f>
        <v/>
      </c>
      <c r="N79" s="73">
        <f>IF(A79="","",SUMIFS(ERFASSUNG!$K$6:$K$3005,ERFASSUNG!$A$6:$A$3005,A79))</f>
        <v/>
      </c>
      <c r="O79" s="73">
        <f>IF(A79="","",SUMIFS(ERFASSUNG!$L$6:$L$3005,ERFASSUNG!$A$6:$A$3005,A79))</f>
        <v/>
      </c>
      <c r="P79" s="73">
        <f>IF(A79="","",SUMIFS(ERFASSUNG!$M$6:$M$3005,ERFASSUNG!$A$6:$A$3005,A79))</f>
        <v/>
      </c>
      <c r="Q79" s="73">
        <f>IF(A79="","",SUMIFS(ERFASSUNG!$N$6:$N$3005,ERFASSUNG!$A$6:$A$3005,A79))</f>
        <v/>
      </c>
    </row>
    <row r="80">
      <c r="A80" s="72">
        <f>IF(YEAR(DATE(LISTEN!$F$2,1,1)+75)=LISTEN!$F$2,DATE(LISTEN!$F$2,1,1)+75,"")</f>
        <v/>
      </c>
      <c r="B80" s="73">
        <f>IF(A80="","",CHOOSE(WEEKDAY(A80,2),"Mo","Di","Mi","Do","Fr","Sa","So"))</f>
        <v/>
      </c>
      <c r="C80" s="73">
        <f>IF(A80="","",INT((A80-DATE(YEAR(A80-WEEKDAY(A80-1)+4),1,3)+WEEKDAY(DATE(YEAR(A80-WEEKDAY(A80-1)+4),1,3))+5)/7))</f>
        <v/>
      </c>
      <c r="D80" s="73">
        <f>IF(A80="","",MONTH(A80))</f>
        <v/>
      </c>
      <c r="E80" s="73">
        <f>IF(A80="","",WEEKDAY(A80,2))</f>
        <v/>
      </c>
      <c r="F80" s="73">
        <f>IF(A80="","",COUNTIF(ERFASSUNG!$A$6:$A$3005,A80))</f>
        <v/>
      </c>
      <c r="G80" s="73">
        <f>IF(A80="","",IF(F80&gt;0,1,0))</f>
        <v/>
      </c>
      <c r="H80" s="73">
        <f>IF(A80="","",SUMIFS(ERFASSUNG!$E$6:$E$3005,ERFASSUNG!$A$6:$A$3005,A80))</f>
        <v/>
      </c>
      <c r="I80" s="73">
        <f>IF(A80="","",SUMIFS(ERFASSUNG!$F$6:$F$3005,ERFASSUNG!$A$6:$A$3005,A80))</f>
        <v/>
      </c>
      <c r="J80" s="73">
        <f>IF(A80="","",SUMIFS(ERFASSUNG!$G$6:$G$3005,ERFASSUNG!$A$6:$A$3005,A80))</f>
        <v/>
      </c>
      <c r="K80" s="73">
        <f>IF(A80="","",SUMIFS(ERFASSUNG!$H$6:$H$3005,ERFASSUNG!$A$6:$A$3005,A80))</f>
        <v/>
      </c>
      <c r="L80" s="73">
        <f>IF(A80="","",SUMIFS(ERFASSUNG!$I$6:$I$3005,ERFASSUNG!$A$6:$A$3005,A80))</f>
        <v/>
      </c>
      <c r="M80" s="73">
        <f>IF(A80="","",SUMIFS(ERFASSUNG!$J$6:$J$3005,ERFASSUNG!$A$6:$A$3005,A80))</f>
        <v/>
      </c>
      <c r="N80" s="73">
        <f>IF(A80="","",SUMIFS(ERFASSUNG!$K$6:$K$3005,ERFASSUNG!$A$6:$A$3005,A80))</f>
        <v/>
      </c>
      <c r="O80" s="73">
        <f>IF(A80="","",SUMIFS(ERFASSUNG!$L$6:$L$3005,ERFASSUNG!$A$6:$A$3005,A80))</f>
        <v/>
      </c>
      <c r="P80" s="73">
        <f>IF(A80="","",SUMIFS(ERFASSUNG!$M$6:$M$3005,ERFASSUNG!$A$6:$A$3005,A80))</f>
        <v/>
      </c>
      <c r="Q80" s="73">
        <f>IF(A80="","",SUMIFS(ERFASSUNG!$N$6:$N$3005,ERFASSUNG!$A$6:$A$3005,A80))</f>
        <v/>
      </c>
    </row>
    <row r="81">
      <c r="A81" s="72">
        <f>IF(YEAR(DATE(LISTEN!$F$2,1,1)+76)=LISTEN!$F$2,DATE(LISTEN!$F$2,1,1)+76,"")</f>
        <v/>
      </c>
      <c r="B81" s="73">
        <f>IF(A81="","",CHOOSE(WEEKDAY(A81,2),"Mo","Di","Mi","Do","Fr","Sa","So"))</f>
        <v/>
      </c>
      <c r="C81" s="73">
        <f>IF(A81="","",INT((A81-DATE(YEAR(A81-WEEKDAY(A81-1)+4),1,3)+WEEKDAY(DATE(YEAR(A81-WEEKDAY(A81-1)+4),1,3))+5)/7))</f>
        <v/>
      </c>
      <c r="D81" s="73">
        <f>IF(A81="","",MONTH(A81))</f>
        <v/>
      </c>
      <c r="E81" s="73">
        <f>IF(A81="","",WEEKDAY(A81,2))</f>
        <v/>
      </c>
      <c r="F81" s="73">
        <f>IF(A81="","",COUNTIF(ERFASSUNG!$A$6:$A$3005,A81))</f>
        <v/>
      </c>
      <c r="G81" s="73">
        <f>IF(A81="","",IF(F81&gt;0,1,0))</f>
        <v/>
      </c>
      <c r="H81" s="73">
        <f>IF(A81="","",SUMIFS(ERFASSUNG!$E$6:$E$3005,ERFASSUNG!$A$6:$A$3005,A81))</f>
        <v/>
      </c>
      <c r="I81" s="73">
        <f>IF(A81="","",SUMIFS(ERFASSUNG!$F$6:$F$3005,ERFASSUNG!$A$6:$A$3005,A81))</f>
        <v/>
      </c>
      <c r="J81" s="73">
        <f>IF(A81="","",SUMIFS(ERFASSUNG!$G$6:$G$3005,ERFASSUNG!$A$6:$A$3005,A81))</f>
        <v/>
      </c>
      <c r="K81" s="73">
        <f>IF(A81="","",SUMIFS(ERFASSUNG!$H$6:$H$3005,ERFASSUNG!$A$6:$A$3005,A81))</f>
        <v/>
      </c>
      <c r="L81" s="73">
        <f>IF(A81="","",SUMIFS(ERFASSUNG!$I$6:$I$3005,ERFASSUNG!$A$6:$A$3005,A81))</f>
        <v/>
      </c>
      <c r="M81" s="73">
        <f>IF(A81="","",SUMIFS(ERFASSUNG!$J$6:$J$3005,ERFASSUNG!$A$6:$A$3005,A81))</f>
        <v/>
      </c>
      <c r="N81" s="73">
        <f>IF(A81="","",SUMIFS(ERFASSUNG!$K$6:$K$3005,ERFASSUNG!$A$6:$A$3005,A81))</f>
        <v/>
      </c>
      <c r="O81" s="73">
        <f>IF(A81="","",SUMIFS(ERFASSUNG!$L$6:$L$3005,ERFASSUNG!$A$6:$A$3005,A81))</f>
        <v/>
      </c>
      <c r="P81" s="73">
        <f>IF(A81="","",SUMIFS(ERFASSUNG!$M$6:$M$3005,ERFASSUNG!$A$6:$A$3005,A81))</f>
        <v/>
      </c>
      <c r="Q81" s="73">
        <f>IF(A81="","",SUMIFS(ERFASSUNG!$N$6:$N$3005,ERFASSUNG!$A$6:$A$3005,A81))</f>
        <v/>
      </c>
    </row>
    <row r="82">
      <c r="A82" s="72">
        <f>IF(YEAR(DATE(LISTEN!$F$2,1,1)+77)=LISTEN!$F$2,DATE(LISTEN!$F$2,1,1)+77,"")</f>
        <v/>
      </c>
      <c r="B82" s="73">
        <f>IF(A82="","",CHOOSE(WEEKDAY(A82,2),"Mo","Di","Mi","Do","Fr","Sa","So"))</f>
        <v/>
      </c>
      <c r="C82" s="73">
        <f>IF(A82="","",INT((A82-DATE(YEAR(A82-WEEKDAY(A82-1)+4),1,3)+WEEKDAY(DATE(YEAR(A82-WEEKDAY(A82-1)+4),1,3))+5)/7))</f>
        <v/>
      </c>
      <c r="D82" s="73">
        <f>IF(A82="","",MONTH(A82))</f>
        <v/>
      </c>
      <c r="E82" s="73">
        <f>IF(A82="","",WEEKDAY(A82,2))</f>
        <v/>
      </c>
      <c r="F82" s="73">
        <f>IF(A82="","",COUNTIF(ERFASSUNG!$A$6:$A$3005,A82))</f>
        <v/>
      </c>
      <c r="G82" s="73">
        <f>IF(A82="","",IF(F82&gt;0,1,0))</f>
        <v/>
      </c>
      <c r="H82" s="73">
        <f>IF(A82="","",SUMIFS(ERFASSUNG!$E$6:$E$3005,ERFASSUNG!$A$6:$A$3005,A82))</f>
        <v/>
      </c>
      <c r="I82" s="73">
        <f>IF(A82="","",SUMIFS(ERFASSUNG!$F$6:$F$3005,ERFASSUNG!$A$6:$A$3005,A82))</f>
        <v/>
      </c>
      <c r="J82" s="73">
        <f>IF(A82="","",SUMIFS(ERFASSUNG!$G$6:$G$3005,ERFASSUNG!$A$6:$A$3005,A82))</f>
        <v/>
      </c>
      <c r="K82" s="73">
        <f>IF(A82="","",SUMIFS(ERFASSUNG!$H$6:$H$3005,ERFASSUNG!$A$6:$A$3005,A82))</f>
        <v/>
      </c>
      <c r="L82" s="73">
        <f>IF(A82="","",SUMIFS(ERFASSUNG!$I$6:$I$3005,ERFASSUNG!$A$6:$A$3005,A82))</f>
        <v/>
      </c>
      <c r="M82" s="73">
        <f>IF(A82="","",SUMIFS(ERFASSUNG!$J$6:$J$3005,ERFASSUNG!$A$6:$A$3005,A82))</f>
        <v/>
      </c>
      <c r="N82" s="73">
        <f>IF(A82="","",SUMIFS(ERFASSUNG!$K$6:$K$3005,ERFASSUNG!$A$6:$A$3005,A82))</f>
        <v/>
      </c>
      <c r="O82" s="73">
        <f>IF(A82="","",SUMIFS(ERFASSUNG!$L$6:$L$3005,ERFASSUNG!$A$6:$A$3005,A82))</f>
        <v/>
      </c>
      <c r="P82" s="73">
        <f>IF(A82="","",SUMIFS(ERFASSUNG!$M$6:$M$3005,ERFASSUNG!$A$6:$A$3005,A82))</f>
        <v/>
      </c>
      <c r="Q82" s="73">
        <f>IF(A82="","",SUMIFS(ERFASSUNG!$N$6:$N$3005,ERFASSUNG!$A$6:$A$3005,A82))</f>
        <v/>
      </c>
    </row>
    <row r="83">
      <c r="A83" s="72">
        <f>IF(YEAR(DATE(LISTEN!$F$2,1,1)+78)=LISTEN!$F$2,DATE(LISTEN!$F$2,1,1)+78,"")</f>
        <v/>
      </c>
      <c r="B83" s="73">
        <f>IF(A83="","",CHOOSE(WEEKDAY(A83,2),"Mo","Di","Mi","Do","Fr","Sa","So"))</f>
        <v/>
      </c>
      <c r="C83" s="73">
        <f>IF(A83="","",INT((A83-DATE(YEAR(A83-WEEKDAY(A83-1)+4),1,3)+WEEKDAY(DATE(YEAR(A83-WEEKDAY(A83-1)+4),1,3))+5)/7))</f>
        <v/>
      </c>
      <c r="D83" s="73">
        <f>IF(A83="","",MONTH(A83))</f>
        <v/>
      </c>
      <c r="E83" s="73">
        <f>IF(A83="","",WEEKDAY(A83,2))</f>
        <v/>
      </c>
      <c r="F83" s="73">
        <f>IF(A83="","",COUNTIF(ERFASSUNG!$A$6:$A$3005,A83))</f>
        <v/>
      </c>
      <c r="G83" s="73">
        <f>IF(A83="","",IF(F83&gt;0,1,0))</f>
        <v/>
      </c>
      <c r="H83" s="73">
        <f>IF(A83="","",SUMIFS(ERFASSUNG!$E$6:$E$3005,ERFASSUNG!$A$6:$A$3005,A83))</f>
        <v/>
      </c>
      <c r="I83" s="73">
        <f>IF(A83="","",SUMIFS(ERFASSUNG!$F$6:$F$3005,ERFASSUNG!$A$6:$A$3005,A83))</f>
        <v/>
      </c>
      <c r="J83" s="73">
        <f>IF(A83="","",SUMIFS(ERFASSUNG!$G$6:$G$3005,ERFASSUNG!$A$6:$A$3005,A83))</f>
        <v/>
      </c>
      <c r="K83" s="73">
        <f>IF(A83="","",SUMIFS(ERFASSUNG!$H$6:$H$3005,ERFASSUNG!$A$6:$A$3005,A83))</f>
        <v/>
      </c>
      <c r="L83" s="73">
        <f>IF(A83="","",SUMIFS(ERFASSUNG!$I$6:$I$3005,ERFASSUNG!$A$6:$A$3005,A83))</f>
        <v/>
      </c>
      <c r="M83" s="73">
        <f>IF(A83="","",SUMIFS(ERFASSUNG!$J$6:$J$3005,ERFASSUNG!$A$6:$A$3005,A83))</f>
        <v/>
      </c>
      <c r="N83" s="73">
        <f>IF(A83="","",SUMIFS(ERFASSUNG!$K$6:$K$3005,ERFASSUNG!$A$6:$A$3005,A83))</f>
        <v/>
      </c>
      <c r="O83" s="73">
        <f>IF(A83="","",SUMIFS(ERFASSUNG!$L$6:$L$3005,ERFASSUNG!$A$6:$A$3005,A83))</f>
        <v/>
      </c>
      <c r="P83" s="73">
        <f>IF(A83="","",SUMIFS(ERFASSUNG!$M$6:$M$3005,ERFASSUNG!$A$6:$A$3005,A83))</f>
        <v/>
      </c>
      <c r="Q83" s="73">
        <f>IF(A83="","",SUMIFS(ERFASSUNG!$N$6:$N$3005,ERFASSUNG!$A$6:$A$3005,A83))</f>
        <v/>
      </c>
    </row>
    <row r="84">
      <c r="A84" s="72">
        <f>IF(YEAR(DATE(LISTEN!$F$2,1,1)+79)=LISTEN!$F$2,DATE(LISTEN!$F$2,1,1)+79,"")</f>
        <v/>
      </c>
      <c r="B84" s="73">
        <f>IF(A84="","",CHOOSE(WEEKDAY(A84,2),"Mo","Di","Mi","Do","Fr","Sa","So"))</f>
        <v/>
      </c>
      <c r="C84" s="73">
        <f>IF(A84="","",INT((A84-DATE(YEAR(A84-WEEKDAY(A84-1)+4),1,3)+WEEKDAY(DATE(YEAR(A84-WEEKDAY(A84-1)+4),1,3))+5)/7))</f>
        <v/>
      </c>
      <c r="D84" s="73">
        <f>IF(A84="","",MONTH(A84))</f>
        <v/>
      </c>
      <c r="E84" s="73">
        <f>IF(A84="","",WEEKDAY(A84,2))</f>
        <v/>
      </c>
      <c r="F84" s="73">
        <f>IF(A84="","",COUNTIF(ERFASSUNG!$A$6:$A$3005,A84))</f>
        <v/>
      </c>
      <c r="G84" s="73">
        <f>IF(A84="","",IF(F84&gt;0,1,0))</f>
        <v/>
      </c>
      <c r="H84" s="73">
        <f>IF(A84="","",SUMIFS(ERFASSUNG!$E$6:$E$3005,ERFASSUNG!$A$6:$A$3005,A84))</f>
        <v/>
      </c>
      <c r="I84" s="73">
        <f>IF(A84="","",SUMIFS(ERFASSUNG!$F$6:$F$3005,ERFASSUNG!$A$6:$A$3005,A84))</f>
        <v/>
      </c>
      <c r="J84" s="73">
        <f>IF(A84="","",SUMIFS(ERFASSUNG!$G$6:$G$3005,ERFASSUNG!$A$6:$A$3005,A84))</f>
        <v/>
      </c>
      <c r="K84" s="73">
        <f>IF(A84="","",SUMIFS(ERFASSUNG!$H$6:$H$3005,ERFASSUNG!$A$6:$A$3005,A84))</f>
        <v/>
      </c>
      <c r="L84" s="73">
        <f>IF(A84="","",SUMIFS(ERFASSUNG!$I$6:$I$3005,ERFASSUNG!$A$6:$A$3005,A84))</f>
        <v/>
      </c>
      <c r="M84" s="73">
        <f>IF(A84="","",SUMIFS(ERFASSUNG!$J$6:$J$3005,ERFASSUNG!$A$6:$A$3005,A84))</f>
        <v/>
      </c>
      <c r="N84" s="73">
        <f>IF(A84="","",SUMIFS(ERFASSUNG!$K$6:$K$3005,ERFASSUNG!$A$6:$A$3005,A84))</f>
        <v/>
      </c>
      <c r="O84" s="73">
        <f>IF(A84="","",SUMIFS(ERFASSUNG!$L$6:$L$3005,ERFASSUNG!$A$6:$A$3005,A84))</f>
        <v/>
      </c>
      <c r="P84" s="73">
        <f>IF(A84="","",SUMIFS(ERFASSUNG!$M$6:$M$3005,ERFASSUNG!$A$6:$A$3005,A84))</f>
        <v/>
      </c>
      <c r="Q84" s="73">
        <f>IF(A84="","",SUMIFS(ERFASSUNG!$N$6:$N$3005,ERFASSUNG!$A$6:$A$3005,A84))</f>
        <v/>
      </c>
    </row>
    <row r="85">
      <c r="A85" s="72">
        <f>IF(YEAR(DATE(LISTEN!$F$2,1,1)+80)=LISTEN!$F$2,DATE(LISTEN!$F$2,1,1)+80,"")</f>
        <v/>
      </c>
      <c r="B85" s="73">
        <f>IF(A85="","",CHOOSE(WEEKDAY(A85,2),"Mo","Di","Mi","Do","Fr","Sa","So"))</f>
        <v/>
      </c>
      <c r="C85" s="73">
        <f>IF(A85="","",INT((A85-DATE(YEAR(A85-WEEKDAY(A85-1)+4),1,3)+WEEKDAY(DATE(YEAR(A85-WEEKDAY(A85-1)+4),1,3))+5)/7))</f>
        <v/>
      </c>
      <c r="D85" s="73">
        <f>IF(A85="","",MONTH(A85))</f>
        <v/>
      </c>
      <c r="E85" s="73">
        <f>IF(A85="","",WEEKDAY(A85,2))</f>
        <v/>
      </c>
      <c r="F85" s="73">
        <f>IF(A85="","",COUNTIF(ERFASSUNG!$A$6:$A$3005,A85))</f>
        <v/>
      </c>
      <c r="G85" s="73">
        <f>IF(A85="","",IF(F85&gt;0,1,0))</f>
        <v/>
      </c>
      <c r="H85" s="73">
        <f>IF(A85="","",SUMIFS(ERFASSUNG!$E$6:$E$3005,ERFASSUNG!$A$6:$A$3005,A85))</f>
        <v/>
      </c>
      <c r="I85" s="73">
        <f>IF(A85="","",SUMIFS(ERFASSUNG!$F$6:$F$3005,ERFASSUNG!$A$6:$A$3005,A85))</f>
        <v/>
      </c>
      <c r="J85" s="73">
        <f>IF(A85="","",SUMIFS(ERFASSUNG!$G$6:$G$3005,ERFASSUNG!$A$6:$A$3005,A85))</f>
        <v/>
      </c>
      <c r="K85" s="73">
        <f>IF(A85="","",SUMIFS(ERFASSUNG!$H$6:$H$3005,ERFASSUNG!$A$6:$A$3005,A85))</f>
        <v/>
      </c>
      <c r="L85" s="73">
        <f>IF(A85="","",SUMIFS(ERFASSUNG!$I$6:$I$3005,ERFASSUNG!$A$6:$A$3005,A85))</f>
        <v/>
      </c>
      <c r="M85" s="73">
        <f>IF(A85="","",SUMIFS(ERFASSUNG!$J$6:$J$3005,ERFASSUNG!$A$6:$A$3005,A85))</f>
        <v/>
      </c>
      <c r="N85" s="73">
        <f>IF(A85="","",SUMIFS(ERFASSUNG!$K$6:$K$3005,ERFASSUNG!$A$6:$A$3005,A85))</f>
        <v/>
      </c>
      <c r="O85" s="73">
        <f>IF(A85="","",SUMIFS(ERFASSUNG!$L$6:$L$3005,ERFASSUNG!$A$6:$A$3005,A85))</f>
        <v/>
      </c>
      <c r="P85" s="73">
        <f>IF(A85="","",SUMIFS(ERFASSUNG!$M$6:$M$3005,ERFASSUNG!$A$6:$A$3005,A85))</f>
        <v/>
      </c>
      <c r="Q85" s="73">
        <f>IF(A85="","",SUMIFS(ERFASSUNG!$N$6:$N$3005,ERFASSUNG!$A$6:$A$3005,A85))</f>
        <v/>
      </c>
    </row>
    <row r="86">
      <c r="A86" s="72">
        <f>IF(YEAR(DATE(LISTEN!$F$2,1,1)+81)=LISTEN!$F$2,DATE(LISTEN!$F$2,1,1)+81,"")</f>
        <v/>
      </c>
      <c r="B86" s="73">
        <f>IF(A86="","",CHOOSE(WEEKDAY(A86,2),"Mo","Di","Mi","Do","Fr","Sa","So"))</f>
        <v/>
      </c>
      <c r="C86" s="73">
        <f>IF(A86="","",INT((A86-DATE(YEAR(A86-WEEKDAY(A86-1)+4),1,3)+WEEKDAY(DATE(YEAR(A86-WEEKDAY(A86-1)+4),1,3))+5)/7))</f>
        <v/>
      </c>
      <c r="D86" s="73">
        <f>IF(A86="","",MONTH(A86))</f>
        <v/>
      </c>
      <c r="E86" s="73">
        <f>IF(A86="","",WEEKDAY(A86,2))</f>
        <v/>
      </c>
      <c r="F86" s="73">
        <f>IF(A86="","",COUNTIF(ERFASSUNG!$A$6:$A$3005,A86))</f>
        <v/>
      </c>
      <c r="G86" s="73">
        <f>IF(A86="","",IF(F86&gt;0,1,0))</f>
        <v/>
      </c>
      <c r="H86" s="73">
        <f>IF(A86="","",SUMIFS(ERFASSUNG!$E$6:$E$3005,ERFASSUNG!$A$6:$A$3005,A86))</f>
        <v/>
      </c>
      <c r="I86" s="73">
        <f>IF(A86="","",SUMIFS(ERFASSUNG!$F$6:$F$3005,ERFASSUNG!$A$6:$A$3005,A86))</f>
        <v/>
      </c>
      <c r="J86" s="73">
        <f>IF(A86="","",SUMIFS(ERFASSUNG!$G$6:$G$3005,ERFASSUNG!$A$6:$A$3005,A86))</f>
        <v/>
      </c>
      <c r="K86" s="73">
        <f>IF(A86="","",SUMIFS(ERFASSUNG!$H$6:$H$3005,ERFASSUNG!$A$6:$A$3005,A86))</f>
        <v/>
      </c>
      <c r="L86" s="73">
        <f>IF(A86="","",SUMIFS(ERFASSUNG!$I$6:$I$3005,ERFASSUNG!$A$6:$A$3005,A86))</f>
        <v/>
      </c>
      <c r="M86" s="73">
        <f>IF(A86="","",SUMIFS(ERFASSUNG!$J$6:$J$3005,ERFASSUNG!$A$6:$A$3005,A86))</f>
        <v/>
      </c>
      <c r="N86" s="73">
        <f>IF(A86="","",SUMIFS(ERFASSUNG!$K$6:$K$3005,ERFASSUNG!$A$6:$A$3005,A86))</f>
        <v/>
      </c>
      <c r="O86" s="73">
        <f>IF(A86="","",SUMIFS(ERFASSUNG!$L$6:$L$3005,ERFASSUNG!$A$6:$A$3005,A86))</f>
        <v/>
      </c>
      <c r="P86" s="73">
        <f>IF(A86="","",SUMIFS(ERFASSUNG!$M$6:$M$3005,ERFASSUNG!$A$6:$A$3005,A86))</f>
        <v/>
      </c>
      <c r="Q86" s="73">
        <f>IF(A86="","",SUMIFS(ERFASSUNG!$N$6:$N$3005,ERFASSUNG!$A$6:$A$3005,A86))</f>
        <v/>
      </c>
    </row>
    <row r="87">
      <c r="A87" s="72">
        <f>IF(YEAR(DATE(LISTEN!$F$2,1,1)+82)=LISTEN!$F$2,DATE(LISTEN!$F$2,1,1)+82,"")</f>
        <v/>
      </c>
      <c r="B87" s="73">
        <f>IF(A87="","",CHOOSE(WEEKDAY(A87,2),"Mo","Di","Mi","Do","Fr","Sa","So"))</f>
        <v/>
      </c>
      <c r="C87" s="73">
        <f>IF(A87="","",INT((A87-DATE(YEAR(A87-WEEKDAY(A87-1)+4),1,3)+WEEKDAY(DATE(YEAR(A87-WEEKDAY(A87-1)+4),1,3))+5)/7))</f>
        <v/>
      </c>
      <c r="D87" s="73">
        <f>IF(A87="","",MONTH(A87))</f>
        <v/>
      </c>
      <c r="E87" s="73">
        <f>IF(A87="","",WEEKDAY(A87,2))</f>
        <v/>
      </c>
      <c r="F87" s="73">
        <f>IF(A87="","",COUNTIF(ERFASSUNG!$A$6:$A$3005,A87))</f>
        <v/>
      </c>
      <c r="G87" s="73">
        <f>IF(A87="","",IF(F87&gt;0,1,0))</f>
        <v/>
      </c>
      <c r="H87" s="73">
        <f>IF(A87="","",SUMIFS(ERFASSUNG!$E$6:$E$3005,ERFASSUNG!$A$6:$A$3005,A87))</f>
        <v/>
      </c>
      <c r="I87" s="73">
        <f>IF(A87="","",SUMIFS(ERFASSUNG!$F$6:$F$3005,ERFASSUNG!$A$6:$A$3005,A87))</f>
        <v/>
      </c>
      <c r="J87" s="73">
        <f>IF(A87="","",SUMIFS(ERFASSUNG!$G$6:$G$3005,ERFASSUNG!$A$6:$A$3005,A87))</f>
        <v/>
      </c>
      <c r="K87" s="73">
        <f>IF(A87="","",SUMIFS(ERFASSUNG!$H$6:$H$3005,ERFASSUNG!$A$6:$A$3005,A87))</f>
        <v/>
      </c>
      <c r="L87" s="73">
        <f>IF(A87="","",SUMIFS(ERFASSUNG!$I$6:$I$3005,ERFASSUNG!$A$6:$A$3005,A87))</f>
        <v/>
      </c>
      <c r="M87" s="73">
        <f>IF(A87="","",SUMIFS(ERFASSUNG!$J$6:$J$3005,ERFASSUNG!$A$6:$A$3005,A87))</f>
        <v/>
      </c>
      <c r="N87" s="73">
        <f>IF(A87="","",SUMIFS(ERFASSUNG!$K$6:$K$3005,ERFASSUNG!$A$6:$A$3005,A87))</f>
        <v/>
      </c>
      <c r="O87" s="73">
        <f>IF(A87="","",SUMIFS(ERFASSUNG!$L$6:$L$3005,ERFASSUNG!$A$6:$A$3005,A87))</f>
        <v/>
      </c>
      <c r="P87" s="73">
        <f>IF(A87="","",SUMIFS(ERFASSUNG!$M$6:$M$3005,ERFASSUNG!$A$6:$A$3005,A87))</f>
        <v/>
      </c>
      <c r="Q87" s="73">
        <f>IF(A87="","",SUMIFS(ERFASSUNG!$N$6:$N$3005,ERFASSUNG!$A$6:$A$3005,A87))</f>
        <v/>
      </c>
    </row>
    <row r="88">
      <c r="A88" s="72">
        <f>IF(YEAR(DATE(LISTEN!$F$2,1,1)+83)=LISTEN!$F$2,DATE(LISTEN!$F$2,1,1)+83,"")</f>
        <v/>
      </c>
      <c r="B88" s="73">
        <f>IF(A88="","",CHOOSE(WEEKDAY(A88,2),"Mo","Di","Mi","Do","Fr","Sa","So"))</f>
        <v/>
      </c>
      <c r="C88" s="73">
        <f>IF(A88="","",INT((A88-DATE(YEAR(A88-WEEKDAY(A88-1)+4),1,3)+WEEKDAY(DATE(YEAR(A88-WEEKDAY(A88-1)+4),1,3))+5)/7))</f>
        <v/>
      </c>
      <c r="D88" s="73">
        <f>IF(A88="","",MONTH(A88))</f>
        <v/>
      </c>
      <c r="E88" s="73">
        <f>IF(A88="","",WEEKDAY(A88,2))</f>
        <v/>
      </c>
      <c r="F88" s="73">
        <f>IF(A88="","",COUNTIF(ERFASSUNG!$A$6:$A$3005,A88))</f>
        <v/>
      </c>
      <c r="G88" s="73">
        <f>IF(A88="","",IF(F88&gt;0,1,0))</f>
        <v/>
      </c>
      <c r="H88" s="73">
        <f>IF(A88="","",SUMIFS(ERFASSUNG!$E$6:$E$3005,ERFASSUNG!$A$6:$A$3005,A88))</f>
        <v/>
      </c>
      <c r="I88" s="73">
        <f>IF(A88="","",SUMIFS(ERFASSUNG!$F$6:$F$3005,ERFASSUNG!$A$6:$A$3005,A88))</f>
        <v/>
      </c>
      <c r="J88" s="73">
        <f>IF(A88="","",SUMIFS(ERFASSUNG!$G$6:$G$3005,ERFASSUNG!$A$6:$A$3005,A88))</f>
        <v/>
      </c>
      <c r="K88" s="73">
        <f>IF(A88="","",SUMIFS(ERFASSUNG!$H$6:$H$3005,ERFASSUNG!$A$6:$A$3005,A88))</f>
        <v/>
      </c>
      <c r="L88" s="73">
        <f>IF(A88="","",SUMIFS(ERFASSUNG!$I$6:$I$3005,ERFASSUNG!$A$6:$A$3005,A88))</f>
        <v/>
      </c>
      <c r="M88" s="73">
        <f>IF(A88="","",SUMIFS(ERFASSUNG!$J$6:$J$3005,ERFASSUNG!$A$6:$A$3005,A88))</f>
        <v/>
      </c>
      <c r="N88" s="73">
        <f>IF(A88="","",SUMIFS(ERFASSUNG!$K$6:$K$3005,ERFASSUNG!$A$6:$A$3005,A88))</f>
        <v/>
      </c>
      <c r="O88" s="73">
        <f>IF(A88="","",SUMIFS(ERFASSUNG!$L$6:$L$3005,ERFASSUNG!$A$6:$A$3005,A88))</f>
        <v/>
      </c>
      <c r="P88" s="73">
        <f>IF(A88="","",SUMIFS(ERFASSUNG!$M$6:$M$3005,ERFASSUNG!$A$6:$A$3005,A88))</f>
        <v/>
      </c>
      <c r="Q88" s="73">
        <f>IF(A88="","",SUMIFS(ERFASSUNG!$N$6:$N$3005,ERFASSUNG!$A$6:$A$3005,A88))</f>
        <v/>
      </c>
    </row>
    <row r="89">
      <c r="A89" s="72">
        <f>IF(YEAR(DATE(LISTEN!$F$2,1,1)+84)=LISTEN!$F$2,DATE(LISTEN!$F$2,1,1)+84,"")</f>
        <v/>
      </c>
      <c r="B89" s="73">
        <f>IF(A89="","",CHOOSE(WEEKDAY(A89,2),"Mo","Di","Mi","Do","Fr","Sa","So"))</f>
        <v/>
      </c>
      <c r="C89" s="73">
        <f>IF(A89="","",INT((A89-DATE(YEAR(A89-WEEKDAY(A89-1)+4),1,3)+WEEKDAY(DATE(YEAR(A89-WEEKDAY(A89-1)+4),1,3))+5)/7))</f>
        <v/>
      </c>
      <c r="D89" s="73">
        <f>IF(A89="","",MONTH(A89))</f>
        <v/>
      </c>
      <c r="E89" s="73">
        <f>IF(A89="","",WEEKDAY(A89,2))</f>
        <v/>
      </c>
      <c r="F89" s="73">
        <f>IF(A89="","",COUNTIF(ERFASSUNG!$A$6:$A$3005,A89))</f>
        <v/>
      </c>
      <c r="G89" s="73">
        <f>IF(A89="","",IF(F89&gt;0,1,0))</f>
        <v/>
      </c>
      <c r="H89" s="73">
        <f>IF(A89="","",SUMIFS(ERFASSUNG!$E$6:$E$3005,ERFASSUNG!$A$6:$A$3005,A89))</f>
        <v/>
      </c>
      <c r="I89" s="73">
        <f>IF(A89="","",SUMIFS(ERFASSUNG!$F$6:$F$3005,ERFASSUNG!$A$6:$A$3005,A89))</f>
        <v/>
      </c>
      <c r="J89" s="73">
        <f>IF(A89="","",SUMIFS(ERFASSUNG!$G$6:$G$3005,ERFASSUNG!$A$6:$A$3005,A89))</f>
        <v/>
      </c>
      <c r="K89" s="73">
        <f>IF(A89="","",SUMIFS(ERFASSUNG!$H$6:$H$3005,ERFASSUNG!$A$6:$A$3005,A89))</f>
        <v/>
      </c>
      <c r="L89" s="73">
        <f>IF(A89="","",SUMIFS(ERFASSUNG!$I$6:$I$3005,ERFASSUNG!$A$6:$A$3005,A89))</f>
        <v/>
      </c>
      <c r="M89" s="73">
        <f>IF(A89="","",SUMIFS(ERFASSUNG!$J$6:$J$3005,ERFASSUNG!$A$6:$A$3005,A89))</f>
        <v/>
      </c>
      <c r="N89" s="73">
        <f>IF(A89="","",SUMIFS(ERFASSUNG!$K$6:$K$3005,ERFASSUNG!$A$6:$A$3005,A89))</f>
        <v/>
      </c>
      <c r="O89" s="73">
        <f>IF(A89="","",SUMIFS(ERFASSUNG!$L$6:$L$3005,ERFASSUNG!$A$6:$A$3005,A89))</f>
        <v/>
      </c>
      <c r="P89" s="73">
        <f>IF(A89="","",SUMIFS(ERFASSUNG!$M$6:$M$3005,ERFASSUNG!$A$6:$A$3005,A89))</f>
        <v/>
      </c>
      <c r="Q89" s="73">
        <f>IF(A89="","",SUMIFS(ERFASSUNG!$N$6:$N$3005,ERFASSUNG!$A$6:$A$3005,A89))</f>
        <v/>
      </c>
    </row>
    <row r="90">
      <c r="A90" s="72">
        <f>IF(YEAR(DATE(LISTEN!$F$2,1,1)+85)=LISTEN!$F$2,DATE(LISTEN!$F$2,1,1)+85,"")</f>
        <v/>
      </c>
      <c r="B90" s="73">
        <f>IF(A90="","",CHOOSE(WEEKDAY(A90,2),"Mo","Di","Mi","Do","Fr","Sa","So"))</f>
        <v/>
      </c>
      <c r="C90" s="73">
        <f>IF(A90="","",INT((A90-DATE(YEAR(A90-WEEKDAY(A90-1)+4),1,3)+WEEKDAY(DATE(YEAR(A90-WEEKDAY(A90-1)+4),1,3))+5)/7))</f>
        <v/>
      </c>
      <c r="D90" s="73">
        <f>IF(A90="","",MONTH(A90))</f>
        <v/>
      </c>
      <c r="E90" s="73">
        <f>IF(A90="","",WEEKDAY(A90,2))</f>
        <v/>
      </c>
      <c r="F90" s="73">
        <f>IF(A90="","",COUNTIF(ERFASSUNG!$A$6:$A$3005,A90))</f>
        <v/>
      </c>
      <c r="G90" s="73">
        <f>IF(A90="","",IF(F90&gt;0,1,0))</f>
        <v/>
      </c>
      <c r="H90" s="73">
        <f>IF(A90="","",SUMIFS(ERFASSUNG!$E$6:$E$3005,ERFASSUNG!$A$6:$A$3005,A90))</f>
        <v/>
      </c>
      <c r="I90" s="73">
        <f>IF(A90="","",SUMIFS(ERFASSUNG!$F$6:$F$3005,ERFASSUNG!$A$6:$A$3005,A90))</f>
        <v/>
      </c>
      <c r="J90" s="73">
        <f>IF(A90="","",SUMIFS(ERFASSUNG!$G$6:$G$3005,ERFASSUNG!$A$6:$A$3005,A90))</f>
        <v/>
      </c>
      <c r="K90" s="73">
        <f>IF(A90="","",SUMIFS(ERFASSUNG!$H$6:$H$3005,ERFASSUNG!$A$6:$A$3005,A90))</f>
        <v/>
      </c>
      <c r="L90" s="73">
        <f>IF(A90="","",SUMIFS(ERFASSUNG!$I$6:$I$3005,ERFASSUNG!$A$6:$A$3005,A90))</f>
        <v/>
      </c>
      <c r="M90" s="73">
        <f>IF(A90="","",SUMIFS(ERFASSUNG!$J$6:$J$3005,ERFASSUNG!$A$6:$A$3005,A90))</f>
        <v/>
      </c>
      <c r="N90" s="73">
        <f>IF(A90="","",SUMIFS(ERFASSUNG!$K$6:$K$3005,ERFASSUNG!$A$6:$A$3005,A90))</f>
        <v/>
      </c>
      <c r="O90" s="73">
        <f>IF(A90="","",SUMIFS(ERFASSUNG!$L$6:$L$3005,ERFASSUNG!$A$6:$A$3005,A90))</f>
        <v/>
      </c>
      <c r="P90" s="73">
        <f>IF(A90="","",SUMIFS(ERFASSUNG!$M$6:$M$3005,ERFASSUNG!$A$6:$A$3005,A90))</f>
        <v/>
      </c>
      <c r="Q90" s="73">
        <f>IF(A90="","",SUMIFS(ERFASSUNG!$N$6:$N$3005,ERFASSUNG!$A$6:$A$3005,A90))</f>
        <v/>
      </c>
    </row>
    <row r="91">
      <c r="A91" s="72">
        <f>IF(YEAR(DATE(LISTEN!$F$2,1,1)+86)=LISTEN!$F$2,DATE(LISTEN!$F$2,1,1)+86,"")</f>
        <v/>
      </c>
      <c r="B91" s="73">
        <f>IF(A91="","",CHOOSE(WEEKDAY(A91,2),"Mo","Di","Mi","Do","Fr","Sa","So"))</f>
        <v/>
      </c>
      <c r="C91" s="73">
        <f>IF(A91="","",INT((A91-DATE(YEAR(A91-WEEKDAY(A91-1)+4),1,3)+WEEKDAY(DATE(YEAR(A91-WEEKDAY(A91-1)+4),1,3))+5)/7))</f>
        <v/>
      </c>
      <c r="D91" s="73">
        <f>IF(A91="","",MONTH(A91))</f>
        <v/>
      </c>
      <c r="E91" s="73">
        <f>IF(A91="","",WEEKDAY(A91,2))</f>
        <v/>
      </c>
      <c r="F91" s="73">
        <f>IF(A91="","",COUNTIF(ERFASSUNG!$A$6:$A$3005,A91))</f>
        <v/>
      </c>
      <c r="G91" s="73">
        <f>IF(A91="","",IF(F91&gt;0,1,0))</f>
        <v/>
      </c>
      <c r="H91" s="73">
        <f>IF(A91="","",SUMIFS(ERFASSUNG!$E$6:$E$3005,ERFASSUNG!$A$6:$A$3005,A91))</f>
        <v/>
      </c>
      <c r="I91" s="73">
        <f>IF(A91="","",SUMIFS(ERFASSUNG!$F$6:$F$3005,ERFASSUNG!$A$6:$A$3005,A91))</f>
        <v/>
      </c>
      <c r="J91" s="73">
        <f>IF(A91="","",SUMIFS(ERFASSUNG!$G$6:$G$3005,ERFASSUNG!$A$6:$A$3005,A91))</f>
        <v/>
      </c>
      <c r="K91" s="73">
        <f>IF(A91="","",SUMIFS(ERFASSUNG!$H$6:$H$3005,ERFASSUNG!$A$6:$A$3005,A91))</f>
        <v/>
      </c>
      <c r="L91" s="73">
        <f>IF(A91="","",SUMIFS(ERFASSUNG!$I$6:$I$3005,ERFASSUNG!$A$6:$A$3005,A91))</f>
        <v/>
      </c>
      <c r="M91" s="73">
        <f>IF(A91="","",SUMIFS(ERFASSUNG!$J$6:$J$3005,ERFASSUNG!$A$6:$A$3005,A91))</f>
        <v/>
      </c>
      <c r="N91" s="73">
        <f>IF(A91="","",SUMIFS(ERFASSUNG!$K$6:$K$3005,ERFASSUNG!$A$6:$A$3005,A91))</f>
        <v/>
      </c>
      <c r="O91" s="73">
        <f>IF(A91="","",SUMIFS(ERFASSUNG!$L$6:$L$3005,ERFASSUNG!$A$6:$A$3005,A91))</f>
        <v/>
      </c>
      <c r="P91" s="73">
        <f>IF(A91="","",SUMIFS(ERFASSUNG!$M$6:$M$3005,ERFASSUNG!$A$6:$A$3005,A91))</f>
        <v/>
      </c>
      <c r="Q91" s="73">
        <f>IF(A91="","",SUMIFS(ERFASSUNG!$N$6:$N$3005,ERFASSUNG!$A$6:$A$3005,A91))</f>
        <v/>
      </c>
    </row>
    <row r="92">
      <c r="A92" s="72">
        <f>IF(YEAR(DATE(LISTEN!$F$2,1,1)+87)=LISTEN!$F$2,DATE(LISTEN!$F$2,1,1)+87,"")</f>
        <v/>
      </c>
      <c r="B92" s="73">
        <f>IF(A92="","",CHOOSE(WEEKDAY(A92,2),"Mo","Di","Mi","Do","Fr","Sa","So"))</f>
        <v/>
      </c>
      <c r="C92" s="73">
        <f>IF(A92="","",INT((A92-DATE(YEAR(A92-WEEKDAY(A92-1)+4),1,3)+WEEKDAY(DATE(YEAR(A92-WEEKDAY(A92-1)+4),1,3))+5)/7))</f>
        <v/>
      </c>
      <c r="D92" s="73">
        <f>IF(A92="","",MONTH(A92))</f>
        <v/>
      </c>
      <c r="E92" s="73">
        <f>IF(A92="","",WEEKDAY(A92,2))</f>
        <v/>
      </c>
      <c r="F92" s="73">
        <f>IF(A92="","",COUNTIF(ERFASSUNG!$A$6:$A$3005,A92))</f>
        <v/>
      </c>
      <c r="G92" s="73">
        <f>IF(A92="","",IF(F92&gt;0,1,0))</f>
        <v/>
      </c>
      <c r="H92" s="73">
        <f>IF(A92="","",SUMIFS(ERFASSUNG!$E$6:$E$3005,ERFASSUNG!$A$6:$A$3005,A92))</f>
        <v/>
      </c>
      <c r="I92" s="73">
        <f>IF(A92="","",SUMIFS(ERFASSUNG!$F$6:$F$3005,ERFASSUNG!$A$6:$A$3005,A92))</f>
        <v/>
      </c>
      <c r="J92" s="73">
        <f>IF(A92="","",SUMIFS(ERFASSUNG!$G$6:$G$3005,ERFASSUNG!$A$6:$A$3005,A92))</f>
        <v/>
      </c>
      <c r="K92" s="73">
        <f>IF(A92="","",SUMIFS(ERFASSUNG!$H$6:$H$3005,ERFASSUNG!$A$6:$A$3005,A92))</f>
        <v/>
      </c>
      <c r="L92" s="73">
        <f>IF(A92="","",SUMIFS(ERFASSUNG!$I$6:$I$3005,ERFASSUNG!$A$6:$A$3005,A92))</f>
        <v/>
      </c>
      <c r="M92" s="73">
        <f>IF(A92="","",SUMIFS(ERFASSUNG!$J$6:$J$3005,ERFASSUNG!$A$6:$A$3005,A92))</f>
        <v/>
      </c>
      <c r="N92" s="73">
        <f>IF(A92="","",SUMIFS(ERFASSUNG!$K$6:$K$3005,ERFASSUNG!$A$6:$A$3005,A92))</f>
        <v/>
      </c>
      <c r="O92" s="73">
        <f>IF(A92="","",SUMIFS(ERFASSUNG!$L$6:$L$3005,ERFASSUNG!$A$6:$A$3005,A92))</f>
        <v/>
      </c>
      <c r="P92" s="73">
        <f>IF(A92="","",SUMIFS(ERFASSUNG!$M$6:$M$3005,ERFASSUNG!$A$6:$A$3005,A92))</f>
        <v/>
      </c>
      <c r="Q92" s="73">
        <f>IF(A92="","",SUMIFS(ERFASSUNG!$N$6:$N$3005,ERFASSUNG!$A$6:$A$3005,A92))</f>
        <v/>
      </c>
    </row>
    <row r="93">
      <c r="A93" s="72">
        <f>IF(YEAR(DATE(LISTEN!$F$2,1,1)+88)=LISTEN!$F$2,DATE(LISTEN!$F$2,1,1)+88,"")</f>
        <v/>
      </c>
      <c r="B93" s="73">
        <f>IF(A93="","",CHOOSE(WEEKDAY(A93,2),"Mo","Di","Mi","Do","Fr","Sa","So"))</f>
        <v/>
      </c>
      <c r="C93" s="73">
        <f>IF(A93="","",INT((A93-DATE(YEAR(A93-WEEKDAY(A93-1)+4),1,3)+WEEKDAY(DATE(YEAR(A93-WEEKDAY(A93-1)+4),1,3))+5)/7))</f>
        <v/>
      </c>
      <c r="D93" s="73">
        <f>IF(A93="","",MONTH(A93))</f>
        <v/>
      </c>
      <c r="E93" s="73">
        <f>IF(A93="","",WEEKDAY(A93,2))</f>
        <v/>
      </c>
      <c r="F93" s="73">
        <f>IF(A93="","",COUNTIF(ERFASSUNG!$A$6:$A$3005,A93))</f>
        <v/>
      </c>
      <c r="G93" s="73">
        <f>IF(A93="","",IF(F93&gt;0,1,0))</f>
        <v/>
      </c>
      <c r="H93" s="73">
        <f>IF(A93="","",SUMIFS(ERFASSUNG!$E$6:$E$3005,ERFASSUNG!$A$6:$A$3005,A93))</f>
        <v/>
      </c>
      <c r="I93" s="73">
        <f>IF(A93="","",SUMIFS(ERFASSUNG!$F$6:$F$3005,ERFASSUNG!$A$6:$A$3005,A93))</f>
        <v/>
      </c>
      <c r="J93" s="73">
        <f>IF(A93="","",SUMIFS(ERFASSUNG!$G$6:$G$3005,ERFASSUNG!$A$6:$A$3005,A93))</f>
        <v/>
      </c>
      <c r="K93" s="73">
        <f>IF(A93="","",SUMIFS(ERFASSUNG!$H$6:$H$3005,ERFASSUNG!$A$6:$A$3005,A93))</f>
        <v/>
      </c>
      <c r="L93" s="73">
        <f>IF(A93="","",SUMIFS(ERFASSUNG!$I$6:$I$3005,ERFASSUNG!$A$6:$A$3005,A93))</f>
        <v/>
      </c>
      <c r="M93" s="73">
        <f>IF(A93="","",SUMIFS(ERFASSUNG!$J$6:$J$3005,ERFASSUNG!$A$6:$A$3005,A93))</f>
        <v/>
      </c>
      <c r="N93" s="73">
        <f>IF(A93="","",SUMIFS(ERFASSUNG!$K$6:$K$3005,ERFASSUNG!$A$6:$A$3005,A93))</f>
        <v/>
      </c>
      <c r="O93" s="73">
        <f>IF(A93="","",SUMIFS(ERFASSUNG!$L$6:$L$3005,ERFASSUNG!$A$6:$A$3005,A93))</f>
        <v/>
      </c>
      <c r="P93" s="73">
        <f>IF(A93="","",SUMIFS(ERFASSUNG!$M$6:$M$3005,ERFASSUNG!$A$6:$A$3005,A93))</f>
        <v/>
      </c>
      <c r="Q93" s="73">
        <f>IF(A93="","",SUMIFS(ERFASSUNG!$N$6:$N$3005,ERFASSUNG!$A$6:$A$3005,A93))</f>
        <v/>
      </c>
    </row>
    <row r="94">
      <c r="A94" s="72">
        <f>IF(YEAR(DATE(LISTEN!$F$2,1,1)+89)=LISTEN!$F$2,DATE(LISTEN!$F$2,1,1)+89,"")</f>
        <v/>
      </c>
      <c r="B94" s="73">
        <f>IF(A94="","",CHOOSE(WEEKDAY(A94,2),"Mo","Di","Mi","Do","Fr","Sa","So"))</f>
        <v/>
      </c>
      <c r="C94" s="73">
        <f>IF(A94="","",INT((A94-DATE(YEAR(A94-WEEKDAY(A94-1)+4),1,3)+WEEKDAY(DATE(YEAR(A94-WEEKDAY(A94-1)+4),1,3))+5)/7))</f>
        <v/>
      </c>
      <c r="D94" s="73">
        <f>IF(A94="","",MONTH(A94))</f>
        <v/>
      </c>
      <c r="E94" s="73">
        <f>IF(A94="","",WEEKDAY(A94,2))</f>
        <v/>
      </c>
      <c r="F94" s="73">
        <f>IF(A94="","",COUNTIF(ERFASSUNG!$A$6:$A$3005,A94))</f>
        <v/>
      </c>
      <c r="G94" s="73">
        <f>IF(A94="","",IF(F94&gt;0,1,0))</f>
        <v/>
      </c>
      <c r="H94" s="73">
        <f>IF(A94="","",SUMIFS(ERFASSUNG!$E$6:$E$3005,ERFASSUNG!$A$6:$A$3005,A94))</f>
        <v/>
      </c>
      <c r="I94" s="73">
        <f>IF(A94="","",SUMIFS(ERFASSUNG!$F$6:$F$3005,ERFASSUNG!$A$6:$A$3005,A94))</f>
        <v/>
      </c>
      <c r="J94" s="73">
        <f>IF(A94="","",SUMIFS(ERFASSUNG!$G$6:$G$3005,ERFASSUNG!$A$6:$A$3005,A94))</f>
        <v/>
      </c>
      <c r="K94" s="73">
        <f>IF(A94="","",SUMIFS(ERFASSUNG!$H$6:$H$3005,ERFASSUNG!$A$6:$A$3005,A94))</f>
        <v/>
      </c>
      <c r="L94" s="73">
        <f>IF(A94="","",SUMIFS(ERFASSUNG!$I$6:$I$3005,ERFASSUNG!$A$6:$A$3005,A94))</f>
        <v/>
      </c>
      <c r="M94" s="73">
        <f>IF(A94="","",SUMIFS(ERFASSUNG!$J$6:$J$3005,ERFASSUNG!$A$6:$A$3005,A94))</f>
        <v/>
      </c>
      <c r="N94" s="73">
        <f>IF(A94="","",SUMIFS(ERFASSUNG!$K$6:$K$3005,ERFASSUNG!$A$6:$A$3005,A94))</f>
        <v/>
      </c>
      <c r="O94" s="73">
        <f>IF(A94="","",SUMIFS(ERFASSUNG!$L$6:$L$3005,ERFASSUNG!$A$6:$A$3005,A94))</f>
        <v/>
      </c>
      <c r="P94" s="73">
        <f>IF(A94="","",SUMIFS(ERFASSUNG!$M$6:$M$3005,ERFASSUNG!$A$6:$A$3005,A94))</f>
        <v/>
      </c>
      <c r="Q94" s="73">
        <f>IF(A94="","",SUMIFS(ERFASSUNG!$N$6:$N$3005,ERFASSUNG!$A$6:$A$3005,A94))</f>
        <v/>
      </c>
    </row>
    <row r="95">
      <c r="A95" s="72">
        <f>IF(YEAR(DATE(LISTEN!$F$2,1,1)+90)=LISTEN!$F$2,DATE(LISTEN!$F$2,1,1)+90,"")</f>
        <v/>
      </c>
      <c r="B95" s="73">
        <f>IF(A95="","",CHOOSE(WEEKDAY(A95,2),"Mo","Di","Mi","Do","Fr","Sa","So"))</f>
        <v/>
      </c>
      <c r="C95" s="73">
        <f>IF(A95="","",INT((A95-DATE(YEAR(A95-WEEKDAY(A95-1)+4),1,3)+WEEKDAY(DATE(YEAR(A95-WEEKDAY(A95-1)+4),1,3))+5)/7))</f>
        <v/>
      </c>
      <c r="D95" s="73">
        <f>IF(A95="","",MONTH(A95))</f>
        <v/>
      </c>
      <c r="E95" s="73">
        <f>IF(A95="","",WEEKDAY(A95,2))</f>
        <v/>
      </c>
      <c r="F95" s="73">
        <f>IF(A95="","",COUNTIF(ERFASSUNG!$A$6:$A$3005,A95))</f>
        <v/>
      </c>
      <c r="G95" s="73">
        <f>IF(A95="","",IF(F95&gt;0,1,0))</f>
        <v/>
      </c>
      <c r="H95" s="73">
        <f>IF(A95="","",SUMIFS(ERFASSUNG!$E$6:$E$3005,ERFASSUNG!$A$6:$A$3005,A95))</f>
        <v/>
      </c>
      <c r="I95" s="73">
        <f>IF(A95="","",SUMIFS(ERFASSUNG!$F$6:$F$3005,ERFASSUNG!$A$6:$A$3005,A95))</f>
        <v/>
      </c>
      <c r="J95" s="73">
        <f>IF(A95="","",SUMIFS(ERFASSUNG!$G$6:$G$3005,ERFASSUNG!$A$6:$A$3005,A95))</f>
        <v/>
      </c>
      <c r="K95" s="73">
        <f>IF(A95="","",SUMIFS(ERFASSUNG!$H$6:$H$3005,ERFASSUNG!$A$6:$A$3005,A95))</f>
        <v/>
      </c>
      <c r="L95" s="73">
        <f>IF(A95="","",SUMIFS(ERFASSUNG!$I$6:$I$3005,ERFASSUNG!$A$6:$A$3005,A95))</f>
        <v/>
      </c>
      <c r="M95" s="73">
        <f>IF(A95="","",SUMIFS(ERFASSUNG!$J$6:$J$3005,ERFASSUNG!$A$6:$A$3005,A95))</f>
        <v/>
      </c>
      <c r="N95" s="73">
        <f>IF(A95="","",SUMIFS(ERFASSUNG!$K$6:$K$3005,ERFASSUNG!$A$6:$A$3005,A95))</f>
        <v/>
      </c>
      <c r="O95" s="73">
        <f>IF(A95="","",SUMIFS(ERFASSUNG!$L$6:$L$3005,ERFASSUNG!$A$6:$A$3005,A95))</f>
        <v/>
      </c>
      <c r="P95" s="73">
        <f>IF(A95="","",SUMIFS(ERFASSUNG!$M$6:$M$3005,ERFASSUNG!$A$6:$A$3005,A95))</f>
        <v/>
      </c>
      <c r="Q95" s="73">
        <f>IF(A95="","",SUMIFS(ERFASSUNG!$N$6:$N$3005,ERFASSUNG!$A$6:$A$3005,A95))</f>
        <v/>
      </c>
    </row>
    <row r="96">
      <c r="A96" s="72">
        <f>IF(YEAR(DATE(LISTEN!$F$2,1,1)+91)=LISTEN!$F$2,DATE(LISTEN!$F$2,1,1)+91,"")</f>
        <v/>
      </c>
      <c r="B96" s="73">
        <f>IF(A96="","",CHOOSE(WEEKDAY(A96,2),"Mo","Di","Mi","Do","Fr","Sa","So"))</f>
        <v/>
      </c>
      <c r="C96" s="73">
        <f>IF(A96="","",INT((A96-DATE(YEAR(A96-WEEKDAY(A96-1)+4),1,3)+WEEKDAY(DATE(YEAR(A96-WEEKDAY(A96-1)+4),1,3))+5)/7))</f>
        <v/>
      </c>
      <c r="D96" s="73">
        <f>IF(A96="","",MONTH(A96))</f>
        <v/>
      </c>
      <c r="E96" s="73">
        <f>IF(A96="","",WEEKDAY(A96,2))</f>
        <v/>
      </c>
      <c r="F96" s="73">
        <f>IF(A96="","",COUNTIF(ERFASSUNG!$A$6:$A$3005,A96))</f>
        <v/>
      </c>
      <c r="G96" s="73">
        <f>IF(A96="","",IF(F96&gt;0,1,0))</f>
        <v/>
      </c>
      <c r="H96" s="73">
        <f>IF(A96="","",SUMIFS(ERFASSUNG!$E$6:$E$3005,ERFASSUNG!$A$6:$A$3005,A96))</f>
        <v/>
      </c>
      <c r="I96" s="73">
        <f>IF(A96="","",SUMIFS(ERFASSUNG!$F$6:$F$3005,ERFASSUNG!$A$6:$A$3005,A96))</f>
        <v/>
      </c>
      <c r="J96" s="73">
        <f>IF(A96="","",SUMIFS(ERFASSUNG!$G$6:$G$3005,ERFASSUNG!$A$6:$A$3005,A96))</f>
        <v/>
      </c>
      <c r="K96" s="73">
        <f>IF(A96="","",SUMIFS(ERFASSUNG!$H$6:$H$3005,ERFASSUNG!$A$6:$A$3005,A96))</f>
        <v/>
      </c>
      <c r="L96" s="73">
        <f>IF(A96="","",SUMIFS(ERFASSUNG!$I$6:$I$3005,ERFASSUNG!$A$6:$A$3005,A96))</f>
        <v/>
      </c>
      <c r="M96" s="73">
        <f>IF(A96="","",SUMIFS(ERFASSUNG!$J$6:$J$3005,ERFASSUNG!$A$6:$A$3005,A96))</f>
        <v/>
      </c>
      <c r="N96" s="73">
        <f>IF(A96="","",SUMIFS(ERFASSUNG!$K$6:$K$3005,ERFASSUNG!$A$6:$A$3005,A96))</f>
        <v/>
      </c>
      <c r="O96" s="73">
        <f>IF(A96="","",SUMIFS(ERFASSUNG!$L$6:$L$3005,ERFASSUNG!$A$6:$A$3005,A96))</f>
        <v/>
      </c>
      <c r="P96" s="73">
        <f>IF(A96="","",SUMIFS(ERFASSUNG!$M$6:$M$3005,ERFASSUNG!$A$6:$A$3005,A96))</f>
        <v/>
      </c>
      <c r="Q96" s="73">
        <f>IF(A96="","",SUMIFS(ERFASSUNG!$N$6:$N$3005,ERFASSUNG!$A$6:$A$3005,A96))</f>
        <v/>
      </c>
    </row>
    <row r="97">
      <c r="A97" s="72">
        <f>IF(YEAR(DATE(LISTEN!$F$2,1,1)+92)=LISTEN!$F$2,DATE(LISTEN!$F$2,1,1)+92,"")</f>
        <v/>
      </c>
      <c r="B97" s="73">
        <f>IF(A97="","",CHOOSE(WEEKDAY(A97,2),"Mo","Di","Mi","Do","Fr","Sa","So"))</f>
        <v/>
      </c>
      <c r="C97" s="73">
        <f>IF(A97="","",INT((A97-DATE(YEAR(A97-WEEKDAY(A97-1)+4),1,3)+WEEKDAY(DATE(YEAR(A97-WEEKDAY(A97-1)+4),1,3))+5)/7))</f>
        <v/>
      </c>
      <c r="D97" s="73">
        <f>IF(A97="","",MONTH(A97))</f>
        <v/>
      </c>
      <c r="E97" s="73">
        <f>IF(A97="","",WEEKDAY(A97,2))</f>
        <v/>
      </c>
      <c r="F97" s="73">
        <f>IF(A97="","",COUNTIF(ERFASSUNG!$A$6:$A$3005,A97))</f>
        <v/>
      </c>
      <c r="G97" s="73">
        <f>IF(A97="","",IF(F97&gt;0,1,0))</f>
        <v/>
      </c>
      <c r="H97" s="73">
        <f>IF(A97="","",SUMIFS(ERFASSUNG!$E$6:$E$3005,ERFASSUNG!$A$6:$A$3005,A97))</f>
        <v/>
      </c>
      <c r="I97" s="73">
        <f>IF(A97="","",SUMIFS(ERFASSUNG!$F$6:$F$3005,ERFASSUNG!$A$6:$A$3005,A97))</f>
        <v/>
      </c>
      <c r="J97" s="73">
        <f>IF(A97="","",SUMIFS(ERFASSUNG!$G$6:$G$3005,ERFASSUNG!$A$6:$A$3005,A97))</f>
        <v/>
      </c>
      <c r="K97" s="73">
        <f>IF(A97="","",SUMIFS(ERFASSUNG!$H$6:$H$3005,ERFASSUNG!$A$6:$A$3005,A97))</f>
        <v/>
      </c>
      <c r="L97" s="73">
        <f>IF(A97="","",SUMIFS(ERFASSUNG!$I$6:$I$3005,ERFASSUNG!$A$6:$A$3005,A97))</f>
        <v/>
      </c>
      <c r="M97" s="73">
        <f>IF(A97="","",SUMIFS(ERFASSUNG!$J$6:$J$3005,ERFASSUNG!$A$6:$A$3005,A97))</f>
        <v/>
      </c>
      <c r="N97" s="73">
        <f>IF(A97="","",SUMIFS(ERFASSUNG!$K$6:$K$3005,ERFASSUNG!$A$6:$A$3005,A97))</f>
        <v/>
      </c>
      <c r="O97" s="73">
        <f>IF(A97="","",SUMIFS(ERFASSUNG!$L$6:$L$3005,ERFASSUNG!$A$6:$A$3005,A97))</f>
        <v/>
      </c>
      <c r="P97" s="73">
        <f>IF(A97="","",SUMIFS(ERFASSUNG!$M$6:$M$3005,ERFASSUNG!$A$6:$A$3005,A97))</f>
        <v/>
      </c>
      <c r="Q97" s="73">
        <f>IF(A97="","",SUMIFS(ERFASSUNG!$N$6:$N$3005,ERFASSUNG!$A$6:$A$3005,A97))</f>
        <v/>
      </c>
    </row>
    <row r="98">
      <c r="A98" s="72">
        <f>IF(YEAR(DATE(LISTEN!$F$2,1,1)+93)=LISTEN!$F$2,DATE(LISTEN!$F$2,1,1)+93,"")</f>
        <v/>
      </c>
      <c r="B98" s="73">
        <f>IF(A98="","",CHOOSE(WEEKDAY(A98,2),"Mo","Di","Mi","Do","Fr","Sa","So"))</f>
        <v/>
      </c>
      <c r="C98" s="73">
        <f>IF(A98="","",INT((A98-DATE(YEAR(A98-WEEKDAY(A98-1)+4),1,3)+WEEKDAY(DATE(YEAR(A98-WEEKDAY(A98-1)+4),1,3))+5)/7))</f>
        <v/>
      </c>
      <c r="D98" s="73">
        <f>IF(A98="","",MONTH(A98))</f>
        <v/>
      </c>
      <c r="E98" s="73">
        <f>IF(A98="","",WEEKDAY(A98,2))</f>
        <v/>
      </c>
      <c r="F98" s="73">
        <f>IF(A98="","",COUNTIF(ERFASSUNG!$A$6:$A$3005,A98))</f>
        <v/>
      </c>
      <c r="G98" s="73">
        <f>IF(A98="","",IF(F98&gt;0,1,0))</f>
        <v/>
      </c>
      <c r="H98" s="73">
        <f>IF(A98="","",SUMIFS(ERFASSUNG!$E$6:$E$3005,ERFASSUNG!$A$6:$A$3005,A98))</f>
        <v/>
      </c>
      <c r="I98" s="73">
        <f>IF(A98="","",SUMIFS(ERFASSUNG!$F$6:$F$3005,ERFASSUNG!$A$6:$A$3005,A98))</f>
        <v/>
      </c>
      <c r="J98" s="73">
        <f>IF(A98="","",SUMIFS(ERFASSUNG!$G$6:$G$3005,ERFASSUNG!$A$6:$A$3005,A98))</f>
        <v/>
      </c>
      <c r="K98" s="73">
        <f>IF(A98="","",SUMIFS(ERFASSUNG!$H$6:$H$3005,ERFASSUNG!$A$6:$A$3005,A98))</f>
        <v/>
      </c>
      <c r="L98" s="73">
        <f>IF(A98="","",SUMIFS(ERFASSUNG!$I$6:$I$3005,ERFASSUNG!$A$6:$A$3005,A98))</f>
        <v/>
      </c>
      <c r="M98" s="73">
        <f>IF(A98="","",SUMIFS(ERFASSUNG!$J$6:$J$3005,ERFASSUNG!$A$6:$A$3005,A98))</f>
        <v/>
      </c>
      <c r="N98" s="73">
        <f>IF(A98="","",SUMIFS(ERFASSUNG!$K$6:$K$3005,ERFASSUNG!$A$6:$A$3005,A98))</f>
        <v/>
      </c>
      <c r="O98" s="73">
        <f>IF(A98="","",SUMIFS(ERFASSUNG!$L$6:$L$3005,ERFASSUNG!$A$6:$A$3005,A98))</f>
        <v/>
      </c>
      <c r="P98" s="73">
        <f>IF(A98="","",SUMIFS(ERFASSUNG!$M$6:$M$3005,ERFASSUNG!$A$6:$A$3005,A98))</f>
        <v/>
      </c>
      <c r="Q98" s="73">
        <f>IF(A98="","",SUMIFS(ERFASSUNG!$N$6:$N$3005,ERFASSUNG!$A$6:$A$3005,A98))</f>
        <v/>
      </c>
    </row>
    <row r="99">
      <c r="A99" s="72">
        <f>IF(YEAR(DATE(LISTEN!$F$2,1,1)+94)=LISTEN!$F$2,DATE(LISTEN!$F$2,1,1)+94,"")</f>
        <v/>
      </c>
      <c r="B99" s="73">
        <f>IF(A99="","",CHOOSE(WEEKDAY(A99,2),"Mo","Di","Mi","Do","Fr","Sa","So"))</f>
        <v/>
      </c>
      <c r="C99" s="73">
        <f>IF(A99="","",INT((A99-DATE(YEAR(A99-WEEKDAY(A99-1)+4),1,3)+WEEKDAY(DATE(YEAR(A99-WEEKDAY(A99-1)+4),1,3))+5)/7))</f>
        <v/>
      </c>
      <c r="D99" s="73">
        <f>IF(A99="","",MONTH(A99))</f>
        <v/>
      </c>
      <c r="E99" s="73">
        <f>IF(A99="","",WEEKDAY(A99,2))</f>
        <v/>
      </c>
      <c r="F99" s="73">
        <f>IF(A99="","",COUNTIF(ERFASSUNG!$A$6:$A$3005,A99))</f>
        <v/>
      </c>
      <c r="G99" s="73">
        <f>IF(A99="","",IF(F99&gt;0,1,0))</f>
        <v/>
      </c>
      <c r="H99" s="73">
        <f>IF(A99="","",SUMIFS(ERFASSUNG!$E$6:$E$3005,ERFASSUNG!$A$6:$A$3005,A99))</f>
        <v/>
      </c>
      <c r="I99" s="73">
        <f>IF(A99="","",SUMIFS(ERFASSUNG!$F$6:$F$3005,ERFASSUNG!$A$6:$A$3005,A99))</f>
        <v/>
      </c>
      <c r="J99" s="73">
        <f>IF(A99="","",SUMIFS(ERFASSUNG!$G$6:$G$3005,ERFASSUNG!$A$6:$A$3005,A99))</f>
        <v/>
      </c>
      <c r="K99" s="73">
        <f>IF(A99="","",SUMIFS(ERFASSUNG!$H$6:$H$3005,ERFASSUNG!$A$6:$A$3005,A99))</f>
        <v/>
      </c>
      <c r="L99" s="73">
        <f>IF(A99="","",SUMIFS(ERFASSUNG!$I$6:$I$3005,ERFASSUNG!$A$6:$A$3005,A99))</f>
        <v/>
      </c>
      <c r="M99" s="73">
        <f>IF(A99="","",SUMIFS(ERFASSUNG!$J$6:$J$3005,ERFASSUNG!$A$6:$A$3005,A99))</f>
        <v/>
      </c>
      <c r="N99" s="73">
        <f>IF(A99="","",SUMIFS(ERFASSUNG!$K$6:$K$3005,ERFASSUNG!$A$6:$A$3005,A99))</f>
        <v/>
      </c>
      <c r="O99" s="73">
        <f>IF(A99="","",SUMIFS(ERFASSUNG!$L$6:$L$3005,ERFASSUNG!$A$6:$A$3005,A99))</f>
        <v/>
      </c>
      <c r="P99" s="73">
        <f>IF(A99="","",SUMIFS(ERFASSUNG!$M$6:$M$3005,ERFASSUNG!$A$6:$A$3005,A99))</f>
        <v/>
      </c>
      <c r="Q99" s="73">
        <f>IF(A99="","",SUMIFS(ERFASSUNG!$N$6:$N$3005,ERFASSUNG!$A$6:$A$3005,A99))</f>
        <v/>
      </c>
    </row>
    <row r="100">
      <c r="A100" s="72">
        <f>IF(YEAR(DATE(LISTEN!$F$2,1,1)+95)=LISTEN!$F$2,DATE(LISTEN!$F$2,1,1)+95,"")</f>
        <v/>
      </c>
      <c r="B100" s="73">
        <f>IF(A100="","",CHOOSE(WEEKDAY(A100,2),"Mo","Di","Mi","Do","Fr","Sa","So"))</f>
        <v/>
      </c>
      <c r="C100" s="73">
        <f>IF(A100="","",INT((A100-DATE(YEAR(A100-WEEKDAY(A100-1)+4),1,3)+WEEKDAY(DATE(YEAR(A100-WEEKDAY(A100-1)+4),1,3))+5)/7))</f>
        <v/>
      </c>
      <c r="D100" s="73">
        <f>IF(A100="","",MONTH(A100))</f>
        <v/>
      </c>
      <c r="E100" s="73">
        <f>IF(A100="","",WEEKDAY(A100,2))</f>
        <v/>
      </c>
      <c r="F100" s="73">
        <f>IF(A100="","",COUNTIF(ERFASSUNG!$A$6:$A$3005,A100))</f>
        <v/>
      </c>
      <c r="G100" s="73">
        <f>IF(A100="","",IF(F100&gt;0,1,0))</f>
        <v/>
      </c>
      <c r="H100" s="73">
        <f>IF(A100="","",SUMIFS(ERFASSUNG!$E$6:$E$3005,ERFASSUNG!$A$6:$A$3005,A100))</f>
        <v/>
      </c>
      <c r="I100" s="73">
        <f>IF(A100="","",SUMIFS(ERFASSUNG!$F$6:$F$3005,ERFASSUNG!$A$6:$A$3005,A100))</f>
        <v/>
      </c>
      <c r="J100" s="73">
        <f>IF(A100="","",SUMIFS(ERFASSUNG!$G$6:$G$3005,ERFASSUNG!$A$6:$A$3005,A100))</f>
        <v/>
      </c>
      <c r="K100" s="73">
        <f>IF(A100="","",SUMIFS(ERFASSUNG!$H$6:$H$3005,ERFASSUNG!$A$6:$A$3005,A100))</f>
        <v/>
      </c>
      <c r="L100" s="73">
        <f>IF(A100="","",SUMIFS(ERFASSUNG!$I$6:$I$3005,ERFASSUNG!$A$6:$A$3005,A100))</f>
        <v/>
      </c>
      <c r="M100" s="73">
        <f>IF(A100="","",SUMIFS(ERFASSUNG!$J$6:$J$3005,ERFASSUNG!$A$6:$A$3005,A100))</f>
        <v/>
      </c>
      <c r="N100" s="73">
        <f>IF(A100="","",SUMIFS(ERFASSUNG!$K$6:$K$3005,ERFASSUNG!$A$6:$A$3005,A100))</f>
        <v/>
      </c>
      <c r="O100" s="73">
        <f>IF(A100="","",SUMIFS(ERFASSUNG!$L$6:$L$3005,ERFASSUNG!$A$6:$A$3005,A100))</f>
        <v/>
      </c>
      <c r="P100" s="73">
        <f>IF(A100="","",SUMIFS(ERFASSUNG!$M$6:$M$3005,ERFASSUNG!$A$6:$A$3005,A100))</f>
        <v/>
      </c>
      <c r="Q100" s="73">
        <f>IF(A100="","",SUMIFS(ERFASSUNG!$N$6:$N$3005,ERFASSUNG!$A$6:$A$3005,A100))</f>
        <v/>
      </c>
    </row>
    <row r="101">
      <c r="A101" s="72">
        <f>IF(YEAR(DATE(LISTEN!$F$2,1,1)+96)=LISTEN!$F$2,DATE(LISTEN!$F$2,1,1)+96,"")</f>
        <v/>
      </c>
      <c r="B101" s="73">
        <f>IF(A101="","",CHOOSE(WEEKDAY(A101,2),"Mo","Di","Mi","Do","Fr","Sa","So"))</f>
        <v/>
      </c>
      <c r="C101" s="73">
        <f>IF(A101="","",INT((A101-DATE(YEAR(A101-WEEKDAY(A101-1)+4),1,3)+WEEKDAY(DATE(YEAR(A101-WEEKDAY(A101-1)+4),1,3))+5)/7))</f>
        <v/>
      </c>
      <c r="D101" s="73">
        <f>IF(A101="","",MONTH(A101))</f>
        <v/>
      </c>
      <c r="E101" s="73">
        <f>IF(A101="","",WEEKDAY(A101,2))</f>
        <v/>
      </c>
      <c r="F101" s="73">
        <f>IF(A101="","",COUNTIF(ERFASSUNG!$A$6:$A$3005,A101))</f>
        <v/>
      </c>
      <c r="G101" s="73">
        <f>IF(A101="","",IF(F101&gt;0,1,0))</f>
        <v/>
      </c>
      <c r="H101" s="73">
        <f>IF(A101="","",SUMIFS(ERFASSUNG!$E$6:$E$3005,ERFASSUNG!$A$6:$A$3005,A101))</f>
        <v/>
      </c>
      <c r="I101" s="73">
        <f>IF(A101="","",SUMIFS(ERFASSUNG!$F$6:$F$3005,ERFASSUNG!$A$6:$A$3005,A101))</f>
        <v/>
      </c>
      <c r="J101" s="73">
        <f>IF(A101="","",SUMIFS(ERFASSUNG!$G$6:$G$3005,ERFASSUNG!$A$6:$A$3005,A101))</f>
        <v/>
      </c>
      <c r="K101" s="73">
        <f>IF(A101="","",SUMIFS(ERFASSUNG!$H$6:$H$3005,ERFASSUNG!$A$6:$A$3005,A101))</f>
        <v/>
      </c>
      <c r="L101" s="73">
        <f>IF(A101="","",SUMIFS(ERFASSUNG!$I$6:$I$3005,ERFASSUNG!$A$6:$A$3005,A101))</f>
        <v/>
      </c>
      <c r="M101" s="73">
        <f>IF(A101="","",SUMIFS(ERFASSUNG!$J$6:$J$3005,ERFASSUNG!$A$6:$A$3005,A101))</f>
        <v/>
      </c>
      <c r="N101" s="73">
        <f>IF(A101="","",SUMIFS(ERFASSUNG!$K$6:$K$3005,ERFASSUNG!$A$6:$A$3005,A101))</f>
        <v/>
      </c>
      <c r="O101" s="73">
        <f>IF(A101="","",SUMIFS(ERFASSUNG!$L$6:$L$3005,ERFASSUNG!$A$6:$A$3005,A101))</f>
        <v/>
      </c>
      <c r="P101" s="73">
        <f>IF(A101="","",SUMIFS(ERFASSUNG!$M$6:$M$3005,ERFASSUNG!$A$6:$A$3005,A101))</f>
        <v/>
      </c>
      <c r="Q101" s="73">
        <f>IF(A101="","",SUMIFS(ERFASSUNG!$N$6:$N$3005,ERFASSUNG!$A$6:$A$3005,A101))</f>
        <v/>
      </c>
    </row>
    <row r="102">
      <c r="A102" s="72">
        <f>IF(YEAR(DATE(LISTEN!$F$2,1,1)+97)=LISTEN!$F$2,DATE(LISTEN!$F$2,1,1)+97,"")</f>
        <v/>
      </c>
      <c r="B102" s="73">
        <f>IF(A102="","",CHOOSE(WEEKDAY(A102,2),"Mo","Di","Mi","Do","Fr","Sa","So"))</f>
        <v/>
      </c>
      <c r="C102" s="73">
        <f>IF(A102="","",INT((A102-DATE(YEAR(A102-WEEKDAY(A102-1)+4),1,3)+WEEKDAY(DATE(YEAR(A102-WEEKDAY(A102-1)+4),1,3))+5)/7))</f>
        <v/>
      </c>
      <c r="D102" s="73">
        <f>IF(A102="","",MONTH(A102))</f>
        <v/>
      </c>
      <c r="E102" s="73">
        <f>IF(A102="","",WEEKDAY(A102,2))</f>
        <v/>
      </c>
      <c r="F102" s="73">
        <f>IF(A102="","",COUNTIF(ERFASSUNG!$A$6:$A$3005,A102))</f>
        <v/>
      </c>
      <c r="G102" s="73">
        <f>IF(A102="","",IF(F102&gt;0,1,0))</f>
        <v/>
      </c>
      <c r="H102" s="73">
        <f>IF(A102="","",SUMIFS(ERFASSUNG!$E$6:$E$3005,ERFASSUNG!$A$6:$A$3005,A102))</f>
        <v/>
      </c>
      <c r="I102" s="73">
        <f>IF(A102="","",SUMIFS(ERFASSUNG!$F$6:$F$3005,ERFASSUNG!$A$6:$A$3005,A102))</f>
        <v/>
      </c>
      <c r="J102" s="73">
        <f>IF(A102="","",SUMIFS(ERFASSUNG!$G$6:$G$3005,ERFASSUNG!$A$6:$A$3005,A102))</f>
        <v/>
      </c>
      <c r="K102" s="73">
        <f>IF(A102="","",SUMIFS(ERFASSUNG!$H$6:$H$3005,ERFASSUNG!$A$6:$A$3005,A102))</f>
        <v/>
      </c>
      <c r="L102" s="73">
        <f>IF(A102="","",SUMIFS(ERFASSUNG!$I$6:$I$3005,ERFASSUNG!$A$6:$A$3005,A102))</f>
        <v/>
      </c>
      <c r="M102" s="73">
        <f>IF(A102="","",SUMIFS(ERFASSUNG!$J$6:$J$3005,ERFASSUNG!$A$6:$A$3005,A102))</f>
        <v/>
      </c>
      <c r="N102" s="73">
        <f>IF(A102="","",SUMIFS(ERFASSUNG!$K$6:$K$3005,ERFASSUNG!$A$6:$A$3005,A102))</f>
        <v/>
      </c>
      <c r="O102" s="73">
        <f>IF(A102="","",SUMIFS(ERFASSUNG!$L$6:$L$3005,ERFASSUNG!$A$6:$A$3005,A102))</f>
        <v/>
      </c>
      <c r="P102" s="73">
        <f>IF(A102="","",SUMIFS(ERFASSUNG!$M$6:$M$3005,ERFASSUNG!$A$6:$A$3005,A102))</f>
        <v/>
      </c>
      <c r="Q102" s="73">
        <f>IF(A102="","",SUMIFS(ERFASSUNG!$N$6:$N$3005,ERFASSUNG!$A$6:$A$3005,A102))</f>
        <v/>
      </c>
    </row>
    <row r="103">
      <c r="A103" s="72">
        <f>IF(YEAR(DATE(LISTEN!$F$2,1,1)+98)=LISTEN!$F$2,DATE(LISTEN!$F$2,1,1)+98,"")</f>
        <v/>
      </c>
      <c r="B103" s="73">
        <f>IF(A103="","",CHOOSE(WEEKDAY(A103,2),"Mo","Di","Mi","Do","Fr","Sa","So"))</f>
        <v/>
      </c>
      <c r="C103" s="73">
        <f>IF(A103="","",INT((A103-DATE(YEAR(A103-WEEKDAY(A103-1)+4),1,3)+WEEKDAY(DATE(YEAR(A103-WEEKDAY(A103-1)+4),1,3))+5)/7))</f>
        <v/>
      </c>
      <c r="D103" s="73">
        <f>IF(A103="","",MONTH(A103))</f>
        <v/>
      </c>
      <c r="E103" s="73">
        <f>IF(A103="","",WEEKDAY(A103,2))</f>
        <v/>
      </c>
      <c r="F103" s="73">
        <f>IF(A103="","",COUNTIF(ERFASSUNG!$A$6:$A$3005,A103))</f>
        <v/>
      </c>
      <c r="G103" s="73">
        <f>IF(A103="","",IF(F103&gt;0,1,0))</f>
        <v/>
      </c>
      <c r="H103" s="73">
        <f>IF(A103="","",SUMIFS(ERFASSUNG!$E$6:$E$3005,ERFASSUNG!$A$6:$A$3005,A103))</f>
        <v/>
      </c>
      <c r="I103" s="73">
        <f>IF(A103="","",SUMIFS(ERFASSUNG!$F$6:$F$3005,ERFASSUNG!$A$6:$A$3005,A103))</f>
        <v/>
      </c>
      <c r="J103" s="73">
        <f>IF(A103="","",SUMIFS(ERFASSUNG!$G$6:$G$3005,ERFASSUNG!$A$6:$A$3005,A103))</f>
        <v/>
      </c>
      <c r="K103" s="73">
        <f>IF(A103="","",SUMIFS(ERFASSUNG!$H$6:$H$3005,ERFASSUNG!$A$6:$A$3005,A103))</f>
        <v/>
      </c>
      <c r="L103" s="73">
        <f>IF(A103="","",SUMIFS(ERFASSUNG!$I$6:$I$3005,ERFASSUNG!$A$6:$A$3005,A103))</f>
        <v/>
      </c>
      <c r="M103" s="73">
        <f>IF(A103="","",SUMIFS(ERFASSUNG!$J$6:$J$3005,ERFASSUNG!$A$6:$A$3005,A103))</f>
        <v/>
      </c>
      <c r="N103" s="73">
        <f>IF(A103="","",SUMIFS(ERFASSUNG!$K$6:$K$3005,ERFASSUNG!$A$6:$A$3005,A103))</f>
        <v/>
      </c>
      <c r="O103" s="73">
        <f>IF(A103="","",SUMIFS(ERFASSUNG!$L$6:$L$3005,ERFASSUNG!$A$6:$A$3005,A103))</f>
        <v/>
      </c>
      <c r="P103" s="73">
        <f>IF(A103="","",SUMIFS(ERFASSUNG!$M$6:$M$3005,ERFASSUNG!$A$6:$A$3005,A103))</f>
        <v/>
      </c>
      <c r="Q103" s="73">
        <f>IF(A103="","",SUMIFS(ERFASSUNG!$N$6:$N$3005,ERFASSUNG!$A$6:$A$3005,A103))</f>
        <v/>
      </c>
    </row>
    <row r="104">
      <c r="A104" s="72">
        <f>IF(YEAR(DATE(LISTEN!$F$2,1,1)+99)=LISTEN!$F$2,DATE(LISTEN!$F$2,1,1)+99,"")</f>
        <v/>
      </c>
      <c r="B104" s="73">
        <f>IF(A104="","",CHOOSE(WEEKDAY(A104,2),"Mo","Di","Mi","Do","Fr","Sa","So"))</f>
        <v/>
      </c>
      <c r="C104" s="73">
        <f>IF(A104="","",INT((A104-DATE(YEAR(A104-WEEKDAY(A104-1)+4),1,3)+WEEKDAY(DATE(YEAR(A104-WEEKDAY(A104-1)+4),1,3))+5)/7))</f>
        <v/>
      </c>
      <c r="D104" s="73">
        <f>IF(A104="","",MONTH(A104))</f>
        <v/>
      </c>
      <c r="E104" s="73">
        <f>IF(A104="","",WEEKDAY(A104,2))</f>
        <v/>
      </c>
      <c r="F104" s="73">
        <f>IF(A104="","",COUNTIF(ERFASSUNG!$A$6:$A$3005,A104))</f>
        <v/>
      </c>
      <c r="G104" s="73">
        <f>IF(A104="","",IF(F104&gt;0,1,0))</f>
        <v/>
      </c>
      <c r="H104" s="73">
        <f>IF(A104="","",SUMIFS(ERFASSUNG!$E$6:$E$3005,ERFASSUNG!$A$6:$A$3005,A104))</f>
        <v/>
      </c>
      <c r="I104" s="73">
        <f>IF(A104="","",SUMIFS(ERFASSUNG!$F$6:$F$3005,ERFASSUNG!$A$6:$A$3005,A104))</f>
        <v/>
      </c>
      <c r="J104" s="73">
        <f>IF(A104="","",SUMIFS(ERFASSUNG!$G$6:$G$3005,ERFASSUNG!$A$6:$A$3005,A104))</f>
        <v/>
      </c>
      <c r="K104" s="73">
        <f>IF(A104="","",SUMIFS(ERFASSUNG!$H$6:$H$3005,ERFASSUNG!$A$6:$A$3005,A104))</f>
        <v/>
      </c>
      <c r="L104" s="73">
        <f>IF(A104="","",SUMIFS(ERFASSUNG!$I$6:$I$3005,ERFASSUNG!$A$6:$A$3005,A104))</f>
        <v/>
      </c>
      <c r="M104" s="73">
        <f>IF(A104="","",SUMIFS(ERFASSUNG!$J$6:$J$3005,ERFASSUNG!$A$6:$A$3005,A104))</f>
        <v/>
      </c>
      <c r="N104" s="73">
        <f>IF(A104="","",SUMIFS(ERFASSUNG!$K$6:$K$3005,ERFASSUNG!$A$6:$A$3005,A104))</f>
        <v/>
      </c>
      <c r="O104" s="73">
        <f>IF(A104="","",SUMIFS(ERFASSUNG!$L$6:$L$3005,ERFASSUNG!$A$6:$A$3005,A104))</f>
        <v/>
      </c>
      <c r="P104" s="73">
        <f>IF(A104="","",SUMIFS(ERFASSUNG!$M$6:$M$3005,ERFASSUNG!$A$6:$A$3005,A104))</f>
        <v/>
      </c>
      <c r="Q104" s="73">
        <f>IF(A104="","",SUMIFS(ERFASSUNG!$N$6:$N$3005,ERFASSUNG!$A$6:$A$3005,A104))</f>
        <v/>
      </c>
    </row>
    <row r="105">
      <c r="A105" s="72">
        <f>IF(YEAR(DATE(LISTEN!$F$2,1,1)+100)=LISTEN!$F$2,DATE(LISTEN!$F$2,1,1)+100,"")</f>
        <v/>
      </c>
      <c r="B105" s="73">
        <f>IF(A105="","",CHOOSE(WEEKDAY(A105,2),"Mo","Di","Mi","Do","Fr","Sa","So"))</f>
        <v/>
      </c>
      <c r="C105" s="73">
        <f>IF(A105="","",INT((A105-DATE(YEAR(A105-WEEKDAY(A105-1)+4),1,3)+WEEKDAY(DATE(YEAR(A105-WEEKDAY(A105-1)+4),1,3))+5)/7))</f>
        <v/>
      </c>
      <c r="D105" s="73">
        <f>IF(A105="","",MONTH(A105))</f>
        <v/>
      </c>
      <c r="E105" s="73">
        <f>IF(A105="","",WEEKDAY(A105,2))</f>
        <v/>
      </c>
      <c r="F105" s="73">
        <f>IF(A105="","",COUNTIF(ERFASSUNG!$A$6:$A$3005,A105))</f>
        <v/>
      </c>
      <c r="G105" s="73">
        <f>IF(A105="","",IF(F105&gt;0,1,0))</f>
        <v/>
      </c>
      <c r="H105" s="73">
        <f>IF(A105="","",SUMIFS(ERFASSUNG!$E$6:$E$3005,ERFASSUNG!$A$6:$A$3005,A105))</f>
        <v/>
      </c>
      <c r="I105" s="73">
        <f>IF(A105="","",SUMIFS(ERFASSUNG!$F$6:$F$3005,ERFASSUNG!$A$6:$A$3005,A105))</f>
        <v/>
      </c>
      <c r="J105" s="73">
        <f>IF(A105="","",SUMIFS(ERFASSUNG!$G$6:$G$3005,ERFASSUNG!$A$6:$A$3005,A105))</f>
        <v/>
      </c>
      <c r="K105" s="73">
        <f>IF(A105="","",SUMIFS(ERFASSUNG!$H$6:$H$3005,ERFASSUNG!$A$6:$A$3005,A105))</f>
        <v/>
      </c>
      <c r="L105" s="73">
        <f>IF(A105="","",SUMIFS(ERFASSUNG!$I$6:$I$3005,ERFASSUNG!$A$6:$A$3005,A105))</f>
        <v/>
      </c>
      <c r="M105" s="73">
        <f>IF(A105="","",SUMIFS(ERFASSUNG!$J$6:$J$3005,ERFASSUNG!$A$6:$A$3005,A105))</f>
        <v/>
      </c>
      <c r="N105" s="73">
        <f>IF(A105="","",SUMIFS(ERFASSUNG!$K$6:$K$3005,ERFASSUNG!$A$6:$A$3005,A105))</f>
        <v/>
      </c>
      <c r="O105" s="73">
        <f>IF(A105="","",SUMIFS(ERFASSUNG!$L$6:$L$3005,ERFASSUNG!$A$6:$A$3005,A105))</f>
        <v/>
      </c>
      <c r="P105" s="73">
        <f>IF(A105="","",SUMIFS(ERFASSUNG!$M$6:$M$3005,ERFASSUNG!$A$6:$A$3005,A105))</f>
        <v/>
      </c>
      <c r="Q105" s="73">
        <f>IF(A105="","",SUMIFS(ERFASSUNG!$N$6:$N$3005,ERFASSUNG!$A$6:$A$3005,A105))</f>
        <v/>
      </c>
    </row>
    <row r="106">
      <c r="A106" s="72">
        <f>IF(YEAR(DATE(LISTEN!$F$2,1,1)+101)=LISTEN!$F$2,DATE(LISTEN!$F$2,1,1)+101,"")</f>
        <v/>
      </c>
      <c r="B106" s="73">
        <f>IF(A106="","",CHOOSE(WEEKDAY(A106,2),"Mo","Di","Mi","Do","Fr","Sa","So"))</f>
        <v/>
      </c>
      <c r="C106" s="73">
        <f>IF(A106="","",INT((A106-DATE(YEAR(A106-WEEKDAY(A106-1)+4),1,3)+WEEKDAY(DATE(YEAR(A106-WEEKDAY(A106-1)+4),1,3))+5)/7))</f>
        <v/>
      </c>
      <c r="D106" s="73">
        <f>IF(A106="","",MONTH(A106))</f>
        <v/>
      </c>
      <c r="E106" s="73">
        <f>IF(A106="","",WEEKDAY(A106,2))</f>
        <v/>
      </c>
      <c r="F106" s="73">
        <f>IF(A106="","",COUNTIF(ERFASSUNG!$A$6:$A$3005,A106))</f>
        <v/>
      </c>
      <c r="G106" s="73">
        <f>IF(A106="","",IF(F106&gt;0,1,0))</f>
        <v/>
      </c>
      <c r="H106" s="73">
        <f>IF(A106="","",SUMIFS(ERFASSUNG!$E$6:$E$3005,ERFASSUNG!$A$6:$A$3005,A106))</f>
        <v/>
      </c>
      <c r="I106" s="73">
        <f>IF(A106="","",SUMIFS(ERFASSUNG!$F$6:$F$3005,ERFASSUNG!$A$6:$A$3005,A106))</f>
        <v/>
      </c>
      <c r="J106" s="73">
        <f>IF(A106="","",SUMIFS(ERFASSUNG!$G$6:$G$3005,ERFASSUNG!$A$6:$A$3005,A106))</f>
        <v/>
      </c>
      <c r="K106" s="73">
        <f>IF(A106="","",SUMIFS(ERFASSUNG!$H$6:$H$3005,ERFASSUNG!$A$6:$A$3005,A106))</f>
        <v/>
      </c>
      <c r="L106" s="73">
        <f>IF(A106="","",SUMIFS(ERFASSUNG!$I$6:$I$3005,ERFASSUNG!$A$6:$A$3005,A106))</f>
        <v/>
      </c>
      <c r="M106" s="73">
        <f>IF(A106="","",SUMIFS(ERFASSUNG!$J$6:$J$3005,ERFASSUNG!$A$6:$A$3005,A106))</f>
        <v/>
      </c>
      <c r="N106" s="73">
        <f>IF(A106="","",SUMIFS(ERFASSUNG!$K$6:$K$3005,ERFASSUNG!$A$6:$A$3005,A106))</f>
        <v/>
      </c>
      <c r="O106" s="73">
        <f>IF(A106="","",SUMIFS(ERFASSUNG!$L$6:$L$3005,ERFASSUNG!$A$6:$A$3005,A106))</f>
        <v/>
      </c>
      <c r="P106" s="73">
        <f>IF(A106="","",SUMIFS(ERFASSUNG!$M$6:$M$3005,ERFASSUNG!$A$6:$A$3005,A106))</f>
        <v/>
      </c>
      <c r="Q106" s="73">
        <f>IF(A106="","",SUMIFS(ERFASSUNG!$N$6:$N$3005,ERFASSUNG!$A$6:$A$3005,A106))</f>
        <v/>
      </c>
    </row>
    <row r="107">
      <c r="A107" s="72">
        <f>IF(YEAR(DATE(LISTEN!$F$2,1,1)+102)=LISTEN!$F$2,DATE(LISTEN!$F$2,1,1)+102,"")</f>
        <v/>
      </c>
      <c r="B107" s="73">
        <f>IF(A107="","",CHOOSE(WEEKDAY(A107,2),"Mo","Di","Mi","Do","Fr","Sa","So"))</f>
        <v/>
      </c>
      <c r="C107" s="73">
        <f>IF(A107="","",INT((A107-DATE(YEAR(A107-WEEKDAY(A107-1)+4),1,3)+WEEKDAY(DATE(YEAR(A107-WEEKDAY(A107-1)+4),1,3))+5)/7))</f>
        <v/>
      </c>
      <c r="D107" s="73">
        <f>IF(A107="","",MONTH(A107))</f>
        <v/>
      </c>
      <c r="E107" s="73">
        <f>IF(A107="","",WEEKDAY(A107,2))</f>
        <v/>
      </c>
      <c r="F107" s="73">
        <f>IF(A107="","",COUNTIF(ERFASSUNG!$A$6:$A$3005,A107))</f>
        <v/>
      </c>
      <c r="G107" s="73">
        <f>IF(A107="","",IF(F107&gt;0,1,0))</f>
        <v/>
      </c>
      <c r="H107" s="73">
        <f>IF(A107="","",SUMIFS(ERFASSUNG!$E$6:$E$3005,ERFASSUNG!$A$6:$A$3005,A107))</f>
        <v/>
      </c>
      <c r="I107" s="73">
        <f>IF(A107="","",SUMIFS(ERFASSUNG!$F$6:$F$3005,ERFASSUNG!$A$6:$A$3005,A107))</f>
        <v/>
      </c>
      <c r="J107" s="73">
        <f>IF(A107="","",SUMIFS(ERFASSUNG!$G$6:$G$3005,ERFASSUNG!$A$6:$A$3005,A107))</f>
        <v/>
      </c>
      <c r="K107" s="73">
        <f>IF(A107="","",SUMIFS(ERFASSUNG!$H$6:$H$3005,ERFASSUNG!$A$6:$A$3005,A107))</f>
        <v/>
      </c>
      <c r="L107" s="73">
        <f>IF(A107="","",SUMIFS(ERFASSUNG!$I$6:$I$3005,ERFASSUNG!$A$6:$A$3005,A107))</f>
        <v/>
      </c>
      <c r="M107" s="73">
        <f>IF(A107="","",SUMIFS(ERFASSUNG!$J$6:$J$3005,ERFASSUNG!$A$6:$A$3005,A107))</f>
        <v/>
      </c>
      <c r="N107" s="73">
        <f>IF(A107="","",SUMIFS(ERFASSUNG!$K$6:$K$3005,ERFASSUNG!$A$6:$A$3005,A107))</f>
        <v/>
      </c>
      <c r="O107" s="73">
        <f>IF(A107="","",SUMIFS(ERFASSUNG!$L$6:$L$3005,ERFASSUNG!$A$6:$A$3005,A107))</f>
        <v/>
      </c>
      <c r="P107" s="73">
        <f>IF(A107="","",SUMIFS(ERFASSUNG!$M$6:$M$3005,ERFASSUNG!$A$6:$A$3005,A107))</f>
        <v/>
      </c>
      <c r="Q107" s="73">
        <f>IF(A107="","",SUMIFS(ERFASSUNG!$N$6:$N$3005,ERFASSUNG!$A$6:$A$3005,A107))</f>
        <v/>
      </c>
    </row>
    <row r="108">
      <c r="A108" s="72">
        <f>IF(YEAR(DATE(LISTEN!$F$2,1,1)+103)=LISTEN!$F$2,DATE(LISTEN!$F$2,1,1)+103,"")</f>
        <v/>
      </c>
      <c r="B108" s="73">
        <f>IF(A108="","",CHOOSE(WEEKDAY(A108,2),"Mo","Di","Mi","Do","Fr","Sa","So"))</f>
        <v/>
      </c>
      <c r="C108" s="73">
        <f>IF(A108="","",INT((A108-DATE(YEAR(A108-WEEKDAY(A108-1)+4),1,3)+WEEKDAY(DATE(YEAR(A108-WEEKDAY(A108-1)+4),1,3))+5)/7))</f>
        <v/>
      </c>
      <c r="D108" s="73">
        <f>IF(A108="","",MONTH(A108))</f>
        <v/>
      </c>
      <c r="E108" s="73">
        <f>IF(A108="","",WEEKDAY(A108,2))</f>
        <v/>
      </c>
      <c r="F108" s="73">
        <f>IF(A108="","",COUNTIF(ERFASSUNG!$A$6:$A$3005,A108))</f>
        <v/>
      </c>
      <c r="G108" s="73">
        <f>IF(A108="","",IF(F108&gt;0,1,0))</f>
        <v/>
      </c>
      <c r="H108" s="73">
        <f>IF(A108="","",SUMIFS(ERFASSUNG!$E$6:$E$3005,ERFASSUNG!$A$6:$A$3005,A108))</f>
        <v/>
      </c>
      <c r="I108" s="73">
        <f>IF(A108="","",SUMIFS(ERFASSUNG!$F$6:$F$3005,ERFASSUNG!$A$6:$A$3005,A108))</f>
        <v/>
      </c>
      <c r="J108" s="73">
        <f>IF(A108="","",SUMIFS(ERFASSUNG!$G$6:$G$3005,ERFASSUNG!$A$6:$A$3005,A108))</f>
        <v/>
      </c>
      <c r="K108" s="73">
        <f>IF(A108="","",SUMIFS(ERFASSUNG!$H$6:$H$3005,ERFASSUNG!$A$6:$A$3005,A108))</f>
        <v/>
      </c>
      <c r="L108" s="73">
        <f>IF(A108="","",SUMIFS(ERFASSUNG!$I$6:$I$3005,ERFASSUNG!$A$6:$A$3005,A108))</f>
        <v/>
      </c>
      <c r="M108" s="73">
        <f>IF(A108="","",SUMIFS(ERFASSUNG!$J$6:$J$3005,ERFASSUNG!$A$6:$A$3005,A108))</f>
        <v/>
      </c>
      <c r="N108" s="73">
        <f>IF(A108="","",SUMIFS(ERFASSUNG!$K$6:$K$3005,ERFASSUNG!$A$6:$A$3005,A108))</f>
        <v/>
      </c>
      <c r="O108" s="73">
        <f>IF(A108="","",SUMIFS(ERFASSUNG!$L$6:$L$3005,ERFASSUNG!$A$6:$A$3005,A108))</f>
        <v/>
      </c>
      <c r="P108" s="73">
        <f>IF(A108="","",SUMIFS(ERFASSUNG!$M$6:$M$3005,ERFASSUNG!$A$6:$A$3005,A108))</f>
        <v/>
      </c>
      <c r="Q108" s="73">
        <f>IF(A108="","",SUMIFS(ERFASSUNG!$N$6:$N$3005,ERFASSUNG!$A$6:$A$3005,A108))</f>
        <v/>
      </c>
    </row>
    <row r="109">
      <c r="A109" s="72">
        <f>IF(YEAR(DATE(LISTEN!$F$2,1,1)+104)=LISTEN!$F$2,DATE(LISTEN!$F$2,1,1)+104,"")</f>
        <v/>
      </c>
      <c r="B109" s="73">
        <f>IF(A109="","",CHOOSE(WEEKDAY(A109,2),"Mo","Di","Mi","Do","Fr","Sa","So"))</f>
        <v/>
      </c>
      <c r="C109" s="73">
        <f>IF(A109="","",INT((A109-DATE(YEAR(A109-WEEKDAY(A109-1)+4),1,3)+WEEKDAY(DATE(YEAR(A109-WEEKDAY(A109-1)+4),1,3))+5)/7))</f>
        <v/>
      </c>
      <c r="D109" s="73">
        <f>IF(A109="","",MONTH(A109))</f>
        <v/>
      </c>
      <c r="E109" s="73">
        <f>IF(A109="","",WEEKDAY(A109,2))</f>
        <v/>
      </c>
      <c r="F109" s="73">
        <f>IF(A109="","",COUNTIF(ERFASSUNG!$A$6:$A$3005,A109))</f>
        <v/>
      </c>
      <c r="G109" s="73">
        <f>IF(A109="","",IF(F109&gt;0,1,0))</f>
        <v/>
      </c>
      <c r="H109" s="73">
        <f>IF(A109="","",SUMIFS(ERFASSUNG!$E$6:$E$3005,ERFASSUNG!$A$6:$A$3005,A109))</f>
        <v/>
      </c>
      <c r="I109" s="73">
        <f>IF(A109="","",SUMIFS(ERFASSUNG!$F$6:$F$3005,ERFASSUNG!$A$6:$A$3005,A109))</f>
        <v/>
      </c>
      <c r="J109" s="73">
        <f>IF(A109="","",SUMIFS(ERFASSUNG!$G$6:$G$3005,ERFASSUNG!$A$6:$A$3005,A109))</f>
        <v/>
      </c>
      <c r="K109" s="73">
        <f>IF(A109="","",SUMIFS(ERFASSUNG!$H$6:$H$3005,ERFASSUNG!$A$6:$A$3005,A109))</f>
        <v/>
      </c>
      <c r="L109" s="73">
        <f>IF(A109="","",SUMIFS(ERFASSUNG!$I$6:$I$3005,ERFASSUNG!$A$6:$A$3005,A109))</f>
        <v/>
      </c>
      <c r="M109" s="73">
        <f>IF(A109="","",SUMIFS(ERFASSUNG!$J$6:$J$3005,ERFASSUNG!$A$6:$A$3005,A109))</f>
        <v/>
      </c>
      <c r="N109" s="73">
        <f>IF(A109="","",SUMIFS(ERFASSUNG!$K$6:$K$3005,ERFASSUNG!$A$6:$A$3005,A109))</f>
        <v/>
      </c>
      <c r="O109" s="73">
        <f>IF(A109="","",SUMIFS(ERFASSUNG!$L$6:$L$3005,ERFASSUNG!$A$6:$A$3005,A109))</f>
        <v/>
      </c>
      <c r="P109" s="73">
        <f>IF(A109="","",SUMIFS(ERFASSUNG!$M$6:$M$3005,ERFASSUNG!$A$6:$A$3005,A109))</f>
        <v/>
      </c>
      <c r="Q109" s="73">
        <f>IF(A109="","",SUMIFS(ERFASSUNG!$N$6:$N$3005,ERFASSUNG!$A$6:$A$3005,A109))</f>
        <v/>
      </c>
    </row>
    <row r="110">
      <c r="A110" s="72">
        <f>IF(YEAR(DATE(LISTEN!$F$2,1,1)+105)=LISTEN!$F$2,DATE(LISTEN!$F$2,1,1)+105,"")</f>
        <v/>
      </c>
      <c r="B110" s="73">
        <f>IF(A110="","",CHOOSE(WEEKDAY(A110,2),"Mo","Di","Mi","Do","Fr","Sa","So"))</f>
        <v/>
      </c>
      <c r="C110" s="73">
        <f>IF(A110="","",INT((A110-DATE(YEAR(A110-WEEKDAY(A110-1)+4),1,3)+WEEKDAY(DATE(YEAR(A110-WEEKDAY(A110-1)+4),1,3))+5)/7))</f>
        <v/>
      </c>
      <c r="D110" s="73">
        <f>IF(A110="","",MONTH(A110))</f>
        <v/>
      </c>
      <c r="E110" s="73">
        <f>IF(A110="","",WEEKDAY(A110,2))</f>
        <v/>
      </c>
      <c r="F110" s="73">
        <f>IF(A110="","",COUNTIF(ERFASSUNG!$A$6:$A$3005,A110))</f>
        <v/>
      </c>
      <c r="G110" s="73">
        <f>IF(A110="","",IF(F110&gt;0,1,0))</f>
        <v/>
      </c>
      <c r="H110" s="73">
        <f>IF(A110="","",SUMIFS(ERFASSUNG!$E$6:$E$3005,ERFASSUNG!$A$6:$A$3005,A110))</f>
        <v/>
      </c>
      <c r="I110" s="73">
        <f>IF(A110="","",SUMIFS(ERFASSUNG!$F$6:$F$3005,ERFASSUNG!$A$6:$A$3005,A110))</f>
        <v/>
      </c>
      <c r="J110" s="73">
        <f>IF(A110="","",SUMIFS(ERFASSUNG!$G$6:$G$3005,ERFASSUNG!$A$6:$A$3005,A110))</f>
        <v/>
      </c>
      <c r="K110" s="73">
        <f>IF(A110="","",SUMIFS(ERFASSUNG!$H$6:$H$3005,ERFASSUNG!$A$6:$A$3005,A110))</f>
        <v/>
      </c>
      <c r="L110" s="73">
        <f>IF(A110="","",SUMIFS(ERFASSUNG!$I$6:$I$3005,ERFASSUNG!$A$6:$A$3005,A110))</f>
        <v/>
      </c>
      <c r="M110" s="73">
        <f>IF(A110="","",SUMIFS(ERFASSUNG!$J$6:$J$3005,ERFASSUNG!$A$6:$A$3005,A110))</f>
        <v/>
      </c>
      <c r="N110" s="73">
        <f>IF(A110="","",SUMIFS(ERFASSUNG!$K$6:$K$3005,ERFASSUNG!$A$6:$A$3005,A110))</f>
        <v/>
      </c>
      <c r="O110" s="73">
        <f>IF(A110="","",SUMIFS(ERFASSUNG!$L$6:$L$3005,ERFASSUNG!$A$6:$A$3005,A110))</f>
        <v/>
      </c>
      <c r="P110" s="73">
        <f>IF(A110="","",SUMIFS(ERFASSUNG!$M$6:$M$3005,ERFASSUNG!$A$6:$A$3005,A110))</f>
        <v/>
      </c>
      <c r="Q110" s="73">
        <f>IF(A110="","",SUMIFS(ERFASSUNG!$N$6:$N$3005,ERFASSUNG!$A$6:$A$3005,A110))</f>
        <v/>
      </c>
    </row>
    <row r="111">
      <c r="A111" s="72">
        <f>IF(YEAR(DATE(LISTEN!$F$2,1,1)+106)=LISTEN!$F$2,DATE(LISTEN!$F$2,1,1)+106,"")</f>
        <v/>
      </c>
      <c r="B111" s="73">
        <f>IF(A111="","",CHOOSE(WEEKDAY(A111,2),"Mo","Di","Mi","Do","Fr","Sa","So"))</f>
        <v/>
      </c>
      <c r="C111" s="73">
        <f>IF(A111="","",INT((A111-DATE(YEAR(A111-WEEKDAY(A111-1)+4),1,3)+WEEKDAY(DATE(YEAR(A111-WEEKDAY(A111-1)+4),1,3))+5)/7))</f>
        <v/>
      </c>
      <c r="D111" s="73">
        <f>IF(A111="","",MONTH(A111))</f>
        <v/>
      </c>
      <c r="E111" s="73">
        <f>IF(A111="","",WEEKDAY(A111,2))</f>
        <v/>
      </c>
      <c r="F111" s="73">
        <f>IF(A111="","",COUNTIF(ERFASSUNG!$A$6:$A$3005,A111))</f>
        <v/>
      </c>
      <c r="G111" s="73">
        <f>IF(A111="","",IF(F111&gt;0,1,0))</f>
        <v/>
      </c>
      <c r="H111" s="73">
        <f>IF(A111="","",SUMIFS(ERFASSUNG!$E$6:$E$3005,ERFASSUNG!$A$6:$A$3005,A111))</f>
        <v/>
      </c>
      <c r="I111" s="73">
        <f>IF(A111="","",SUMIFS(ERFASSUNG!$F$6:$F$3005,ERFASSUNG!$A$6:$A$3005,A111))</f>
        <v/>
      </c>
      <c r="J111" s="73">
        <f>IF(A111="","",SUMIFS(ERFASSUNG!$G$6:$G$3005,ERFASSUNG!$A$6:$A$3005,A111))</f>
        <v/>
      </c>
      <c r="K111" s="73">
        <f>IF(A111="","",SUMIFS(ERFASSUNG!$H$6:$H$3005,ERFASSUNG!$A$6:$A$3005,A111))</f>
        <v/>
      </c>
      <c r="L111" s="73">
        <f>IF(A111="","",SUMIFS(ERFASSUNG!$I$6:$I$3005,ERFASSUNG!$A$6:$A$3005,A111))</f>
        <v/>
      </c>
      <c r="M111" s="73">
        <f>IF(A111="","",SUMIFS(ERFASSUNG!$J$6:$J$3005,ERFASSUNG!$A$6:$A$3005,A111))</f>
        <v/>
      </c>
      <c r="N111" s="73">
        <f>IF(A111="","",SUMIFS(ERFASSUNG!$K$6:$K$3005,ERFASSUNG!$A$6:$A$3005,A111))</f>
        <v/>
      </c>
      <c r="O111" s="73">
        <f>IF(A111="","",SUMIFS(ERFASSUNG!$L$6:$L$3005,ERFASSUNG!$A$6:$A$3005,A111))</f>
        <v/>
      </c>
      <c r="P111" s="73">
        <f>IF(A111="","",SUMIFS(ERFASSUNG!$M$6:$M$3005,ERFASSUNG!$A$6:$A$3005,A111))</f>
        <v/>
      </c>
      <c r="Q111" s="73">
        <f>IF(A111="","",SUMIFS(ERFASSUNG!$N$6:$N$3005,ERFASSUNG!$A$6:$A$3005,A111))</f>
        <v/>
      </c>
    </row>
    <row r="112">
      <c r="A112" s="72">
        <f>IF(YEAR(DATE(LISTEN!$F$2,1,1)+107)=LISTEN!$F$2,DATE(LISTEN!$F$2,1,1)+107,"")</f>
        <v/>
      </c>
      <c r="B112" s="73">
        <f>IF(A112="","",CHOOSE(WEEKDAY(A112,2),"Mo","Di","Mi","Do","Fr","Sa","So"))</f>
        <v/>
      </c>
      <c r="C112" s="73">
        <f>IF(A112="","",INT((A112-DATE(YEAR(A112-WEEKDAY(A112-1)+4),1,3)+WEEKDAY(DATE(YEAR(A112-WEEKDAY(A112-1)+4),1,3))+5)/7))</f>
        <v/>
      </c>
      <c r="D112" s="73">
        <f>IF(A112="","",MONTH(A112))</f>
        <v/>
      </c>
      <c r="E112" s="73">
        <f>IF(A112="","",WEEKDAY(A112,2))</f>
        <v/>
      </c>
      <c r="F112" s="73">
        <f>IF(A112="","",COUNTIF(ERFASSUNG!$A$6:$A$3005,A112))</f>
        <v/>
      </c>
      <c r="G112" s="73">
        <f>IF(A112="","",IF(F112&gt;0,1,0))</f>
        <v/>
      </c>
      <c r="H112" s="73">
        <f>IF(A112="","",SUMIFS(ERFASSUNG!$E$6:$E$3005,ERFASSUNG!$A$6:$A$3005,A112))</f>
        <v/>
      </c>
      <c r="I112" s="73">
        <f>IF(A112="","",SUMIFS(ERFASSUNG!$F$6:$F$3005,ERFASSUNG!$A$6:$A$3005,A112))</f>
        <v/>
      </c>
      <c r="J112" s="73">
        <f>IF(A112="","",SUMIFS(ERFASSUNG!$G$6:$G$3005,ERFASSUNG!$A$6:$A$3005,A112))</f>
        <v/>
      </c>
      <c r="K112" s="73">
        <f>IF(A112="","",SUMIFS(ERFASSUNG!$H$6:$H$3005,ERFASSUNG!$A$6:$A$3005,A112))</f>
        <v/>
      </c>
      <c r="L112" s="73">
        <f>IF(A112="","",SUMIFS(ERFASSUNG!$I$6:$I$3005,ERFASSUNG!$A$6:$A$3005,A112))</f>
        <v/>
      </c>
      <c r="M112" s="73">
        <f>IF(A112="","",SUMIFS(ERFASSUNG!$J$6:$J$3005,ERFASSUNG!$A$6:$A$3005,A112))</f>
        <v/>
      </c>
      <c r="N112" s="73">
        <f>IF(A112="","",SUMIFS(ERFASSUNG!$K$6:$K$3005,ERFASSUNG!$A$6:$A$3005,A112))</f>
        <v/>
      </c>
      <c r="O112" s="73">
        <f>IF(A112="","",SUMIFS(ERFASSUNG!$L$6:$L$3005,ERFASSUNG!$A$6:$A$3005,A112))</f>
        <v/>
      </c>
      <c r="P112" s="73">
        <f>IF(A112="","",SUMIFS(ERFASSUNG!$M$6:$M$3005,ERFASSUNG!$A$6:$A$3005,A112))</f>
        <v/>
      </c>
      <c r="Q112" s="73">
        <f>IF(A112="","",SUMIFS(ERFASSUNG!$N$6:$N$3005,ERFASSUNG!$A$6:$A$3005,A112))</f>
        <v/>
      </c>
    </row>
    <row r="113">
      <c r="A113" s="72">
        <f>IF(YEAR(DATE(LISTEN!$F$2,1,1)+108)=LISTEN!$F$2,DATE(LISTEN!$F$2,1,1)+108,"")</f>
        <v/>
      </c>
      <c r="B113" s="73">
        <f>IF(A113="","",CHOOSE(WEEKDAY(A113,2),"Mo","Di","Mi","Do","Fr","Sa","So"))</f>
        <v/>
      </c>
      <c r="C113" s="73">
        <f>IF(A113="","",INT((A113-DATE(YEAR(A113-WEEKDAY(A113-1)+4),1,3)+WEEKDAY(DATE(YEAR(A113-WEEKDAY(A113-1)+4),1,3))+5)/7))</f>
        <v/>
      </c>
      <c r="D113" s="73">
        <f>IF(A113="","",MONTH(A113))</f>
        <v/>
      </c>
      <c r="E113" s="73">
        <f>IF(A113="","",WEEKDAY(A113,2))</f>
        <v/>
      </c>
      <c r="F113" s="73">
        <f>IF(A113="","",COUNTIF(ERFASSUNG!$A$6:$A$3005,A113))</f>
        <v/>
      </c>
      <c r="G113" s="73">
        <f>IF(A113="","",IF(F113&gt;0,1,0))</f>
        <v/>
      </c>
      <c r="H113" s="73">
        <f>IF(A113="","",SUMIFS(ERFASSUNG!$E$6:$E$3005,ERFASSUNG!$A$6:$A$3005,A113))</f>
        <v/>
      </c>
      <c r="I113" s="73">
        <f>IF(A113="","",SUMIFS(ERFASSUNG!$F$6:$F$3005,ERFASSUNG!$A$6:$A$3005,A113))</f>
        <v/>
      </c>
      <c r="J113" s="73">
        <f>IF(A113="","",SUMIFS(ERFASSUNG!$G$6:$G$3005,ERFASSUNG!$A$6:$A$3005,A113))</f>
        <v/>
      </c>
      <c r="K113" s="73">
        <f>IF(A113="","",SUMIFS(ERFASSUNG!$H$6:$H$3005,ERFASSUNG!$A$6:$A$3005,A113))</f>
        <v/>
      </c>
      <c r="L113" s="73">
        <f>IF(A113="","",SUMIFS(ERFASSUNG!$I$6:$I$3005,ERFASSUNG!$A$6:$A$3005,A113))</f>
        <v/>
      </c>
      <c r="M113" s="73">
        <f>IF(A113="","",SUMIFS(ERFASSUNG!$J$6:$J$3005,ERFASSUNG!$A$6:$A$3005,A113))</f>
        <v/>
      </c>
      <c r="N113" s="73">
        <f>IF(A113="","",SUMIFS(ERFASSUNG!$K$6:$K$3005,ERFASSUNG!$A$6:$A$3005,A113))</f>
        <v/>
      </c>
      <c r="O113" s="73">
        <f>IF(A113="","",SUMIFS(ERFASSUNG!$L$6:$L$3005,ERFASSUNG!$A$6:$A$3005,A113))</f>
        <v/>
      </c>
      <c r="P113" s="73">
        <f>IF(A113="","",SUMIFS(ERFASSUNG!$M$6:$M$3005,ERFASSUNG!$A$6:$A$3005,A113))</f>
        <v/>
      </c>
      <c r="Q113" s="73">
        <f>IF(A113="","",SUMIFS(ERFASSUNG!$N$6:$N$3005,ERFASSUNG!$A$6:$A$3005,A113))</f>
        <v/>
      </c>
    </row>
    <row r="114">
      <c r="A114" s="72">
        <f>IF(YEAR(DATE(LISTEN!$F$2,1,1)+109)=LISTEN!$F$2,DATE(LISTEN!$F$2,1,1)+109,"")</f>
        <v/>
      </c>
      <c r="B114" s="73">
        <f>IF(A114="","",CHOOSE(WEEKDAY(A114,2),"Mo","Di","Mi","Do","Fr","Sa","So"))</f>
        <v/>
      </c>
      <c r="C114" s="73">
        <f>IF(A114="","",INT((A114-DATE(YEAR(A114-WEEKDAY(A114-1)+4),1,3)+WEEKDAY(DATE(YEAR(A114-WEEKDAY(A114-1)+4),1,3))+5)/7))</f>
        <v/>
      </c>
      <c r="D114" s="73">
        <f>IF(A114="","",MONTH(A114))</f>
        <v/>
      </c>
      <c r="E114" s="73">
        <f>IF(A114="","",WEEKDAY(A114,2))</f>
        <v/>
      </c>
      <c r="F114" s="73">
        <f>IF(A114="","",COUNTIF(ERFASSUNG!$A$6:$A$3005,A114))</f>
        <v/>
      </c>
      <c r="G114" s="73">
        <f>IF(A114="","",IF(F114&gt;0,1,0))</f>
        <v/>
      </c>
      <c r="H114" s="73">
        <f>IF(A114="","",SUMIFS(ERFASSUNG!$E$6:$E$3005,ERFASSUNG!$A$6:$A$3005,A114))</f>
        <v/>
      </c>
      <c r="I114" s="73">
        <f>IF(A114="","",SUMIFS(ERFASSUNG!$F$6:$F$3005,ERFASSUNG!$A$6:$A$3005,A114))</f>
        <v/>
      </c>
      <c r="J114" s="73">
        <f>IF(A114="","",SUMIFS(ERFASSUNG!$G$6:$G$3005,ERFASSUNG!$A$6:$A$3005,A114))</f>
        <v/>
      </c>
      <c r="K114" s="73">
        <f>IF(A114="","",SUMIFS(ERFASSUNG!$H$6:$H$3005,ERFASSUNG!$A$6:$A$3005,A114))</f>
        <v/>
      </c>
      <c r="L114" s="73">
        <f>IF(A114="","",SUMIFS(ERFASSUNG!$I$6:$I$3005,ERFASSUNG!$A$6:$A$3005,A114))</f>
        <v/>
      </c>
      <c r="M114" s="73">
        <f>IF(A114="","",SUMIFS(ERFASSUNG!$J$6:$J$3005,ERFASSUNG!$A$6:$A$3005,A114))</f>
        <v/>
      </c>
      <c r="N114" s="73">
        <f>IF(A114="","",SUMIFS(ERFASSUNG!$K$6:$K$3005,ERFASSUNG!$A$6:$A$3005,A114))</f>
        <v/>
      </c>
      <c r="O114" s="73">
        <f>IF(A114="","",SUMIFS(ERFASSUNG!$L$6:$L$3005,ERFASSUNG!$A$6:$A$3005,A114))</f>
        <v/>
      </c>
      <c r="P114" s="73">
        <f>IF(A114="","",SUMIFS(ERFASSUNG!$M$6:$M$3005,ERFASSUNG!$A$6:$A$3005,A114))</f>
        <v/>
      </c>
      <c r="Q114" s="73">
        <f>IF(A114="","",SUMIFS(ERFASSUNG!$N$6:$N$3005,ERFASSUNG!$A$6:$A$3005,A114))</f>
        <v/>
      </c>
    </row>
    <row r="115">
      <c r="A115" s="72">
        <f>IF(YEAR(DATE(LISTEN!$F$2,1,1)+110)=LISTEN!$F$2,DATE(LISTEN!$F$2,1,1)+110,"")</f>
        <v/>
      </c>
      <c r="B115" s="73">
        <f>IF(A115="","",CHOOSE(WEEKDAY(A115,2),"Mo","Di","Mi","Do","Fr","Sa","So"))</f>
        <v/>
      </c>
      <c r="C115" s="73">
        <f>IF(A115="","",INT((A115-DATE(YEAR(A115-WEEKDAY(A115-1)+4),1,3)+WEEKDAY(DATE(YEAR(A115-WEEKDAY(A115-1)+4),1,3))+5)/7))</f>
        <v/>
      </c>
      <c r="D115" s="73">
        <f>IF(A115="","",MONTH(A115))</f>
        <v/>
      </c>
      <c r="E115" s="73">
        <f>IF(A115="","",WEEKDAY(A115,2))</f>
        <v/>
      </c>
      <c r="F115" s="73">
        <f>IF(A115="","",COUNTIF(ERFASSUNG!$A$6:$A$3005,A115))</f>
        <v/>
      </c>
      <c r="G115" s="73">
        <f>IF(A115="","",IF(F115&gt;0,1,0))</f>
        <v/>
      </c>
      <c r="H115" s="73">
        <f>IF(A115="","",SUMIFS(ERFASSUNG!$E$6:$E$3005,ERFASSUNG!$A$6:$A$3005,A115))</f>
        <v/>
      </c>
      <c r="I115" s="73">
        <f>IF(A115="","",SUMIFS(ERFASSUNG!$F$6:$F$3005,ERFASSUNG!$A$6:$A$3005,A115))</f>
        <v/>
      </c>
      <c r="J115" s="73">
        <f>IF(A115="","",SUMIFS(ERFASSUNG!$G$6:$G$3005,ERFASSUNG!$A$6:$A$3005,A115))</f>
        <v/>
      </c>
      <c r="K115" s="73">
        <f>IF(A115="","",SUMIFS(ERFASSUNG!$H$6:$H$3005,ERFASSUNG!$A$6:$A$3005,A115))</f>
        <v/>
      </c>
      <c r="L115" s="73">
        <f>IF(A115="","",SUMIFS(ERFASSUNG!$I$6:$I$3005,ERFASSUNG!$A$6:$A$3005,A115))</f>
        <v/>
      </c>
      <c r="M115" s="73">
        <f>IF(A115="","",SUMIFS(ERFASSUNG!$J$6:$J$3005,ERFASSUNG!$A$6:$A$3005,A115))</f>
        <v/>
      </c>
      <c r="N115" s="73">
        <f>IF(A115="","",SUMIFS(ERFASSUNG!$K$6:$K$3005,ERFASSUNG!$A$6:$A$3005,A115))</f>
        <v/>
      </c>
      <c r="O115" s="73">
        <f>IF(A115="","",SUMIFS(ERFASSUNG!$L$6:$L$3005,ERFASSUNG!$A$6:$A$3005,A115))</f>
        <v/>
      </c>
      <c r="P115" s="73">
        <f>IF(A115="","",SUMIFS(ERFASSUNG!$M$6:$M$3005,ERFASSUNG!$A$6:$A$3005,A115))</f>
        <v/>
      </c>
      <c r="Q115" s="73">
        <f>IF(A115="","",SUMIFS(ERFASSUNG!$N$6:$N$3005,ERFASSUNG!$A$6:$A$3005,A115))</f>
        <v/>
      </c>
    </row>
    <row r="116">
      <c r="A116" s="72">
        <f>IF(YEAR(DATE(LISTEN!$F$2,1,1)+111)=LISTEN!$F$2,DATE(LISTEN!$F$2,1,1)+111,"")</f>
        <v/>
      </c>
      <c r="B116" s="73">
        <f>IF(A116="","",CHOOSE(WEEKDAY(A116,2),"Mo","Di","Mi","Do","Fr","Sa","So"))</f>
        <v/>
      </c>
      <c r="C116" s="73">
        <f>IF(A116="","",INT((A116-DATE(YEAR(A116-WEEKDAY(A116-1)+4),1,3)+WEEKDAY(DATE(YEAR(A116-WEEKDAY(A116-1)+4),1,3))+5)/7))</f>
        <v/>
      </c>
      <c r="D116" s="73">
        <f>IF(A116="","",MONTH(A116))</f>
        <v/>
      </c>
      <c r="E116" s="73">
        <f>IF(A116="","",WEEKDAY(A116,2))</f>
        <v/>
      </c>
      <c r="F116" s="73">
        <f>IF(A116="","",COUNTIF(ERFASSUNG!$A$6:$A$3005,A116))</f>
        <v/>
      </c>
      <c r="G116" s="73">
        <f>IF(A116="","",IF(F116&gt;0,1,0))</f>
        <v/>
      </c>
      <c r="H116" s="73">
        <f>IF(A116="","",SUMIFS(ERFASSUNG!$E$6:$E$3005,ERFASSUNG!$A$6:$A$3005,A116))</f>
        <v/>
      </c>
      <c r="I116" s="73">
        <f>IF(A116="","",SUMIFS(ERFASSUNG!$F$6:$F$3005,ERFASSUNG!$A$6:$A$3005,A116))</f>
        <v/>
      </c>
      <c r="J116" s="73">
        <f>IF(A116="","",SUMIFS(ERFASSUNG!$G$6:$G$3005,ERFASSUNG!$A$6:$A$3005,A116))</f>
        <v/>
      </c>
      <c r="K116" s="73">
        <f>IF(A116="","",SUMIFS(ERFASSUNG!$H$6:$H$3005,ERFASSUNG!$A$6:$A$3005,A116))</f>
        <v/>
      </c>
      <c r="L116" s="73">
        <f>IF(A116="","",SUMIFS(ERFASSUNG!$I$6:$I$3005,ERFASSUNG!$A$6:$A$3005,A116))</f>
        <v/>
      </c>
      <c r="M116" s="73">
        <f>IF(A116="","",SUMIFS(ERFASSUNG!$J$6:$J$3005,ERFASSUNG!$A$6:$A$3005,A116))</f>
        <v/>
      </c>
      <c r="N116" s="73">
        <f>IF(A116="","",SUMIFS(ERFASSUNG!$K$6:$K$3005,ERFASSUNG!$A$6:$A$3005,A116))</f>
        <v/>
      </c>
      <c r="O116" s="73">
        <f>IF(A116="","",SUMIFS(ERFASSUNG!$L$6:$L$3005,ERFASSUNG!$A$6:$A$3005,A116))</f>
        <v/>
      </c>
      <c r="P116" s="73">
        <f>IF(A116="","",SUMIFS(ERFASSUNG!$M$6:$M$3005,ERFASSUNG!$A$6:$A$3005,A116))</f>
        <v/>
      </c>
      <c r="Q116" s="73">
        <f>IF(A116="","",SUMIFS(ERFASSUNG!$N$6:$N$3005,ERFASSUNG!$A$6:$A$3005,A116))</f>
        <v/>
      </c>
    </row>
    <row r="117">
      <c r="A117" s="72">
        <f>IF(YEAR(DATE(LISTEN!$F$2,1,1)+112)=LISTEN!$F$2,DATE(LISTEN!$F$2,1,1)+112,"")</f>
        <v/>
      </c>
      <c r="B117" s="73">
        <f>IF(A117="","",CHOOSE(WEEKDAY(A117,2),"Mo","Di","Mi","Do","Fr","Sa","So"))</f>
        <v/>
      </c>
      <c r="C117" s="73">
        <f>IF(A117="","",INT((A117-DATE(YEAR(A117-WEEKDAY(A117-1)+4),1,3)+WEEKDAY(DATE(YEAR(A117-WEEKDAY(A117-1)+4),1,3))+5)/7))</f>
        <v/>
      </c>
      <c r="D117" s="73">
        <f>IF(A117="","",MONTH(A117))</f>
        <v/>
      </c>
      <c r="E117" s="73">
        <f>IF(A117="","",WEEKDAY(A117,2))</f>
        <v/>
      </c>
      <c r="F117" s="73">
        <f>IF(A117="","",COUNTIF(ERFASSUNG!$A$6:$A$3005,A117))</f>
        <v/>
      </c>
      <c r="G117" s="73">
        <f>IF(A117="","",IF(F117&gt;0,1,0))</f>
        <v/>
      </c>
      <c r="H117" s="73">
        <f>IF(A117="","",SUMIFS(ERFASSUNG!$E$6:$E$3005,ERFASSUNG!$A$6:$A$3005,A117))</f>
        <v/>
      </c>
      <c r="I117" s="73">
        <f>IF(A117="","",SUMIFS(ERFASSUNG!$F$6:$F$3005,ERFASSUNG!$A$6:$A$3005,A117))</f>
        <v/>
      </c>
      <c r="J117" s="73">
        <f>IF(A117="","",SUMIFS(ERFASSUNG!$G$6:$G$3005,ERFASSUNG!$A$6:$A$3005,A117))</f>
        <v/>
      </c>
      <c r="K117" s="73">
        <f>IF(A117="","",SUMIFS(ERFASSUNG!$H$6:$H$3005,ERFASSUNG!$A$6:$A$3005,A117))</f>
        <v/>
      </c>
      <c r="L117" s="73">
        <f>IF(A117="","",SUMIFS(ERFASSUNG!$I$6:$I$3005,ERFASSUNG!$A$6:$A$3005,A117))</f>
        <v/>
      </c>
      <c r="M117" s="73">
        <f>IF(A117="","",SUMIFS(ERFASSUNG!$J$6:$J$3005,ERFASSUNG!$A$6:$A$3005,A117))</f>
        <v/>
      </c>
      <c r="N117" s="73">
        <f>IF(A117="","",SUMIFS(ERFASSUNG!$K$6:$K$3005,ERFASSUNG!$A$6:$A$3005,A117))</f>
        <v/>
      </c>
      <c r="O117" s="73">
        <f>IF(A117="","",SUMIFS(ERFASSUNG!$L$6:$L$3005,ERFASSUNG!$A$6:$A$3005,A117))</f>
        <v/>
      </c>
      <c r="P117" s="73">
        <f>IF(A117="","",SUMIFS(ERFASSUNG!$M$6:$M$3005,ERFASSUNG!$A$6:$A$3005,A117))</f>
        <v/>
      </c>
      <c r="Q117" s="73">
        <f>IF(A117="","",SUMIFS(ERFASSUNG!$N$6:$N$3005,ERFASSUNG!$A$6:$A$3005,A117))</f>
        <v/>
      </c>
    </row>
    <row r="118">
      <c r="A118" s="72">
        <f>IF(YEAR(DATE(LISTEN!$F$2,1,1)+113)=LISTEN!$F$2,DATE(LISTEN!$F$2,1,1)+113,"")</f>
        <v/>
      </c>
      <c r="B118" s="73">
        <f>IF(A118="","",CHOOSE(WEEKDAY(A118,2),"Mo","Di","Mi","Do","Fr","Sa","So"))</f>
        <v/>
      </c>
      <c r="C118" s="73">
        <f>IF(A118="","",INT((A118-DATE(YEAR(A118-WEEKDAY(A118-1)+4),1,3)+WEEKDAY(DATE(YEAR(A118-WEEKDAY(A118-1)+4),1,3))+5)/7))</f>
        <v/>
      </c>
      <c r="D118" s="73">
        <f>IF(A118="","",MONTH(A118))</f>
        <v/>
      </c>
      <c r="E118" s="73">
        <f>IF(A118="","",WEEKDAY(A118,2))</f>
        <v/>
      </c>
      <c r="F118" s="73">
        <f>IF(A118="","",COUNTIF(ERFASSUNG!$A$6:$A$3005,A118))</f>
        <v/>
      </c>
      <c r="G118" s="73">
        <f>IF(A118="","",IF(F118&gt;0,1,0))</f>
        <v/>
      </c>
      <c r="H118" s="73">
        <f>IF(A118="","",SUMIFS(ERFASSUNG!$E$6:$E$3005,ERFASSUNG!$A$6:$A$3005,A118))</f>
        <v/>
      </c>
      <c r="I118" s="73">
        <f>IF(A118="","",SUMIFS(ERFASSUNG!$F$6:$F$3005,ERFASSUNG!$A$6:$A$3005,A118))</f>
        <v/>
      </c>
      <c r="J118" s="73">
        <f>IF(A118="","",SUMIFS(ERFASSUNG!$G$6:$G$3005,ERFASSUNG!$A$6:$A$3005,A118))</f>
        <v/>
      </c>
      <c r="K118" s="73">
        <f>IF(A118="","",SUMIFS(ERFASSUNG!$H$6:$H$3005,ERFASSUNG!$A$6:$A$3005,A118))</f>
        <v/>
      </c>
      <c r="L118" s="73">
        <f>IF(A118="","",SUMIFS(ERFASSUNG!$I$6:$I$3005,ERFASSUNG!$A$6:$A$3005,A118))</f>
        <v/>
      </c>
      <c r="M118" s="73">
        <f>IF(A118="","",SUMIFS(ERFASSUNG!$J$6:$J$3005,ERFASSUNG!$A$6:$A$3005,A118))</f>
        <v/>
      </c>
      <c r="N118" s="73">
        <f>IF(A118="","",SUMIFS(ERFASSUNG!$K$6:$K$3005,ERFASSUNG!$A$6:$A$3005,A118))</f>
        <v/>
      </c>
      <c r="O118" s="73">
        <f>IF(A118="","",SUMIFS(ERFASSUNG!$L$6:$L$3005,ERFASSUNG!$A$6:$A$3005,A118))</f>
        <v/>
      </c>
      <c r="P118" s="73">
        <f>IF(A118="","",SUMIFS(ERFASSUNG!$M$6:$M$3005,ERFASSUNG!$A$6:$A$3005,A118))</f>
        <v/>
      </c>
      <c r="Q118" s="73">
        <f>IF(A118="","",SUMIFS(ERFASSUNG!$N$6:$N$3005,ERFASSUNG!$A$6:$A$3005,A118))</f>
        <v/>
      </c>
    </row>
    <row r="119">
      <c r="A119" s="72">
        <f>IF(YEAR(DATE(LISTEN!$F$2,1,1)+114)=LISTEN!$F$2,DATE(LISTEN!$F$2,1,1)+114,"")</f>
        <v/>
      </c>
      <c r="B119" s="73">
        <f>IF(A119="","",CHOOSE(WEEKDAY(A119,2),"Mo","Di","Mi","Do","Fr","Sa","So"))</f>
        <v/>
      </c>
      <c r="C119" s="73">
        <f>IF(A119="","",INT((A119-DATE(YEAR(A119-WEEKDAY(A119-1)+4),1,3)+WEEKDAY(DATE(YEAR(A119-WEEKDAY(A119-1)+4),1,3))+5)/7))</f>
        <v/>
      </c>
      <c r="D119" s="73">
        <f>IF(A119="","",MONTH(A119))</f>
        <v/>
      </c>
      <c r="E119" s="73">
        <f>IF(A119="","",WEEKDAY(A119,2))</f>
        <v/>
      </c>
      <c r="F119" s="73">
        <f>IF(A119="","",COUNTIF(ERFASSUNG!$A$6:$A$3005,A119))</f>
        <v/>
      </c>
      <c r="G119" s="73">
        <f>IF(A119="","",IF(F119&gt;0,1,0))</f>
        <v/>
      </c>
      <c r="H119" s="73">
        <f>IF(A119="","",SUMIFS(ERFASSUNG!$E$6:$E$3005,ERFASSUNG!$A$6:$A$3005,A119))</f>
        <v/>
      </c>
      <c r="I119" s="73">
        <f>IF(A119="","",SUMIFS(ERFASSUNG!$F$6:$F$3005,ERFASSUNG!$A$6:$A$3005,A119))</f>
        <v/>
      </c>
      <c r="J119" s="73">
        <f>IF(A119="","",SUMIFS(ERFASSUNG!$G$6:$G$3005,ERFASSUNG!$A$6:$A$3005,A119))</f>
        <v/>
      </c>
      <c r="K119" s="73">
        <f>IF(A119="","",SUMIFS(ERFASSUNG!$H$6:$H$3005,ERFASSUNG!$A$6:$A$3005,A119))</f>
        <v/>
      </c>
      <c r="L119" s="73">
        <f>IF(A119="","",SUMIFS(ERFASSUNG!$I$6:$I$3005,ERFASSUNG!$A$6:$A$3005,A119))</f>
        <v/>
      </c>
      <c r="M119" s="73">
        <f>IF(A119="","",SUMIFS(ERFASSUNG!$J$6:$J$3005,ERFASSUNG!$A$6:$A$3005,A119))</f>
        <v/>
      </c>
      <c r="N119" s="73">
        <f>IF(A119="","",SUMIFS(ERFASSUNG!$K$6:$K$3005,ERFASSUNG!$A$6:$A$3005,A119))</f>
        <v/>
      </c>
      <c r="O119" s="73">
        <f>IF(A119="","",SUMIFS(ERFASSUNG!$L$6:$L$3005,ERFASSUNG!$A$6:$A$3005,A119))</f>
        <v/>
      </c>
      <c r="P119" s="73">
        <f>IF(A119="","",SUMIFS(ERFASSUNG!$M$6:$M$3005,ERFASSUNG!$A$6:$A$3005,A119))</f>
        <v/>
      </c>
      <c r="Q119" s="73">
        <f>IF(A119="","",SUMIFS(ERFASSUNG!$N$6:$N$3005,ERFASSUNG!$A$6:$A$3005,A119))</f>
        <v/>
      </c>
    </row>
    <row r="120">
      <c r="A120" s="72">
        <f>IF(YEAR(DATE(LISTEN!$F$2,1,1)+115)=LISTEN!$F$2,DATE(LISTEN!$F$2,1,1)+115,"")</f>
        <v/>
      </c>
      <c r="B120" s="73">
        <f>IF(A120="","",CHOOSE(WEEKDAY(A120,2),"Mo","Di","Mi","Do","Fr","Sa","So"))</f>
        <v/>
      </c>
      <c r="C120" s="73">
        <f>IF(A120="","",INT((A120-DATE(YEAR(A120-WEEKDAY(A120-1)+4),1,3)+WEEKDAY(DATE(YEAR(A120-WEEKDAY(A120-1)+4),1,3))+5)/7))</f>
        <v/>
      </c>
      <c r="D120" s="73">
        <f>IF(A120="","",MONTH(A120))</f>
        <v/>
      </c>
      <c r="E120" s="73">
        <f>IF(A120="","",WEEKDAY(A120,2))</f>
        <v/>
      </c>
      <c r="F120" s="73">
        <f>IF(A120="","",COUNTIF(ERFASSUNG!$A$6:$A$3005,A120))</f>
        <v/>
      </c>
      <c r="G120" s="73">
        <f>IF(A120="","",IF(F120&gt;0,1,0))</f>
        <v/>
      </c>
      <c r="H120" s="73">
        <f>IF(A120="","",SUMIFS(ERFASSUNG!$E$6:$E$3005,ERFASSUNG!$A$6:$A$3005,A120))</f>
        <v/>
      </c>
      <c r="I120" s="73">
        <f>IF(A120="","",SUMIFS(ERFASSUNG!$F$6:$F$3005,ERFASSUNG!$A$6:$A$3005,A120))</f>
        <v/>
      </c>
      <c r="J120" s="73">
        <f>IF(A120="","",SUMIFS(ERFASSUNG!$G$6:$G$3005,ERFASSUNG!$A$6:$A$3005,A120))</f>
        <v/>
      </c>
      <c r="K120" s="73">
        <f>IF(A120="","",SUMIFS(ERFASSUNG!$H$6:$H$3005,ERFASSUNG!$A$6:$A$3005,A120))</f>
        <v/>
      </c>
      <c r="L120" s="73">
        <f>IF(A120="","",SUMIFS(ERFASSUNG!$I$6:$I$3005,ERFASSUNG!$A$6:$A$3005,A120))</f>
        <v/>
      </c>
      <c r="M120" s="73">
        <f>IF(A120="","",SUMIFS(ERFASSUNG!$J$6:$J$3005,ERFASSUNG!$A$6:$A$3005,A120))</f>
        <v/>
      </c>
      <c r="N120" s="73">
        <f>IF(A120="","",SUMIFS(ERFASSUNG!$K$6:$K$3005,ERFASSUNG!$A$6:$A$3005,A120))</f>
        <v/>
      </c>
      <c r="O120" s="73">
        <f>IF(A120="","",SUMIFS(ERFASSUNG!$L$6:$L$3005,ERFASSUNG!$A$6:$A$3005,A120))</f>
        <v/>
      </c>
      <c r="P120" s="73">
        <f>IF(A120="","",SUMIFS(ERFASSUNG!$M$6:$M$3005,ERFASSUNG!$A$6:$A$3005,A120))</f>
        <v/>
      </c>
      <c r="Q120" s="73">
        <f>IF(A120="","",SUMIFS(ERFASSUNG!$N$6:$N$3005,ERFASSUNG!$A$6:$A$3005,A120))</f>
        <v/>
      </c>
    </row>
    <row r="121">
      <c r="A121" s="72">
        <f>IF(YEAR(DATE(LISTEN!$F$2,1,1)+116)=LISTEN!$F$2,DATE(LISTEN!$F$2,1,1)+116,"")</f>
        <v/>
      </c>
      <c r="B121" s="73">
        <f>IF(A121="","",CHOOSE(WEEKDAY(A121,2),"Mo","Di","Mi","Do","Fr","Sa","So"))</f>
        <v/>
      </c>
      <c r="C121" s="73">
        <f>IF(A121="","",INT((A121-DATE(YEAR(A121-WEEKDAY(A121-1)+4),1,3)+WEEKDAY(DATE(YEAR(A121-WEEKDAY(A121-1)+4),1,3))+5)/7))</f>
        <v/>
      </c>
      <c r="D121" s="73">
        <f>IF(A121="","",MONTH(A121))</f>
        <v/>
      </c>
      <c r="E121" s="73">
        <f>IF(A121="","",WEEKDAY(A121,2))</f>
        <v/>
      </c>
      <c r="F121" s="73">
        <f>IF(A121="","",COUNTIF(ERFASSUNG!$A$6:$A$3005,A121))</f>
        <v/>
      </c>
      <c r="G121" s="73">
        <f>IF(A121="","",IF(F121&gt;0,1,0))</f>
        <v/>
      </c>
      <c r="H121" s="73">
        <f>IF(A121="","",SUMIFS(ERFASSUNG!$E$6:$E$3005,ERFASSUNG!$A$6:$A$3005,A121))</f>
        <v/>
      </c>
      <c r="I121" s="73">
        <f>IF(A121="","",SUMIFS(ERFASSUNG!$F$6:$F$3005,ERFASSUNG!$A$6:$A$3005,A121))</f>
        <v/>
      </c>
      <c r="J121" s="73">
        <f>IF(A121="","",SUMIFS(ERFASSUNG!$G$6:$G$3005,ERFASSUNG!$A$6:$A$3005,A121))</f>
        <v/>
      </c>
      <c r="K121" s="73">
        <f>IF(A121="","",SUMIFS(ERFASSUNG!$H$6:$H$3005,ERFASSUNG!$A$6:$A$3005,A121))</f>
        <v/>
      </c>
      <c r="L121" s="73">
        <f>IF(A121="","",SUMIFS(ERFASSUNG!$I$6:$I$3005,ERFASSUNG!$A$6:$A$3005,A121))</f>
        <v/>
      </c>
      <c r="M121" s="73">
        <f>IF(A121="","",SUMIFS(ERFASSUNG!$J$6:$J$3005,ERFASSUNG!$A$6:$A$3005,A121))</f>
        <v/>
      </c>
      <c r="N121" s="73">
        <f>IF(A121="","",SUMIFS(ERFASSUNG!$K$6:$K$3005,ERFASSUNG!$A$6:$A$3005,A121))</f>
        <v/>
      </c>
      <c r="O121" s="73">
        <f>IF(A121="","",SUMIFS(ERFASSUNG!$L$6:$L$3005,ERFASSUNG!$A$6:$A$3005,A121))</f>
        <v/>
      </c>
      <c r="P121" s="73">
        <f>IF(A121="","",SUMIFS(ERFASSUNG!$M$6:$M$3005,ERFASSUNG!$A$6:$A$3005,A121))</f>
        <v/>
      </c>
      <c r="Q121" s="73">
        <f>IF(A121="","",SUMIFS(ERFASSUNG!$N$6:$N$3005,ERFASSUNG!$A$6:$A$3005,A121))</f>
        <v/>
      </c>
    </row>
    <row r="122">
      <c r="A122" s="72">
        <f>IF(YEAR(DATE(LISTEN!$F$2,1,1)+117)=LISTEN!$F$2,DATE(LISTEN!$F$2,1,1)+117,"")</f>
        <v/>
      </c>
      <c r="B122" s="73">
        <f>IF(A122="","",CHOOSE(WEEKDAY(A122,2),"Mo","Di","Mi","Do","Fr","Sa","So"))</f>
        <v/>
      </c>
      <c r="C122" s="73">
        <f>IF(A122="","",INT((A122-DATE(YEAR(A122-WEEKDAY(A122-1)+4),1,3)+WEEKDAY(DATE(YEAR(A122-WEEKDAY(A122-1)+4),1,3))+5)/7))</f>
        <v/>
      </c>
      <c r="D122" s="73">
        <f>IF(A122="","",MONTH(A122))</f>
        <v/>
      </c>
      <c r="E122" s="73">
        <f>IF(A122="","",WEEKDAY(A122,2))</f>
        <v/>
      </c>
      <c r="F122" s="73">
        <f>IF(A122="","",COUNTIF(ERFASSUNG!$A$6:$A$3005,A122))</f>
        <v/>
      </c>
      <c r="G122" s="73">
        <f>IF(A122="","",IF(F122&gt;0,1,0))</f>
        <v/>
      </c>
      <c r="H122" s="73">
        <f>IF(A122="","",SUMIFS(ERFASSUNG!$E$6:$E$3005,ERFASSUNG!$A$6:$A$3005,A122))</f>
        <v/>
      </c>
      <c r="I122" s="73">
        <f>IF(A122="","",SUMIFS(ERFASSUNG!$F$6:$F$3005,ERFASSUNG!$A$6:$A$3005,A122))</f>
        <v/>
      </c>
      <c r="J122" s="73">
        <f>IF(A122="","",SUMIFS(ERFASSUNG!$G$6:$G$3005,ERFASSUNG!$A$6:$A$3005,A122))</f>
        <v/>
      </c>
      <c r="K122" s="73">
        <f>IF(A122="","",SUMIFS(ERFASSUNG!$H$6:$H$3005,ERFASSUNG!$A$6:$A$3005,A122))</f>
        <v/>
      </c>
      <c r="L122" s="73">
        <f>IF(A122="","",SUMIFS(ERFASSUNG!$I$6:$I$3005,ERFASSUNG!$A$6:$A$3005,A122))</f>
        <v/>
      </c>
      <c r="M122" s="73">
        <f>IF(A122="","",SUMIFS(ERFASSUNG!$J$6:$J$3005,ERFASSUNG!$A$6:$A$3005,A122))</f>
        <v/>
      </c>
      <c r="N122" s="73">
        <f>IF(A122="","",SUMIFS(ERFASSUNG!$K$6:$K$3005,ERFASSUNG!$A$6:$A$3005,A122))</f>
        <v/>
      </c>
      <c r="O122" s="73">
        <f>IF(A122="","",SUMIFS(ERFASSUNG!$L$6:$L$3005,ERFASSUNG!$A$6:$A$3005,A122))</f>
        <v/>
      </c>
      <c r="P122" s="73">
        <f>IF(A122="","",SUMIFS(ERFASSUNG!$M$6:$M$3005,ERFASSUNG!$A$6:$A$3005,A122))</f>
        <v/>
      </c>
      <c r="Q122" s="73">
        <f>IF(A122="","",SUMIFS(ERFASSUNG!$N$6:$N$3005,ERFASSUNG!$A$6:$A$3005,A122))</f>
        <v/>
      </c>
    </row>
    <row r="123">
      <c r="A123" s="72">
        <f>IF(YEAR(DATE(LISTEN!$F$2,1,1)+118)=LISTEN!$F$2,DATE(LISTEN!$F$2,1,1)+118,"")</f>
        <v/>
      </c>
      <c r="B123" s="73">
        <f>IF(A123="","",CHOOSE(WEEKDAY(A123,2),"Mo","Di","Mi","Do","Fr","Sa","So"))</f>
        <v/>
      </c>
      <c r="C123" s="73">
        <f>IF(A123="","",INT((A123-DATE(YEAR(A123-WEEKDAY(A123-1)+4),1,3)+WEEKDAY(DATE(YEAR(A123-WEEKDAY(A123-1)+4),1,3))+5)/7))</f>
        <v/>
      </c>
      <c r="D123" s="73">
        <f>IF(A123="","",MONTH(A123))</f>
        <v/>
      </c>
      <c r="E123" s="73">
        <f>IF(A123="","",WEEKDAY(A123,2))</f>
        <v/>
      </c>
      <c r="F123" s="73">
        <f>IF(A123="","",COUNTIF(ERFASSUNG!$A$6:$A$3005,A123))</f>
        <v/>
      </c>
      <c r="G123" s="73">
        <f>IF(A123="","",IF(F123&gt;0,1,0))</f>
        <v/>
      </c>
      <c r="H123" s="73">
        <f>IF(A123="","",SUMIFS(ERFASSUNG!$E$6:$E$3005,ERFASSUNG!$A$6:$A$3005,A123))</f>
        <v/>
      </c>
      <c r="I123" s="73">
        <f>IF(A123="","",SUMIFS(ERFASSUNG!$F$6:$F$3005,ERFASSUNG!$A$6:$A$3005,A123))</f>
        <v/>
      </c>
      <c r="J123" s="73">
        <f>IF(A123="","",SUMIFS(ERFASSUNG!$G$6:$G$3005,ERFASSUNG!$A$6:$A$3005,A123))</f>
        <v/>
      </c>
      <c r="K123" s="73">
        <f>IF(A123="","",SUMIFS(ERFASSUNG!$H$6:$H$3005,ERFASSUNG!$A$6:$A$3005,A123))</f>
        <v/>
      </c>
      <c r="L123" s="73">
        <f>IF(A123="","",SUMIFS(ERFASSUNG!$I$6:$I$3005,ERFASSUNG!$A$6:$A$3005,A123))</f>
        <v/>
      </c>
      <c r="M123" s="73">
        <f>IF(A123="","",SUMIFS(ERFASSUNG!$J$6:$J$3005,ERFASSUNG!$A$6:$A$3005,A123))</f>
        <v/>
      </c>
      <c r="N123" s="73">
        <f>IF(A123="","",SUMIFS(ERFASSUNG!$K$6:$K$3005,ERFASSUNG!$A$6:$A$3005,A123))</f>
        <v/>
      </c>
      <c r="O123" s="73">
        <f>IF(A123="","",SUMIFS(ERFASSUNG!$L$6:$L$3005,ERFASSUNG!$A$6:$A$3005,A123))</f>
        <v/>
      </c>
      <c r="P123" s="73">
        <f>IF(A123="","",SUMIFS(ERFASSUNG!$M$6:$M$3005,ERFASSUNG!$A$6:$A$3005,A123))</f>
        <v/>
      </c>
      <c r="Q123" s="73">
        <f>IF(A123="","",SUMIFS(ERFASSUNG!$N$6:$N$3005,ERFASSUNG!$A$6:$A$3005,A123))</f>
        <v/>
      </c>
    </row>
    <row r="124">
      <c r="A124" s="72">
        <f>IF(YEAR(DATE(LISTEN!$F$2,1,1)+119)=LISTEN!$F$2,DATE(LISTEN!$F$2,1,1)+119,"")</f>
        <v/>
      </c>
      <c r="B124" s="73">
        <f>IF(A124="","",CHOOSE(WEEKDAY(A124,2),"Mo","Di","Mi","Do","Fr","Sa","So"))</f>
        <v/>
      </c>
      <c r="C124" s="73">
        <f>IF(A124="","",INT((A124-DATE(YEAR(A124-WEEKDAY(A124-1)+4),1,3)+WEEKDAY(DATE(YEAR(A124-WEEKDAY(A124-1)+4),1,3))+5)/7))</f>
        <v/>
      </c>
      <c r="D124" s="73">
        <f>IF(A124="","",MONTH(A124))</f>
        <v/>
      </c>
      <c r="E124" s="73">
        <f>IF(A124="","",WEEKDAY(A124,2))</f>
        <v/>
      </c>
      <c r="F124" s="73">
        <f>IF(A124="","",COUNTIF(ERFASSUNG!$A$6:$A$3005,A124))</f>
        <v/>
      </c>
      <c r="G124" s="73">
        <f>IF(A124="","",IF(F124&gt;0,1,0))</f>
        <v/>
      </c>
      <c r="H124" s="73">
        <f>IF(A124="","",SUMIFS(ERFASSUNG!$E$6:$E$3005,ERFASSUNG!$A$6:$A$3005,A124))</f>
        <v/>
      </c>
      <c r="I124" s="73">
        <f>IF(A124="","",SUMIFS(ERFASSUNG!$F$6:$F$3005,ERFASSUNG!$A$6:$A$3005,A124))</f>
        <v/>
      </c>
      <c r="J124" s="73">
        <f>IF(A124="","",SUMIFS(ERFASSUNG!$G$6:$G$3005,ERFASSUNG!$A$6:$A$3005,A124))</f>
        <v/>
      </c>
      <c r="K124" s="73">
        <f>IF(A124="","",SUMIFS(ERFASSUNG!$H$6:$H$3005,ERFASSUNG!$A$6:$A$3005,A124))</f>
        <v/>
      </c>
      <c r="L124" s="73">
        <f>IF(A124="","",SUMIFS(ERFASSUNG!$I$6:$I$3005,ERFASSUNG!$A$6:$A$3005,A124))</f>
        <v/>
      </c>
      <c r="M124" s="73">
        <f>IF(A124="","",SUMIFS(ERFASSUNG!$J$6:$J$3005,ERFASSUNG!$A$6:$A$3005,A124))</f>
        <v/>
      </c>
      <c r="N124" s="73">
        <f>IF(A124="","",SUMIFS(ERFASSUNG!$K$6:$K$3005,ERFASSUNG!$A$6:$A$3005,A124))</f>
        <v/>
      </c>
      <c r="O124" s="73">
        <f>IF(A124="","",SUMIFS(ERFASSUNG!$L$6:$L$3005,ERFASSUNG!$A$6:$A$3005,A124))</f>
        <v/>
      </c>
      <c r="P124" s="73">
        <f>IF(A124="","",SUMIFS(ERFASSUNG!$M$6:$M$3005,ERFASSUNG!$A$6:$A$3005,A124))</f>
        <v/>
      </c>
      <c r="Q124" s="73">
        <f>IF(A124="","",SUMIFS(ERFASSUNG!$N$6:$N$3005,ERFASSUNG!$A$6:$A$3005,A124))</f>
        <v/>
      </c>
    </row>
    <row r="125">
      <c r="A125" s="72">
        <f>IF(YEAR(DATE(LISTEN!$F$2,1,1)+120)=LISTEN!$F$2,DATE(LISTEN!$F$2,1,1)+120,"")</f>
        <v/>
      </c>
      <c r="B125" s="73">
        <f>IF(A125="","",CHOOSE(WEEKDAY(A125,2),"Mo","Di","Mi","Do","Fr","Sa","So"))</f>
        <v/>
      </c>
      <c r="C125" s="73">
        <f>IF(A125="","",INT((A125-DATE(YEAR(A125-WEEKDAY(A125-1)+4),1,3)+WEEKDAY(DATE(YEAR(A125-WEEKDAY(A125-1)+4),1,3))+5)/7))</f>
        <v/>
      </c>
      <c r="D125" s="73">
        <f>IF(A125="","",MONTH(A125))</f>
        <v/>
      </c>
      <c r="E125" s="73">
        <f>IF(A125="","",WEEKDAY(A125,2))</f>
        <v/>
      </c>
      <c r="F125" s="73">
        <f>IF(A125="","",COUNTIF(ERFASSUNG!$A$6:$A$3005,A125))</f>
        <v/>
      </c>
      <c r="G125" s="73">
        <f>IF(A125="","",IF(F125&gt;0,1,0))</f>
        <v/>
      </c>
      <c r="H125" s="73">
        <f>IF(A125="","",SUMIFS(ERFASSUNG!$E$6:$E$3005,ERFASSUNG!$A$6:$A$3005,A125))</f>
        <v/>
      </c>
      <c r="I125" s="73">
        <f>IF(A125="","",SUMIFS(ERFASSUNG!$F$6:$F$3005,ERFASSUNG!$A$6:$A$3005,A125))</f>
        <v/>
      </c>
      <c r="J125" s="73">
        <f>IF(A125="","",SUMIFS(ERFASSUNG!$G$6:$G$3005,ERFASSUNG!$A$6:$A$3005,A125))</f>
        <v/>
      </c>
      <c r="K125" s="73">
        <f>IF(A125="","",SUMIFS(ERFASSUNG!$H$6:$H$3005,ERFASSUNG!$A$6:$A$3005,A125))</f>
        <v/>
      </c>
      <c r="L125" s="73">
        <f>IF(A125="","",SUMIFS(ERFASSUNG!$I$6:$I$3005,ERFASSUNG!$A$6:$A$3005,A125))</f>
        <v/>
      </c>
      <c r="M125" s="73">
        <f>IF(A125="","",SUMIFS(ERFASSUNG!$J$6:$J$3005,ERFASSUNG!$A$6:$A$3005,A125))</f>
        <v/>
      </c>
      <c r="N125" s="73">
        <f>IF(A125="","",SUMIFS(ERFASSUNG!$K$6:$K$3005,ERFASSUNG!$A$6:$A$3005,A125))</f>
        <v/>
      </c>
      <c r="O125" s="73">
        <f>IF(A125="","",SUMIFS(ERFASSUNG!$L$6:$L$3005,ERFASSUNG!$A$6:$A$3005,A125))</f>
        <v/>
      </c>
      <c r="P125" s="73">
        <f>IF(A125="","",SUMIFS(ERFASSUNG!$M$6:$M$3005,ERFASSUNG!$A$6:$A$3005,A125))</f>
        <v/>
      </c>
      <c r="Q125" s="73">
        <f>IF(A125="","",SUMIFS(ERFASSUNG!$N$6:$N$3005,ERFASSUNG!$A$6:$A$3005,A125))</f>
        <v/>
      </c>
    </row>
    <row r="126">
      <c r="A126" s="72">
        <f>IF(YEAR(DATE(LISTEN!$F$2,1,1)+121)=LISTEN!$F$2,DATE(LISTEN!$F$2,1,1)+121,"")</f>
        <v/>
      </c>
      <c r="B126" s="73">
        <f>IF(A126="","",CHOOSE(WEEKDAY(A126,2),"Mo","Di","Mi","Do","Fr","Sa","So"))</f>
        <v/>
      </c>
      <c r="C126" s="73">
        <f>IF(A126="","",INT((A126-DATE(YEAR(A126-WEEKDAY(A126-1)+4),1,3)+WEEKDAY(DATE(YEAR(A126-WEEKDAY(A126-1)+4),1,3))+5)/7))</f>
        <v/>
      </c>
      <c r="D126" s="73">
        <f>IF(A126="","",MONTH(A126))</f>
        <v/>
      </c>
      <c r="E126" s="73">
        <f>IF(A126="","",WEEKDAY(A126,2))</f>
        <v/>
      </c>
      <c r="F126" s="73">
        <f>IF(A126="","",COUNTIF(ERFASSUNG!$A$6:$A$3005,A126))</f>
        <v/>
      </c>
      <c r="G126" s="73">
        <f>IF(A126="","",IF(F126&gt;0,1,0))</f>
        <v/>
      </c>
      <c r="H126" s="73">
        <f>IF(A126="","",SUMIFS(ERFASSUNG!$E$6:$E$3005,ERFASSUNG!$A$6:$A$3005,A126))</f>
        <v/>
      </c>
      <c r="I126" s="73">
        <f>IF(A126="","",SUMIFS(ERFASSUNG!$F$6:$F$3005,ERFASSUNG!$A$6:$A$3005,A126))</f>
        <v/>
      </c>
      <c r="J126" s="73">
        <f>IF(A126="","",SUMIFS(ERFASSUNG!$G$6:$G$3005,ERFASSUNG!$A$6:$A$3005,A126))</f>
        <v/>
      </c>
      <c r="K126" s="73">
        <f>IF(A126="","",SUMIFS(ERFASSUNG!$H$6:$H$3005,ERFASSUNG!$A$6:$A$3005,A126))</f>
        <v/>
      </c>
      <c r="L126" s="73">
        <f>IF(A126="","",SUMIFS(ERFASSUNG!$I$6:$I$3005,ERFASSUNG!$A$6:$A$3005,A126))</f>
        <v/>
      </c>
      <c r="M126" s="73">
        <f>IF(A126="","",SUMIFS(ERFASSUNG!$J$6:$J$3005,ERFASSUNG!$A$6:$A$3005,A126))</f>
        <v/>
      </c>
      <c r="N126" s="73">
        <f>IF(A126="","",SUMIFS(ERFASSUNG!$K$6:$K$3005,ERFASSUNG!$A$6:$A$3005,A126))</f>
        <v/>
      </c>
      <c r="O126" s="73">
        <f>IF(A126="","",SUMIFS(ERFASSUNG!$L$6:$L$3005,ERFASSUNG!$A$6:$A$3005,A126))</f>
        <v/>
      </c>
      <c r="P126" s="73">
        <f>IF(A126="","",SUMIFS(ERFASSUNG!$M$6:$M$3005,ERFASSUNG!$A$6:$A$3005,A126))</f>
        <v/>
      </c>
      <c r="Q126" s="73">
        <f>IF(A126="","",SUMIFS(ERFASSUNG!$N$6:$N$3005,ERFASSUNG!$A$6:$A$3005,A126))</f>
        <v/>
      </c>
    </row>
    <row r="127">
      <c r="A127" s="72">
        <f>IF(YEAR(DATE(LISTEN!$F$2,1,1)+122)=LISTEN!$F$2,DATE(LISTEN!$F$2,1,1)+122,"")</f>
        <v/>
      </c>
      <c r="B127" s="73">
        <f>IF(A127="","",CHOOSE(WEEKDAY(A127,2),"Mo","Di","Mi","Do","Fr","Sa","So"))</f>
        <v/>
      </c>
      <c r="C127" s="73">
        <f>IF(A127="","",INT((A127-DATE(YEAR(A127-WEEKDAY(A127-1)+4),1,3)+WEEKDAY(DATE(YEAR(A127-WEEKDAY(A127-1)+4),1,3))+5)/7))</f>
        <v/>
      </c>
      <c r="D127" s="73">
        <f>IF(A127="","",MONTH(A127))</f>
        <v/>
      </c>
      <c r="E127" s="73">
        <f>IF(A127="","",WEEKDAY(A127,2))</f>
        <v/>
      </c>
      <c r="F127" s="73">
        <f>IF(A127="","",COUNTIF(ERFASSUNG!$A$6:$A$3005,A127))</f>
        <v/>
      </c>
      <c r="G127" s="73">
        <f>IF(A127="","",IF(F127&gt;0,1,0))</f>
        <v/>
      </c>
      <c r="H127" s="73">
        <f>IF(A127="","",SUMIFS(ERFASSUNG!$E$6:$E$3005,ERFASSUNG!$A$6:$A$3005,A127))</f>
        <v/>
      </c>
      <c r="I127" s="73">
        <f>IF(A127="","",SUMIFS(ERFASSUNG!$F$6:$F$3005,ERFASSUNG!$A$6:$A$3005,A127))</f>
        <v/>
      </c>
      <c r="J127" s="73">
        <f>IF(A127="","",SUMIFS(ERFASSUNG!$G$6:$G$3005,ERFASSUNG!$A$6:$A$3005,A127))</f>
        <v/>
      </c>
      <c r="K127" s="73">
        <f>IF(A127="","",SUMIFS(ERFASSUNG!$H$6:$H$3005,ERFASSUNG!$A$6:$A$3005,A127))</f>
        <v/>
      </c>
      <c r="L127" s="73">
        <f>IF(A127="","",SUMIFS(ERFASSUNG!$I$6:$I$3005,ERFASSUNG!$A$6:$A$3005,A127))</f>
        <v/>
      </c>
      <c r="M127" s="73">
        <f>IF(A127="","",SUMIFS(ERFASSUNG!$J$6:$J$3005,ERFASSUNG!$A$6:$A$3005,A127))</f>
        <v/>
      </c>
      <c r="N127" s="73">
        <f>IF(A127="","",SUMIFS(ERFASSUNG!$K$6:$K$3005,ERFASSUNG!$A$6:$A$3005,A127))</f>
        <v/>
      </c>
      <c r="O127" s="73">
        <f>IF(A127="","",SUMIFS(ERFASSUNG!$L$6:$L$3005,ERFASSUNG!$A$6:$A$3005,A127))</f>
        <v/>
      </c>
      <c r="P127" s="73">
        <f>IF(A127="","",SUMIFS(ERFASSUNG!$M$6:$M$3005,ERFASSUNG!$A$6:$A$3005,A127))</f>
        <v/>
      </c>
      <c r="Q127" s="73">
        <f>IF(A127="","",SUMIFS(ERFASSUNG!$N$6:$N$3005,ERFASSUNG!$A$6:$A$3005,A127))</f>
        <v/>
      </c>
    </row>
    <row r="128">
      <c r="A128" s="72">
        <f>IF(YEAR(DATE(LISTEN!$F$2,1,1)+123)=LISTEN!$F$2,DATE(LISTEN!$F$2,1,1)+123,"")</f>
        <v/>
      </c>
      <c r="B128" s="73">
        <f>IF(A128="","",CHOOSE(WEEKDAY(A128,2),"Mo","Di","Mi","Do","Fr","Sa","So"))</f>
        <v/>
      </c>
      <c r="C128" s="73">
        <f>IF(A128="","",INT((A128-DATE(YEAR(A128-WEEKDAY(A128-1)+4),1,3)+WEEKDAY(DATE(YEAR(A128-WEEKDAY(A128-1)+4),1,3))+5)/7))</f>
        <v/>
      </c>
      <c r="D128" s="73">
        <f>IF(A128="","",MONTH(A128))</f>
        <v/>
      </c>
      <c r="E128" s="73">
        <f>IF(A128="","",WEEKDAY(A128,2))</f>
        <v/>
      </c>
      <c r="F128" s="73">
        <f>IF(A128="","",COUNTIF(ERFASSUNG!$A$6:$A$3005,A128))</f>
        <v/>
      </c>
      <c r="G128" s="73">
        <f>IF(A128="","",IF(F128&gt;0,1,0))</f>
        <v/>
      </c>
      <c r="H128" s="73">
        <f>IF(A128="","",SUMIFS(ERFASSUNG!$E$6:$E$3005,ERFASSUNG!$A$6:$A$3005,A128))</f>
        <v/>
      </c>
      <c r="I128" s="73">
        <f>IF(A128="","",SUMIFS(ERFASSUNG!$F$6:$F$3005,ERFASSUNG!$A$6:$A$3005,A128))</f>
        <v/>
      </c>
      <c r="J128" s="73">
        <f>IF(A128="","",SUMIFS(ERFASSUNG!$G$6:$G$3005,ERFASSUNG!$A$6:$A$3005,A128))</f>
        <v/>
      </c>
      <c r="K128" s="73">
        <f>IF(A128="","",SUMIFS(ERFASSUNG!$H$6:$H$3005,ERFASSUNG!$A$6:$A$3005,A128))</f>
        <v/>
      </c>
      <c r="L128" s="73">
        <f>IF(A128="","",SUMIFS(ERFASSUNG!$I$6:$I$3005,ERFASSUNG!$A$6:$A$3005,A128))</f>
        <v/>
      </c>
      <c r="M128" s="73">
        <f>IF(A128="","",SUMIFS(ERFASSUNG!$J$6:$J$3005,ERFASSUNG!$A$6:$A$3005,A128))</f>
        <v/>
      </c>
      <c r="N128" s="73">
        <f>IF(A128="","",SUMIFS(ERFASSUNG!$K$6:$K$3005,ERFASSUNG!$A$6:$A$3005,A128))</f>
        <v/>
      </c>
      <c r="O128" s="73">
        <f>IF(A128="","",SUMIFS(ERFASSUNG!$L$6:$L$3005,ERFASSUNG!$A$6:$A$3005,A128))</f>
        <v/>
      </c>
      <c r="P128" s="73">
        <f>IF(A128="","",SUMIFS(ERFASSUNG!$M$6:$M$3005,ERFASSUNG!$A$6:$A$3005,A128))</f>
        <v/>
      </c>
      <c r="Q128" s="73">
        <f>IF(A128="","",SUMIFS(ERFASSUNG!$N$6:$N$3005,ERFASSUNG!$A$6:$A$3005,A128))</f>
        <v/>
      </c>
    </row>
    <row r="129">
      <c r="A129" s="72">
        <f>IF(YEAR(DATE(LISTEN!$F$2,1,1)+124)=LISTEN!$F$2,DATE(LISTEN!$F$2,1,1)+124,"")</f>
        <v/>
      </c>
      <c r="B129" s="73">
        <f>IF(A129="","",CHOOSE(WEEKDAY(A129,2),"Mo","Di","Mi","Do","Fr","Sa","So"))</f>
        <v/>
      </c>
      <c r="C129" s="73">
        <f>IF(A129="","",INT((A129-DATE(YEAR(A129-WEEKDAY(A129-1)+4),1,3)+WEEKDAY(DATE(YEAR(A129-WEEKDAY(A129-1)+4),1,3))+5)/7))</f>
        <v/>
      </c>
      <c r="D129" s="73">
        <f>IF(A129="","",MONTH(A129))</f>
        <v/>
      </c>
      <c r="E129" s="73">
        <f>IF(A129="","",WEEKDAY(A129,2))</f>
        <v/>
      </c>
      <c r="F129" s="73">
        <f>IF(A129="","",COUNTIF(ERFASSUNG!$A$6:$A$3005,A129))</f>
        <v/>
      </c>
      <c r="G129" s="73">
        <f>IF(A129="","",IF(F129&gt;0,1,0))</f>
        <v/>
      </c>
      <c r="H129" s="73">
        <f>IF(A129="","",SUMIFS(ERFASSUNG!$E$6:$E$3005,ERFASSUNG!$A$6:$A$3005,A129))</f>
        <v/>
      </c>
      <c r="I129" s="73">
        <f>IF(A129="","",SUMIFS(ERFASSUNG!$F$6:$F$3005,ERFASSUNG!$A$6:$A$3005,A129))</f>
        <v/>
      </c>
      <c r="J129" s="73">
        <f>IF(A129="","",SUMIFS(ERFASSUNG!$G$6:$G$3005,ERFASSUNG!$A$6:$A$3005,A129))</f>
        <v/>
      </c>
      <c r="K129" s="73">
        <f>IF(A129="","",SUMIFS(ERFASSUNG!$H$6:$H$3005,ERFASSUNG!$A$6:$A$3005,A129))</f>
        <v/>
      </c>
      <c r="L129" s="73">
        <f>IF(A129="","",SUMIFS(ERFASSUNG!$I$6:$I$3005,ERFASSUNG!$A$6:$A$3005,A129))</f>
        <v/>
      </c>
      <c r="M129" s="73">
        <f>IF(A129="","",SUMIFS(ERFASSUNG!$J$6:$J$3005,ERFASSUNG!$A$6:$A$3005,A129))</f>
        <v/>
      </c>
      <c r="N129" s="73">
        <f>IF(A129="","",SUMIFS(ERFASSUNG!$K$6:$K$3005,ERFASSUNG!$A$6:$A$3005,A129))</f>
        <v/>
      </c>
      <c r="O129" s="73">
        <f>IF(A129="","",SUMIFS(ERFASSUNG!$L$6:$L$3005,ERFASSUNG!$A$6:$A$3005,A129))</f>
        <v/>
      </c>
      <c r="P129" s="73">
        <f>IF(A129="","",SUMIFS(ERFASSUNG!$M$6:$M$3005,ERFASSUNG!$A$6:$A$3005,A129))</f>
        <v/>
      </c>
      <c r="Q129" s="73">
        <f>IF(A129="","",SUMIFS(ERFASSUNG!$N$6:$N$3005,ERFASSUNG!$A$6:$A$3005,A129))</f>
        <v/>
      </c>
    </row>
    <row r="130">
      <c r="A130" s="72">
        <f>IF(YEAR(DATE(LISTEN!$F$2,1,1)+125)=LISTEN!$F$2,DATE(LISTEN!$F$2,1,1)+125,"")</f>
        <v/>
      </c>
      <c r="B130" s="73">
        <f>IF(A130="","",CHOOSE(WEEKDAY(A130,2),"Mo","Di","Mi","Do","Fr","Sa","So"))</f>
        <v/>
      </c>
      <c r="C130" s="73">
        <f>IF(A130="","",INT((A130-DATE(YEAR(A130-WEEKDAY(A130-1)+4),1,3)+WEEKDAY(DATE(YEAR(A130-WEEKDAY(A130-1)+4),1,3))+5)/7))</f>
        <v/>
      </c>
      <c r="D130" s="73">
        <f>IF(A130="","",MONTH(A130))</f>
        <v/>
      </c>
      <c r="E130" s="73">
        <f>IF(A130="","",WEEKDAY(A130,2))</f>
        <v/>
      </c>
      <c r="F130" s="73">
        <f>IF(A130="","",COUNTIF(ERFASSUNG!$A$6:$A$3005,A130))</f>
        <v/>
      </c>
      <c r="G130" s="73">
        <f>IF(A130="","",IF(F130&gt;0,1,0))</f>
        <v/>
      </c>
      <c r="H130" s="73">
        <f>IF(A130="","",SUMIFS(ERFASSUNG!$E$6:$E$3005,ERFASSUNG!$A$6:$A$3005,A130))</f>
        <v/>
      </c>
      <c r="I130" s="73">
        <f>IF(A130="","",SUMIFS(ERFASSUNG!$F$6:$F$3005,ERFASSUNG!$A$6:$A$3005,A130))</f>
        <v/>
      </c>
      <c r="J130" s="73">
        <f>IF(A130="","",SUMIFS(ERFASSUNG!$G$6:$G$3005,ERFASSUNG!$A$6:$A$3005,A130))</f>
        <v/>
      </c>
      <c r="K130" s="73">
        <f>IF(A130="","",SUMIFS(ERFASSUNG!$H$6:$H$3005,ERFASSUNG!$A$6:$A$3005,A130))</f>
        <v/>
      </c>
      <c r="L130" s="73">
        <f>IF(A130="","",SUMIFS(ERFASSUNG!$I$6:$I$3005,ERFASSUNG!$A$6:$A$3005,A130))</f>
        <v/>
      </c>
      <c r="M130" s="73">
        <f>IF(A130="","",SUMIFS(ERFASSUNG!$J$6:$J$3005,ERFASSUNG!$A$6:$A$3005,A130))</f>
        <v/>
      </c>
      <c r="N130" s="73">
        <f>IF(A130="","",SUMIFS(ERFASSUNG!$K$6:$K$3005,ERFASSUNG!$A$6:$A$3005,A130))</f>
        <v/>
      </c>
      <c r="O130" s="73">
        <f>IF(A130="","",SUMIFS(ERFASSUNG!$L$6:$L$3005,ERFASSUNG!$A$6:$A$3005,A130))</f>
        <v/>
      </c>
      <c r="P130" s="73">
        <f>IF(A130="","",SUMIFS(ERFASSUNG!$M$6:$M$3005,ERFASSUNG!$A$6:$A$3005,A130))</f>
        <v/>
      </c>
      <c r="Q130" s="73">
        <f>IF(A130="","",SUMIFS(ERFASSUNG!$N$6:$N$3005,ERFASSUNG!$A$6:$A$3005,A130))</f>
        <v/>
      </c>
    </row>
    <row r="131">
      <c r="A131" s="72">
        <f>IF(YEAR(DATE(LISTEN!$F$2,1,1)+126)=LISTEN!$F$2,DATE(LISTEN!$F$2,1,1)+126,"")</f>
        <v/>
      </c>
      <c r="B131" s="73">
        <f>IF(A131="","",CHOOSE(WEEKDAY(A131,2),"Mo","Di","Mi","Do","Fr","Sa","So"))</f>
        <v/>
      </c>
      <c r="C131" s="73">
        <f>IF(A131="","",INT((A131-DATE(YEAR(A131-WEEKDAY(A131-1)+4),1,3)+WEEKDAY(DATE(YEAR(A131-WEEKDAY(A131-1)+4),1,3))+5)/7))</f>
        <v/>
      </c>
      <c r="D131" s="73">
        <f>IF(A131="","",MONTH(A131))</f>
        <v/>
      </c>
      <c r="E131" s="73">
        <f>IF(A131="","",WEEKDAY(A131,2))</f>
        <v/>
      </c>
      <c r="F131" s="73">
        <f>IF(A131="","",COUNTIF(ERFASSUNG!$A$6:$A$3005,A131))</f>
        <v/>
      </c>
      <c r="G131" s="73">
        <f>IF(A131="","",IF(F131&gt;0,1,0))</f>
        <v/>
      </c>
      <c r="H131" s="73">
        <f>IF(A131="","",SUMIFS(ERFASSUNG!$E$6:$E$3005,ERFASSUNG!$A$6:$A$3005,A131))</f>
        <v/>
      </c>
      <c r="I131" s="73">
        <f>IF(A131="","",SUMIFS(ERFASSUNG!$F$6:$F$3005,ERFASSUNG!$A$6:$A$3005,A131))</f>
        <v/>
      </c>
      <c r="J131" s="73">
        <f>IF(A131="","",SUMIFS(ERFASSUNG!$G$6:$G$3005,ERFASSUNG!$A$6:$A$3005,A131))</f>
        <v/>
      </c>
      <c r="K131" s="73">
        <f>IF(A131="","",SUMIFS(ERFASSUNG!$H$6:$H$3005,ERFASSUNG!$A$6:$A$3005,A131))</f>
        <v/>
      </c>
      <c r="L131" s="73">
        <f>IF(A131="","",SUMIFS(ERFASSUNG!$I$6:$I$3005,ERFASSUNG!$A$6:$A$3005,A131))</f>
        <v/>
      </c>
      <c r="M131" s="73">
        <f>IF(A131="","",SUMIFS(ERFASSUNG!$J$6:$J$3005,ERFASSUNG!$A$6:$A$3005,A131))</f>
        <v/>
      </c>
      <c r="N131" s="73">
        <f>IF(A131="","",SUMIFS(ERFASSUNG!$K$6:$K$3005,ERFASSUNG!$A$6:$A$3005,A131))</f>
        <v/>
      </c>
      <c r="O131" s="73">
        <f>IF(A131="","",SUMIFS(ERFASSUNG!$L$6:$L$3005,ERFASSUNG!$A$6:$A$3005,A131))</f>
        <v/>
      </c>
      <c r="P131" s="73">
        <f>IF(A131="","",SUMIFS(ERFASSUNG!$M$6:$M$3005,ERFASSUNG!$A$6:$A$3005,A131))</f>
        <v/>
      </c>
      <c r="Q131" s="73">
        <f>IF(A131="","",SUMIFS(ERFASSUNG!$N$6:$N$3005,ERFASSUNG!$A$6:$A$3005,A131))</f>
        <v/>
      </c>
    </row>
    <row r="132">
      <c r="A132" s="72">
        <f>IF(YEAR(DATE(LISTEN!$F$2,1,1)+127)=LISTEN!$F$2,DATE(LISTEN!$F$2,1,1)+127,"")</f>
        <v/>
      </c>
      <c r="B132" s="73">
        <f>IF(A132="","",CHOOSE(WEEKDAY(A132,2),"Mo","Di","Mi","Do","Fr","Sa","So"))</f>
        <v/>
      </c>
      <c r="C132" s="73">
        <f>IF(A132="","",INT((A132-DATE(YEAR(A132-WEEKDAY(A132-1)+4),1,3)+WEEKDAY(DATE(YEAR(A132-WEEKDAY(A132-1)+4),1,3))+5)/7))</f>
        <v/>
      </c>
      <c r="D132" s="73">
        <f>IF(A132="","",MONTH(A132))</f>
        <v/>
      </c>
      <c r="E132" s="73">
        <f>IF(A132="","",WEEKDAY(A132,2))</f>
        <v/>
      </c>
      <c r="F132" s="73">
        <f>IF(A132="","",COUNTIF(ERFASSUNG!$A$6:$A$3005,A132))</f>
        <v/>
      </c>
      <c r="G132" s="73">
        <f>IF(A132="","",IF(F132&gt;0,1,0))</f>
        <v/>
      </c>
      <c r="H132" s="73">
        <f>IF(A132="","",SUMIFS(ERFASSUNG!$E$6:$E$3005,ERFASSUNG!$A$6:$A$3005,A132))</f>
        <v/>
      </c>
      <c r="I132" s="73">
        <f>IF(A132="","",SUMIFS(ERFASSUNG!$F$6:$F$3005,ERFASSUNG!$A$6:$A$3005,A132))</f>
        <v/>
      </c>
      <c r="J132" s="73">
        <f>IF(A132="","",SUMIFS(ERFASSUNG!$G$6:$G$3005,ERFASSUNG!$A$6:$A$3005,A132))</f>
        <v/>
      </c>
      <c r="K132" s="73">
        <f>IF(A132="","",SUMIFS(ERFASSUNG!$H$6:$H$3005,ERFASSUNG!$A$6:$A$3005,A132))</f>
        <v/>
      </c>
      <c r="L132" s="73">
        <f>IF(A132="","",SUMIFS(ERFASSUNG!$I$6:$I$3005,ERFASSUNG!$A$6:$A$3005,A132))</f>
        <v/>
      </c>
      <c r="M132" s="73">
        <f>IF(A132="","",SUMIFS(ERFASSUNG!$J$6:$J$3005,ERFASSUNG!$A$6:$A$3005,A132))</f>
        <v/>
      </c>
      <c r="N132" s="73">
        <f>IF(A132="","",SUMIFS(ERFASSUNG!$K$6:$K$3005,ERFASSUNG!$A$6:$A$3005,A132))</f>
        <v/>
      </c>
      <c r="O132" s="73">
        <f>IF(A132="","",SUMIFS(ERFASSUNG!$L$6:$L$3005,ERFASSUNG!$A$6:$A$3005,A132))</f>
        <v/>
      </c>
      <c r="P132" s="73">
        <f>IF(A132="","",SUMIFS(ERFASSUNG!$M$6:$M$3005,ERFASSUNG!$A$6:$A$3005,A132))</f>
        <v/>
      </c>
      <c r="Q132" s="73">
        <f>IF(A132="","",SUMIFS(ERFASSUNG!$N$6:$N$3005,ERFASSUNG!$A$6:$A$3005,A132))</f>
        <v/>
      </c>
    </row>
    <row r="133">
      <c r="A133" s="72">
        <f>IF(YEAR(DATE(LISTEN!$F$2,1,1)+128)=LISTEN!$F$2,DATE(LISTEN!$F$2,1,1)+128,"")</f>
        <v/>
      </c>
      <c r="B133" s="73">
        <f>IF(A133="","",CHOOSE(WEEKDAY(A133,2),"Mo","Di","Mi","Do","Fr","Sa","So"))</f>
        <v/>
      </c>
      <c r="C133" s="73">
        <f>IF(A133="","",INT((A133-DATE(YEAR(A133-WEEKDAY(A133-1)+4),1,3)+WEEKDAY(DATE(YEAR(A133-WEEKDAY(A133-1)+4),1,3))+5)/7))</f>
        <v/>
      </c>
      <c r="D133" s="73">
        <f>IF(A133="","",MONTH(A133))</f>
        <v/>
      </c>
      <c r="E133" s="73">
        <f>IF(A133="","",WEEKDAY(A133,2))</f>
        <v/>
      </c>
      <c r="F133" s="73">
        <f>IF(A133="","",COUNTIF(ERFASSUNG!$A$6:$A$3005,A133))</f>
        <v/>
      </c>
      <c r="G133" s="73">
        <f>IF(A133="","",IF(F133&gt;0,1,0))</f>
        <v/>
      </c>
      <c r="H133" s="73">
        <f>IF(A133="","",SUMIFS(ERFASSUNG!$E$6:$E$3005,ERFASSUNG!$A$6:$A$3005,A133))</f>
        <v/>
      </c>
      <c r="I133" s="73">
        <f>IF(A133="","",SUMIFS(ERFASSUNG!$F$6:$F$3005,ERFASSUNG!$A$6:$A$3005,A133))</f>
        <v/>
      </c>
      <c r="J133" s="73">
        <f>IF(A133="","",SUMIFS(ERFASSUNG!$G$6:$G$3005,ERFASSUNG!$A$6:$A$3005,A133))</f>
        <v/>
      </c>
      <c r="K133" s="73">
        <f>IF(A133="","",SUMIFS(ERFASSUNG!$H$6:$H$3005,ERFASSUNG!$A$6:$A$3005,A133))</f>
        <v/>
      </c>
      <c r="L133" s="73">
        <f>IF(A133="","",SUMIFS(ERFASSUNG!$I$6:$I$3005,ERFASSUNG!$A$6:$A$3005,A133))</f>
        <v/>
      </c>
      <c r="M133" s="73">
        <f>IF(A133="","",SUMIFS(ERFASSUNG!$J$6:$J$3005,ERFASSUNG!$A$6:$A$3005,A133))</f>
        <v/>
      </c>
      <c r="N133" s="73">
        <f>IF(A133="","",SUMIFS(ERFASSUNG!$K$6:$K$3005,ERFASSUNG!$A$6:$A$3005,A133))</f>
        <v/>
      </c>
      <c r="O133" s="73">
        <f>IF(A133="","",SUMIFS(ERFASSUNG!$L$6:$L$3005,ERFASSUNG!$A$6:$A$3005,A133))</f>
        <v/>
      </c>
      <c r="P133" s="73">
        <f>IF(A133="","",SUMIFS(ERFASSUNG!$M$6:$M$3005,ERFASSUNG!$A$6:$A$3005,A133))</f>
        <v/>
      </c>
      <c r="Q133" s="73">
        <f>IF(A133="","",SUMIFS(ERFASSUNG!$N$6:$N$3005,ERFASSUNG!$A$6:$A$3005,A133))</f>
        <v/>
      </c>
    </row>
    <row r="134">
      <c r="A134" s="72">
        <f>IF(YEAR(DATE(LISTEN!$F$2,1,1)+129)=LISTEN!$F$2,DATE(LISTEN!$F$2,1,1)+129,"")</f>
        <v/>
      </c>
      <c r="B134" s="73">
        <f>IF(A134="","",CHOOSE(WEEKDAY(A134,2),"Mo","Di","Mi","Do","Fr","Sa","So"))</f>
        <v/>
      </c>
      <c r="C134" s="73">
        <f>IF(A134="","",INT((A134-DATE(YEAR(A134-WEEKDAY(A134-1)+4),1,3)+WEEKDAY(DATE(YEAR(A134-WEEKDAY(A134-1)+4),1,3))+5)/7))</f>
        <v/>
      </c>
      <c r="D134" s="73">
        <f>IF(A134="","",MONTH(A134))</f>
        <v/>
      </c>
      <c r="E134" s="73">
        <f>IF(A134="","",WEEKDAY(A134,2))</f>
        <v/>
      </c>
      <c r="F134" s="73">
        <f>IF(A134="","",COUNTIF(ERFASSUNG!$A$6:$A$3005,A134))</f>
        <v/>
      </c>
      <c r="G134" s="73">
        <f>IF(A134="","",IF(F134&gt;0,1,0))</f>
        <v/>
      </c>
      <c r="H134" s="73">
        <f>IF(A134="","",SUMIFS(ERFASSUNG!$E$6:$E$3005,ERFASSUNG!$A$6:$A$3005,A134))</f>
        <v/>
      </c>
      <c r="I134" s="73">
        <f>IF(A134="","",SUMIFS(ERFASSUNG!$F$6:$F$3005,ERFASSUNG!$A$6:$A$3005,A134))</f>
        <v/>
      </c>
      <c r="J134" s="73">
        <f>IF(A134="","",SUMIFS(ERFASSUNG!$G$6:$G$3005,ERFASSUNG!$A$6:$A$3005,A134))</f>
        <v/>
      </c>
      <c r="K134" s="73">
        <f>IF(A134="","",SUMIFS(ERFASSUNG!$H$6:$H$3005,ERFASSUNG!$A$6:$A$3005,A134))</f>
        <v/>
      </c>
      <c r="L134" s="73">
        <f>IF(A134="","",SUMIFS(ERFASSUNG!$I$6:$I$3005,ERFASSUNG!$A$6:$A$3005,A134))</f>
        <v/>
      </c>
      <c r="M134" s="73">
        <f>IF(A134="","",SUMIFS(ERFASSUNG!$J$6:$J$3005,ERFASSUNG!$A$6:$A$3005,A134))</f>
        <v/>
      </c>
      <c r="N134" s="73">
        <f>IF(A134="","",SUMIFS(ERFASSUNG!$K$6:$K$3005,ERFASSUNG!$A$6:$A$3005,A134))</f>
        <v/>
      </c>
      <c r="O134" s="73">
        <f>IF(A134="","",SUMIFS(ERFASSUNG!$L$6:$L$3005,ERFASSUNG!$A$6:$A$3005,A134))</f>
        <v/>
      </c>
      <c r="P134" s="73">
        <f>IF(A134="","",SUMIFS(ERFASSUNG!$M$6:$M$3005,ERFASSUNG!$A$6:$A$3005,A134))</f>
        <v/>
      </c>
      <c r="Q134" s="73">
        <f>IF(A134="","",SUMIFS(ERFASSUNG!$N$6:$N$3005,ERFASSUNG!$A$6:$A$3005,A134))</f>
        <v/>
      </c>
    </row>
    <row r="135">
      <c r="A135" s="72">
        <f>IF(YEAR(DATE(LISTEN!$F$2,1,1)+130)=LISTEN!$F$2,DATE(LISTEN!$F$2,1,1)+130,"")</f>
        <v/>
      </c>
      <c r="B135" s="73">
        <f>IF(A135="","",CHOOSE(WEEKDAY(A135,2),"Mo","Di","Mi","Do","Fr","Sa","So"))</f>
        <v/>
      </c>
      <c r="C135" s="73">
        <f>IF(A135="","",INT((A135-DATE(YEAR(A135-WEEKDAY(A135-1)+4),1,3)+WEEKDAY(DATE(YEAR(A135-WEEKDAY(A135-1)+4),1,3))+5)/7))</f>
        <v/>
      </c>
      <c r="D135" s="73">
        <f>IF(A135="","",MONTH(A135))</f>
        <v/>
      </c>
      <c r="E135" s="73">
        <f>IF(A135="","",WEEKDAY(A135,2))</f>
        <v/>
      </c>
      <c r="F135" s="73">
        <f>IF(A135="","",COUNTIF(ERFASSUNG!$A$6:$A$3005,A135))</f>
        <v/>
      </c>
      <c r="G135" s="73">
        <f>IF(A135="","",IF(F135&gt;0,1,0))</f>
        <v/>
      </c>
      <c r="H135" s="73">
        <f>IF(A135="","",SUMIFS(ERFASSUNG!$E$6:$E$3005,ERFASSUNG!$A$6:$A$3005,A135))</f>
        <v/>
      </c>
      <c r="I135" s="73">
        <f>IF(A135="","",SUMIFS(ERFASSUNG!$F$6:$F$3005,ERFASSUNG!$A$6:$A$3005,A135))</f>
        <v/>
      </c>
      <c r="J135" s="73">
        <f>IF(A135="","",SUMIFS(ERFASSUNG!$G$6:$G$3005,ERFASSUNG!$A$6:$A$3005,A135))</f>
        <v/>
      </c>
      <c r="K135" s="73">
        <f>IF(A135="","",SUMIFS(ERFASSUNG!$H$6:$H$3005,ERFASSUNG!$A$6:$A$3005,A135))</f>
        <v/>
      </c>
      <c r="L135" s="73">
        <f>IF(A135="","",SUMIFS(ERFASSUNG!$I$6:$I$3005,ERFASSUNG!$A$6:$A$3005,A135))</f>
        <v/>
      </c>
      <c r="M135" s="73">
        <f>IF(A135="","",SUMIFS(ERFASSUNG!$J$6:$J$3005,ERFASSUNG!$A$6:$A$3005,A135))</f>
        <v/>
      </c>
      <c r="N135" s="73">
        <f>IF(A135="","",SUMIFS(ERFASSUNG!$K$6:$K$3005,ERFASSUNG!$A$6:$A$3005,A135))</f>
        <v/>
      </c>
      <c r="O135" s="73">
        <f>IF(A135="","",SUMIFS(ERFASSUNG!$L$6:$L$3005,ERFASSUNG!$A$6:$A$3005,A135))</f>
        <v/>
      </c>
      <c r="P135" s="73">
        <f>IF(A135="","",SUMIFS(ERFASSUNG!$M$6:$M$3005,ERFASSUNG!$A$6:$A$3005,A135))</f>
        <v/>
      </c>
      <c r="Q135" s="73">
        <f>IF(A135="","",SUMIFS(ERFASSUNG!$N$6:$N$3005,ERFASSUNG!$A$6:$A$3005,A135))</f>
        <v/>
      </c>
    </row>
    <row r="136">
      <c r="A136" s="72">
        <f>IF(YEAR(DATE(LISTEN!$F$2,1,1)+131)=LISTEN!$F$2,DATE(LISTEN!$F$2,1,1)+131,"")</f>
        <v/>
      </c>
      <c r="B136" s="73">
        <f>IF(A136="","",CHOOSE(WEEKDAY(A136,2),"Mo","Di","Mi","Do","Fr","Sa","So"))</f>
        <v/>
      </c>
      <c r="C136" s="73">
        <f>IF(A136="","",INT((A136-DATE(YEAR(A136-WEEKDAY(A136-1)+4),1,3)+WEEKDAY(DATE(YEAR(A136-WEEKDAY(A136-1)+4),1,3))+5)/7))</f>
        <v/>
      </c>
      <c r="D136" s="73">
        <f>IF(A136="","",MONTH(A136))</f>
        <v/>
      </c>
      <c r="E136" s="73">
        <f>IF(A136="","",WEEKDAY(A136,2))</f>
        <v/>
      </c>
      <c r="F136" s="73">
        <f>IF(A136="","",COUNTIF(ERFASSUNG!$A$6:$A$3005,A136))</f>
        <v/>
      </c>
      <c r="G136" s="73">
        <f>IF(A136="","",IF(F136&gt;0,1,0))</f>
        <v/>
      </c>
      <c r="H136" s="73">
        <f>IF(A136="","",SUMIFS(ERFASSUNG!$E$6:$E$3005,ERFASSUNG!$A$6:$A$3005,A136))</f>
        <v/>
      </c>
      <c r="I136" s="73">
        <f>IF(A136="","",SUMIFS(ERFASSUNG!$F$6:$F$3005,ERFASSUNG!$A$6:$A$3005,A136))</f>
        <v/>
      </c>
      <c r="J136" s="73">
        <f>IF(A136="","",SUMIFS(ERFASSUNG!$G$6:$G$3005,ERFASSUNG!$A$6:$A$3005,A136))</f>
        <v/>
      </c>
      <c r="K136" s="73">
        <f>IF(A136="","",SUMIFS(ERFASSUNG!$H$6:$H$3005,ERFASSUNG!$A$6:$A$3005,A136))</f>
        <v/>
      </c>
      <c r="L136" s="73">
        <f>IF(A136="","",SUMIFS(ERFASSUNG!$I$6:$I$3005,ERFASSUNG!$A$6:$A$3005,A136))</f>
        <v/>
      </c>
      <c r="M136" s="73">
        <f>IF(A136="","",SUMIFS(ERFASSUNG!$J$6:$J$3005,ERFASSUNG!$A$6:$A$3005,A136))</f>
        <v/>
      </c>
      <c r="N136" s="73">
        <f>IF(A136="","",SUMIFS(ERFASSUNG!$K$6:$K$3005,ERFASSUNG!$A$6:$A$3005,A136))</f>
        <v/>
      </c>
      <c r="O136" s="73">
        <f>IF(A136="","",SUMIFS(ERFASSUNG!$L$6:$L$3005,ERFASSUNG!$A$6:$A$3005,A136))</f>
        <v/>
      </c>
      <c r="P136" s="73">
        <f>IF(A136="","",SUMIFS(ERFASSUNG!$M$6:$M$3005,ERFASSUNG!$A$6:$A$3005,A136))</f>
        <v/>
      </c>
      <c r="Q136" s="73">
        <f>IF(A136="","",SUMIFS(ERFASSUNG!$N$6:$N$3005,ERFASSUNG!$A$6:$A$3005,A136))</f>
        <v/>
      </c>
    </row>
    <row r="137">
      <c r="A137" s="72">
        <f>IF(YEAR(DATE(LISTEN!$F$2,1,1)+132)=LISTEN!$F$2,DATE(LISTEN!$F$2,1,1)+132,"")</f>
        <v/>
      </c>
      <c r="B137" s="73">
        <f>IF(A137="","",CHOOSE(WEEKDAY(A137,2),"Mo","Di","Mi","Do","Fr","Sa","So"))</f>
        <v/>
      </c>
      <c r="C137" s="73">
        <f>IF(A137="","",INT((A137-DATE(YEAR(A137-WEEKDAY(A137-1)+4),1,3)+WEEKDAY(DATE(YEAR(A137-WEEKDAY(A137-1)+4),1,3))+5)/7))</f>
        <v/>
      </c>
      <c r="D137" s="73">
        <f>IF(A137="","",MONTH(A137))</f>
        <v/>
      </c>
      <c r="E137" s="73">
        <f>IF(A137="","",WEEKDAY(A137,2))</f>
        <v/>
      </c>
      <c r="F137" s="73">
        <f>IF(A137="","",COUNTIF(ERFASSUNG!$A$6:$A$3005,A137))</f>
        <v/>
      </c>
      <c r="G137" s="73">
        <f>IF(A137="","",IF(F137&gt;0,1,0))</f>
        <v/>
      </c>
      <c r="H137" s="73">
        <f>IF(A137="","",SUMIFS(ERFASSUNG!$E$6:$E$3005,ERFASSUNG!$A$6:$A$3005,A137))</f>
        <v/>
      </c>
      <c r="I137" s="73">
        <f>IF(A137="","",SUMIFS(ERFASSUNG!$F$6:$F$3005,ERFASSUNG!$A$6:$A$3005,A137))</f>
        <v/>
      </c>
      <c r="J137" s="73">
        <f>IF(A137="","",SUMIFS(ERFASSUNG!$G$6:$G$3005,ERFASSUNG!$A$6:$A$3005,A137))</f>
        <v/>
      </c>
      <c r="K137" s="73">
        <f>IF(A137="","",SUMIFS(ERFASSUNG!$H$6:$H$3005,ERFASSUNG!$A$6:$A$3005,A137))</f>
        <v/>
      </c>
      <c r="L137" s="73">
        <f>IF(A137="","",SUMIFS(ERFASSUNG!$I$6:$I$3005,ERFASSUNG!$A$6:$A$3005,A137))</f>
        <v/>
      </c>
      <c r="M137" s="73">
        <f>IF(A137="","",SUMIFS(ERFASSUNG!$J$6:$J$3005,ERFASSUNG!$A$6:$A$3005,A137))</f>
        <v/>
      </c>
      <c r="N137" s="73">
        <f>IF(A137="","",SUMIFS(ERFASSUNG!$K$6:$K$3005,ERFASSUNG!$A$6:$A$3005,A137))</f>
        <v/>
      </c>
      <c r="O137" s="73">
        <f>IF(A137="","",SUMIFS(ERFASSUNG!$L$6:$L$3005,ERFASSUNG!$A$6:$A$3005,A137))</f>
        <v/>
      </c>
      <c r="P137" s="73">
        <f>IF(A137="","",SUMIFS(ERFASSUNG!$M$6:$M$3005,ERFASSUNG!$A$6:$A$3005,A137))</f>
        <v/>
      </c>
      <c r="Q137" s="73">
        <f>IF(A137="","",SUMIFS(ERFASSUNG!$N$6:$N$3005,ERFASSUNG!$A$6:$A$3005,A137))</f>
        <v/>
      </c>
    </row>
    <row r="138">
      <c r="A138" s="72">
        <f>IF(YEAR(DATE(LISTEN!$F$2,1,1)+133)=LISTEN!$F$2,DATE(LISTEN!$F$2,1,1)+133,"")</f>
        <v/>
      </c>
      <c r="B138" s="73">
        <f>IF(A138="","",CHOOSE(WEEKDAY(A138,2),"Mo","Di","Mi","Do","Fr","Sa","So"))</f>
        <v/>
      </c>
      <c r="C138" s="73">
        <f>IF(A138="","",INT((A138-DATE(YEAR(A138-WEEKDAY(A138-1)+4),1,3)+WEEKDAY(DATE(YEAR(A138-WEEKDAY(A138-1)+4),1,3))+5)/7))</f>
        <v/>
      </c>
      <c r="D138" s="73">
        <f>IF(A138="","",MONTH(A138))</f>
        <v/>
      </c>
      <c r="E138" s="73">
        <f>IF(A138="","",WEEKDAY(A138,2))</f>
        <v/>
      </c>
      <c r="F138" s="73">
        <f>IF(A138="","",COUNTIF(ERFASSUNG!$A$6:$A$3005,A138))</f>
        <v/>
      </c>
      <c r="G138" s="73">
        <f>IF(A138="","",IF(F138&gt;0,1,0))</f>
        <v/>
      </c>
      <c r="H138" s="73">
        <f>IF(A138="","",SUMIFS(ERFASSUNG!$E$6:$E$3005,ERFASSUNG!$A$6:$A$3005,A138))</f>
        <v/>
      </c>
      <c r="I138" s="73">
        <f>IF(A138="","",SUMIFS(ERFASSUNG!$F$6:$F$3005,ERFASSUNG!$A$6:$A$3005,A138))</f>
        <v/>
      </c>
      <c r="J138" s="73">
        <f>IF(A138="","",SUMIFS(ERFASSUNG!$G$6:$G$3005,ERFASSUNG!$A$6:$A$3005,A138))</f>
        <v/>
      </c>
      <c r="K138" s="73">
        <f>IF(A138="","",SUMIFS(ERFASSUNG!$H$6:$H$3005,ERFASSUNG!$A$6:$A$3005,A138))</f>
        <v/>
      </c>
      <c r="L138" s="73">
        <f>IF(A138="","",SUMIFS(ERFASSUNG!$I$6:$I$3005,ERFASSUNG!$A$6:$A$3005,A138))</f>
        <v/>
      </c>
      <c r="M138" s="73">
        <f>IF(A138="","",SUMIFS(ERFASSUNG!$J$6:$J$3005,ERFASSUNG!$A$6:$A$3005,A138))</f>
        <v/>
      </c>
      <c r="N138" s="73">
        <f>IF(A138="","",SUMIFS(ERFASSUNG!$K$6:$K$3005,ERFASSUNG!$A$6:$A$3005,A138))</f>
        <v/>
      </c>
      <c r="O138" s="73">
        <f>IF(A138="","",SUMIFS(ERFASSUNG!$L$6:$L$3005,ERFASSUNG!$A$6:$A$3005,A138))</f>
        <v/>
      </c>
      <c r="P138" s="73">
        <f>IF(A138="","",SUMIFS(ERFASSUNG!$M$6:$M$3005,ERFASSUNG!$A$6:$A$3005,A138))</f>
        <v/>
      </c>
      <c r="Q138" s="73">
        <f>IF(A138="","",SUMIFS(ERFASSUNG!$N$6:$N$3005,ERFASSUNG!$A$6:$A$3005,A138))</f>
        <v/>
      </c>
    </row>
    <row r="139">
      <c r="A139" s="72">
        <f>IF(YEAR(DATE(LISTEN!$F$2,1,1)+134)=LISTEN!$F$2,DATE(LISTEN!$F$2,1,1)+134,"")</f>
        <v/>
      </c>
      <c r="B139" s="73">
        <f>IF(A139="","",CHOOSE(WEEKDAY(A139,2),"Mo","Di","Mi","Do","Fr","Sa","So"))</f>
        <v/>
      </c>
      <c r="C139" s="73">
        <f>IF(A139="","",INT((A139-DATE(YEAR(A139-WEEKDAY(A139-1)+4),1,3)+WEEKDAY(DATE(YEAR(A139-WEEKDAY(A139-1)+4),1,3))+5)/7))</f>
        <v/>
      </c>
      <c r="D139" s="73">
        <f>IF(A139="","",MONTH(A139))</f>
        <v/>
      </c>
      <c r="E139" s="73">
        <f>IF(A139="","",WEEKDAY(A139,2))</f>
        <v/>
      </c>
      <c r="F139" s="73">
        <f>IF(A139="","",COUNTIF(ERFASSUNG!$A$6:$A$3005,A139))</f>
        <v/>
      </c>
      <c r="G139" s="73">
        <f>IF(A139="","",IF(F139&gt;0,1,0))</f>
        <v/>
      </c>
      <c r="H139" s="73">
        <f>IF(A139="","",SUMIFS(ERFASSUNG!$E$6:$E$3005,ERFASSUNG!$A$6:$A$3005,A139))</f>
        <v/>
      </c>
      <c r="I139" s="73">
        <f>IF(A139="","",SUMIFS(ERFASSUNG!$F$6:$F$3005,ERFASSUNG!$A$6:$A$3005,A139))</f>
        <v/>
      </c>
      <c r="J139" s="73">
        <f>IF(A139="","",SUMIFS(ERFASSUNG!$G$6:$G$3005,ERFASSUNG!$A$6:$A$3005,A139))</f>
        <v/>
      </c>
      <c r="K139" s="73">
        <f>IF(A139="","",SUMIFS(ERFASSUNG!$H$6:$H$3005,ERFASSUNG!$A$6:$A$3005,A139))</f>
        <v/>
      </c>
      <c r="L139" s="73">
        <f>IF(A139="","",SUMIFS(ERFASSUNG!$I$6:$I$3005,ERFASSUNG!$A$6:$A$3005,A139))</f>
        <v/>
      </c>
      <c r="M139" s="73">
        <f>IF(A139="","",SUMIFS(ERFASSUNG!$J$6:$J$3005,ERFASSUNG!$A$6:$A$3005,A139))</f>
        <v/>
      </c>
      <c r="N139" s="73">
        <f>IF(A139="","",SUMIFS(ERFASSUNG!$K$6:$K$3005,ERFASSUNG!$A$6:$A$3005,A139))</f>
        <v/>
      </c>
      <c r="O139" s="73">
        <f>IF(A139="","",SUMIFS(ERFASSUNG!$L$6:$L$3005,ERFASSUNG!$A$6:$A$3005,A139))</f>
        <v/>
      </c>
      <c r="P139" s="73">
        <f>IF(A139="","",SUMIFS(ERFASSUNG!$M$6:$M$3005,ERFASSUNG!$A$6:$A$3005,A139))</f>
        <v/>
      </c>
      <c r="Q139" s="73">
        <f>IF(A139="","",SUMIFS(ERFASSUNG!$N$6:$N$3005,ERFASSUNG!$A$6:$A$3005,A139))</f>
        <v/>
      </c>
    </row>
    <row r="140">
      <c r="A140" s="72">
        <f>IF(YEAR(DATE(LISTEN!$F$2,1,1)+135)=LISTEN!$F$2,DATE(LISTEN!$F$2,1,1)+135,"")</f>
        <v/>
      </c>
      <c r="B140" s="73">
        <f>IF(A140="","",CHOOSE(WEEKDAY(A140,2),"Mo","Di","Mi","Do","Fr","Sa","So"))</f>
        <v/>
      </c>
      <c r="C140" s="73">
        <f>IF(A140="","",INT((A140-DATE(YEAR(A140-WEEKDAY(A140-1)+4),1,3)+WEEKDAY(DATE(YEAR(A140-WEEKDAY(A140-1)+4),1,3))+5)/7))</f>
        <v/>
      </c>
      <c r="D140" s="73">
        <f>IF(A140="","",MONTH(A140))</f>
        <v/>
      </c>
      <c r="E140" s="73">
        <f>IF(A140="","",WEEKDAY(A140,2))</f>
        <v/>
      </c>
      <c r="F140" s="73">
        <f>IF(A140="","",COUNTIF(ERFASSUNG!$A$6:$A$3005,A140))</f>
        <v/>
      </c>
      <c r="G140" s="73">
        <f>IF(A140="","",IF(F140&gt;0,1,0))</f>
        <v/>
      </c>
      <c r="H140" s="73">
        <f>IF(A140="","",SUMIFS(ERFASSUNG!$E$6:$E$3005,ERFASSUNG!$A$6:$A$3005,A140))</f>
        <v/>
      </c>
      <c r="I140" s="73">
        <f>IF(A140="","",SUMIFS(ERFASSUNG!$F$6:$F$3005,ERFASSUNG!$A$6:$A$3005,A140))</f>
        <v/>
      </c>
      <c r="J140" s="73">
        <f>IF(A140="","",SUMIFS(ERFASSUNG!$G$6:$G$3005,ERFASSUNG!$A$6:$A$3005,A140))</f>
        <v/>
      </c>
      <c r="K140" s="73">
        <f>IF(A140="","",SUMIFS(ERFASSUNG!$H$6:$H$3005,ERFASSUNG!$A$6:$A$3005,A140))</f>
        <v/>
      </c>
      <c r="L140" s="73">
        <f>IF(A140="","",SUMIFS(ERFASSUNG!$I$6:$I$3005,ERFASSUNG!$A$6:$A$3005,A140))</f>
        <v/>
      </c>
      <c r="M140" s="73">
        <f>IF(A140="","",SUMIFS(ERFASSUNG!$J$6:$J$3005,ERFASSUNG!$A$6:$A$3005,A140))</f>
        <v/>
      </c>
      <c r="N140" s="73">
        <f>IF(A140="","",SUMIFS(ERFASSUNG!$K$6:$K$3005,ERFASSUNG!$A$6:$A$3005,A140))</f>
        <v/>
      </c>
      <c r="O140" s="73">
        <f>IF(A140="","",SUMIFS(ERFASSUNG!$L$6:$L$3005,ERFASSUNG!$A$6:$A$3005,A140))</f>
        <v/>
      </c>
      <c r="P140" s="73">
        <f>IF(A140="","",SUMIFS(ERFASSUNG!$M$6:$M$3005,ERFASSUNG!$A$6:$A$3005,A140))</f>
        <v/>
      </c>
      <c r="Q140" s="73">
        <f>IF(A140="","",SUMIFS(ERFASSUNG!$N$6:$N$3005,ERFASSUNG!$A$6:$A$3005,A140))</f>
        <v/>
      </c>
    </row>
    <row r="141">
      <c r="A141" s="72">
        <f>IF(YEAR(DATE(LISTEN!$F$2,1,1)+136)=LISTEN!$F$2,DATE(LISTEN!$F$2,1,1)+136,"")</f>
        <v/>
      </c>
      <c r="B141" s="73">
        <f>IF(A141="","",CHOOSE(WEEKDAY(A141,2),"Mo","Di","Mi","Do","Fr","Sa","So"))</f>
        <v/>
      </c>
      <c r="C141" s="73">
        <f>IF(A141="","",INT((A141-DATE(YEAR(A141-WEEKDAY(A141-1)+4),1,3)+WEEKDAY(DATE(YEAR(A141-WEEKDAY(A141-1)+4),1,3))+5)/7))</f>
        <v/>
      </c>
      <c r="D141" s="73">
        <f>IF(A141="","",MONTH(A141))</f>
        <v/>
      </c>
      <c r="E141" s="73">
        <f>IF(A141="","",WEEKDAY(A141,2))</f>
        <v/>
      </c>
      <c r="F141" s="73">
        <f>IF(A141="","",COUNTIF(ERFASSUNG!$A$6:$A$3005,A141))</f>
        <v/>
      </c>
      <c r="G141" s="73">
        <f>IF(A141="","",IF(F141&gt;0,1,0))</f>
        <v/>
      </c>
      <c r="H141" s="73">
        <f>IF(A141="","",SUMIFS(ERFASSUNG!$E$6:$E$3005,ERFASSUNG!$A$6:$A$3005,A141))</f>
        <v/>
      </c>
      <c r="I141" s="73">
        <f>IF(A141="","",SUMIFS(ERFASSUNG!$F$6:$F$3005,ERFASSUNG!$A$6:$A$3005,A141))</f>
        <v/>
      </c>
      <c r="J141" s="73">
        <f>IF(A141="","",SUMIFS(ERFASSUNG!$G$6:$G$3005,ERFASSUNG!$A$6:$A$3005,A141))</f>
        <v/>
      </c>
      <c r="K141" s="73">
        <f>IF(A141="","",SUMIFS(ERFASSUNG!$H$6:$H$3005,ERFASSUNG!$A$6:$A$3005,A141))</f>
        <v/>
      </c>
      <c r="L141" s="73">
        <f>IF(A141="","",SUMIFS(ERFASSUNG!$I$6:$I$3005,ERFASSUNG!$A$6:$A$3005,A141))</f>
        <v/>
      </c>
      <c r="M141" s="73">
        <f>IF(A141="","",SUMIFS(ERFASSUNG!$J$6:$J$3005,ERFASSUNG!$A$6:$A$3005,A141))</f>
        <v/>
      </c>
      <c r="N141" s="73">
        <f>IF(A141="","",SUMIFS(ERFASSUNG!$K$6:$K$3005,ERFASSUNG!$A$6:$A$3005,A141))</f>
        <v/>
      </c>
      <c r="O141" s="73">
        <f>IF(A141="","",SUMIFS(ERFASSUNG!$L$6:$L$3005,ERFASSUNG!$A$6:$A$3005,A141))</f>
        <v/>
      </c>
      <c r="P141" s="73">
        <f>IF(A141="","",SUMIFS(ERFASSUNG!$M$6:$M$3005,ERFASSUNG!$A$6:$A$3005,A141))</f>
        <v/>
      </c>
      <c r="Q141" s="73">
        <f>IF(A141="","",SUMIFS(ERFASSUNG!$N$6:$N$3005,ERFASSUNG!$A$6:$A$3005,A141))</f>
        <v/>
      </c>
    </row>
    <row r="142">
      <c r="A142" s="72">
        <f>IF(YEAR(DATE(LISTEN!$F$2,1,1)+137)=LISTEN!$F$2,DATE(LISTEN!$F$2,1,1)+137,"")</f>
        <v/>
      </c>
      <c r="B142" s="73">
        <f>IF(A142="","",CHOOSE(WEEKDAY(A142,2),"Mo","Di","Mi","Do","Fr","Sa","So"))</f>
        <v/>
      </c>
      <c r="C142" s="73">
        <f>IF(A142="","",INT((A142-DATE(YEAR(A142-WEEKDAY(A142-1)+4),1,3)+WEEKDAY(DATE(YEAR(A142-WEEKDAY(A142-1)+4),1,3))+5)/7))</f>
        <v/>
      </c>
      <c r="D142" s="73">
        <f>IF(A142="","",MONTH(A142))</f>
        <v/>
      </c>
      <c r="E142" s="73">
        <f>IF(A142="","",WEEKDAY(A142,2))</f>
        <v/>
      </c>
      <c r="F142" s="73">
        <f>IF(A142="","",COUNTIF(ERFASSUNG!$A$6:$A$3005,A142))</f>
        <v/>
      </c>
      <c r="G142" s="73">
        <f>IF(A142="","",IF(F142&gt;0,1,0))</f>
        <v/>
      </c>
      <c r="H142" s="73">
        <f>IF(A142="","",SUMIFS(ERFASSUNG!$E$6:$E$3005,ERFASSUNG!$A$6:$A$3005,A142))</f>
        <v/>
      </c>
      <c r="I142" s="73">
        <f>IF(A142="","",SUMIFS(ERFASSUNG!$F$6:$F$3005,ERFASSUNG!$A$6:$A$3005,A142))</f>
        <v/>
      </c>
      <c r="J142" s="73">
        <f>IF(A142="","",SUMIFS(ERFASSUNG!$G$6:$G$3005,ERFASSUNG!$A$6:$A$3005,A142))</f>
        <v/>
      </c>
      <c r="K142" s="73">
        <f>IF(A142="","",SUMIFS(ERFASSUNG!$H$6:$H$3005,ERFASSUNG!$A$6:$A$3005,A142))</f>
        <v/>
      </c>
      <c r="L142" s="73">
        <f>IF(A142="","",SUMIFS(ERFASSUNG!$I$6:$I$3005,ERFASSUNG!$A$6:$A$3005,A142))</f>
        <v/>
      </c>
      <c r="M142" s="73">
        <f>IF(A142="","",SUMIFS(ERFASSUNG!$J$6:$J$3005,ERFASSUNG!$A$6:$A$3005,A142))</f>
        <v/>
      </c>
      <c r="N142" s="73">
        <f>IF(A142="","",SUMIFS(ERFASSUNG!$K$6:$K$3005,ERFASSUNG!$A$6:$A$3005,A142))</f>
        <v/>
      </c>
      <c r="O142" s="73">
        <f>IF(A142="","",SUMIFS(ERFASSUNG!$L$6:$L$3005,ERFASSUNG!$A$6:$A$3005,A142))</f>
        <v/>
      </c>
      <c r="P142" s="73">
        <f>IF(A142="","",SUMIFS(ERFASSUNG!$M$6:$M$3005,ERFASSUNG!$A$6:$A$3005,A142))</f>
        <v/>
      </c>
      <c r="Q142" s="73">
        <f>IF(A142="","",SUMIFS(ERFASSUNG!$N$6:$N$3005,ERFASSUNG!$A$6:$A$3005,A142))</f>
        <v/>
      </c>
    </row>
    <row r="143">
      <c r="A143" s="72">
        <f>IF(YEAR(DATE(LISTEN!$F$2,1,1)+138)=LISTEN!$F$2,DATE(LISTEN!$F$2,1,1)+138,"")</f>
        <v/>
      </c>
      <c r="B143" s="73">
        <f>IF(A143="","",CHOOSE(WEEKDAY(A143,2),"Mo","Di","Mi","Do","Fr","Sa","So"))</f>
        <v/>
      </c>
      <c r="C143" s="73">
        <f>IF(A143="","",INT((A143-DATE(YEAR(A143-WEEKDAY(A143-1)+4),1,3)+WEEKDAY(DATE(YEAR(A143-WEEKDAY(A143-1)+4),1,3))+5)/7))</f>
        <v/>
      </c>
      <c r="D143" s="73">
        <f>IF(A143="","",MONTH(A143))</f>
        <v/>
      </c>
      <c r="E143" s="73">
        <f>IF(A143="","",WEEKDAY(A143,2))</f>
        <v/>
      </c>
      <c r="F143" s="73">
        <f>IF(A143="","",COUNTIF(ERFASSUNG!$A$6:$A$3005,A143))</f>
        <v/>
      </c>
      <c r="G143" s="73">
        <f>IF(A143="","",IF(F143&gt;0,1,0))</f>
        <v/>
      </c>
      <c r="H143" s="73">
        <f>IF(A143="","",SUMIFS(ERFASSUNG!$E$6:$E$3005,ERFASSUNG!$A$6:$A$3005,A143))</f>
        <v/>
      </c>
      <c r="I143" s="73">
        <f>IF(A143="","",SUMIFS(ERFASSUNG!$F$6:$F$3005,ERFASSUNG!$A$6:$A$3005,A143))</f>
        <v/>
      </c>
      <c r="J143" s="73">
        <f>IF(A143="","",SUMIFS(ERFASSUNG!$G$6:$G$3005,ERFASSUNG!$A$6:$A$3005,A143))</f>
        <v/>
      </c>
      <c r="K143" s="73">
        <f>IF(A143="","",SUMIFS(ERFASSUNG!$H$6:$H$3005,ERFASSUNG!$A$6:$A$3005,A143))</f>
        <v/>
      </c>
      <c r="L143" s="73">
        <f>IF(A143="","",SUMIFS(ERFASSUNG!$I$6:$I$3005,ERFASSUNG!$A$6:$A$3005,A143))</f>
        <v/>
      </c>
      <c r="M143" s="73">
        <f>IF(A143="","",SUMIFS(ERFASSUNG!$J$6:$J$3005,ERFASSUNG!$A$6:$A$3005,A143))</f>
        <v/>
      </c>
      <c r="N143" s="73">
        <f>IF(A143="","",SUMIFS(ERFASSUNG!$K$6:$K$3005,ERFASSUNG!$A$6:$A$3005,A143))</f>
        <v/>
      </c>
      <c r="O143" s="73">
        <f>IF(A143="","",SUMIFS(ERFASSUNG!$L$6:$L$3005,ERFASSUNG!$A$6:$A$3005,A143))</f>
        <v/>
      </c>
      <c r="P143" s="73">
        <f>IF(A143="","",SUMIFS(ERFASSUNG!$M$6:$M$3005,ERFASSUNG!$A$6:$A$3005,A143))</f>
        <v/>
      </c>
      <c r="Q143" s="73">
        <f>IF(A143="","",SUMIFS(ERFASSUNG!$N$6:$N$3005,ERFASSUNG!$A$6:$A$3005,A143))</f>
        <v/>
      </c>
    </row>
    <row r="144">
      <c r="A144" s="72">
        <f>IF(YEAR(DATE(LISTEN!$F$2,1,1)+139)=LISTEN!$F$2,DATE(LISTEN!$F$2,1,1)+139,"")</f>
        <v/>
      </c>
      <c r="B144" s="73">
        <f>IF(A144="","",CHOOSE(WEEKDAY(A144,2),"Mo","Di","Mi","Do","Fr","Sa","So"))</f>
        <v/>
      </c>
      <c r="C144" s="73">
        <f>IF(A144="","",INT((A144-DATE(YEAR(A144-WEEKDAY(A144-1)+4),1,3)+WEEKDAY(DATE(YEAR(A144-WEEKDAY(A144-1)+4),1,3))+5)/7))</f>
        <v/>
      </c>
      <c r="D144" s="73">
        <f>IF(A144="","",MONTH(A144))</f>
        <v/>
      </c>
      <c r="E144" s="73">
        <f>IF(A144="","",WEEKDAY(A144,2))</f>
        <v/>
      </c>
      <c r="F144" s="73">
        <f>IF(A144="","",COUNTIF(ERFASSUNG!$A$6:$A$3005,A144))</f>
        <v/>
      </c>
      <c r="G144" s="73">
        <f>IF(A144="","",IF(F144&gt;0,1,0))</f>
        <v/>
      </c>
      <c r="H144" s="73">
        <f>IF(A144="","",SUMIFS(ERFASSUNG!$E$6:$E$3005,ERFASSUNG!$A$6:$A$3005,A144))</f>
        <v/>
      </c>
      <c r="I144" s="73">
        <f>IF(A144="","",SUMIFS(ERFASSUNG!$F$6:$F$3005,ERFASSUNG!$A$6:$A$3005,A144))</f>
        <v/>
      </c>
      <c r="J144" s="73">
        <f>IF(A144="","",SUMIFS(ERFASSUNG!$G$6:$G$3005,ERFASSUNG!$A$6:$A$3005,A144))</f>
        <v/>
      </c>
      <c r="K144" s="73">
        <f>IF(A144="","",SUMIFS(ERFASSUNG!$H$6:$H$3005,ERFASSUNG!$A$6:$A$3005,A144))</f>
        <v/>
      </c>
      <c r="L144" s="73">
        <f>IF(A144="","",SUMIFS(ERFASSUNG!$I$6:$I$3005,ERFASSUNG!$A$6:$A$3005,A144))</f>
        <v/>
      </c>
      <c r="M144" s="73">
        <f>IF(A144="","",SUMIFS(ERFASSUNG!$J$6:$J$3005,ERFASSUNG!$A$6:$A$3005,A144))</f>
        <v/>
      </c>
      <c r="N144" s="73">
        <f>IF(A144="","",SUMIFS(ERFASSUNG!$K$6:$K$3005,ERFASSUNG!$A$6:$A$3005,A144))</f>
        <v/>
      </c>
      <c r="O144" s="73">
        <f>IF(A144="","",SUMIFS(ERFASSUNG!$L$6:$L$3005,ERFASSUNG!$A$6:$A$3005,A144))</f>
        <v/>
      </c>
      <c r="P144" s="73">
        <f>IF(A144="","",SUMIFS(ERFASSUNG!$M$6:$M$3005,ERFASSUNG!$A$6:$A$3005,A144))</f>
        <v/>
      </c>
      <c r="Q144" s="73">
        <f>IF(A144="","",SUMIFS(ERFASSUNG!$N$6:$N$3005,ERFASSUNG!$A$6:$A$3005,A144))</f>
        <v/>
      </c>
    </row>
    <row r="145">
      <c r="A145" s="72">
        <f>IF(YEAR(DATE(LISTEN!$F$2,1,1)+140)=LISTEN!$F$2,DATE(LISTEN!$F$2,1,1)+140,"")</f>
        <v/>
      </c>
      <c r="B145" s="73">
        <f>IF(A145="","",CHOOSE(WEEKDAY(A145,2),"Mo","Di","Mi","Do","Fr","Sa","So"))</f>
        <v/>
      </c>
      <c r="C145" s="73">
        <f>IF(A145="","",INT((A145-DATE(YEAR(A145-WEEKDAY(A145-1)+4),1,3)+WEEKDAY(DATE(YEAR(A145-WEEKDAY(A145-1)+4),1,3))+5)/7))</f>
        <v/>
      </c>
      <c r="D145" s="73">
        <f>IF(A145="","",MONTH(A145))</f>
        <v/>
      </c>
      <c r="E145" s="73">
        <f>IF(A145="","",WEEKDAY(A145,2))</f>
        <v/>
      </c>
      <c r="F145" s="73">
        <f>IF(A145="","",COUNTIF(ERFASSUNG!$A$6:$A$3005,A145))</f>
        <v/>
      </c>
      <c r="G145" s="73">
        <f>IF(A145="","",IF(F145&gt;0,1,0))</f>
        <v/>
      </c>
      <c r="H145" s="73">
        <f>IF(A145="","",SUMIFS(ERFASSUNG!$E$6:$E$3005,ERFASSUNG!$A$6:$A$3005,A145))</f>
        <v/>
      </c>
      <c r="I145" s="73">
        <f>IF(A145="","",SUMIFS(ERFASSUNG!$F$6:$F$3005,ERFASSUNG!$A$6:$A$3005,A145))</f>
        <v/>
      </c>
      <c r="J145" s="73">
        <f>IF(A145="","",SUMIFS(ERFASSUNG!$G$6:$G$3005,ERFASSUNG!$A$6:$A$3005,A145))</f>
        <v/>
      </c>
      <c r="K145" s="73">
        <f>IF(A145="","",SUMIFS(ERFASSUNG!$H$6:$H$3005,ERFASSUNG!$A$6:$A$3005,A145))</f>
        <v/>
      </c>
      <c r="L145" s="73">
        <f>IF(A145="","",SUMIFS(ERFASSUNG!$I$6:$I$3005,ERFASSUNG!$A$6:$A$3005,A145))</f>
        <v/>
      </c>
      <c r="M145" s="73">
        <f>IF(A145="","",SUMIFS(ERFASSUNG!$J$6:$J$3005,ERFASSUNG!$A$6:$A$3005,A145))</f>
        <v/>
      </c>
      <c r="N145" s="73">
        <f>IF(A145="","",SUMIFS(ERFASSUNG!$K$6:$K$3005,ERFASSUNG!$A$6:$A$3005,A145))</f>
        <v/>
      </c>
      <c r="O145" s="73">
        <f>IF(A145="","",SUMIFS(ERFASSUNG!$L$6:$L$3005,ERFASSUNG!$A$6:$A$3005,A145))</f>
        <v/>
      </c>
      <c r="P145" s="73">
        <f>IF(A145="","",SUMIFS(ERFASSUNG!$M$6:$M$3005,ERFASSUNG!$A$6:$A$3005,A145))</f>
        <v/>
      </c>
      <c r="Q145" s="73">
        <f>IF(A145="","",SUMIFS(ERFASSUNG!$N$6:$N$3005,ERFASSUNG!$A$6:$A$3005,A145))</f>
        <v/>
      </c>
    </row>
    <row r="146">
      <c r="A146" s="72">
        <f>IF(YEAR(DATE(LISTEN!$F$2,1,1)+141)=LISTEN!$F$2,DATE(LISTEN!$F$2,1,1)+141,"")</f>
        <v/>
      </c>
      <c r="B146" s="73">
        <f>IF(A146="","",CHOOSE(WEEKDAY(A146,2),"Mo","Di","Mi","Do","Fr","Sa","So"))</f>
        <v/>
      </c>
      <c r="C146" s="73">
        <f>IF(A146="","",INT((A146-DATE(YEAR(A146-WEEKDAY(A146-1)+4),1,3)+WEEKDAY(DATE(YEAR(A146-WEEKDAY(A146-1)+4),1,3))+5)/7))</f>
        <v/>
      </c>
      <c r="D146" s="73">
        <f>IF(A146="","",MONTH(A146))</f>
        <v/>
      </c>
      <c r="E146" s="73">
        <f>IF(A146="","",WEEKDAY(A146,2))</f>
        <v/>
      </c>
      <c r="F146" s="73">
        <f>IF(A146="","",COUNTIF(ERFASSUNG!$A$6:$A$3005,A146))</f>
        <v/>
      </c>
      <c r="G146" s="73">
        <f>IF(A146="","",IF(F146&gt;0,1,0))</f>
        <v/>
      </c>
      <c r="H146" s="73">
        <f>IF(A146="","",SUMIFS(ERFASSUNG!$E$6:$E$3005,ERFASSUNG!$A$6:$A$3005,A146))</f>
        <v/>
      </c>
      <c r="I146" s="73">
        <f>IF(A146="","",SUMIFS(ERFASSUNG!$F$6:$F$3005,ERFASSUNG!$A$6:$A$3005,A146))</f>
        <v/>
      </c>
      <c r="J146" s="73">
        <f>IF(A146="","",SUMIFS(ERFASSUNG!$G$6:$G$3005,ERFASSUNG!$A$6:$A$3005,A146))</f>
        <v/>
      </c>
      <c r="K146" s="73">
        <f>IF(A146="","",SUMIFS(ERFASSUNG!$H$6:$H$3005,ERFASSUNG!$A$6:$A$3005,A146))</f>
        <v/>
      </c>
      <c r="L146" s="73">
        <f>IF(A146="","",SUMIFS(ERFASSUNG!$I$6:$I$3005,ERFASSUNG!$A$6:$A$3005,A146))</f>
        <v/>
      </c>
      <c r="M146" s="73">
        <f>IF(A146="","",SUMIFS(ERFASSUNG!$J$6:$J$3005,ERFASSUNG!$A$6:$A$3005,A146))</f>
        <v/>
      </c>
      <c r="N146" s="73">
        <f>IF(A146="","",SUMIFS(ERFASSUNG!$K$6:$K$3005,ERFASSUNG!$A$6:$A$3005,A146))</f>
        <v/>
      </c>
      <c r="O146" s="73">
        <f>IF(A146="","",SUMIFS(ERFASSUNG!$L$6:$L$3005,ERFASSUNG!$A$6:$A$3005,A146))</f>
        <v/>
      </c>
      <c r="P146" s="73">
        <f>IF(A146="","",SUMIFS(ERFASSUNG!$M$6:$M$3005,ERFASSUNG!$A$6:$A$3005,A146))</f>
        <v/>
      </c>
      <c r="Q146" s="73">
        <f>IF(A146="","",SUMIFS(ERFASSUNG!$N$6:$N$3005,ERFASSUNG!$A$6:$A$3005,A146))</f>
        <v/>
      </c>
    </row>
    <row r="147">
      <c r="A147" s="72">
        <f>IF(YEAR(DATE(LISTEN!$F$2,1,1)+142)=LISTEN!$F$2,DATE(LISTEN!$F$2,1,1)+142,"")</f>
        <v/>
      </c>
      <c r="B147" s="73">
        <f>IF(A147="","",CHOOSE(WEEKDAY(A147,2),"Mo","Di","Mi","Do","Fr","Sa","So"))</f>
        <v/>
      </c>
      <c r="C147" s="73">
        <f>IF(A147="","",INT((A147-DATE(YEAR(A147-WEEKDAY(A147-1)+4),1,3)+WEEKDAY(DATE(YEAR(A147-WEEKDAY(A147-1)+4),1,3))+5)/7))</f>
        <v/>
      </c>
      <c r="D147" s="73">
        <f>IF(A147="","",MONTH(A147))</f>
        <v/>
      </c>
      <c r="E147" s="73">
        <f>IF(A147="","",WEEKDAY(A147,2))</f>
        <v/>
      </c>
      <c r="F147" s="73">
        <f>IF(A147="","",COUNTIF(ERFASSUNG!$A$6:$A$3005,A147))</f>
        <v/>
      </c>
      <c r="G147" s="73">
        <f>IF(A147="","",IF(F147&gt;0,1,0))</f>
        <v/>
      </c>
      <c r="H147" s="73">
        <f>IF(A147="","",SUMIFS(ERFASSUNG!$E$6:$E$3005,ERFASSUNG!$A$6:$A$3005,A147))</f>
        <v/>
      </c>
      <c r="I147" s="73">
        <f>IF(A147="","",SUMIFS(ERFASSUNG!$F$6:$F$3005,ERFASSUNG!$A$6:$A$3005,A147))</f>
        <v/>
      </c>
      <c r="J147" s="73">
        <f>IF(A147="","",SUMIFS(ERFASSUNG!$G$6:$G$3005,ERFASSUNG!$A$6:$A$3005,A147))</f>
        <v/>
      </c>
      <c r="K147" s="73">
        <f>IF(A147="","",SUMIFS(ERFASSUNG!$H$6:$H$3005,ERFASSUNG!$A$6:$A$3005,A147))</f>
        <v/>
      </c>
      <c r="L147" s="73">
        <f>IF(A147="","",SUMIFS(ERFASSUNG!$I$6:$I$3005,ERFASSUNG!$A$6:$A$3005,A147))</f>
        <v/>
      </c>
      <c r="M147" s="73">
        <f>IF(A147="","",SUMIFS(ERFASSUNG!$J$6:$J$3005,ERFASSUNG!$A$6:$A$3005,A147))</f>
        <v/>
      </c>
      <c r="N147" s="73">
        <f>IF(A147="","",SUMIFS(ERFASSUNG!$K$6:$K$3005,ERFASSUNG!$A$6:$A$3005,A147))</f>
        <v/>
      </c>
      <c r="O147" s="73">
        <f>IF(A147="","",SUMIFS(ERFASSUNG!$L$6:$L$3005,ERFASSUNG!$A$6:$A$3005,A147))</f>
        <v/>
      </c>
      <c r="P147" s="73">
        <f>IF(A147="","",SUMIFS(ERFASSUNG!$M$6:$M$3005,ERFASSUNG!$A$6:$A$3005,A147))</f>
        <v/>
      </c>
      <c r="Q147" s="73">
        <f>IF(A147="","",SUMIFS(ERFASSUNG!$N$6:$N$3005,ERFASSUNG!$A$6:$A$3005,A147))</f>
        <v/>
      </c>
    </row>
    <row r="148">
      <c r="A148" s="72">
        <f>IF(YEAR(DATE(LISTEN!$F$2,1,1)+143)=LISTEN!$F$2,DATE(LISTEN!$F$2,1,1)+143,"")</f>
        <v/>
      </c>
      <c r="B148" s="73">
        <f>IF(A148="","",CHOOSE(WEEKDAY(A148,2),"Mo","Di","Mi","Do","Fr","Sa","So"))</f>
        <v/>
      </c>
      <c r="C148" s="73">
        <f>IF(A148="","",INT((A148-DATE(YEAR(A148-WEEKDAY(A148-1)+4),1,3)+WEEKDAY(DATE(YEAR(A148-WEEKDAY(A148-1)+4),1,3))+5)/7))</f>
        <v/>
      </c>
      <c r="D148" s="73">
        <f>IF(A148="","",MONTH(A148))</f>
        <v/>
      </c>
      <c r="E148" s="73">
        <f>IF(A148="","",WEEKDAY(A148,2))</f>
        <v/>
      </c>
      <c r="F148" s="73">
        <f>IF(A148="","",COUNTIF(ERFASSUNG!$A$6:$A$3005,A148))</f>
        <v/>
      </c>
      <c r="G148" s="73">
        <f>IF(A148="","",IF(F148&gt;0,1,0))</f>
        <v/>
      </c>
      <c r="H148" s="73">
        <f>IF(A148="","",SUMIFS(ERFASSUNG!$E$6:$E$3005,ERFASSUNG!$A$6:$A$3005,A148))</f>
        <v/>
      </c>
      <c r="I148" s="73">
        <f>IF(A148="","",SUMIFS(ERFASSUNG!$F$6:$F$3005,ERFASSUNG!$A$6:$A$3005,A148))</f>
        <v/>
      </c>
      <c r="J148" s="73">
        <f>IF(A148="","",SUMIFS(ERFASSUNG!$G$6:$G$3005,ERFASSUNG!$A$6:$A$3005,A148))</f>
        <v/>
      </c>
      <c r="K148" s="73">
        <f>IF(A148="","",SUMIFS(ERFASSUNG!$H$6:$H$3005,ERFASSUNG!$A$6:$A$3005,A148))</f>
        <v/>
      </c>
      <c r="L148" s="73">
        <f>IF(A148="","",SUMIFS(ERFASSUNG!$I$6:$I$3005,ERFASSUNG!$A$6:$A$3005,A148))</f>
        <v/>
      </c>
      <c r="M148" s="73">
        <f>IF(A148="","",SUMIFS(ERFASSUNG!$J$6:$J$3005,ERFASSUNG!$A$6:$A$3005,A148))</f>
        <v/>
      </c>
      <c r="N148" s="73">
        <f>IF(A148="","",SUMIFS(ERFASSUNG!$K$6:$K$3005,ERFASSUNG!$A$6:$A$3005,A148))</f>
        <v/>
      </c>
      <c r="O148" s="73">
        <f>IF(A148="","",SUMIFS(ERFASSUNG!$L$6:$L$3005,ERFASSUNG!$A$6:$A$3005,A148))</f>
        <v/>
      </c>
      <c r="P148" s="73">
        <f>IF(A148="","",SUMIFS(ERFASSUNG!$M$6:$M$3005,ERFASSUNG!$A$6:$A$3005,A148))</f>
        <v/>
      </c>
      <c r="Q148" s="73">
        <f>IF(A148="","",SUMIFS(ERFASSUNG!$N$6:$N$3005,ERFASSUNG!$A$6:$A$3005,A148))</f>
        <v/>
      </c>
    </row>
    <row r="149">
      <c r="A149" s="72">
        <f>IF(YEAR(DATE(LISTEN!$F$2,1,1)+144)=LISTEN!$F$2,DATE(LISTEN!$F$2,1,1)+144,"")</f>
        <v/>
      </c>
      <c r="B149" s="73">
        <f>IF(A149="","",CHOOSE(WEEKDAY(A149,2),"Mo","Di","Mi","Do","Fr","Sa","So"))</f>
        <v/>
      </c>
      <c r="C149" s="73">
        <f>IF(A149="","",INT((A149-DATE(YEAR(A149-WEEKDAY(A149-1)+4),1,3)+WEEKDAY(DATE(YEAR(A149-WEEKDAY(A149-1)+4),1,3))+5)/7))</f>
        <v/>
      </c>
      <c r="D149" s="73">
        <f>IF(A149="","",MONTH(A149))</f>
        <v/>
      </c>
      <c r="E149" s="73">
        <f>IF(A149="","",WEEKDAY(A149,2))</f>
        <v/>
      </c>
      <c r="F149" s="73">
        <f>IF(A149="","",COUNTIF(ERFASSUNG!$A$6:$A$3005,A149))</f>
        <v/>
      </c>
      <c r="G149" s="73">
        <f>IF(A149="","",IF(F149&gt;0,1,0))</f>
        <v/>
      </c>
      <c r="H149" s="73">
        <f>IF(A149="","",SUMIFS(ERFASSUNG!$E$6:$E$3005,ERFASSUNG!$A$6:$A$3005,A149))</f>
        <v/>
      </c>
      <c r="I149" s="73">
        <f>IF(A149="","",SUMIFS(ERFASSUNG!$F$6:$F$3005,ERFASSUNG!$A$6:$A$3005,A149))</f>
        <v/>
      </c>
      <c r="J149" s="73">
        <f>IF(A149="","",SUMIFS(ERFASSUNG!$G$6:$G$3005,ERFASSUNG!$A$6:$A$3005,A149))</f>
        <v/>
      </c>
      <c r="K149" s="73">
        <f>IF(A149="","",SUMIFS(ERFASSUNG!$H$6:$H$3005,ERFASSUNG!$A$6:$A$3005,A149))</f>
        <v/>
      </c>
      <c r="L149" s="73">
        <f>IF(A149="","",SUMIFS(ERFASSUNG!$I$6:$I$3005,ERFASSUNG!$A$6:$A$3005,A149))</f>
        <v/>
      </c>
      <c r="M149" s="73">
        <f>IF(A149="","",SUMIFS(ERFASSUNG!$J$6:$J$3005,ERFASSUNG!$A$6:$A$3005,A149))</f>
        <v/>
      </c>
      <c r="N149" s="73">
        <f>IF(A149="","",SUMIFS(ERFASSUNG!$K$6:$K$3005,ERFASSUNG!$A$6:$A$3005,A149))</f>
        <v/>
      </c>
      <c r="O149" s="73">
        <f>IF(A149="","",SUMIFS(ERFASSUNG!$L$6:$L$3005,ERFASSUNG!$A$6:$A$3005,A149))</f>
        <v/>
      </c>
      <c r="P149" s="73">
        <f>IF(A149="","",SUMIFS(ERFASSUNG!$M$6:$M$3005,ERFASSUNG!$A$6:$A$3005,A149))</f>
        <v/>
      </c>
      <c r="Q149" s="73">
        <f>IF(A149="","",SUMIFS(ERFASSUNG!$N$6:$N$3005,ERFASSUNG!$A$6:$A$3005,A149))</f>
        <v/>
      </c>
    </row>
    <row r="150">
      <c r="A150" s="72">
        <f>IF(YEAR(DATE(LISTEN!$F$2,1,1)+145)=LISTEN!$F$2,DATE(LISTEN!$F$2,1,1)+145,"")</f>
        <v/>
      </c>
      <c r="B150" s="73">
        <f>IF(A150="","",CHOOSE(WEEKDAY(A150,2),"Mo","Di","Mi","Do","Fr","Sa","So"))</f>
        <v/>
      </c>
      <c r="C150" s="73">
        <f>IF(A150="","",INT((A150-DATE(YEAR(A150-WEEKDAY(A150-1)+4),1,3)+WEEKDAY(DATE(YEAR(A150-WEEKDAY(A150-1)+4),1,3))+5)/7))</f>
        <v/>
      </c>
      <c r="D150" s="73">
        <f>IF(A150="","",MONTH(A150))</f>
        <v/>
      </c>
      <c r="E150" s="73">
        <f>IF(A150="","",WEEKDAY(A150,2))</f>
        <v/>
      </c>
      <c r="F150" s="73">
        <f>IF(A150="","",COUNTIF(ERFASSUNG!$A$6:$A$3005,A150))</f>
        <v/>
      </c>
      <c r="G150" s="73">
        <f>IF(A150="","",IF(F150&gt;0,1,0))</f>
        <v/>
      </c>
      <c r="H150" s="73">
        <f>IF(A150="","",SUMIFS(ERFASSUNG!$E$6:$E$3005,ERFASSUNG!$A$6:$A$3005,A150))</f>
        <v/>
      </c>
      <c r="I150" s="73">
        <f>IF(A150="","",SUMIFS(ERFASSUNG!$F$6:$F$3005,ERFASSUNG!$A$6:$A$3005,A150))</f>
        <v/>
      </c>
      <c r="J150" s="73">
        <f>IF(A150="","",SUMIFS(ERFASSUNG!$G$6:$G$3005,ERFASSUNG!$A$6:$A$3005,A150))</f>
        <v/>
      </c>
      <c r="K150" s="73">
        <f>IF(A150="","",SUMIFS(ERFASSUNG!$H$6:$H$3005,ERFASSUNG!$A$6:$A$3005,A150))</f>
        <v/>
      </c>
      <c r="L150" s="73">
        <f>IF(A150="","",SUMIFS(ERFASSUNG!$I$6:$I$3005,ERFASSUNG!$A$6:$A$3005,A150))</f>
        <v/>
      </c>
      <c r="M150" s="73">
        <f>IF(A150="","",SUMIFS(ERFASSUNG!$J$6:$J$3005,ERFASSUNG!$A$6:$A$3005,A150))</f>
        <v/>
      </c>
      <c r="N150" s="73">
        <f>IF(A150="","",SUMIFS(ERFASSUNG!$K$6:$K$3005,ERFASSUNG!$A$6:$A$3005,A150))</f>
        <v/>
      </c>
      <c r="O150" s="73">
        <f>IF(A150="","",SUMIFS(ERFASSUNG!$L$6:$L$3005,ERFASSUNG!$A$6:$A$3005,A150))</f>
        <v/>
      </c>
      <c r="P150" s="73">
        <f>IF(A150="","",SUMIFS(ERFASSUNG!$M$6:$M$3005,ERFASSUNG!$A$6:$A$3005,A150))</f>
        <v/>
      </c>
      <c r="Q150" s="73">
        <f>IF(A150="","",SUMIFS(ERFASSUNG!$N$6:$N$3005,ERFASSUNG!$A$6:$A$3005,A150))</f>
        <v/>
      </c>
    </row>
    <row r="151">
      <c r="A151" s="72">
        <f>IF(YEAR(DATE(LISTEN!$F$2,1,1)+146)=LISTEN!$F$2,DATE(LISTEN!$F$2,1,1)+146,"")</f>
        <v/>
      </c>
      <c r="B151" s="73">
        <f>IF(A151="","",CHOOSE(WEEKDAY(A151,2),"Mo","Di","Mi","Do","Fr","Sa","So"))</f>
        <v/>
      </c>
      <c r="C151" s="73">
        <f>IF(A151="","",INT((A151-DATE(YEAR(A151-WEEKDAY(A151-1)+4),1,3)+WEEKDAY(DATE(YEAR(A151-WEEKDAY(A151-1)+4),1,3))+5)/7))</f>
        <v/>
      </c>
      <c r="D151" s="73">
        <f>IF(A151="","",MONTH(A151))</f>
        <v/>
      </c>
      <c r="E151" s="73">
        <f>IF(A151="","",WEEKDAY(A151,2))</f>
        <v/>
      </c>
      <c r="F151" s="73">
        <f>IF(A151="","",COUNTIF(ERFASSUNG!$A$6:$A$3005,A151))</f>
        <v/>
      </c>
      <c r="G151" s="73">
        <f>IF(A151="","",IF(F151&gt;0,1,0))</f>
        <v/>
      </c>
      <c r="H151" s="73">
        <f>IF(A151="","",SUMIFS(ERFASSUNG!$E$6:$E$3005,ERFASSUNG!$A$6:$A$3005,A151))</f>
        <v/>
      </c>
      <c r="I151" s="73">
        <f>IF(A151="","",SUMIFS(ERFASSUNG!$F$6:$F$3005,ERFASSUNG!$A$6:$A$3005,A151))</f>
        <v/>
      </c>
      <c r="J151" s="73">
        <f>IF(A151="","",SUMIFS(ERFASSUNG!$G$6:$G$3005,ERFASSUNG!$A$6:$A$3005,A151))</f>
        <v/>
      </c>
      <c r="K151" s="73">
        <f>IF(A151="","",SUMIFS(ERFASSUNG!$H$6:$H$3005,ERFASSUNG!$A$6:$A$3005,A151))</f>
        <v/>
      </c>
      <c r="L151" s="73">
        <f>IF(A151="","",SUMIFS(ERFASSUNG!$I$6:$I$3005,ERFASSUNG!$A$6:$A$3005,A151))</f>
        <v/>
      </c>
      <c r="M151" s="73">
        <f>IF(A151="","",SUMIFS(ERFASSUNG!$J$6:$J$3005,ERFASSUNG!$A$6:$A$3005,A151))</f>
        <v/>
      </c>
      <c r="N151" s="73">
        <f>IF(A151="","",SUMIFS(ERFASSUNG!$K$6:$K$3005,ERFASSUNG!$A$6:$A$3005,A151))</f>
        <v/>
      </c>
      <c r="O151" s="73">
        <f>IF(A151="","",SUMIFS(ERFASSUNG!$L$6:$L$3005,ERFASSUNG!$A$6:$A$3005,A151))</f>
        <v/>
      </c>
      <c r="P151" s="73">
        <f>IF(A151="","",SUMIFS(ERFASSUNG!$M$6:$M$3005,ERFASSUNG!$A$6:$A$3005,A151))</f>
        <v/>
      </c>
      <c r="Q151" s="73">
        <f>IF(A151="","",SUMIFS(ERFASSUNG!$N$6:$N$3005,ERFASSUNG!$A$6:$A$3005,A151))</f>
        <v/>
      </c>
    </row>
    <row r="152">
      <c r="A152" s="72">
        <f>IF(YEAR(DATE(LISTEN!$F$2,1,1)+147)=LISTEN!$F$2,DATE(LISTEN!$F$2,1,1)+147,"")</f>
        <v/>
      </c>
      <c r="B152" s="73">
        <f>IF(A152="","",CHOOSE(WEEKDAY(A152,2),"Mo","Di","Mi","Do","Fr","Sa","So"))</f>
        <v/>
      </c>
      <c r="C152" s="73">
        <f>IF(A152="","",INT((A152-DATE(YEAR(A152-WEEKDAY(A152-1)+4),1,3)+WEEKDAY(DATE(YEAR(A152-WEEKDAY(A152-1)+4),1,3))+5)/7))</f>
        <v/>
      </c>
      <c r="D152" s="73">
        <f>IF(A152="","",MONTH(A152))</f>
        <v/>
      </c>
      <c r="E152" s="73">
        <f>IF(A152="","",WEEKDAY(A152,2))</f>
        <v/>
      </c>
      <c r="F152" s="73">
        <f>IF(A152="","",COUNTIF(ERFASSUNG!$A$6:$A$3005,A152))</f>
        <v/>
      </c>
      <c r="G152" s="73">
        <f>IF(A152="","",IF(F152&gt;0,1,0))</f>
        <v/>
      </c>
      <c r="H152" s="73">
        <f>IF(A152="","",SUMIFS(ERFASSUNG!$E$6:$E$3005,ERFASSUNG!$A$6:$A$3005,A152))</f>
        <v/>
      </c>
      <c r="I152" s="73">
        <f>IF(A152="","",SUMIFS(ERFASSUNG!$F$6:$F$3005,ERFASSUNG!$A$6:$A$3005,A152))</f>
        <v/>
      </c>
      <c r="J152" s="73">
        <f>IF(A152="","",SUMIFS(ERFASSUNG!$G$6:$G$3005,ERFASSUNG!$A$6:$A$3005,A152))</f>
        <v/>
      </c>
      <c r="K152" s="73">
        <f>IF(A152="","",SUMIFS(ERFASSUNG!$H$6:$H$3005,ERFASSUNG!$A$6:$A$3005,A152))</f>
        <v/>
      </c>
      <c r="L152" s="73">
        <f>IF(A152="","",SUMIFS(ERFASSUNG!$I$6:$I$3005,ERFASSUNG!$A$6:$A$3005,A152))</f>
        <v/>
      </c>
      <c r="M152" s="73">
        <f>IF(A152="","",SUMIFS(ERFASSUNG!$J$6:$J$3005,ERFASSUNG!$A$6:$A$3005,A152))</f>
        <v/>
      </c>
      <c r="N152" s="73">
        <f>IF(A152="","",SUMIFS(ERFASSUNG!$K$6:$K$3005,ERFASSUNG!$A$6:$A$3005,A152))</f>
        <v/>
      </c>
      <c r="O152" s="73">
        <f>IF(A152="","",SUMIFS(ERFASSUNG!$L$6:$L$3005,ERFASSUNG!$A$6:$A$3005,A152))</f>
        <v/>
      </c>
      <c r="P152" s="73">
        <f>IF(A152="","",SUMIFS(ERFASSUNG!$M$6:$M$3005,ERFASSUNG!$A$6:$A$3005,A152))</f>
        <v/>
      </c>
      <c r="Q152" s="73">
        <f>IF(A152="","",SUMIFS(ERFASSUNG!$N$6:$N$3005,ERFASSUNG!$A$6:$A$3005,A152))</f>
        <v/>
      </c>
    </row>
    <row r="153">
      <c r="A153" s="72">
        <f>IF(YEAR(DATE(LISTEN!$F$2,1,1)+148)=LISTEN!$F$2,DATE(LISTEN!$F$2,1,1)+148,"")</f>
        <v/>
      </c>
      <c r="B153" s="73">
        <f>IF(A153="","",CHOOSE(WEEKDAY(A153,2),"Mo","Di","Mi","Do","Fr","Sa","So"))</f>
        <v/>
      </c>
      <c r="C153" s="73">
        <f>IF(A153="","",INT((A153-DATE(YEAR(A153-WEEKDAY(A153-1)+4),1,3)+WEEKDAY(DATE(YEAR(A153-WEEKDAY(A153-1)+4),1,3))+5)/7))</f>
        <v/>
      </c>
      <c r="D153" s="73">
        <f>IF(A153="","",MONTH(A153))</f>
        <v/>
      </c>
      <c r="E153" s="73">
        <f>IF(A153="","",WEEKDAY(A153,2))</f>
        <v/>
      </c>
      <c r="F153" s="73">
        <f>IF(A153="","",COUNTIF(ERFASSUNG!$A$6:$A$3005,A153))</f>
        <v/>
      </c>
      <c r="G153" s="73">
        <f>IF(A153="","",IF(F153&gt;0,1,0))</f>
        <v/>
      </c>
      <c r="H153" s="73">
        <f>IF(A153="","",SUMIFS(ERFASSUNG!$E$6:$E$3005,ERFASSUNG!$A$6:$A$3005,A153))</f>
        <v/>
      </c>
      <c r="I153" s="73">
        <f>IF(A153="","",SUMIFS(ERFASSUNG!$F$6:$F$3005,ERFASSUNG!$A$6:$A$3005,A153))</f>
        <v/>
      </c>
      <c r="J153" s="73">
        <f>IF(A153="","",SUMIFS(ERFASSUNG!$G$6:$G$3005,ERFASSUNG!$A$6:$A$3005,A153))</f>
        <v/>
      </c>
      <c r="K153" s="73">
        <f>IF(A153="","",SUMIFS(ERFASSUNG!$H$6:$H$3005,ERFASSUNG!$A$6:$A$3005,A153))</f>
        <v/>
      </c>
      <c r="L153" s="73">
        <f>IF(A153="","",SUMIFS(ERFASSUNG!$I$6:$I$3005,ERFASSUNG!$A$6:$A$3005,A153))</f>
        <v/>
      </c>
      <c r="M153" s="73">
        <f>IF(A153="","",SUMIFS(ERFASSUNG!$J$6:$J$3005,ERFASSUNG!$A$6:$A$3005,A153))</f>
        <v/>
      </c>
      <c r="N153" s="73">
        <f>IF(A153="","",SUMIFS(ERFASSUNG!$K$6:$K$3005,ERFASSUNG!$A$6:$A$3005,A153))</f>
        <v/>
      </c>
      <c r="O153" s="73">
        <f>IF(A153="","",SUMIFS(ERFASSUNG!$L$6:$L$3005,ERFASSUNG!$A$6:$A$3005,A153))</f>
        <v/>
      </c>
      <c r="P153" s="73">
        <f>IF(A153="","",SUMIFS(ERFASSUNG!$M$6:$M$3005,ERFASSUNG!$A$6:$A$3005,A153))</f>
        <v/>
      </c>
      <c r="Q153" s="73">
        <f>IF(A153="","",SUMIFS(ERFASSUNG!$N$6:$N$3005,ERFASSUNG!$A$6:$A$3005,A153))</f>
        <v/>
      </c>
    </row>
    <row r="154">
      <c r="A154" s="72">
        <f>IF(YEAR(DATE(LISTEN!$F$2,1,1)+149)=LISTEN!$F$2,DATE(LISTEN!$F$2,1,1)+149,"")</f>
        <v/>
      </c>
      <c r="B154" s="73">
        <f>IF(A154="","",CHOOSE(WEEKDAY(A154,2),"Mo","Di","Mi","Do","Fr","Sa","So"))</f>
        <v/>
      </c>
      <c r="C154" s="73">
        <f>IF(A154="","",INT((A154-DATE(YEAR(A154-WEEKDAY(A154-1)+4),1,3)+WEEKDAY(DATE(YEAR(A154-WEEKDAY(A154-1)+4),1,3))+5)/7))</f>
        <v/>
      </c>
      <c r="D154" s="73">
        <f>IF(A154="","",MONTH(A154))</f>
        <v/>
      </c>
      <c r="E154" s="73">
        <f>IF(A154="","",WEEKDAY(A154,2))</f>
        <v/>
      </c>
      <c r="F154" s="73">
        <f>IF(A154="","",COUNTIF(ERFASSUNG!$A$6:$A$3005,A154))</f>
        <v/>
      </c>
      <c r="G154" s="73">
        <f>IF(A154="","",IF(F154&gt;0,1,0))</f>
        <v/>
      </c>
      <c r="H154" s="73">
        <f>IF(A154="","",SUMIFS(ERFASSUNG!$E$6:$E$3005,ERFASSUNG!$A$6:$A$3005,A154))</f>
        <v/>
      </c>
      <c r="I154" s="73">
        <f>IF(A154="","",SUMIFS(ERFASSUNG!$F$6:$F$3005,ERFASSUNG!$A$6:$A$3005,A154))</f>
        <v/>
      </c>
      <c r="J154" s="73">
        <f>IF(A154="","",SUMIFS(ERFASSUNG!$G$6:$G$3005,ERFASSUNG!$A$6:$A$3005,A154))</f>
        <v/>
      </c>
      <c r="K154" s="73">
        <f>IF(A154="","",SUMIFS(ERFASSUNG!$H$6:$H$3005,ERFASSUNG!$A$6:$A$3005,A154))</f>
        <v/>
      </c>
      <c r="L154" s="73">
        <f>IF(A154="","",SUMIFS(ERFASSUNG!$I$6:$I$3005,ERFASSUNG!$A$6:$A$3005,A154))</f>
        <v/>
      </c>
      <c r="M154" s="73">
        <f>IF(A154="","",SUMIFS(ERFASSUNG!$J$6:$J$3005,ERFASSUNG!$A$6:$A$3005,A154))</f>
        <v/>
      </c>
      <c r="N154" s="73">
        <f>IF(A154="","",SUMIFS(ERFASSUNG!$K$6:$K$3005,ERFASSUNG!$A$6:$A$3005,A154))</f>
        <v/>
      </c>
      <c r="O154" s="73">
        <f>IF(A154="","",SUMIFS(ERFASSUNG!$L$6:$L$3005,ERFASSUNG!$A$6:$A$3005,A154))</f>
        <v/>
      </c>
      <c r="P154" s="73">
        <f>IF(A154="","",SUMIFS(ERFASSUNG!$M$6:$M$3005,ERFASSUNG!$A$6:$A$3005,A154))</f>
        <v/>
      </c>
      <c r="Q154" s="73">
        <f>IF(A154="","",SUMIFS(ERFASSUNG!$N$6:$N$3005,ERFASSUNG!$A$6:$A$3005,A154))</f>
        <v/>
      </c>
    </row>
    <row r="155">
      <c r="A155" s="72">
        <f>IF(YEAR(DATE(LISTEN!$F$2,1,1)+150)=LISTEN!$F$2,DATE(LISTEN!$F$2,1,1)+150,"")</f>
        <v/>
      </c>
      <c r="B155" s="73">
        <f>IF(A155="","",CHOOSE(WEEKDAY(A155,2),"Mo","Di","Mi","Do","Fr","Sa","So"))</f>
        <v/>
      </c>
      <c r="C155" s="73">
        <f>IF(A155="","",INT((A155-DATE(YEAR(A155-WEEKDAY(A155-1)+4),1,3)+WEEKDAY(DATE(YEAR(A155-WEEKDAY(A155-1)+4),1,3))+5)/7))</f>
        <v/>
      </c>
      <c r="D155" s="73">
        <f>IF(A155="","",MONTH(A155))</f>
        <v/>
      </c>
      <c r="E155" s="73">
        <f>IF(A155="","",WEEKDAY(A155,2))</f>
        <v/>
      </c>
      <c r="F155" s="73">
        <f>IF(A155="","",COUNTIF(ERFASSUNG!$A$6:$A$3005,A155))</f>
        <v/>
      </c>
      <c r="G155" s="73">
        <f>IF(A155="","",IF(F155&gt;0,1,0))</f>
        <v/>
      </c>
      <c r="H155" s="73">
        <f>IF(A155="","",SUMIFS(ERFASSUNG!$E$6:$E$3005,ERFASSUNG!$A$6:$A$3005,A155))</f>
        <v/>
      </c>
      <c r="I155" s="73">
        <f>IF(A155="","",SUMIFS(ERFASSUNG!$F$6:$F$3005,ERFASSUNG!$A$6:$A$3005,A155))</f>
        <v/>
      </c>
      <c r="J155" s="73">
        <f>IF(A155="","",SUMIFS(ERFASSUNG!$G$6:$G$3005,ERFASSUNG!$A$6:$A$3005,A155))</f>
        <v/>
      </c>
      <c r="K155" s="73">
        <f>IF(A155="","",SUMIFS(ERFASSUNG!$H$6:$H$3005,ERFASSUNG!$A$6:$A$3005,A155))</f>
        <v/>
      </c>
      <c r="L155" s="73">
        <f>IF(A155="","",SUMIFS(ERFASSUNG!$I$6:$I$3005,ERFASSUNG!$A$6:$A$3005,A155))</f>
        <v/>
      </c>
      <c r="M155" s="73">
        <f>IF(A155="","",SUMIFS(ERFASSUNG!$J$6:$J$3005,ERFASSUNG!$A$6:$A$3005,A155))</f>
        <v/>
      </c>
      <c r="N155" s="73">
        <f>IF(A155="","",SUMIFS(ERFASSUNG!$K$6:$K$3005,ERFASSUNG!$A$6:$A$3005,A155))</f>
        <v/>
      </c>
      <c r="O155" s="73">
        <f>IF(A155="","",SUMIFS(ERFASSUNG!$L$6:$L$3005,ERFASSUNG!$A$6:$A$3005,A155))</f>
        <v/>
      </c>
      <c r="P155" s="73">
        <f>IF(A155="","",SUMIFS(ERFASSUNG!$M$6:$M$3005,ERFASSUNG!$A$6:$A$3005,A155))</f>
        <v/>
      </c>
      <c r="Q155" s="73">
        <f>IF(A155="","",SUMIFS(ERFASSUNG!$N$6:$N$3005,ERFASSUNG!$A$6:$A$3005,A155))</f>
        <v/>
      </c>
    </row>
    <row r="156">
      <c r="A156" s="72">
        <f>IF(YEAR(DATE(LISTEN!$F$2,1,1)+151)=LISTEN!$F$2,DATE(LISTEN!$F$2,1,1)+151,"")</f>
        <v/>
      </c>
      <c r="B156" s="73">
        <f>IF(A156="","",CHOOSE(WEEKDAY(A156,2),"Mo","Di","Mi","Do","Fr","Sa","So"))</f>
        <v/>
      </c>
      <c r="C156" s="73">
        <f>IF(A156="","",INT((A156-DATE(YEAR(A156-WEEKDAY(A156-1)+4),1,3)+WEEKDAY(DATE(YEAR(A156-WEEKDAY(A156-1)+4),1,3))+5)/7))</f>
        <v/>
      </c>
      <c r="D156" s="73">
        <f>IF(A156="","",MONTH(A156))</f>
        <v/>
      </c>
      <c r="E156" s="73">
        <f>IF(A156="","",WEEKDAY(A156,2))</f>
        <v/>
      </c>
      <c r="F156" s="73">
        <f>IF(A156="","",COUNTIF(ERFASSUNG!$A$6:$A$3005,A156))</f>
        <v/>
      </c>
      <c r="G156" s="73">
        <f>IF(A156="","",IF(F156&gt;0,1,0))</f>
        <v/>
      </c>
      <c r="H156" s="73">
        <f>IF(A156="","",SUMIFS(ERFASSUNG!$E$6:$E$3005,ERFASSUNG!$A$6:$A$3005,A156))</f>
        <v/>
      </c>
      <c r="I156" s="73">
        <f>IF(A156="","",SUMIFS(ERFASSUNG!$F$6:$F$3005,ERFASSUNG!$A$6:$A$3005,A156))</f>
        <v/>
      </c>
      <c r="J156" s="73">
        <f>IF(A156="","",SUMIFS(ERFASSUNG!$G$6:$G$3005,ERFASSUNG!$A$6:$A$3005,A156))</f>
        <v/>
      </c>
      <c r="K156" s="73">
        <f>IF(A156="","",SUMIFS(ERFASSUNG!$H$6:$H$3005,ERFASSUNG!$A$6:$A$3005,A156))</f>
        <v/>
      </c>
      <c r="L156" s="73">
        <f>IF(A156="","",SUMIFS(ERFASSUNG!$I$6:$I$3005,ERFASSUNG!$A$6:$A$3005,A156))</f>
        <v/>
      </c>
      <c r="M156" s="73">
        <f>IF(A156="","",SUMIFS(ERFASSUNG!$J$6:$J$3005,ERFASSUNG!$A$6:$A$3005,A156))</f>
        <v/>
      </c>
      <c r="N156" s="73">
        <f>IF(A156="","",SUMIFS(ERFASSUNG!$K$6:$K$3005,ERFASSUNG!$A$6:$A$3005,A156))</f>
        <v/>
      </c>
      <c r="O156" s="73">
        <f>IF(A156="","",SUMIFS(ERFASSUNG!$L$6:$L$3005,ERFASSUNG!$A$6:$A$3005,A156))</f>
        <v/>
      </c>
      <c r="P156" s="73">
        <f>IF(A156="","",SUMIFS(ERFASSUNG!$M$6:$M$3005,ERFASSUNG!$A$6:$A$3005,A156))</f>
        <v/>
      </c>
      <c r="Q156" s="73">
        <f>IF(A156="","",SUMIFS(ERFASSUNG!$N$6:$N$3005,ERFASSUNG!$A$6:$A$3005,A156))</f>
        <v/>
      </c>
    </row>
    <row r="157">
      <c r="A157" s="72">
        <f>IF(YEAR(DATE(LISTEN!$F$2,1,1)+152)=LISTEN!$F$2,DATE(LISTEN!$F$2,1,1)+152,"")</f>
        <v/>
      </c>
      <c r="B157" s="73">
        <f>IF(A157="","",CHOOSE(WEEKDAY(A157,2),"Mo","Di","Mi","Do","Fr","Sa","So"))</f>
        <v/>
      </c>
      <c r="C157" s="73">
        <f>IF(A157="","",INT((A157-DATE(YEAR(A157-WEEKDAY(A157-1)+4),1,3)+WEEKDAY(DATE(YEAR(A157-WEEKDAY(A157-1)+4),1,3))+5)/7))</f>
        <v/>
      </c>
      <c r="D157" s="73">
        <f>IF(A157="","",MONTH(A157))</f>
        <v/>
      </c>
      <c r="E157" s="73">
        <f>IF(A157="","",WEEKDAY(A157,2))</f>
        <v/>
      </c>
      <c r="F157" s="73">
        <f>IF(A157="","",COUNTIF(ERFASSUNG!$A$6:$A$3005,A157))</f>
        <v/>
      </c>
      <c r="G157" s="73">
        <f>IF(A157="","",IF(F157&gt;0,1,0))</f>
        <v/>
      </c>
      <c r="H157" s="73">
        <f>IF(A157="","",SUMIFS(ERFASSUNG!$E$6:$E$3005,ERFASSUNG!$A$6:$A$3005,A157))</f>
        <v/>
      </c>
      <c r="I157" s="73">
        <f>IF(A157="","",SUMIFS(ERFASSUNG!$F$6:$F$3005,ERFASSUNG!$A$6:$A$3005,A157))</f>
        <v/>
      </c>
      <c r="J157" s="73">
        <f>IF(A157="","",SUMIFS(ERFASSUNG!$G$6:$G$3005,ERFASSUNG!$A$6:$A$3005,A157))</f>
        <v/>
      </c>
      <c r="K157" s="73">
        <f>IF(A157="","",SUMIFS(ERFASSUNG!$H$6:$H$3005,ERFASSUNG!$A$6:$A$3005,A157))</f>
        <v/>
      </c>
      <c r="L157" s="73">
        <f>IF(A157="","",SUMIFS(ERFASSUNG!$I$6:$I$3005,ERFASSUNG!$A$6:$A$3005,A157))</f>
        <v/>
      </c>
      <c r="M157" s="73">
        <f>IF(A157="","",SUMIFS(ERFASSUNG!$J$6:$J$3005,ERFASSUNG!$A$6:$A$3005,A157))</f>
        <v/>
      </c>
      <c r="N157" s="73">
        <f>IF(A157="","",SUMIFS(ERFASSUNG!$K$6:$K$3005,ERFASSUNG!$A$6:$A$3005,A157))</f>
        <v/>
      </c>
      <c r="O157" s="73">
        <f>IF(A157="","",SUMIFS(ERFASSUNG!$L$6:$L$3005,ERFASSUNG!$A$6:$A$3005,A157))</f>
        <v/>
      </c>
      <c r="P157" s="73">
        <f>IF(A157="","",SUMIFS(ERFASSUNG!$M$6:$M$3005,ERFASSUNG!$A$6:$A$3005,A157))</f>
        <v/>
      </c>
      <c r="Q157" s="73">
        <f>IF(A157="","",SUMIFS(ERFASSUNG!$N$6:$N$3005,ERFASSUNG!$A$6:$A$3005,A157))</f>
        <v/>
      </c>
    </row>
    <row r="158">
      <c r="A158" s="72">
        <f>IF(YEAR(DATE(LISTEN!$F$2,1,1)+153)=LISTEN!$F$2,DATE(LISTEN!$F$2,1,1)+153,"")</f>
        <v/>
      </c>
      <c r="B158" s="73">
        <f>IF(A158="","",CHOOSE(WEEKDAY(A158,2),"Mo","Di","Mi","Do","Fr","Sa","So"))</f>
        <v/>
      </c>
      <c r="C158" s="73">
        <f>IF(A158="","",INT((A158-DATE(YEAR(A158-WEEKDAY(A158-1)+4),1,3)+WEEKDAY(DATE(YEAR(A158-WEEKDAY(A158-1)+4),1,3))+5)/7))</f>
        <v/>
      </c>
      <c r="D158" s="73">
        <f>IF(A158="","",MONTH(A158))</f>
        <v/>
      </c>
      <c r="E158" s="73">
        <f>IF(A158="","",WEEKDAY(A158,2))</f>
        <v/>
      </c>
      <c r="F158" s="73">
        <f>IF(A158="","",COUNTIF(ERFASSUNG!$A$6:$A$3005,A158))</f>
        <v/>
      </c>
      <c r="G158" s="73">
        <f>IF(A158="","",IF(F158&gt;0,1,0))</f>
        <v/>
      </c>
      <c r="H158" s="73">
        <f>IF(A158="","",SUMIFS(ERFASSUNG!$E$6:$E$3005,ERFASSUNG!$A$6:$A$3005,A158))</f>
        <v/>
      </c>
      <c r="I158" s="73">
        <f>IF(A158="","",SUMIFS(ERFASSUNG!$F$6:$F$3005,ERFASSUNG!$A$6:$A$3005,A158))</f>
        <v/>
      </c>
      <c r="J158" s="73">
        <f>IF(A158="","",SUMIFS(ERFASSUNG!$G$6:$G$3005,ERFASSUNG!$A$6:$A$3005,A158))</f>
        <v/>
      </c>
      <c r="K158" s="73">
        <f>IF(A158="","",SUMIFS(ERFASSUNG!$H$6:$H$3005,ERFASSUNG!$A$6:$A$3005,A158))</f>
        <v/>
      </c>
      <c r="L158" s="73">
        <f>IF(A158="","",SUMIFS(ERFASSUNG!$I$6:$I$3005,ERFASSUNG!$A$6:$A$3005,A158))</f>
        <v/>
      </c>
      <c r="M158" s="73">
        <f>IF(A158="","",SUMIFS(ERFASSUNG!$J$6:$J$3005,ERFASSUNG!$A$6:$A$3005,A158))</f>
        <v/>
      </c>
      <c r="N158" s="73">
        <f>IF(A158="","",SUMIFS(ERFASSUNG!$K$6:$K$3005,ERFASSUNG!$A$6:$A$3005,A158))</f>
        <v/>
      </c>
      <c r="O158" s="73">
        <f>IF(A158="","",SUMIFS(ERFASSUNG!$L$6:$L$3005,ERFASSUNG!$A$6:$A$3005,A158))</f>
        <v/>
      </c>
      <c r="P158" s="73">
        <f>IF(A158="","",SUMIFS(ERFASSUNG!$M$6:$M$3005,ERFASSUNG!$A$6:$A$3005,A158))</f>
        <v/>
      </c>
      <c r="Q158" s="73">
        <f>IF(A158="","",SUMIFS(ERFASSUNG!$N$6:$N$3005,ERFASSUNG!$A$6:$A$3005,A158))</f>
        <v/>
      </c>
    </row>
    <row r="159">
      <c r="A159" s="72">
        <f>IF(YEAR(DATE(LISTEN!$F$2,1,1)+154)=LISTEN!$F$2,DATE(LISTEN!$F$2,1,1)+154,"")</f>
        <v/>
      </c>
      <c r="B159" s="73">
        <f>IF(A159="","",CHOOSE(WEEKDAY(A159,2),"Mo","Di","Mi","Do","Fr","Sa","So"))</f>
        <v/>
      </c>
      <c r="C159" s="73">
        <f>IF(A159="","",INT((A159-DATE(YEAR(A159-WEEKDAY(A159-1)+4),1,3)+WEEKDAY(DATE(YEAR(A159-WEEKDAY(A159-1)+4),1,3))+5)/7))</f>
        <v/>
      </c>
      <c r="D159" s="73">
        <f>IF(A159="","",MONTH(A159))</f>
        <v/>
      </c>
      <c r="E159" s="73">
        <f>IF(A159="","",WEEKDAY(A159,2))</f>
        <v/>
      </c>
      <c r="F159" s="73">
        <f>IF(A159="","",COUNTIF(ERFASSUNG!$A$6:$A$3005,A159))</f>
        <v/>
      </c>
      <c r="G159" s="73">
        <f>IF(A159="","",IF(F159&gt;0,1,0))</f>
        <v/>
      </c>
      <c r="H159" s="73">
        <f>IF(A159="","",SUMIFS(ERFASSUNG!$E$6:$E$3005,ERFASSUNG!$A$6:$A$3005,A159))</f>
        <v/>
      </c>
      <c r="I159" s="73">
        <f>IF(A159="","",SUMIFS(ERFASSUNG!$F$6:$F$3005,ERFASSUNG!$A$6:$A$3005,A159))</f>
        <v/>
      </c>
      <c r="J159" s="73">
        <f>IF(A159="","",SUMIFS(ERFASSUNG!$G$6:$G$3005,ERFASSUNG!$A$6:$A$3005,A159))</f>
        <v/>
      </c>
      <c r="K159" s="73">
        <f>IF(A159="","",SUMIFS(ERFASSUNG!$H$6:$H$3005,ERFASSUNG!$A$6:$A$3005,A159))</f>
        <v/>
      </c>
      <c r="L159" s="73">
        <f>IF(A159="","",SUMIFS(ERFASSUNG!$I$6:$I$3005,ERFASSUNG!$A$6:$A$3005,A159))</f>
        <v/>
      </c>
      <c r="M159" s="73">
        <f>IF(A159="","",SUMIFS(ERFASSUNG!$J$6:$J$3005,ERFASSUNG!$A$6:$A$3005,A159))</f>
        <v/>
      </c>
      <c r="N159" s="73">
        <f>IF(A159="","",SUMIFS(ERFASSUNG!$K$6:$K$3005,ERFASSUNG!$A$6:$A$3005,A159))</f>
        <v/>
      </c>
      <c r="O159" s="73">
        <f>IF(A159="","",SUMIFS(ERFASSUNG!$L$6:$L$3005,ERFASSUNG!$A$6:$A$3005,A159))</f>
        <v/>
      </c>
      <c r="P159" s="73">
        <f>IF(A159="","",SUMIFS(ERFASSUNG!$M$6:$M$3005,ERFASSUNG!$A$6:$A$3005,A159))</f>
        <v/>
      </c>
      <c r="Q159" s="73">
        <f>IF(A159="","",SUMIFS(ERFASSUNG!$N$6:$N$3005,ERFASSUNG!$A$6:$A$3005,A159))</f>
        <v/>
      </c>
    </row>
    <row r="160">
      <c r="A160" s="72">
        <f>IF(YEAR(DATE(LISTEN!$F$2,1,1)+155)=LISTEN!$F$2,DATE(LISTEN!$F$2,1,1)+155,"")</f>
        <v/>
      </c>
      <c r="B160" s="73">
        <f>IF(A160="","",CHOOSE(WEEKDAY(A160,2),"Mo","Di","Mi","Do","Fr","Sa","So"))</f>
        <v/>
      </c>
      <c r="C160" s="73">
        <f>IF(A160="","",INT((A160-DATE(YEAR(A160-WEEKDAY(A160-1)+4),1,3)+WEEKDAY(DATE(YEAR(A160-WEEKDAY(A160-1)+4),1,3))+5)/7))</f>
        <v/>
      </c>
      <c r="D160" s="73">
        <f>IF(A160="","",MONTH(A160))</f>
        <v/>
      </c>
      <c r="E160" s="73">
        <f>IF(A160="","",WEEKDAY(A160,2))</f>
        <v/>
      </c>
      <c r="F160" s="73">
        <f>IF(A160="","",COUNTIF(ERFASSUNG!$A$6:$A$3005,A160))</f>
        <v/>
      </c>
      <c r="G160" s="73">
        <f>IF(A160="","",IF(F160&gt;0,1,0))</f>
        <v/>
      </c>
      <c r="H160" s="73">
        <f>IF(A160="","",SUMIFS(ERFASSUNG!$E$6:$E$3005,ERFASSUNG!$A$6:$A$3005,A160))</f>
        <v/>
      </c>
      <c r="I160" s="73">
        <f>IF(A160="","",SUMIFS(ERFASSUNG!$F$6:$F$3005,ERFASSUNG!$A$6:$A$3005,A160))</f>
        <v/>
      </c>
      <c r="J160" s="73">
        <f>IF(A160="","",SUMIFS(ERFASSUNG!$G$6:$G$3005,ERFASSUNG!$A$6:$A$3005,A160))</f>
        <v/>
      </c>
      <c r="K160" s="73">
        <f>IF(A160="","",SUMIFS(ERFASSUNG!$H$6:$H$3005,ERFASSUNG!$A$6:$A$3005,A160))</f>
        <v/>
      </c>
      <c r="L160" s="73">
        <f>IF(A160="","",SUMIFS(ERFASSUNG!$I$6:$I$3005,ERFASSUNG!$A$6:$A$3005,A160))</f>
        <v/>
      </c>
      <c r="M160" s="73">
        <f>IF(A160="","",SUMIFS(ERFASSUNG!$J$6:$J$3005,ERFASSUNG!$A$6:$A$3005,A160))</f>
        <v/>
      </c>
      <c r="N160" s="73">
        <f>IF(A160="","",SUMIFS(ERFASSUNG!$K$6:$K$3005,ERFASSUNG!$A$6:$A$3005,A160))</f>
        <v/>
      </c>
      <c r="O160" s="73">
        <f>IF(A160="","",SUMIFS(ERFASSUNG!$L$6:$L$3005,ERFASSUNG!$A$6:$A$3005,A160))</f>
        <v/>
      </c>
      <c r="P160" s="73">
        <f>IF(A160="","",SUMIFS(ERFASSUNG!$M$6:$M$3005,ERFASSUNG!$A$6:$A$3005,A160))</f>
        <v/>
      </c>
      <c r="Q160" s="73">
        <f>IF(A160="","",SUMIFS(ERFASSUNG!$N$6:$N$3005,ERFASSUNG!$A$6:$A$3005,A160))</f>
        <v/>
      </c>
    </row>
    <row r="161">
      <c r="A161" s="72">
        <f>IF(YEAR(DATE(LISTEN!$F$2,1,1)+156)=LISTEN!$F$2,DATE(LISTEN!$F$2,1,1)+156,"")</f>
        <v/>
      </c>
      <c r="B161" s="73">
        <f>IF(A161="","",CHOOSE(WEEKDAY(A161,2),"Mo","Di","Mi","Do","Fr","Sa","So"))</f>
        <v/>
      </c>
      <c r="C161" s="73">
        <f>IF(A161="","",INT((A161-DATE(YEAR(A161-WEEKDAY(A161-1)+4),1,3)+WEEKDAY(DATE(YEAR(A161-WEEKDAY(A161-1)+4),1,3))+5)/7))</f>
        <v/>
      </c>
      <c r="D161" s="73">
        <f>IF(A161="","",MONTH(A161))</f>
        <v/>
      </c>
      <c r="E161" s="73">
        <f>IF(A161="","",WEEKDAY(A161,2))</f>
        <v/>
      </c>
      <c r="F161" s="73">
        <f>IF(A161="","",COUNTIF(ERFASSUNG!$A$6:$A$3005,A161))</f>
        <v/>
      </c>
      <c r="G161" s="73">
        <f>IF(A161="","",IF(F161&gt;0,1,0))</f>
        <v/>
      </c>
      <c r="H161" s="73">
        <f>IF(A161="","",SUMIFS(ERFASSUNG!$E$6:$E$3005,ERFASSUNG!$A$6:$A$3005,A161))</f>
        <v/>
      </c>
      <c r="I161" s="73">
        <f>IF(A161="","",SUMIFS(ERFASSUNG!$F$6:$F$3005,ERFASSUNG!$A$6:$A$3005,A161))</f>
        <v/>
      </c>
      <c r="J161" s="73">
        <f>IF(A161="","",SUMIFS(ERFASSUNG!$G$6:$G$3005,ERFASSUNG!$A$6:$A$3005,A161))</f>
        <v/>
      </c>
      <c r="K161" s="73">
        <f>IF(A161="","",SUMIFS(ERFASSUNG!$H$6:$H$3005,ERFASSUNG!$A$6:$A$3005,A161))</f>
        <v/>
      </c>
      <c r="L161" s="73">
        <f>IF(A161="","",SUMIFS(ERFASSUNG!$I$6:$I$3005,ERFASSUNG!$A$6:$A$3005,A161))</f>
        <v/>
      </c>
      <c r="M161" s="73">
        <f>IF(A161="","",SUMIFS(ERFASSUNG!$J$6:$J$3005,ERFASSUNG!$A$6:$A$3005,A161))</f>
        <v/>
      </c>
      <c r="N161" s="73">
        <f>IF(A161="","",SUMIFS(ERFASSUNG!$K$6:$K$3005,ERFASSUNG!$A$6:$A$3005,A161))</f>
        <v/>
      </c>
      <c r="O161" s="73">
        <f>IF(A161="","",SUMIFS(ERFASSUNG!$L$6:$L$3005,ERFASSUNG!$A$6:$A$3005,A161))</f>
        <v/>
      </c>
      <c r="P161" s="73">
        <f>IF(A161="","",SUMIFS(ERFASSUNG!$M$6:$M$3005,ERFASSUNG!$A$6:$A$3005,A161))</f>
        <v/>
      </c>
      <c r="Q161" s="73">
        <f>IF(A161="","",SUMIFS(ERFASSUNG!$N$6:$N$3005,ERFASSUNG!$A$6:$A$3005,A161))</f>
        <v/>
      </c>
    </row>
    <row r="162">
      <c r="A162" s="72">
        <f>IF(YEAR(DATE(LISTEN!$F$2,1,1)+157)=LISTEN!$F$2,DATE(LISTEN!$F$2,1,1)+157,"")</f>
        <v/>
      </c>
      <c r="B162" s="73">
        <f>IF(A162="","",CHOOSE(WEEKDAY(A162,2),"Mo","Di","Mi","Do","Fr","Sa","So"))</f>
        <v/>
      </c>
      <c r="C162" s="73">
        <f>IF(A162="","",INT((A162-DATE(YEAR(A162-WEEKDAY(A162-1)+4),1,3)+WEEKDAY(DATE(YEAR(A162-WEEKDAY(A162-1)+4),1,3))+5)/7))</f>
        <v/>
      </c>
      <c r="D162" s="73">
        <f>IF(A162="","",MONTH(A162))</f>
        <v/>
      </c>
      <c r="E162" s="73">
        <f>IF(A162="","",WEEKDAY(A162,2))</f>
        <v/>
      </c>
      <c r="F162" s="73">
        <f>IF(A162="","",COUNTIF(ERFASSUNG!$A$6:$A$3005,A162))</f>
        <v/>
      </c>
      <c r="G162" s="73">
        <f>IF(A162="","",IF(F162&gt;0,1,0))</f>
        <v/>
      </c>
      <c r="H162" s="73">
        <f>IF(A162="","",SUMIFS(ERFASSUNG!$E$6:$E$3005,ERFASSUNG!$A$6:$A$3005,A162))</f>
        <v/>
      </c>
      <c r="I162" s="73">
        <f>IF(A162="","",SUMIFS(ERFASSUNG!$F$6:$F$3005,ERFASSUNG!$A$6:$A$3005,A162))</f>
        <v/>
      </c>
      <c r="J162" s="73">
        <f>IF(A162="","",SUMIFS(ERFASSUNG!$G$6:$G$3005,ERFASSUNG!$A$6:$A$3005,A162))</f>
        <v/>
      </c>
      <c r="K162" s="73">
        <f>IF(A162="","",SUMIFS(ERFASSUNG!$H$6:$H$3005,ERFASSUNG!$A$6:$A$3005,A162))</f>
        <v/>
      </c>
      <c r="L162" s="73">
        <f>IF(A162="","",SUMIFS(ERFASSUNG!$I$6:$I$3005,ERFASSUNG!$A$6:$A$3005,A162))</f>
        <v/>
      </c>
      <c r="M162" s="73">
        <f>IF(A162="","",SUMIFS(ERFASSUNG!$J$6:$J$3005,ERFASSUNG!$A$6:$A$3005,A162))</f>
        <v/>
      </c>
      <c r="N162" s="73">
        <f>IF(A162="","",SUMIFS(ERFASSUNG!$K$6:$K$3005,ERFASSUNG!$A$6:$A$3005,A162))</f>
        <v/>
      </c>
      <c r="O162" s="73">
        <f>IF(A162="","",SUMIFS(ERFASSUNG!$L$6:$L$3005,ERFASSUNG!$A$6:$A$3005,A162))</f>
        <v/>
      </c>
      <c r="P162" s="73">
        <f>IF(A162="","",SUMIFS(ERFASSUNG!$M$6:$M$3005,ERFASSUNG!$A$6:$A$3005,A162))</f>
        <v/>
      </c>
      <c r="Q162" s="73">
        <f>IF(A162="","",SUMIFS(ERFASSUNG!$N$6:$N$3005,ERFASSUNG!$A$6:$A$3005,A162))</f>
        <v/>
      </c>
    </row>
    <row r="163">
      <c r="A163" s="72">
        <f>IF(YEAR(DATE(LISTEN!$F$2,1,1)+158)=LISTEN!$F$2,DATE(LISTEN!$F$2,1,1)+158,"")</f>
        <v/>
      </c>
      <c r="B163" s="73">
        <f>IF(A163="","",CHOOSE(WEEKDAY(A163,2),"Mo","Di","Mi","Do","Fr","Sa","So"))</f>
        <v/>
      </c>
      <c r="C163" s="73">
        <f>IF(A163="","",INT((A163-DATE(YEAR(A163-WEEKDAY(A163-1)+4),1,3)+WEEKDAY(DATE(YEAR(A163-WEEKDAY(A163-1)+4),1,3))+5)/7))</f>
        <v/>
      </c>
      <c r="D163" s="73">
        <f>IF(A163="","",MONTH(A163))</f>
        <v/>
      </c>
      <c r="E163" s="73">
        <f>IF(A163="","",WEEKDAY(A163,2))</f>
        <v/>
      </c>
      <c r="F163" s="73">
        <f>IF(A163="","",COUNTIF(ERFASSUNG!$A$6:$A$3005,A163))</f>
        <v/>
      </c>
      <c r="G163" s="73">
        <f>IF(A163="","",IF(F163&gt;0,1,0))</f>
        <v/>
      </c>
      <c r="H163" s="73">
        <f>IF(A163="","",SUMIFS(ERFASSUNG!$E$6:$E$3005,ERFASSUNG!$A$6:$A$3005,A163))</f>
        <v/>
      </c>
      <c r="I163" s="73">
        <f>IF(A163="","",SUMIFS(ERFASSUNG!$F$6:$F$3005,ERFASSUNG!$A$6:$A$3005,A163))</f>
        <v/>
      </c>
      <c r="J163" s="73">
        <f>IF(A163="","",SUMIFS(ERFASSUNG!$G$6:$G$3005,ERFASSUNG!$A$6:$A$3005,A163))</f>
        <v/>
      </c>
      <c r="K163" s="73">
        <f>IF(A163="","",SUMIFS(ERFASSUNG!$H$6:$H$3005,ERFASSUNG!$A$6:$A$3005,A163))</f>
        <v/>
      </c>
      <c r="L163" s="73">
        <f>IF(A163="","",SUMIFS(ERFASSUNG!$I$6:$I$3005,ERFASSUNG!$A$6:$A$3005,A163))</f>
        <v/>
      </c>
      <c r="M163" s="73">
        <f>IF(A163="","",SUMIFS(ERFASSUNG!$J$6:$J$3005,ERFASSUNG!$A$6:$A$3005,A163))</f>
        <v/>
      </c>
      <c r="N163" s="73">
        <f>IF(A163="","",SUMIFS(ERFASSUNG!$K$6:$K$3005,ERFASSUNG!$A$6:$A$3005,A163))</f>
        <v/>
      </c>
      <c r="O163" s="73">
        <f>IF(A163="","",SUMIFS(ERFASSUNG!$L$6:$L$3005,ERFASSUNG!$A$6:$A$3005,A163))</f>
        <v/>
      </c>
      <c r="P163" s="73">
        <f>IF(A163="","",SUMIFS(ERFASSUNG!$M$6:$M$3005,ERFASSUNG!$A$6:$A$3005,A163))</f>
        <v/>
      </c>
      <c r="Q163" s="73">
        <f>IF(A163="","",SUMIFS(ERFASSUNG!$N$6:$N$3005,ERFASSUNG!$A$6:$A$3005,A163))</f>
        <v/>
      </c>
    </row>
    <row r="164">
      <c r="A164" s="72">
        <f>IF(YEAR(DATE(LISTEN!$F$2,1,1)+159)=LISTEN!$F$2,DATE(LISTEN!$F$2,1,1)+159,"")</f>
        <v/>
      </c>
      <c r="B164" s="73">
        <f>IF(A164="","",CHOOSE(WEEKDAY(A164,2),"Mo","Di","Mi","Do","Fr","Sa","So"))</f>
        <v/>
      </c>
      <c r="C164" s="73">
        <f>IF(A164="","",INT((A164-DATE(YEAR(A164-WEEKDAY(A164-1)+4),1,3)+WEEKDAY(DATE(YEAR(A164-WEEKDAY(A164-1)+4),1,3))+5)/7))</f>
        <v/>
      </c>
      <c r="D164" s="73">
        <f>IF(A164="","",MONTH(A164))</f>
        <v/>
      </c>
      <c r="E164" s="73">
        <f>IF(A164="","",WEEKDAY(A164,2))</f>
        <v/>
      </c>
      <c r="F164" s="73">
        <f>IF(A164="","",COUNTIF(ERFASSUNG!$A$6:$A$3005,A164))</f>
        <v/>
      </c>
      <c r="G164" s="73">
        <f>IF(A164="","",IF(F164&gt;0,1,0))</f>
        <v/>
      </c>
      <c r="H164" s="73">
        <f>IF(A164="","",SUMIFS(ERFASSUNG!$E$6:$E$3005,ERFASSUNG!$A$6:$A$3005,A164))</f>
        <v/>
      </c>
      <c r="I164" s="73">
        <f>IF(A164="","",SUMIFS(ERFASSUNG!$F$6:$F$3005,ERFASSUNG!$A$6:$A$3005,A164))</f>
        <v/>
      </c>
      <c r="J164" s="73">
        <f>IF(A164="","",SUMIFS(ERFASSUNG!$G$6:$G$3005,ERFASSUNG!$A$6:$A$3005,A164))</f>
        <v/>
      </c>
      <c r="K164" s="73">
        <f>IF(A164="","",SUMIFS(ERFASSUNG!$H$6:$H$3005,ERFASSUNG!$A$6:$A$3005,A164))</f>
        <v/>
      </c>
      <c r="L164" s="73">
        <f>IF(A164="","",SUMIFS(ERFASSUNG!$I$6:$I$3005,ERFASSUNG!$A$6:$A$3005,A164))</f>
        <v/>
      </c>
      <c r="M164" s="73">
        <f>IF(A164="","",SUMIFS(ERFASSUNG!$J$6:$J$3005,ERFASSUNG!$A$6:$A$3005,A164))</f>
        <v/>
      </c>
      <c r="N164" s="73">
        <f>IF(A164="","",SUMIFS(ERFASSUNG!$K$6:$K$3005,ERFASSUNG!$A$6:$A$3005,A164))</f>
        <v/>
      </c>
      <c r="O164" s="73">
        <f>IF(A164="","",SUMIFS(ERFASSUNG!$L$6:$L$3005,ERFASSUNG!$A$6:$A$3005,A164))</f>
        <v/>
      </c>
      <c r="P164" s="73">
        <f>IF(A164="","",SUMIFS(ERFASSUNG!$M$6:$M$3005,ERFASSUNG!$A$6:$A$3005,A164))</f>
        <v/>
      </c>
      <c r="Q164" s="73">
        <f>IF(A164="","",SUMIFS(ERFASSUNG!$N$6:$N$3005,ERFASSUNG!$A$6:$A$3005,A164))</f>
        <v/>
      </c>
    </row>
    <row r="165">
      <c r="A165" s="72">
        <f>IF(YEAR(DATE(LISTEN!$F$2,1,1)+160)=LISTEN!$F$2,DATE(LISTEN!$F$2,1,1)+160,"")</f>
        <v/>
      </c>
      <c r="B165" s="73">
        <f>IF(A165="","",CHOOSE(WEEKDAY(A165,2),"Mo","Di","Mi","Do","Fr","Sa","So"))</f>
        <v/>
      </c>
      <c r="C165" s="73">
        <f>IF(A165="","",INT((A165-DATE(YEAR(A165-WEEKDAY(A165-1)+4),1,3)+WEEKDAY(DATE(YEAR(A165-WEEKDAY(A165-1)+4),1,3))+5)/7))</f>
        <v/>
      </c>
      <c r="D165" s="73">
        <f>IF(A165="","",MONTH(A165))</f>
        <v/>
      </c>
      <c r="E165" s="73">
        <f>IF(A165="","",WEEKDAY(A165,2))</f>
        <v/>
      </c>
      <c r="F165" s="73">
        <f>IF(A165="","",COUNTIF(ERFASSUNG!$A$6:$A$3005,A165))</f>
        <v/>
      </c>
      <c r="G165" s="73">
        <f>IF(A165="","",IF(F165&gt;0,1,0))</f>
        <v/>
      </c>
      <c r="H165" s="73">
        <f>IF(A165="","",SUMIFS(ERFASSUNG!$E$6:$E$3005,ERFASSUNG!$A$6:$A$3005,A165))</f>
        <v/>
      </c>
      <c r="I165" s="73">
        <f>IF(A165="","",SUMIFS(ERFASSUNG!$F$6:$F$3005,ERFASSUNG!$A$6:$A$3005,A165))</f>
        <v/>
      </c>
      <c r="J165" s="73">
        <f>IF(A165="","",SUMIFS(ERFASSUNG!$G$6:$G$3005,ERFASSUNG!$A$6:$A$3005,A165))</f>
        <v/>
      </c>
      <c r="K165" s="73">
        <f>IF(A165="","",SUMIFS(ERFASSUNG!$H$6:$H$3005,ERFASSUNG!$A$6:$A$3005,A165))</f>
        <v/>
      </c>
      <c r="L165" s="73">
        <f>IF(A165="","",SUMIFS(ERFASSUNG!$I$6:$I$3005,ERFASSUNG!$A$6:$A$3005,A165))</f>
        <v/>
      </c>
      <c r="M165" s="73">
        <f>IF(A165="","",SUMIFS(ERFASSUNG!$J$6:$J$3005,ERFASSUNG!$A$6:$A$3005,A165))</f>
        <v/>
      </c>
      <c r="N165" s="73">
        <f>IF(A165="","",SUMIFS(ERFASSUNG!$K$6:$K$3005,ERFASSUNG!$A$6:$A$3005,A165))</f>
        <v/>
      </c>
      <c r="O165" s="73">
        <f>IF(A165="","",SUMIFS(ERFASSUNG!$L$6:$L$3005,ERFASSUNG!$A$6:$A$3005,A165))</f>
        <v/>
      </c>
      <c r="P165" s="73">
        <f>IF(A165="","",SUMIFS(ERFASSUNG!$M$6:$M$3005,ERFASSUNG!$A$6:$A$3005,A165))</f>
        <v/>
      </c>
      <c r="Q165" s="73">
        <f>IF(A165="","",SUMIFS(ERFASSUNG!$N$6:$N$3005,ERFASSUNG!$A$6:$A$3005,A165))</f>
        <v/>
      </c>
    </row>
    <row r="166">
      <c r="A166" s="72">
        <f>IF(YEAR(DATE(LISTEN!$F$2,1,1)+161)=LISTEN!$F$2,DATE(LISTEN!$F$2,1,1)+161,"")</f>
        <v/>
      </c>
      <c r="B166" s="73">
        <f>IF(A166="","",CHOOSE(WEEKDAY(A166,2),"Mo","Di","Mi","Do","Fr","Sa","So"))</f>
        <v/>
      </c>
      <c r="C166" s="73">
        <f>IF(A166="","",INT((A166-DATE(YEAR(A166-WEEKDAY(A166-1)+4),1,3)+WEEKDAY(DATE(YEAR(A166-WEEKDAY(A166-1)+4),1,3))+5)/7))</f>
        <v/>
      </c>
      <c r="D166" s="73">
        <f>IF(A166="","",MONTH(A166))</f>
        <v/>
      </c>
      <c r="E166" s="73">
        <f>IF(A166="","",WEEKDAY(A166,2))</f>
        <v/>
      </c>
      <c r="F166" s="73">
        <f>IF(A166="","",COUNTIF(ERFASSUNG!$A$6:$A$3005,A166))</f>
        <v/>
      </c>
      <c r="G166" s="73">
        <f>IF(A166="","",IF(F166&gt;0,1,0))</f>
        <v/>
      </c>
      <c r="H166" s="73">
        <f>IF(A166="","",SUMIFS(ERFASSUNG!$E$6:$E$3005,ERFASSUNG!$A$6:$A$3005,A166))</f>
        <v/>
      </c>
      <c r="I166" s="73">
        <f>IF(A166="","",SUMIFS(ERFASSUNG!$F$6:$F$3005,ERFASSUNG!$A$6:$A$3005,A166))</f>
        <v/>
      </c>
      <c r="J166" s="73">
        <f>IF(A166="","",SUMIFS(ERFASSUNG!$G$6:$G$3005,ERFASSUNG!$A$6:$A$3005,A166))</f>
        <v/>
      </c>
      <c r="K166" s="73">
        <f>IF(A166="","",SUMIFS(ERFASSUNG!$H$6:$H$3005,ERFASSUNG!$A$6:$A$3005,A166))</f>
        <v/>
      </c>
      <c r="L166" s="73">
        <f>IF(A166="","",SUMIFS(ERFASSUNG!$I$6:$I$3005,ERFASSUNG!$A$6:$A$3005,A166))</f>
        <v/>
      </c>
      <c r="M166" s="73">
        <f>IF(A166="","",SUMIFS(ERFASSUNG!$J$6:$J$3005,ERFASSUNG!$A$6:$A$3005,A166))</f>
        <v/>
      </c>
      <c r="N166" s="73">
        <f>IF(A166="","",SUMIFS(ERFASSUNG!$K$6:$K$3005,ERFASSUNG!$A$6:$A$3005,A166))</f>
        <v/>
      </c>
      <c r="O166" s="73">
        <f>IF(A166="","",SUMIFS(ERFASSUNG!$L$6:$L$3005,ERFASSUNG!$A$6:$A$3005,A166))</f>
        <v/>
      </c>
      <c r="P166" s="73">
        <f>IF(A166="","",SUMIFS(ERFASSUNG!$M$6:$M$3005,ERFASSUNG!$A$6:$A$3005,A166))</f>
        <v/>
      </c>
      <c r="Q166" s="73">
        <f>IF(A166="","",SUMIFS(ERFASSUNG!$N$6:$N$3005,ERFASSUNG!$A$6:$A$3005,A166))</f>
        <v/>
      </c>
    </row>
    <row r="167">
      <c r="A167" s="72">
        <f>IF(YEAR(DATE(LISTEN!$F$2,1,1)+162)=LISTEN!$F$2,DATE(LISTEN!$F$2,1,1)+162,"")</f>
        <v/>
      </c>
      <c r="B167" s="73">
        <f>IF(A167="","",CHOOSE(WEEKDAY(A167,2),"Mo","Di","Mi","Do","Fr","Sa","So"))</f>
        <v/>
      </c>
      <c r="C167" s="73">
        <f>IF(A167="","",INT((A167-DATE(YEAR(A167-WEEKDAY(A167-1)+4),1,3)+WEEKDAY(DATE(YEAR(A167-WEEKDAY(A167-1)+4),1,3))+5)/7))</f>
        <v/>
      </c>
      <c r="D167" s="73">
        <f>IF(A167="","",MONTH(A167))</f>
        <v/>
      </c>
      <c r="E167" s="73">
        <f>IF(A167="","",WEEKDAY(A167,2))</f>
        <v/>
      </c>
      <c r="F167" s="73">
        <f>IF(A167="","",COUNTIF(ERFASSUNG!$A$6:$A$3005,A167))</f>
        <v/>
      </c>
      <c r="G167" s="73">
        <f>IF(A167="","",IF(F167&gt;0,1,0))</f>
        <v/>
      </c>
      <c r="H167" s="73">
        <f>IF(A167="","",SUMIFS(ERFASSUNG!$E$6:$E$3005,ERFASSUNG!$A$6:$A$3005,A167))</f>
        <v/>
      </c>
      <c r="I167" s="73">
        <f>IF(A167="","",SUMIFS(ERFASSUNG!$F$6:$F$3005,ERFASSUNG!$A$6:$A$3005,A167))</f>
        <v/>
      </c>
      <c r="J167" s="73">
        <f>IF(A167="","",SUMIFS(ERFASSUNG!$G$6:$G$3005,ERFASSUNG!$A$6:$A$3005,A167))</f>
        <v/>
      </c>
      <c r="K167" s="73">
        <f>IF(A167="","",SUMIFS(ERFASSUNG!$H$6:$H$3005,ERFASSUNG!$A$6:$A$3005,A167))</f>
        <v/>
      </c>
      <c r="L167" s="73">
        <f>IF(A167="","",SUMIFS(ERFASSUNG!$I$6:$I$3005,ERFASSUNG!$A$6:$A$3005,A167))</f>
        <v/>
      </c>
      <c r="M167" s="73">
        <f>IF(A167="","",SUMIFS(ERFASSUNG!$J$6:$J$3005,ERFASSUNG!$A$6:$A$3005,A167))</f>
        <v/>
      </c>
      <c r="N167" s="73">
        <f>IF(A167="","",SUMIFS(ERFASSUNG!$K$6:$K$3005,ERFASSUNG!$A$6:$A$3005,A167))</f>
        <v/>
      </c>
      <c r="O167" s="73">
        <f>IF(A167="","",SUMIFS(ERFASSUNG!$L$6:$L$3005,ERFASSUNG!$A$6:$A$3005,A167))</f>
        <v/>
      </c>
      <c r="P167" s="73">
        <f>IF(A167="","",SUMIFS(ERFASSUNG!$M$6:$M$3005,ERFASSUNG!$A$6:$A$3005,A167))</f>
        <v/>
      </c>
      <c r="Q167" s="73">
        <f>IF(A167="","",SUMIFS(ERFASSUNG!$N$6:$N$3005,ERFASSUNG!$A$6:$A$3005,A167))</f>
        <v/>
      </c>
    </row>
    <row r="168">
      <c r="A168" s="72">
        <f>IF(YEAR(DATE(LISTEN!$F$2,1,1)+163)=LISTEN!$F$2,DATE(LISTEN!$F$2,1,1)+163,"")</f>
        <v/>
      </c>
      <c r="B168" s="73">
        <f>IF(A168="","",CHOOSE(WEEKDAY(A168,2),"Mo","Di","Mi","Do","Fr","Sa","So"))</f>
        <v/>
      </c>
      <c r="C168" s="73">
        <f>IF(A168="","",INT((A168-DATE(YEAR(A168-WEEKDAY(A168-1)+4),1,3)+WEEKDAY(DATE(YEAR(A168-WEEKDAY(A168-1)+4),1,3))+5)/7))</f>
        <v/>
      </c>
      <c r="D168" s="73">
        <f>IF(A168="","",MONTH(A168))</f>
        <v/>
      </c>
      <c r="E168" s="73">
        <f>IF(A168="","",WEEKDAY(A168,2))</f>
        <v/>
      </c>
      <c r="F168" s="73">
        <f>IF(A168="","",COUNTIF(ERFASSUNG!$A$6:$A$3005,A168))</f>
        <v/>
      </c>
      <c r="G168" s="73">
        <f>IF(A168="","",IF(F168&gt;0,1,0))</f>
        <v/>
      </c>
      <c r="H168" s="73">
        <f>IF(A168="","",SUMIFS(ERFASSUNG!$E$6:$E$3005,ERFASSUNG!$A$6:$A$3005,A168))</f>
        <v/>
      </c>
      <c r="I168" s="73">
        <f>IF(A168="","",SUMIFS(ERFASSUNG!$F$6:$F$3005,ERFASSUNG!$A$6:$A$3005,A168))</f>
        <v/>
      </c>
      <c r="J168" s="73">
        <f>IF(A168="","",SUMIFS(ERFASSUNG!$G$6:$G$3005,ERFASSUNG!$A$6:$A$3005,A168))</f>
        <v/>
      </c>
      <c r="K168" s="73">
        <f>IF(A168="","",SUMIFS(ERFASSUNG!$H$6:$H$3005,ERFASSUNG!$A$6:$A$3005,A168))</f>
        <v/>
      </c>
      <c r="L168" s="73">
        <f>IF(A168="","",SUMIFS(ERFASSUNG!$I$6:$I$3005,ERFASSUNG!$A$6:$A$3005,A168))</f>
        <v/>
      </c>
      <c r="M168" s="73">
        <f>IF(A168="","",SUMIFS(ERFASSUNG!$J$6:$J$3005,ERFASSUNG!$A$6:$A$3005,A168))</f>
        <v/>
      </c>
      <c r="N168" s="73">
        <f>IF(A168="","",SUMIFS(ERFASSUNG!$K$6:$K$3005,ERFASSUNG!$A$6:$A$3005,A168))</f>
        <v/>
      </c>
      <c r="O168" s="73">
        <f>IF(A168="","",SUMIFS(ERFASSUNG!$L$6:$L$3005,ERFASSUNG!$A$6:$A$3005,A168))</f>
        <v/>
      </c>
      <c r="P168" s="73">
        <f>IF(A168="","",SUMIFS(ERFASSUNG!$M$6:$M$3005,ERFASSUNG!$A$6:$A$3005,A168))</f>
        <v/>
      </c>
      <c r="Q168" s="73">
        <f>IF(A168="","",SUMIFS(ERFASSUNG!$N$6:$N$3005,ERFASSUNG!$A$6:$A$3005,A168))</f>
        <v/>
      </c>
    </row>
    <row r="169">
      <c r="A169" s="72">
        <f>IF(YEAR(DATE(LISTEN!$F$2,1,1)+164)=LISTEN!$F$2,DATE(LISTEN!$F$2,1,1)+164,"")</f>
        <v/>
      </c>
      <c r="B169" s="73">
        <f>IF(A169="","",CHOOSE(WEEKDAY(A169,2),"Mo","Di","Mi","Do","Fr","Sa","So"))</f>
        <v/>
      </c>
      <c r="C169" s="73">
        <f>IF(A169="","",INT((A169-DATE(YEAR(A169-WEEKDAY(A169-1)+4),1,3)+WEEKDAY(DATE(YEAR(A169-WEEKDAY(A169-1)+4),1,3))+5)/7))</f>
        <v/>
      </c>
      <c r="D169" s="73">
        <f>IF(A169="","",MONTH(A169))</f>
        <v/>
      </c>
      <c r="E169" s="73">
        <f>IF(A169="","",WEEKDAY(A169,2))</f>
        <v/>
      </c>
      <c r="F169" s="73">
        <f>IF(A169="","",COUNTIF(ERFASSUNG!$A$6:$A$3005,A169))</f>
        <v/>
      </c>
      <c r="G169" s="73">
        <f>IF(A169="","",IF(F169&gt;0,1,0))</f>
        <v/>
      </c>
      <c r="H169" s="73">
        <f>IF(A169="","",SUMIFS(ERFASSUNG!$E$6:$E$3005,ERFASSUNG!$A$6:$A$3005,A169))</f>
        <v/>
      </c>
      <c r="I169" s="73">
        <f>IF(A169="","",SUMIFS(ERFASSUNG!$F$6:$F$3005,ERFASSUNG!$A$6:$A$3005,A169))</f>
        <v/>
      </c>
      <c r="J169" s="73">
        <f>IF(A169="","",SUMIFS(ERFASSUNG!$G$6:$G$3005,ERFASSUNG!$A$6:$A$3005,A169))</f>
        <v/>
      </c>
      <c r="K169" s="73">
        <f>IF(A169="","",SUMIFS(ERFASSUNG!$H$6:$H$3005,ERFASSUNG!$A$6:$A$3005,A169))</f>
        <v/>
      </c>
      <c r="L169" s="73">
        <f>IF(A169="","",SUMIFS(ERFASSUNG!$I$6:$I$3005,ERFASSUNG!$A$6:$A$3005,A169))</f>
        <v/>
      </c>
      <c r="M169" s="73">
        <f>IF(A169="","",SUMIFS(ERFASSUNG!$J$6:$J$3005,ERFASSUNG!$A$6:$A$3005,A169))</f>
        <v/>
      </c>
      <c r="N169" s="73">
        <f>IF(A169="","",SUMIFS(ERFASSUNG!$K$6:$K$3005,ERFASSUNG!$A$6:$A$3005,A169))</f>
        <v/>
      </c>
      <c r="O169" s="73">
        <f>IF(A169="","",SUMIFS(ERFASSUNG!$L$6:$L$3005,ERFASSUNG!$A$6:$A$3005,A169))</f>
        <v/>
      </c>
      <c r="P169" s="73">
        <f>IF(A169="","",SUMIFS(ERFASSUNG!$M$6:$M$3005,ERFASSUNG!$A$6:$A$3005,A169))</f>
        <v/>
      </c>
      <c r="Q169" s="73">
        <f>IF(A169="","",SUMIFS(ERFASSUNG!$N$6:$N$3005,ERFASSUNG!$A$6:$A$3005,A169))</f>
        <v/>
      </c>
    </row>
    <row r="170">
      <c r="A170" s="72">
        <f>IF(YEAR(DATE(LISTEN!$F$2,1,1)+165)=LISTEN!$F$2,DATE(LISTEN!$F$2,1,1)+165,"")</f>
        <v/>
      </c>
      <c r="B170" s="73">
        <f>IF(A170="","",CHOOSE(WEEKDAY(A170,2),"Mo","Di","Mi","Do","Fr","Sa","So"))</f>
        <v/>
      </c>
      <c r="C170" s="73">
        <f>IF(A170="","",INT((A170-DATE(YEAR(A170-WEEKDAY(A170-1)+4),1,3)+WEEKDAY(DATE(YEAR(A170-WEEKDAY(A170-1)+4),1,3))+5)/7))</f>
        <v/>
      </c>
      <c r="D170" s="73">
        <f>IF(A170="","",MONTH(A170))</f>
        <v/>
      </c>
      <c r="E170" s="73">
        <f>IF(A170="","",WEEKDAY(A170,2))</f>
        <v/>
      </c>
      <c r="F170" s="73">
        <f>IF(A170="","",COUNTIF(ERFASSUNG!$A$6:$A$3005,A170))</f>
        <v/>
      </c>
      <c r="G170" s="73">
        <f>IF(A170="","",IF(F170&gt;0,1,0))</f>
        <v/>
      </c>
      <c r="H170" s="73">
        <f>IF(A170="","",SUMIFS(ERFASSUNG!$E$6:$E$3005,ERFASSUNG!$A$6:$A$3005,A170))</f>
        <v/>
      </c>
      <c r="I170" s="73">
        <f>IF(A170="","",SUMIFS(ERFASSUNG!$F$6:$F$3005,ERFASSUNG!$A$6:$A$3005,A170))</f>
        <v/>
      </c>
      <c r="J170" s="73">
        <f>IF(A170="","",SUMIFS(ERFASSUNG!$G$6:$G$3005,ERFASSUNG!$A$6:$A$3005,A170))</f>
        <v/>
      </c>
      <c r="K170" s="73">
        <f>IF(A170="","",SUMIFS(ERFASSUNG!$H$6:$H$3005,ERFASSUNG!$A$6:$A$3005,A170))</f>
        <v/>
      </c>
      <c r="L170" s="73">
        <f>IF(A170="","",SUMIFS(ERFASSUNG!$I$6:$I$3005,ERFASSUNG!$A$6:$A$3005,A170))</f>
        <v/>
      </c>
      <c r="M170" s="73">
        <f>IF(A170="","",SUMIFS(ERFASSUNG!$J$6:$J$3005,ERFASSUNG!$A$6:$A$3005,A170))</f>
        <v/>
      </c>
      <c r="N170" s="73">
        <f>IF(A170="","",SUMIFS(ERFASSUNG!$K$6:$K$3005,ERFASSUNG!$A$6:$A$3005,A170))</f>
        <v/>
      </c>
      <c r="O170" s="73">
        <f>IF(A170="","",SUMIFS(ERFASSUNG!$L$6:$L$3005,ERFASSUNG!$A$6:$A$3005,A170))</f>
        <v/>
      </c>
      <c r="P170" s="73">
        <f>IF(A170="","",SUMIFS(ERFASSUNG!$M$6:$M$3005,ERFASSUNG!$A$6:$A$3005,A170))</f>
        <v/>
      </c>
      <c r="Q170" s="73">
        <f>IF(A170="","",SUMIFS(ERFASSUNG!$N$6:$N$3005,ERFASSUNG!$A$6:$A$3005,A170))</f>
        <v/>
      </c>
    </row>
    <row r="171">
      <c r="A171" s="72">
        <f>IF(YEAR(DATE(LISTEN!$F$2,1,1)+166)=LISTEN!$F$2,DATE(LISTEN!$F$2,1,1)+166,"")</f>
        <v/>
      </c>
      <c r="B171" s="73">
        <f>IF(A171="","",CHOOSE(WEEKDAY(A171,2),"Mo","Di","Mi","Do","Fr","Sa","So"))</f>
        <v/>
      </c>
      <c r="C171" s="73">
        <f>IF(A171="","",INT((A171-DATE(YEAR(A171-WEEKDAY(A171-1)+4),1,3)+WEEKDAY(DATE(YEAR(A171-WEEKDAY(A171-1)+4),1,3))+5)/7))</f>
        <v/>
      </c>
      <c r="D171" s="73">
        <f>IF(A171="","",MONTH(A171))</f>
        <v/>
      </c>
      <c r="E171" s="73">
        <f>IF(A171="","",WEEKDAY(A171,2))</f>
        <v/>
      </c>
      <c r="F171" s="73">
        <f>IF(A171="","",COUNTIF(ERFASSUNG!$A$6:$A$3005,A171))</f>
        <v/>
      </c>
      <c r="G171" s="73">
        <f>IF(A171="","",IF(F171&gt;0,1,0))</f>
        <v/>
      </c>
      <c r="H171" s="73">
        <f>IF(A171="","",SUMIFS(ERFASSUNG!$E$6:$E$3005,ERFASSUNG!$A$6:$A$3005,A171))</f>
        <v/>
      </c>
      <c r="I171" s="73">
        <f>IF(A171="","",SUMIFS(ERFASSUNG!$F$6:$F$3005,ERFASSUNG!$A$6:$A$3005,A171))</f>
        <v/>
      </c>
      <c r="J171" s="73">
        <f>IF(A171="","",SUMIFS(ERFASSUNG!$G$6:$G$3005,ERFASSUNG!$A$6:$A$3005,A171))</f>
        <v/>
      </c>
      <c r="K171" s="73">
        <f>IF(A171="","",SUMIFS(ERFASSUNG!$H$6:$H$3005,ERFASSUNG!$A$6:$A$3005,A171))</f>
        <v/>
      </c>
      <c r="L171" s="73">
        <f>IF(A171="","",SUMIFS(ERFASSUNG!$I$6:$I$3005,ERFASSUNG!$A$6:$A$3005,A171))</f>
        <v/>
      </c>
      <c r="M171" s="73">
        <f>IF(A171="","",SUMIFS(ERFASSUNG!$J$6:$J$3005,ERFASSUNG!$A$6:$A$3005,A171))</f>
        <v/>
      </c>
      <c r="N171" s="73">
        <f>IF(A171="","",SUMIFS(ERFASSUNG!$K$6:$K$3005,ERFASSUNG!$A$6:$A$3005,A171))</f>
        <v/>
      </c>
      <c r="O171" s="73">
        <f>IF(A171="","",SUMIFS(ERFASSUNG!$L$6:$L$3005,ERFASSUNG!$A$6:$A$3005,A171))</f>
        <v/>
      </c>
      <c r="P171" s="73">
        <f>IF(A171="","",SUMIFS(ERFASSUNG!$M$6:$M$3005,ERFASSUNG!$A$6:$A$3005,A171))</f>
        <v/>
      </c>
      <c r="Q171" s="73">
        <f>IF(A171="","",SUMIFS(ERFASSUNG!$N$6:$N$3005,ERFASSUNG!$A$6:$A$3005,A171))</f>
        <v/>
      </c>
    </row>
    <row r="172">
      <c r="A172" s="72">
        <f>IF(YEAR(DATE(LISTEN!$F$2,1,1)+167)=LISTEN!$F$2,DATE(LISTEN!$F$2,1,1)+167,"")</f>
        <v/>
      </c>
      <c r="B172" s="73">
        <f>IF(A172="","",CHOOSE(WEEKDAY(A172,2),"Mo","Di","Mi","Do","Fr","Sa","So"))</f>
        <v/>
      </c>
      <c r="C172" s="73">
        <f>IF(A172="","",INT((A172-DATE(YEAR(A172-WEEKDAY(A172-1)+4),1,3)+WEEKDAY(DATE(YEAR(A172-WEEKDAY(A172-1)+4),1,3))+5)/7))</f>
        <v/>
      </c>
      <c r="D172" s="73">
        <f>IF(A172="","",MONTH(A172))</f>
        <v/>
      </c>
      <c r="E172" s="73">
        <f>IF(A172="","",WEEKDAY(A172,2))</f>
        <v/>
      </c>
      <c r="F172" s="73">
        <f>IF(A172="","",COUNTIF(ERFASSUNG!$A$6:$A$3005,A172))</f>
        <v/>
      </c>
      <c r="G172" s="73">
        <f>IF(A172="","",IF(F172&gt;0,1,0))</f>
        <v/>
      </c>
      <c r="H172" s="73">
        <f>IF(A172="","",SUMIFS(ERFASSUNG!$E$6:$E$3005,ERFASSUNG!$A$6:$A$3005,A172))</f>
        <v/>
      </c>
      <c r="I172" s="73">
        <f>IF(A172="","",SUMIFS(ERFASSUNG!$F$6:$F$3005,ERFASSUNG!$A$6:$A$3005,A172))</f>
        <v/>
      </c>
      <c r="J172" s="73">
        <f>IF(A172="","",SUMIFS(ERFASSUNG!$G$6:$G$3005,ERFASSUNG!$A$6:$A$3005,A172))</f>
        <v/>
      </c>
      <c r="K172" s="73">
        <f>IF(A172="","",SUMIFS(ERFASSUNG!$H$6:$H$3005,ERFASSUNG!$A$6:$A$3005,A172))</f>
        <v/>
      </c>
      <c r="L172" s="73">
        <f>IF(A172="","",SUMIFS(ERFASSUNG!$I$6:$I$3005,ERFASSUNG!$A$6:$A$3005,A172))</f>
        <v/>
      </c>
      <c r="M172" s="73">
        <f>IF(A172="","",SUMIFS(ERFASSUNG!$J$6:$J$3005,ERFASSUNG!$A$6:$A$3005,A172))</f>
        <v/>
      </c>
      <c r="N172" s="73">
        <f>IF(A172="","",SUMIFS(ERFASSUNG!$K$6:$K$3005,ERFASSUNG!$A$6:$A$3005,A172))</f>
        <v/>
      </c>
      <c r="O172" s="73">
        <f>IF(A172="","",SUMIFS(ERFASSUNG!$L$6:$L$3005,ERFASSUNG!$A$6:$A$3005,A172))</f>
        <v/>
      </c>
      <c r="P172" s="73">
        <f>IF(A172="","",SUMIFS(ERFASSUNG!$M$6:$M$3005,ERFASSUNG!$A$6:$A$3005,A172))</f>
        <v/>
      </c>
      <c r="Q172" s="73">
        <f>IF(A172="","",SUMIFS(ERFASSUNG!$N$6:$N$3005,ERFASSUNG!$A$6:$A$3005,A172))</f>
        <v/>
      </c>
    </row>
    <row r="173">
      <c r="A173" s="72">
        <f>IF(YEAR(DATE(LISTEN!$F$2,1,1)+168)=LISTEN!$F$2,DATE(LISTEN!$F$2,1,1)+168,"")</f>
        <v/>
      </c>
      <c r="B173" s="73">
        <f>IF(A173="","",CHOOSE(WEEKDAY(A173,2),"Mo","Di","Mi","Do","Fr","Sa","So"))</f>
        <v/>
      </c>
      <c r="C173" s="73">
        <f>IF(A173="","",INT((A173-DATE(YEAR(A173-WEEKDAY(A173-1)+4),1,3)+WEEKDAY(DATE(YEAR(A173-WEEKDAY(A173-1)+4),1,3))+5)/7))</f>
        <v/>
      </c>
      <c r="D173" s="73">
        <f>IF(A173="","",MONTH(A173))</f>
        <v/>
      </c>
      <c r="E173" s="73">
        <f>IF(A173="","",WEEKDAY(A173,2))</f>
        <v/>
      </c>
      <c r="F173" s="73">
        <f>IF(A173="","",COUNTIF(ERFASSUNG!$A$6:$A$3005,A173))</f>
        <v/>
      </c>
      <c r="G173" s="73">
        <f>IF(A173="","",IF(F173&gt;0,1,0))</f>
        <v/>
      </c>
      <c r="H173" s="73">
        <f>IF(A173="","",SUMIFS(ERFASSUNG!$E$6:$E$3005,ERFASSUNG!$A$6:$A$3005,A173))</f>
        <v/>
      </c>
      <c r="I173" s="73">
        <f>IF(A173="","",SUMIFS(ERFASSUNG!$F$6:$F$3005,ERFASSUNG!$A$6:$A$3005,A173))</f>
        <v/>
      </c>
      <c r="J173" s="73">
        <f>IF(A173="","",SUMIFS(ERFASSUNG!$G$6:$G$3005,ERFASSUNG!$A$6:$A$3005,A173))</f>
        <v/>
      </c>
      <c r="K173" s="73">
        <f>IF(A173="","",SUMIFS(ERFASSUNG!$H$6:$H$3005,ERFASSUNG!$A$6:$A$3005,A173))</f>
        <v/>
      </c>
      <c r="L173" s="73">
        <f>IF(A173="","",SUMIFS(ERFASSUNG!$I$6:$I$3005,ERFASSUNG!$A$6:$A$3005,A173))</f>
        <v/>
      </c>
      <c r="M173" s="73">
        <f>IF(A173="","",SUMIFS(ERFASSUNG!$J$6:$J$3005,ERFASSUNG!$A$6:$A$3005,A173))</f>
        <v/>
      </c>
      <c r="N173" s="73">
        <f>IF(A173="","",SUMIFS(ERFASSUNG!$K$6:$K$3005,ERFASSUNG!$A$6:$A$3005,A173))</f>
        <v/>
      </c>
      <c r="O173" s="73">
        <f>IF(A173="","",SUMIFS(ERFASSUNG!$L$6:$L$3005,ERFASSUNG!$A$6:$A$3005,A173))</f>
        <v/>
      </c>
      <c r="P173" s="73">
        <f>IF(A173="","",SUMIFS(ERFASSUNG!$M$6:$M$3005,ERFASSUNG!$A$6:$A$3005,A173))</f>
        <v/>
      </c>
      <c r="Q173" s="73">
        <f>IF(A173="","",SUMIFS(ERFASSUNG!$N$6:$N$3005,ERFASSUNG!$A$6:$A$3005,A173))</f>
        <v/>
      </c>
    </row>
    <row r="174">
      <c r="A174" s="72">
        <f>IF(YEAR(DATE(LISTEN!$F$2,1,1)+169)=LISTEN!$F$2,DATE(LISTEN!$F$2,1,1)+169,"")</f>
        <v/>
      </c>
      <c r="B174" s="73">
        <f>IF(A174="","",CHOOSE(WEEKDAY(A174,2),"Mo","Di","Mi","Do","Fr","Sa","So"))</f>
        <v/>
      </c>
      <c r="C174" s="73">
        <f>IF(A174="","",INT((A174-DATE(YEAR(A174-WEEKDAY(A174-1)+4),1,3)+WEEKDAY(DATE(YEAR(A174-WEEKDAY(A174-1)+4),1,3))+5)/7))</f>
        <v/>
      </c>
      <c r="D174" s="73">
        <f>IF(A174="","",MONTH(A174))</f>
        <v/>
      </c>
      <c r="E174" s="73">
        <f>IF(A174="","",WEEKDAY(A174,2))</f>
        <v/>
      </c>
      <c r="F174" s="73">
        <f>IF(A174="","",COUNTIF(ERFASSUNG!$A$6:$A$3005,A174))</f>
        <v/>
      </c>
      <c r="G174" s="73">
        <f>IF(A174="","",IF(F174&gt;0,1,0))</f>
        <v/>
      </c>
      <c r="H174" s="73">
        <f>IF(A174="","",SUMIFS(ERFASSUNG!$E$6:$E$3005,ERFASSUNG!$A$6:$A$3005,A174))</f>
        <v/>
      </c>
      <c r="I174" s="73">
        <f>IF(A174="","",SUMIFS(ERFASSUNG!$F$6:$F$3005,ERFASSUNG!$A$6:$A$3005,A174))</f>
        <v/>
      </c>
      <c r="J174" s="73">
        <f>IF(A174="","",SUMIFS(ERFASSUNG!$G$6:$G$3005,ERFASSUNG!$A$6:$A$3005,A174))</f>
        <v/>
      </c>
      <c r="K174" s="73">
        <f>IF(A174="","",SUMIFS(ERFASSUNG!$H$6:$H$3005,ERFASSUNG!$A$6:$A$3005,A174))</f>
        <v/>
      </c>
      <c r="L174" s="73">
        <f>IF(A174="","",SUMIFS(ERFASSUNG!$I$6:$I$3005,ERFASSUNG!$A$6:$A$3005,A174))</f>
        <v/>
      </c>
      <c r="M174" s="73">
        <f>IF(A174="","",SUMIFS(ERFASSUNG!$J$6:$J$3005,ERFASSUNG!$A$6:$A$3005,A174))</f>
        <v/>
      </c>
      <c r="N174" s="73">
        <f>IF(A174="","",SUMIFS(ERFASSUNG!$K$6:$K$3005,ERFASSUNG!$A$6:$A$3005,A174))</f>
        <v/>
      </c>
      <c r="O174" s="73">
        <f>IF(A174="","",SUMIFS(ERFASSUNG!$L$6:$L$3005,ERFASSUNG!$A$6:$A$3005,A174))</f>
        <v/>
      </c>
      <c r="P174" s="73">
        <f>IF(A174="","",SUMIFS(ERFASSUNG!$M$6:$M$3005,ERFASSUNG!$A$6:$A$3005,A174))</f>
        <v/>
      </c>
      <c r="Q174" s="73">
        <f>IF(A174="","",SUMIFS(ERFASSUNG!$N$6:$N$3005,ERFASSUNG!$A$6:$A$3005,A174))</f>
        <v/>
      </c>
    </row>
    <row r="175">
      <c r="A175" s="72">
        <f>IF(YEAR(DATE(LISTEN!$F$2,1,1)+170)=LISTEN!$F$2,DATE(LISTEN!$F$2,1,1)+170,"")</f>
        <v/>
      </c>
      <c r="B175" s="73">
        <f>IF(A175="","",CHOOSE(WEEKDAY(A175,2),"Mo","Di","Mi","Do","Fr","Sa","So"))</f>
        <v/>
      </c>
      <c r="C175" s="73">
        <f>IF(A175="","",INT((A175-DATE(YEAR(A175-WEEKDAY(A175-1)+4),1,3)+WEEKDAY(DATE(YEAR(A175-WEEKDAY(A175-1)+4),1,3))+5)/7))</f>
        <v/>
      </c>
      <c r="D175" s="73">
        <f>IF(A175="","",MONTH(A175))</f>
        <v/>
      </c>
      <c r="E175" s="73">
        <f>IF(A175="","",WEEKDAY(A175,2))</f>
        <v/>
      </c>
      <c r="F175" s="73">
        <f>IF(A175="","",COUNTIF(ERFASSUNG!$A$6:$A$3005,A175))</f>
        <v/>
      </c>
      <c r="G175" s="73">
        <f>IF(A175="","",IF(F175&gt;0,1,0))</f>
        <v/>
      </c>
      <c r="H175" s="73">
        <f>IF(A175="","",SUMIFS(ERFASSUNG!$E$6:$E$3005,ERFASSUNG!$A$6:$A$3005,A175))</f>
        <v/>
      </c>
      <c r="I175" s="73">
        <f>IF(A175="","",SUMIFS(ERFASSUNG!$F$6:$F$3005,ERFASSUNG!$A$6:$A$3005,A175))</f>
        <v/>
      </c>
      <c r="J175" s="73">
        <f>IF(A175="","",SUMIFS(ERFASSUNG!$G$6:$G$3005,ERFASSUNG!$A$6:$A$3005,A175))</f>
        <v/>
      </c>
      <c r="K175" s="73">
        <f>IF(A175="","",SUMIFS(ERFASSUNG!$H$6:$H$3005,ERFASSUNG!$A$6:$A$3005,A175))</f>
        <v/>
      </c>
      <c r="L175" s="73">
        <f>IF(A175="","",SUMIFS(ERFASSUNG!$I$6:$I$3005,ERFASSUNG!$A$6:$A$3005,A175))</f>
        <v/>
      </c>
      <c r="M175" s="73">
        <f>IF(A175="","",SUMIFS(ERFASSUNG!$J$6:$J$3005,ERFASSUNG!$A$6:$A$3005,A175))</f>
        <v/>
      </c>
      <c r="N175" s="73">
        <f>IF(A175="","",SUMIFS(ERFASSUNG!$K$6:$K$3005,ERFASSUNG!$A$6:$A$3005,A175))</f>
        <v/>
      </c>
      <c r="O175" s="73">
        <f>IF(A175="","",SUMIFS(ERFASSUNG!$L$6:$L$3005,ERFASSUNG!$A$6:$A$3005,A175))</f>
        <v/>
      </c>
      <c r="P175" s="73">
        <f>IF(A175="","",SUMIFS(ERFASSUNG!$M$6:$M$3005,ERFASSUNG!$A$6:$A$3005,A175))</f>
        <v/>
      </c>
      <c r="Q175" s="73">
        <f>IF(A175="","",SUMIFS(ERFASSUNG!$N$6:$N$3005,ERFASSUNG!$A$6:$A$3005,A175))</f>
        <v/>
      </c>
    </row>
    <row r="176">
      <c r="A176" s="72">
        <f>IF(YEAR(DATE(LISTEN!$F$2,1,1)+171)=LISTEN!$F$2,DATE(LISTEN!$F$2,1,1)+171,"")</f>
        <v/>
      </c>
      <c r="B176" s="73">
        <f>IF(A176="","",CHOOSE(WEEKDAY(A176,2),"Mo","Di","Mi","Do","Fr","Sa","So"))</f>
        <v/>
      </c>
      <c r="C176" s="73">
        <f>IF(A176="","",INT((A176-DATE(YEAR(A176-WEEKDAY(A176-1)+4),1,3)+WEEKDAY(DATE(YEAR(A176-WEEKDAY(A176-1)+4),1,3))+5)/7))</f>
        <v/>
      </c>
      <c r="D176" s="73">
        <f>IF(A176="","",MONTH(A176))</f>
        <v/>
      </c>
      <c r="E176" s="73">
        <f>IF(A176="","",WEEKDAY(A176,2))</f>
        <v/>
      </c>
      <c r="F176" s="73">
        <f>IF(A176="","",COUNTIF(ERFASSUNG!$A$6:$A$3005,A176))</f>
        <v/>
      </c>
      <c r="G176" s="73">
        <f>IF(A176="","",IF(F176&gt;0,1,0))</f>
        <v/>
      </c>
      <c r="H176" s="73">
        <f>IF(A176="","",SUMIFS(ERFASSUNG!$E$6:$E$3005,ERFASSUNG!$A$6:$A$3005,A176))</f>
        <v/>
      </c>
      <c r="I176" s="73">
        <f>IF(A176="","",SUMIFS(ERFASSUNG!$F$6:$F$3005,ERFASSUNG!$A$6:$A$3005,A176))</f>
        <v/>
      </c>
      <c r="J176" s="73">
        <f>IF(A176="","",SUMIFS(ERFASSUNG!$G$6:$G$3005,ERFASSUNG!$A$6:$A$3005,A176))</f>
        <v/>
      </c>
      <c r="K176" s="73">
        <f>IF(A176="","",SUMIFS(ERFASSUNG!$H$6:$H$3005,ERFASSUNG!$A$6:$A$3005,A176))</f>
        <v/>
      </c>
      <c r="L176" s="73">
        <f>IF(A176="","",SUMIFS(ERFASSUNG!$I$6:$I$3005,ERFASSUNG!$A$6:$A$3005,A176))</f>
        <v/>
      </c>
      <c r="M176" s="73">
        <f>IF(A176="","",SUMIFS(ERFASSUNG!$J$6:$J$3005,ERFASSUNG!$A$6:$A$3005,A176))</f>
        <v/>
      </c>
      <c r="N176" s="73">
        <f>IF(A176="","",SUMIFS(ERFASSUNG!$K$6:$K$3005,ERFASSUNG!$A$6:$A$3005,A176))</f>
        <v/>
      </c>
      <c r="O176" s="73">
        <f>IF(A176="","",SUMIFS(ERFASSUNG!$L$6:$L$3005,ERFASSUNG!$A$6:$A$3005,A176))</f>
        <v/>
      </c>
      <c r="P176" s="73">
        <f>IF(A176="","",SUMIFS(ERFASSUNG!$M$6:$M$3005,ERFASSUNG!$A$6:$A$3005,A176))</f>
        <v/>
      </c>
      <c r="Q176" s="73">
        <f>IF(A176="","",SUMIFS(ERFASSUNG!$N$6:$N$3005,ERFASSUNG!$A$6:$A$3005,A176))</f>
        <v/>
      </c>
    </row>
    <row r="177">
      <c r="A177" s="72">
        <f>IF(YEAR(DATE(LISTEN!$F$2,1,1)+172)=LISTEN!$F$2,DATE(LISTEN!$F$2,1,1)+172,"")</f>
        <v/>
      </c>
      <c r="B177" s="73">
        <f>IF(A177="","",CHOOSE(WEEKDAY(A177,2),"Mo","Di","Mi","Do","Fr","Sa","So"))</f>
        <v/>
      </c>
      <c r="C177" s="73">
        <f>IF(A177="","",INT((A177-DATE(YEAR(A177-WEEKDAY(A177-1)+4),1,3)+WEEKDAY(DATE(YEAR(A177-WEEKDAY(A177-1)+4),1,3))+5)/7))</f>
        <v/>
      </c>
      <c r="D177" s="73">
        <f>IF(A177="","",MONTH(A177))</f>
        <v/>
      </c>
      <c r="E177" s="73">
        <f>IF(A177="","",WEEKDAY(A177,2))</f>
        <v/>
      </c>
      <c r="F177" s="73">
        <f>IF(A177="","",COUNTIF(ERFASSUNG!$A$6:$A$3005,A177))</f>
        <v/>
      </c>
      <c r="G177" s="73">
        <f>IF(A177="","",IF(F177&gt;0,1,0))</f>
        <v/>
      </c>
      <c r="H177" s="73">
        <f>IF(A177="","",SUMIFS(ERFASSUNG!$E$6:$E$3005,ERFASSUNG!$A$6:$A$3005,A177))</f>
        <v/>
      </c>
      <c r="I177" s="73">
        <f>IF(A177="","",SUMIFS(ERFASSUNG!$F$6:$F$3005,ERFASSUNG!$A$6:$A$3005,A177))</f>
        <v/>
      </c>
      <c r="J177" s="73">
        <f>IF(A177="","",SUMIFS(ERFASSUNG!$G$6:$G$3005,ERFASSUNG!$A$6:$A$3005,A177))</f>
        <v/>
      </c>
      <c r="K177" s="73">
        <f>IF(A177="","",SUMIFS(ERFASSUNG!$H$6:$H$3005,ERFASSUNG!$A$6:$A$3005,A177))</f>
        <v/>
      </c>
      <c r="L177" s="73">
        <f>IF(A177="","",SUMIFS(ERFASSUNG!$I$6:$I$3005,ERFASSUNG!$A$6:$A$3005,A177))</f>
        <v/>
      </c>
      <c r="M177" s="73">
        <f>IF(A177="","",SUMIFS(ERFASSUNG!$J$6:$J$3005,ERFASSUNG!$A$6:$A$3005,A177))</f>
        <v/>
      </c>
      <c r="N177" s="73">
        <f>IF(A177="","",SUMIFS(ERFASSUNG!$K$6:$K$3005,ERFASSUNG!$A$6:$A$3005,A177))</f>
        <v/>
      </c>
      <c r="O177" s="73">
        <f>IF(A177="","",SUMIFS(ERFASSUNG!$L$6:$L$3005,ERFASSUNG!$A$6:$A$3005,A177))</f>
        <v/>
      </c>
      <c r="P177" s="73">
        <f>IF(A177="","",SUMIFS(ERFASSUNG!$M$6:$M$3005,ERFASSUNG!$A$6:$A$3005,A177))</f>
        <v/>
      </c>
      <c r="Q177" s="73">
        <f>IF(A177="","",SUMIFS(ERFASSUNG!$N$6:$N$3005,ERFASSUNG!$A$6:$A$3005,A177))</f>
        <v/>
      </c>
    </row>
    <row r="178">
      <c r="A178" s="72">
        <f>IF(YEAR(DATE(LISTEN!$F$2,1,1)+173)=LISTEN!$F$2,DATE(LISTEN!$F$2,1,1)+173,"")</f>
        <v/>
      </c>
      <c r="B178" s="73">
        <f>IF(A178="","",CHOOSE(WEEKDAY(A178,2),"Mo","Di","Mi","Do","Fr","Sa","So"))</f>
        <v/>
      </c>
      <c r="C178" s="73">
        <f>IF(A178="","",INT((A178-DATE(YEAR(A178-WEEKDAY(A178-1)+4),1,3)+WEEKDAY(DATE(YEAR(A178-WEEKDAY(A178-1)+4),1,3))+5)/7))</f>
        <v/>
      </c>
      <c r="D178" s="73">
        <f>IF(A178="","",MONTH(A178))</f>
        <v/>
      </c>
      <c r="E178" s="73">
        <f>IF(A178="","",WEEKDAY(A178,2))</f>
        <v/>
      </c>
      <c r="F178" s="73">
        <f>IF(A178="","",COUNTIF(ERFASSUNG!$A$6:$A$3005,A178))</f>
        <v/>
      </c>
      <c r="G178" s="73">
        <f>IF(A178="","",IF(F178&gt;0,1,0))</f>
        <v/>
      </c>
      <c r="H178" s="73">
        <f>IF(A178="","",SUMIFS(ERFASSUNG!$E$6:$E$3005,ERFASSUNG!$A$6:$A$3005,A178))</f>
        <v/>
      </c>
      <c r="I178" s="73">
        <f>IF(A178="","",SUMIFS(ERFASSUNG!$F$6:$F$3005,ERFASSUNG!$A$6:$A$3005,A178))</f>
        <v/>
      </c>
      <c r="J178" s="73">
        <f>IF(A178="","",SUMIFS(ERFASSUNG!$G$6:$G$3005,ERFASSUNG!$A$6:$A$3005,A178))</f>
        <v/>
      </c>
      <c r="K178" s="73">
        <f>IF(A178="","",SUMIFS(ERFASSUNG!$H$6:$H$3005,ERFASSUNG!$A$6:$A$3005,A178))</f>
        <v/>
      </c>
      <c r="L178" s="73">
        <f>IF(A178="","",SUMIFS(ERFASSUNG!$I$6:$I$3005,ERFASSUNG!$A$6:$A$3005,A178))</f>
        <v/>
      </c>
      <c r="M178" s="73">
        <f>IF(A178="","",SUMIFS(ERFASSUNG!$J$6:$J$3005,ERFASSUNG!$A$6:$A$3005,A178))</f>
        <v/>
      </c>
      <c r="N178" s="73">
        <f>IF(A178="","",SUMIFS(ERFASSUNG!$K$6:$K$3005,ERFASSUNG!$A$6:$A$3005,A178))</f>
        <v/>
      </c>
      <c r="O178" s="73">
        <f>IF(A178="","",SUMIFS(ERFASSUNG!$L$6:$L$3005,ERFASSUNG!$A$6:$A$3005,A178))</f>
        <v/>
      </c>
      <c r="P178" s="73">
        <f>IF(A178="","",SUMIFS(ERFASSUNG!$M$6:$M$3005,ERFASSUNG!$A$6:$A$3005,A178))</f>
        <v/>
      </c>
      <c r="Q178" s="73">
        <f>IF(A178="","",SUMIFS(ERFASSUNG!$N$6:$N$3005,ERFASSUNG!$A$6:$A$3005,A178))</f>
        <v/>
      </c>
    </row>
    <row r="179">
      <c r="A179" s="72">
        <f>IF(YEAR(DATE(LISTEN!$F$2,1,1)+174)=LISTEN!$F$2,DATE(LISTEN!$F$2,1,1)+174,"")</f>
        <v/>
      </c>
      <c r="B179" s="73">
        <f>IF(A179="","",CHOOSE(WEEKDAY(A179,2),"Mo","Di","Mi","Do","Fr","Sa","So"))</f>
        <v/>
      </c>
      <c r="C179" s="73">
        <f>IF(A179="","",INT((A179-DATE(YEAR(A179-WEEKDAY(A179-1)+4),1,3)+WEEKDAY(DATE(YEAR(A179-WEEKDAY(A179-1)+4),1,3))+5)/7))</f>
        <v/>
      </c>
      <c r="D179" s="73">
        <f>IF(A179="","",MONTH(A179))</f>
        <v/>
      </c>
      <c r="E179" s="73">
        <f>IF(A179="","",WEEKDAY(A179,2))</f>
        <v/>
      </c>
      <c r="F179" s="73">
        <f>IF(A179="","",COUNTIF(ERFASSUNG!$A$6:$A$3005,A179))</f>
        <v/>
      </c>
      <c r="G179" s="73">
        <f>IF(A179="","",IF(F179&gt;0,1,0))</f>
        <v/>
      </c>
      <c r="H179" s="73">
        <f>IF(A179="","",SUMIFS(ERFASSUNG!$E$6:$E$3005,ERFASSUNG!$A$6:$A$3005,A179))</f>
        <v/>
      </c>
      <c r="I179" s="73">
        <f>IF(A179="","",SUMIFS(ERFASSUNG!$F$6:$F$3005,ERFASSUNG!$A$6:$A$3005,A179))</f>
        <v/>
      </c>
      <c r="J179" s="73">
        <f>IF(A179="","",SUMIFS(ERFASSUNG!$G$6:$G$3005,ERFASSUNG!$A$6:$A$3005,A179))</f>
        <v/>
      </c>
      <c r="K179" s="73">
        <f>IF(A179="","",SUMIFS(ERFASSUNG!$H$6:$H$3005,ERFASSUNG!$A$6:$A$3005,A179))</f>
        <v/>
      </c>
      <c r="L179" s="73">
        <f>IF(A179="","",SUMIFS(ERFASSUNG!$I$6:$I$3005,ERFASSUNG!$A$6:$A$3005,A179))</f>
        <v/>
      </c>
      <c r="M179" s="73">
        <f>IF(A179="","",SUMIFS(ERFASSUNG!$J$6:$J$3005,ERFASSUNG!$A$6:$A$3005,A179))</f>
        <v/>
      </c>
      <c r="N179" s="73">
        <f>IF(A179="","",SUMIFS(ERFASSUNG!$K$6:$K$3005,ERFASSUNG!$A$6:$A$3005,A179))</f>
        <v/>
      </c>
      <c r="O179" s="73">
        <f>IF(A179="","",SUMIFS(ERFASSUNG!$L$6:$L$3005,ERFASSUNG!$A$6:$A$3005,A179))</f>
        <v/>
      </c>
      <c r="P179" s="73">
        <f>IF(A179="","",SUMIFS(ERFASSUNG!$M$6:$M$3005,ERFASSUNG!$A$6:$A$3005,A179))</f>
        <v/>
      </c>
      <c r="Q179" s="73">
        <f>IF(A179="","",SUMIFS(ERFASSUNG!$N$6:$N$3005,ERFASSUNG!$A$6:$A$3005,A179))</f>
        <v/>
      </c>
    </row>
    <row r="180">
      <c r="A180" s="72">
        <f>IF(YEAR(DATE(LISTEN!$F$2,1,1)+175)=LISTEN!$F$2,DATE(LISTEN!$F$2,1,1)+175,"")</f>
        <v/>
      </c>
      <c r="B180" s="73">
        <f>IF(A180="","",CHOOSE(WEEKDAY(A180,2),"Mo","Di","Mi","Do","Fr","Sa","So"))</f>
        <v/>
      </c>
      <c r="C180" s="73">
        <f>IF(A180="","",INT((A180-DATE(YEAR(A180-WEEKDAY(A180-1)+4),1,3)+WEEKDAY(DATE(YEAR(A180-WEEKDAY(A180-1)+4),1,3))+5)/7))</f>
        <v/>
      </c>
      <c r="D180" s="73">
        <f>IF(A180="","",MONTH(A180))</f>
        <v/>
      </c>
      <c r="E180" s="73">
        <f>IF(A180="","",WEEKDAY(A180,2))</f>
        <v/>
      </c>
      <c r="F180" s="73">
        <f>IF(A180="","",COUNTIF(ERFASSUNG!$A$6:$A$3005,A180))</f>
        <v/>
      </c>
      <c r="G180" s="73">
        <f>IF(A180="","",IF(F180&gt;0,1,0))</f>
        <v/>
      </c>
      <c r="H180" s="73">
        <f>IF(A180="","",SUMIFS(ERFASSUNG!$E$6:$E$3005,ERFASSUNG!$A$6:$A$3005,A180))</f>
        <v/>
      </c>
      <c r="I180" s="73">
        <f>IF(A180="","",SUMIFS(ERFASSUNG!$F$6:$F$3005,ERFASSUNG!$A$6:$A$3005,A180))</f>
        <v/>
      </c>
      <c r="J180" s="73">
        <f>IF(A180="","",SUMIFS(ERFASSUNG!$G$6:$G$3005,ERFASSUNG!$A$6:$A$3005,A180))</f>
        <v/>
      </c>
      <c r="K180" s="73">
        <f>IF(A180="","",SUMIFS(ERFASSUNG!$H$6:$H$3005,ERFASSUNG!$A$6:$A$3005,A180))</f>
        <v/>
      </c>
      <c r="L180" s="73">
        <f>IF(A180="","",SUMIFS(ERFASSUNG!$I$6:$I$3005,ERFASSUNG!$A$6:$A$3005,A180))</f>
        <v/>
      </c>
      <c r="M180" s="73">
        <f>IF(A180="","",SUMIFS(ERFASSUNG!$J$6:$J$3005,ERFASSUNG!$A$6:$A$3005,A180))</f>
        <v/>
      </c>
      <c r="N180" s="73">
        <f>IF(A180="","",SUMIFS(ERFASSUNG!$K$6:$K$3005,ERFASSUNG!$A$6:$A$3005,A180))</f>
        <v/>
      </c>
      <c r="O180" s="73">
        <f>IF(A180="","",SUMIFS(ERFASSUNG!$L$6:$L$3005,ERFASSUNG!$A$6:$A$3005,A180))</f>
        <v/>
      </c>
      <c r="P180" s="73">
        <f>IF(A180="","",SUMIFS(ERFASSUNG!$M$6:$M$3005,ERFASSUNG!$A$6:$A$3005,A180))</f>
        <v/>
      </c>
      <c r="Q180" s="73">
        <f>IF(A180="","",SUMIFS(ERFASSUNG!$N$6:$N$3005,ERFASSUNG!$A$6:$A$3005,A180))</f>
        <v/>
      </c>
    </row>
    <row r="181">
      <c r="A181" s="72">
        <f>IF(YEAR(DATE(LISTEN!$F$2,1,1)+176)=LISTEN!$F$2,DATE(LISTEN!$F$2,1,1)+176,"")</f>
        <v/>
      </c>
      <c r="B181" s="73">
        <f>IF(A181="","",CHOOSE(WEEKDAY(A181,2),"Mo","Di","Mi","Do","Fr","Sa","So"))</f>
        <v/>
      </c>
      <c r="C181" s="73">
        <f>IF(A181="","",INT((A181-DATE(YEAR(A181-WEEKDAY(A181-1)+4),1,3)+WEEKDAY(DATE(YEAR(A181-WEEKDAY(A181-1)+4),1,3))+5)/7))</f>
        <v/>
      </c>
      <c r="D181" s="73">
        <f>IF(A181="","",MONTH(A181))</f>
        <v/>
      </c>
      <c r="E181" s="73">
        <f>IF(A181="","",WEEKDAY(A181,2))</f>
        <v/>
      </c>
      <c r="F181" s="73">
        <f>IF(A181="","",COUNTIF(ERFASSUNG!$A$6:$A$3005,A181))</f>
        <v/>
      </c>
      <c r="G181" s="73">
        <f>IF(A181="","",IF(F181&gt;0,1,0))</f>
        <v/>
      </c>
      <c r="H181" s="73">
        <f>IF(A181="","",SUMIFS(ERFASSUNG!$E$6:$E$3005,ERFASSUNG!$A$6:$A$3005,A181))</f>
        <v/>
      </c>
      <c r="I181" s="73">
        <f>IF(A181="","",SUMIFS(ERFASSUNG!$F$6:$F$3005,ERFASSUNG!$A$6:$A$3005,A181))</f>
        <v/>
      </c>
      <c r="J181" s="73">
        <f>IF(A181="","",SUMIFS(ERFASSUNG!$G$6:$G$3005,ERFASSUNG!$A$6:$A$3005,A181))</f>
        <v/>
      </c>
      <c r="K181" s="73">
        <f>IF(A181="","",SUMIFS(ERFASSUNG!$H$6:$H$3005,ERFASSUNG!$A$6:$A$3005,A181))</f>
        <v/>
      </c>
      <c r="L181" s="73">
        <f>IF(A181="","",SUMIFS(ERFASSUNG!$I$6:$I$3005,ERFASSUNG!$A$6:$A$3005,A181))</f>
        <v/>
      </c>
      <c r="M181" s="73">
        <f>IF(A181="","",SUMIFS(ERFASSUNG!$J$6:$J$3005,ERFASSUNG!$A$6:$A$3005,A181))</f>
        <v/>
      </c>
      <c r="N181" s="73">
        <f>IF(A181="","",SUMIFS(ERFASSUNG!$K$6:$K$3005,ERFASSUNG!$A$6:$A$3005,A181))</f>
        <v/>
      </c>
      <c r="O181" s="73">
        <f>IF(A181="","",SUMIFS(ERFASSUNG!$L$6:$L$3005,ERFASSUNG!$A$6:$A$3005,A181))</f>
        <v/>
      </c>
      <c r="P181" s="73">
        <f>IF(A181="","",SUMIFS(ERFASSUNG!$M$6:$M$3005,ERFASSUNG!$A$6:$A$3005,A181))</f>
        <v/>
      </c>
      <c r="Q181" s="73">
        <f>IF(A181="","",SUMIFS(ERFASSUNG!$N$6:$N$3005,ERFASSUNG!$A$6:$A$3005,A181))</f>
        <v/>
      </c>
    </row>
    <row r="182">
      <c r="A182" s="72">
        <f>IF(YEAR(DATE(LISTEN!$F$2,1,1)+177)=LISTEN!$F$2,DATE(LISTEN!$F$2,1,1)+177,"")</f>
        <v/>
      </c>
      <c r="B182" s="73">
        <f>IF(A182="","",CHOOSE(WEEKDAY(A182,2),"Mo","Di","Mi","Do","Fr","Sa","So"))</f>
        <v/>
      </c>
      <c r="C182" s="73">
        <f>IF(A182="","",INT((A182-DATE(YEAR(A182-WEEKDAY(A182-1)+4),1,3)+WEEKDAY(DATE(YEAR(A182-WEEKDAY(A182-1)+4),1,3))+5)/7))</f>
        <v/>
      </c>
      <c r="D182" s="73">
        <f>IF(A182="","",MONTH(A182))</f>
        <v/>
      </c>
      <c r="E182" s="73">
        <f>IF(A182="","",WEEKDAY(A182,2))</f>
        <v/>
      </c>
      <c r="F182" s="73">
        <f>IF(A182="","",COUNTIF(ERFASSUNG!$A$6:$A$3005,A182))</f>
        <v/>
      </c>
      <c r="G182" s="73">
        <f>IF(A182="","",IF(F182&gt;0,1,0))</f>
        <v/>
      </c>
      <c r="H182" s="73">
        <f>IF(A182="","",SUMIFS(ERFASSUNG!$E$6:$E$3005,ERFASSUNG!$A$6:$A$3005,A182))</f>
        <v/>
      </c>
      <c r="I182" s="73">
        <f>IF(A182="","",SUMIFS(ERFASSUNG!$F$6:$F$3005,ERFASSUNG!$A$6:$A$3005,A182))</f>
        <v/>
      </c>
      <c r="J182" s="73">
        <f>IF(A182="","",SUMIFS(ERFASSUNG!$G$6:$G$3005,ERFASSUNG!$A$6:$A$3005,A182))</f>
        <v/>
      </c>
      <c r="K182" s="73">
        <f>IF(A182="","",SUMIFS(ERFASSUNG!$H$6:$H$3005,ERFASSUNG!$A$6:$A$3005,A182))</f>
        <v/>
      </c>
      <c r="L182" s="73">
        <f>IF(A182="","",SUMIFS(ERFASSUNG!$I$6:$I$3005,ERFASSUNG!$A$6:$A$3005,A182))</f>
        <v/>
      </c>
      <c r="M182" s="73">
        <f>IF(A182="","",SUMIFS(ERFASSUNG!$J$6:$J$3005,ERFASSUNG!$A$6:$A$3005,A182))</f>
        <v/>
      </c>
      <c r="N182" s="73">
        <f>IF(A182="","",SUMIFS(ERFASSUNG!$K$6:$K$3005,ERFASSUNG!$A$6:$A$3005,A182))</f>
        <v/>
      </c>
      <c r="O182" s="73">
        <f>IF(A182="","",SUMIFS(ERFASSUNG!$L$6:$L$3005,ERFASSUNG!$A$6:$A$3005,A182))</f>
        <v/>
      </c>
      <c r="P182" s="73">
        <f>IF(A182="","",SUMIFS(ERFASSUNG!$M$6:$M$3005,ERFASSUNG!$A$6:$A$3005,A182))</f>
        <v/>
      </c>
      <c r="Q182" s="73">
        <f>IF(A182="","",SUMIFS(ERFASSUNG!$N$6:$N$3005,ERFASSUNG!$A$6:$A$3005,A182))</f>
        <v/>
      </c>
    </row>
    <row r="183">
      <c r="A183" s="72">
        <f>IF(YEAR(DATE(LISTEN!$F$2,1,1)+178)=LISTEN!$F$2,DATE(LISTEN!$F$2,1,1)+178,"")</f>
        <v/>
      </c>
      <c r="B183" s="73">
        <f>IF(A183="","",CHOOSE(WEEKDAY(A183,2),"Mo","Di","Mi","Do","Fr","Sa","So"))</f>
        <v/>
      </c>
      <c r="C183" s="73">
        <f>IF(A183="","",INT((A183-DATE(YEAR(A183-WEEKDAY(A183-1)+4),1,3)+WEEKDAY(DATE(YEAR(A183-WEEKDAY(A183-1)+4),1,3))+5)/7))</f>
        <v/>
      </c>
      <c r="D183" s="73">
        <f>IF(A183="","",MONTH(A183))</f>
        <v/>
      </c>
      <c r="E183" s="73">
        <f>IF(A183="","",WEEKDAY(A183,2))</f>
        <v/>
      </c>
      <c r="F183" s="73">
        <f>IF(A183="","",COUNTIF(ERFASSUNG!$A$6:$A$3005,A183))</f>
        <v/>
      </c>
      <c r="G183" s="73">
        <f>IF(A183="","",IF(F183&gt;0,1,0))</f>
        <v/>
      </c>
      <c r="H183" s="73">
        <f>IF(A183="","",SUMIFS(ERFASSUNG!$E$6:$E$3005,ERFASSUNG!$A$6:$A$3005,A183))</f>
        <v/>
      </c>
      <c r="I183" s="73">
        <f>IF(A183="","",SUMIFS(ERFASSUNG!$F$6:$F$3005,ERFASSUNG!$A$6:$A$3005,A183))</f>
        <v/>
      </c>
      <c r="J183" s="73">
        <f>IF(A183="","",SUMIFS(ERFASSUNG!$G$6:$G$3005,ERFASSUNG!$A$6:$A$3005,A183))</f>
        <v/>
      </c>
      <c r="K183" s="73">
        <f>IF(A183="","",SUMIFS(ERFASSUNG!$H$6:$H$3005,ERFASSUNG!$A$6:$A$3005,A183))</f>
        <v/>
      </c>
      <c r="L183" s="73">
        <f>IF(A183="","",SUMIFS(ERFASSUNG!$I$6:$I$3005,ERFASSUNG!$A$6:$A$3005,A183))</f>
        <v/>
      </c>
      <c r="M183" s="73">
        <f>IF(A183="","",SUMIFS(ERFASSUNG!$J$6:$J$3005,ERFASSUNG!$A$6:$A$3005,A183))</f>
        <v/>
      </c>
      <c r="N183" s="73">
        <f>IF(A183="","",SUMIFS(ERFASSUNG!$K$6:$K$3005,ERFASSUNG!$A$6:$A$3005,A183))</f>
        <v/>
      </c>
      <c r="O183" s="73">
        <f>IF(A183="","",SUMIFS(ERFASSUNG!$L$6:$L$3005,ERFASSUNG!$A$6:$A$3005,A183))</f>
        <v/>
      </c>
      <c r="P183" s="73">
        <f>IF(A183="","",SUMIFS(ERFASSUNG!$M$6:$M$3005,ERFASSUNG!$A$6:$A$3005,A183))</f>
        <v/>
      </c>
      <c r="Q183" s="73">
        <f>IF(A183="","",SUMIFS(ERFASSUNG!$N$6:$N$3005,ERFASSUNG!$A$6:$A$3005,A183))</f>
        <v/>
      </c>
    </row>
    <row r="184">
      <c r="A184" s="72">
        <f>IF(YEAR(DATE(LISTEN!$F$2,1,1)+179)=LISTEN!$F$2,DATE(LISTEN!$F$2,1,1)+179,"")</f>
        <v/>
      </c>
      <c r="B184" s="73">
        <f>IF(A184="","",CHOOSE(WEEKDAY(A184,2),"Mo","Di","Mi","Do","Fr","Sa","So"))</f>
        <v/>
      </c>
      <c r="C184" s="73">
        <f>IF(A184="","",INT((A184-DATE(YEAR(A184-WEEKDAY(A184-1)+4),1,3)+WEEKDAY(DATE(YEAR(A184-WEEKDAY(A184-1)+4),1,3))+5)/7))</f>
        <v/>
      </c>
      <c r="D184" s="73">
        <f>IF(A184="","",MONTH(A184))</f>
        <v/>
      </c>
      <c r="E184" s="73">
        <f>IF(A184="","",WEEKDAY(A184,2))</f>
        <v/>
      </c>
      <c r="F184" s="73">
        <f>IF(A184="","",COUNTIF(ERFASSUNG!$A$6:$A$3005,A184))</f>
        <v/>
      </c>
      <c r="G184" s="73">
        <f>IF(A184="","",IF(F184&gt;0,1,0))</f>
        <v/>
      </c>
      <c r="H184" s="73">
        <f>IF(A184="","",SUMIFS(ERFASSUNG!$E$6:$E$3005,ERFASSUNG!$A$6:$A$3005,A184))</f>
        <v/>
      </c>
      <c r="I184" s="73">
        <f>IF(A184="","",SUMIFS(ERFASSUNG!$F$6:$F$3005,ERFASSUNG!$A$6:$A$3005,A184))</f>
        <v/>
      </c>
      <c r="J184" s="73">
        <f>IF(A184="","",SUMIFS(ERFASSUNG!$G$6:$G$3005,ERFASSUNG!$A$6:$A$3005,A184))</f>
        <v/>
      </c>
      <c r="K184" s="73">
        <f>IF(A184="","",SUMIFS(ERFASSUNG!$H$6:$H$3005,ERFASSUNG!$A$6:$A$3005,A184))</f>
        <v/>
      </c>
      <c r="L184" s="73">
        <f>IF(A184="","",SUMIFS(ERFASSUNG!$I$6:$I$3005,ERFASSUNG!$A$6:$A$3005,A184))</f>
        <v/>
      </c>
      <c r="M184" s="73">
        <f>IF(A184="","",SUMIFS(ERFASSUNG!$J$6:$J$3005,ERFASSUNG!$A$6:$A$3005,A184))</f>
        <v/>
      </c>
      <c r="N184" s="73">
        <f>IF(A184="","",SUMIFS(ERFASSUNG!$K$6:$K$3005,ERFASSUNG!$A$6:$A$3005,A184))</f>
        <v/>
      </c>
      <c r="O184" s="73">
        <f>IF(A184="","",SUMIFS(ERFASSUNG!$L$6:$L$3005,ERFASSUNG!$A$6:$A$3005,A184))</f>
        <v/>
      </c>
      <c r="P184" s="73">
        <f>IF(A184="","",SUMIFS(ERFASSUNG!$M$6:$M$3005,ERFASSUNG!$A$6:$A$3005,A184))</f>
        <v/>
      </c>
      <c r="Q184" s="73">
        <f>IF(A184="","",SUMIFS(ERFASSUNG!$N$6:$N$3005,ERFASSUNG!$A$6:$A$3005,A184))</f>
        <v/>
      </c>
    </row>
    <row r="185">
      <c r="A185" s="72">
        <f>IF(YEAR(DATE(LISTEN!$F$2,1,1)+180)=LISTEN!$F$2,DATE(LISTEN!$F$2,1,1)+180,"")</f>
        <v/>
      </c>
      <c r="B185" s="73">
        <f>IF(A185="","",CHOOSE(WEEKDAY(A185,2),"Mo","Di","Mi","Do","Fr","Sa","So"))</f>
        <v/>
      </c>
      <c r="C185" s="73">
        <f>IF(A185="","",INT((A185-DATE(YEAR(A185-WEEKDAY(A185-1)+4),1,3)+WEEKDAY(DATE(YEAR(A185-WEEKDAY(A185-1)+4),1,3))+5)/7))</f>
        <v/>
      </c>
      <c r="D185" s="73">
        <f>IF(A185="","",MONTH(A185))</f>
        <v/>
      </c>
      <c r="E185" s="73">
        <f>IF(A185="","",WEEKDAY(A185,2))</f>
        <v/>
      </c>
      <c r="F185" s="73">
        <f>IF(A185="","",COUNTIF(ERFASSUNG!$A$6:$A$3005,A185))</f>
        <v/>
      </c>
      <c r="G185" s="73">
        <f>IF(A185="","",IF(F185&gt;0,1,0))</f>
        <v/>
      </c>
      <c r="H185" s="73">
        <f>IF(A185="","",SUMIFS(ERFASSUNG!$E$6:$E$3005,ERFASSUNG!$A$6:$A$3005,A185))</f>
        <v/>
      </c>
      <c r="I185" s="73">
        <f>IF(A185="","",SUMIFS(ERFASSUNG!$F$6:$F$3005,ERFASSUNG!$A$6:$A$3005,A185))</f>
        <v/>
      </c>
      <c r="J185" s="73">
        <f>IF(A185="","",SUMIFS(ERFASSUNG!$G$6:$G$3005,ERFASSUNG!$A$6:$A$3005,A185))</f>
        <v/>
      </c>
      <c r="K185" s="73">
        <f>IF(A185="","",SUMIFS(ERFASSUNG!$H$6:$H$3005,ERFASSUNG!$A$6:$A$3005,A185))</f>
        <v/>
      </c>
      <c r="L185" s="73">
        <f>IF(A185="","",SUMIFS(ERFASSUNG!$I$6:$I$3005,ERFASSUNG!$A$6:$A$3005,A185))</f>
        <v/>
      </c>
      <c r="M185" s="73">
        <f>IF(A185="","",SUMIFS(ERFASSUNG!$J$6:$J$3005,ERFASSUNG!$A$6:$A$3005,A185))</f>
        <v/>
      </c>
      <c r="N185" s="73">
        <f>IF(A185="","",SUMIFS(ERFASSUNG!$K$6:$K$3005,ERFASSUNG!$A$6:$A$3005,A185))</f>
        <v/>
      </c>
      <c r="O185" s="73">
        <f>IF(A185="","",SUMIFS(ERFASSUNG!$L$6:$L$3005,ERFASSUNG!$A$6:$A$3005,A185))</f>
        <v/>
      </c>
      <c r="P185" s="73">
        <f>IF(A185="","",SUMIFS(ERFASSUNG!$M$6:$M$3005,ERFASSUNG!$A$6:$A$3005,A185))</f>
        <v/>
      </c>
      <c r="Q185" s="73">
        <f>IF(A185="","",SUMIFS(ERFASSUNG!$N$6:$N$3005,ERFASSUNG!$A$6:$A$3005,A185))</f>
        <v/>
      </c>
    </row>
    <row r="186">
      <c r="A186" s="72">
        <f>IF(YEAR(DATE(LISTEN!$F$2,1,1)+181)=LISTEN!$F$2,DATE(LISTEN!$F$2,1,1)+181,"")</f>
        <v/>
      </c>
      <c r="B186" s="73">
        <f>IF(A186="","",CHOOSE(WEEKDAY(A186,2),"Mo","Di","Mi","Do","Fr","Sa","So"))</f>
        <v/>
      </c>
      <c r="C186" s="73">
        <f>IF(A186="","",INT((A186-DATE(YEAR(A186-WEEKDAY(A186-1)+4),1,3)+WEEKDAY(DATE(YEAR(A186-WEEKDAY(A186-1)+4),1,3))+5)/7))</f>
        <v/>
      </c>
      <c r="D186" s="73">
        <f>IF(A186="","",MONTH(A186))</f>
        <v/>
      </c>
      <c r="E186" s="73">
        <f>IF(A186="","",WEEKDAY(A186,2))</f>
        <v/>
      </c>
      <c r="F186" s="73">
        <f>IF(A186="","",COUNTIF(ERFASSUNG!$A$6:$A$3005,A186))</f>
        <v/>
      </c>
      <c r="G186" s="73">
        <f>IF(A186="","",IF(F186&gt;0,1,0))</f>
        <v/>
      </c>
      <c r="H186" s="73">
        <f>IF(A186="","",SUMIFS(ERFASSUNG!$E$6:$E$3005,ERFASSUNG!$A$6:$A$3005,A186))</f>
        <v/>
      </c>
      <c r="I186" s="73">
        <f>IF(A186="","",SUMIFS(ERFASSUNG!$F$6:$F$3005,ERFASSUNG!$A$6:$A$3005,A186))</f>
        <v/>
      </c>
      <c r="J186" s="73">
        <f>IF(A186="","",SUMIFS(ERFASSUNG!$G$6:$G$3005,ERFASSUNG!$A$6:$A$3005,A186))</f>
        <v/>
      </c>
      <c r="K186" s="73">
        <f>IF(A186="","",SUMIFS(ERFASSUNG!$H$6:$H$3005,ERFASSUNG!$A$6:$A$3005,A186))</f>
        <v/>
      </c>
      <c r="L186" s="73">
        <f>IF(A186="","",SUMIFS(ERFASSUNG!$I$6:$I$3005,ERFASSUNG!$A$6:$A$3005,A186))</f>
        <v/>
      </c>
      <c r="M186" s="73">
        <f>IF(A186="","",SUMIFS(ERFASSUNG!$J$6:$J$3005,ERFASSUNG!$A$6:$A$3005,A186))</f>
        <v/>
      </c>
      <c r="N186" s="73">
        <f>IF(A186="","",SUMIFS(ERFASSUNG!$K$6:$K$3005,ERFASSUNG!$A$6:$A$3005,A186))</f>
        <v/>
      </c>
      <c r="O186" s="73">
        <f>IF(A186="","",SUMIFS(ERFASSUNG!$L$6:$L$3005,ERFASSUNG!$A$6:$A$3005,A186))</f>
        <v/>
      </c>
      <c r="P186" s="73">
        <f>IF(A186="","",SUMIFS(ERFASSUNG!$M$6:$M$3005,ERFASSUNG!$A$6:$A$3005,A186))</f>
        <v/>
      </c>
      <c r="Q186" s="73">
        <f>IF(A186="","",SUMIFS(ERFASSUNG!$N$6:$N$3005,ERFASSUNG!$A$6:$A$3005,A186))</f>
        <v/>
      </c>
    </row>
    <row r="187">
      <c r="A187" s="72">
        <f>IF(YEAR(DATE(LISTEN!$F$2,1,1)+182)=LISTEN!$F$2,DATE(LISTEN!$F$2,1,1)+182,"")</f>
        <v/>
      </c>
      <c r="B187" s="73">
        <f>IF(A187="","",CHOOSE(WEEKDAY(A187,2),"Mo","Di","Mi","Do","Fr","Sa","So"))</f>
        <v/>
      </c>
      <c r="C187" s="73">
        <f>IF(A187="","",INT((A187-DATE(YEAR(A187-WEEKDAY(A187-1)+4),1,3)+WEEKDAY(DATE(YEAR(A187-WEEKDAY(A187-1)+4),1,3))+5)/7))</f>
        <v/>
      </c>
      <c r="D187" s="73">
        <f>IF(A187="","",MONTH(A187))</f>
        <v/>
      </c>
      <c r="E187" s="73">
        <f>IF(A187="","",WEEKDAY(A187,2))</f>
        <v/>
      </c>
      <c r="F187" s="73">
        <f>IF(A187="","",COUNTIF(ERFASSUNG!$A$6:$A$3005,A187))</f>
        <v/>
      </c>
      <c r="G187" s="73">
        <f>IF(A187="","",IF(F187&gt;0,1,0))</f>
        <v/>
      </c>
      <c r="H187" s="73">
        <f>IF(A187="","",SUMIFS(ERFASSUNG!$E$6:$E$3005,ERFASSUNG!$A$6:$A$3005,A187))</f>
        <v/>
      </c>
      <c r="I187" s="73">
        <f>IF(A187="","",SUMIFS(ERFASSUNG!$F$6:$F$3005,ERFASSUNG!$A$6:$A$3005,A187))</f>
        <v/>
      </c>
      <c r="J187" s="73">
        <f>IF(A187="","",SUMIFS(ERFASSUNG!$G$6:$G$3005,ERFASSUNG!$A$6:$A$3005,A187))</f>
        <v/>
      </c>
      <c r="K187" s="73">
        <f>IF(A187="","",SUMIFS(ERFASSUNG!$H$6:$H$3005,ERFASSUNG!$A$6:$A$3005,A187))</f>
        <v/>
      </c>
      <c r="L187" s="73">
        <f>IF(A187="","",SUMIFS(ERFASSUNG!$I$6:$I$3005,ERFASSUNG!$A$6:$A$3005,A187))</f>
        <v/>
      </c>
      <c r="M187" s="73">
        <f>IF(A187="","",SUMIFS(ERFASSUNG!$J$6:$J$3005,ERFASSUNG!$A$6:$A$3005,A187))</f>
        <v/>
      </c>
      <c r="N187" s="73">
        <f>IF(A187="","",SUMIFS(ERFASSUNG!$K$6:$K$3005,ERFASSUNG!$A$6:$A$3005,A187))</f>
        <v/>
      </c>
      <c r="O187" s="73">
        <f>IF(A187="","",SUMIFS(ERFASSUNG!$L$6:$L$3005,ERFASSUNG!$A$6:$A$3005,A187))</f>
        <v/>
      </c>
      <c r="P187" s="73">
        <f>IF(A187="","",SUMIFS(ERFASSUNG!$M$6:$M$3005,ERFASSUNG!$A$6:$A$3005,A187))</f>
        <v/>
      </c>
      <c r="Q187" s="73">
        <f>IF(A187="","",SUMIFS(ERFASSUNG!$N$6:$N$3005,ERFASSUNG!$A$6:$A$3005,A187))</f>
        <v/>
      </c>
    </row>
    <row r="188">
      <c r="A188" s="72">
        <f>IF(YEAR(DATE(LISTEN!$F$2,1,1)+183)=LISTEN!$F$2,DATE(LISTEN!$F$2,1,1)+183,"")</f>
        <v/>
      </c>
      <c r="B188" s="73">
        <f>IF(A188="","",CHOOSE(WEEKDAY(A188,2),"Mo","Di","Mi","Do","Fr","Sa","So"))</f>
        <v/>
      </c>
      <c r="C188" s="73">
        <f>IF(A188="","",INT((A188-DATE(YEAR(A188-WEEKDAY(A188-1)+4),1,3)+WEEKDAY(DATE(YEAR(A188-WEEKDAY(A188-1)+4),1,3))+5)/7))</f>
        <v/>
      </c>
      <c r="D188" s="73">
        <f>IF(A188="","",MONTH(A188))</f>
        <v/>
      </c>
      <c r="E188" s="73">
        <f>IF(A188="","",WEEKDAY(A188,2))</f>
        <v/>
      </c>
      <c r="F188" s="73">
        <f>IF(A188="","",COUNTIF(ERFASSUNG!$A$6:$A$3005,A188))</f>
        <v/>
      </c>
      <c r="G188" s="73">
        <f>IF(A188="","",IF(F188&gt;0,1,0))</f>
        <v/>
      </c>
      <c r="H188" s="73">
        <f>IF(A188="","",SUMIFS(ERFASSUNG!$E$6:$E$3005,ERFASSUNG!$A$6:$A$3005,A188))</f>
        <v/>
      </c>
      <c r="I188" s="73">
        <f>IF(A188="","",SUMIFS(ERFASSUNG!$F$6:$F$3005,ERFASSUNG!$A$6:$A$3005,A188))</f>
        <v/>
      </c>
      <c r="J188" s="73">
        <f>IF(A188="","",SUMIFS(ERFASSUNG!$G$6:$G$3005,ERFASSUNG!$A$6:$A$3005,A188))</f>
        <v/>
      </c>
      <c r="K188" s="73">
        <f>IF(A188="","",SUMIFS(ERFASSUNG!$H$6:$H$3005,ERFASSUNG!$A$6:$A$3005,A188))</f>
        <v/>
      </c>
      <c r="L188" s="73">
        <f>IF(A188="","",SUMIFS(ERFASSUNG!$I$6:$I$3005,ERFASSUNG!$A$6:$A$3005,A188))</f>
        <v/>
      </c>
      <c r="M188" s="73">
        <f>IF(A188="","",SUMIFS(ERFASSUNG!$J$6:$J$3005,ERFASSUNG!$A$6:$A$3005,A188))</f>
        <v/>
      </c>
      <c r="N188" s="73">
        <f>IF(A188="","",SUMIFS(ERFASSUNG!$K$6:$K$3005,ERFASSUNG!$A$6:$A$3005,A188))</f>
        <v/>
      </c>
      <c r="O188" s="73">
        <f>IF(A188="","",SUMIFS(ERFASSUNG!$L$6:$L$3005,ERFASSUNG!$A$6:$A$3005,A188))</f>
        <v/>
      </c>
      <c r="P188" s="73">
        <f>IF(A188="","",SUMIFS(ERFASSUNG!$M$6:$M$3005,ERFASSUNG!$A$6:$A$3005,A188))</f>
        <v/>
      </c>
      <c r="Q188" s="73">
        <f>IF(A188="","",SUMIFS(ERFASSUNG!$N$6:$N$3005,ERFASSUNG!$A$6:$A$3005,A188))</f>
        <v/>
      </c>
    </row>
    <row r="189">
      <c r="A189" s="72">
        <f>IF(YEAR(DATE(LISTEN!$F$2,1,1)+184)=LISTEN!$F$2,DATE(LISTEN!$F$2,1,1)+184,"")</f>
        <v/>
      </c>
      <c r="B189" s="73">
        <f>IF(A189="","",CHOOSE(WEEKDAY(A189,2),"Mo","Di","Mi","Do","Fr","Sa","So"))</f>
        <v/>
      </c>
      <c r="C189" s="73">
        <f>IF(A189="","",INT((A189-DATE(YEAR(A189-WEEKDAY(A189-1)+4),1,3)+WEEKDAY(DATE(YEAR(A189-WEEKDAY(A189-1)+4),1,3))+5)/7))</f>
        <v/>
      </c>
      <c r="D189" s="73">
        <f>IF(A189="","",MONTH(A189))</f>
        <v/>
      </c>
      <c r="E189" s="73">
        <f>IF(A189="","",WEEKDAY(A189,2))</f>
        <v/>
      </c>
      <c r="F189" s="73">
        <f>IF(A189="","",COUNTIF(ERFASSUNG!$A$6:$A$3005,A189))</f>
        <v/>
      </c>
      <c r="G189" s="73">
        <f>IF(A189="","",IF(F189&gt;0,1,0))</f>
        <v/>
      </c>
      <c r="H189" s="73">
        <f>IF(A189="","",SUMIFS(ERFASSUNG!$E$6:$E$3005,ERFASSUNG!$A$6:$A$3005,A189))</f>
        <v/>
      </c>
      <c r="I189" s="73">
        <f>IF(A189="","",SUMIFS(ERFASSUNG!$F$6:$F$3005,ERFASSUNG!$A$6:$A$3005,A189))</f>
        <v/>
      </c>
      <c r="J189" s="73">
        <f>IF(A189="","",SUMIFS(ERFASSUNG!$G$6:$G$3005,ERFASSUNG!$A$6:$A$3005,A189))</f>
        <v/>
      </c>
      <c r="K189" s="73">
        <f>IF(A189="","",SUMIFS(ERFASSUNG!$H$6:$H$3005,ERFASSUNG!$A$6:$A$3005,A189))</f>
        <v/>
      </c>
      <c r="L189" s="73">
        <f>IF(A189="","",SUMIFS(ERFASSUNG!$I$6:$I$3005,ERFASSUNG!$A$6:$A$3005,A189))</f>
        <v/>
      </c>
      <c r="M189" s="73">
        <f>IF(A189="","",SUMIFS(ERFASSUNG!$J$6:$J$3005,ERFASSUNG!$A$6:$A$3005,A189))</f>
        <v/>
      </c>
      <c r="N189" s="73">
        <f>IF(A189="","",SUMIFS(ERFASSUNG!$K$6:$K$3005,ERFASSUNG!$A$6:$A$3005,A189))</f>
        <v/>
      </c>
      <c r="O189" s="73">
        <f>IF(A189="","",SUMIFS(ERFASSUNG!$L$6:$L$3005,ERFASSUNG!$A$6:$A$3005,A189))</f>
        <v/>
      </c>
      <c r="P189" s="73">
        <f>IF(A189="","",SUMIFS(ERFASSUNG!$M$6:$M$3005,ERFASSUNG!$A$6:$A$3005,A189))</f>
        <v/>
      </c>
      <c r="Q189" s="73">
        <f>IF(A189="","",SUMIFS(ERFASSUNG!$N$6:$N$3005,ERFASSUNG!$A$6:$A$3005,A189))</f>
        <v/>
      </c>
    </row>
    <row r="190">
      <c r="A190" s="72">
        <f>IF(YEAR(DATE(LISTEN!$F$2,1,1)+185)=LISTEN!$F$2,DATE(LISTEN!$F$2,1,1)+185,"")</f>
        <v/>
      </c>
      <c r="B190" s="73">
        <f>IF(A190="","",CHOOSE(WEEKDAY(A190,2),"Mo","Di","Mi","Do","Fr","Sa","So"))</f>
        <v/>
      </c>
      <c r="C190" s="73">
        <f>IF(A190="","",INT((A190-DATE(YEAR(A190-WEEKDAY(A190-1)+4),1,3)+WEEKDAY(DATE(YEAR(A190-WEEKDAY(A190-1)+4),1,3))+5)/7))</f>
        <v/>
      </c>
      <c r="D190" s="73">
        <f>IF(A190="","",MONTH(A190))</f>
        <v/>
      </c>
      <c r="E190" s="73">
        <f>IF(A190="","",WEEKDAY(A190,2))</f>
        <v/>
      </c>
      <c r="F190" s="73">
        <f>IF(A190="","",COUNTIF(ERFASSUNG!$A$6:$A$3005,A190))</f>
        <v/>
      </c>
      <c r="G190" s="73">
        <f>IF(A190="","",IF(F190&gt;0,1,0))</f>
        <v/>
      </c>
      <c r="H190" s="73">
        <f>IF(A190="","",SUMIFS(ERFASSUNG!$E$6:$E$3005,ERFASSUNG!$A$6:$A$3005,A190))</f>
        <v/>
      </c>
      <c r="I190" s="73">
        <f>IF(A190="","",SUMIFS(ERFASSUNG!$F$6:$F$3005,ERFASSUNG!$A$6:$A$3005,A190))</f>
        <v/>
      </c>
      <c r="J190" s="73">
        <f>IF(A190="","",SUMIFS(ERFASSUNG!$G$6:$G$3005,ERFASSUNG!$A$6:$A$3005,A190))</f>
        <v/>
      </c>
      <c r="K190" s="73">
        <f>IF(A190="","",SUMIFS(ERFASSUNG!$H$6:$H$3005,ERFASSUNG!$A$6:$A$3005,A190))</f>
        <v/>
      </c>
      <c r="L190" s="73">
        <f>IF(A190="","",SUMIFS(ERFASSUNG!$I$6:$I$3005,ERFASSUNG!$A$6:$A$3005,A190))</f>
        <v/>
      </c>
      <c r="M190" s="73">
        <f>IF(A190="","",SUMIFS(ERFASSUNG!$J$6:$J$3005,ERFASSUNG!$A$6:$A$3005,A190))</f>
        <v/>
      </c>
      <c r="N190" s="73">
        <f>IF(A190="","",SUMIFS(ERFASSUNG!$K$6:$K$3005,ERFASSUNG!$A$6:$A$3005,A190))</f>
        <v/>
      </c>
      <c r="O190" s="73">
        <f>IF(A190="","",SUMIFS(ERFASSUNG!$L$6:$L$3005,ERFASSUNG!$A$6:$A$3005,A190))</f>
        <v/>
      </c>
      <c r="P190" s="73">
        <f>IF(A190="","",SUMIFS(ERFASSUNG!$M$6:$M$3005,ERFASSUNG!$A$6:$A$3005,A190))</f>
        <v/>
      </c>
      <c r="Q190" s="73">
        <f>IF(A190="","",SUMIFS(ERFASSUNG!$N$6:$N$3005,ERFASSUNG!$A$6:$A$3005,A190))</f>
        <v/>
      </c>
    </row>
    <row r="191">
      <c r="A191" s="72">
        <f>IF(YEAR(DATE(LISTEN!$F$2,1,1)+186)=LISTEN!$F$2,DATE(LISTEN!$F$2,1,1)+186,"")</f>
        <v/>
      </c>
      <c r="B191" s="73">
        <f>IF(A191="","",CHOOSE(WEEKDAY(A191,2),"Mo","Di","Mi","Do","Fr","Sa","So"))</f>
        <v/>
      </c>
      <c r="C191" s="73">
        <f>IF(A191="","",INT((A191-DATE(YEAR(A191-WEEKDAY(A191-1)+4),1,3)+WEEKDAY(DATE(YEAR(A191-WEEKDAY(A191-1)+4),1,3))+5)/7))</f>
        <v/>
      </c>
      <c r="D191" s="73">
        <f>IF(A191="","",MONTH(A191))</f>
        <v/>
      </c>
      <c r="E191" s="73">
        <f>IF(A191="","",WEEKDAY(A191,2))</f>
        <v/>
      </c>
      <c r="F191" s="73">
        <f>IF(A191="","",COUNTIF(ERFASSUNG!$A$6:$A$3005,A191))</f>
        <v/>
      </c>
      <c r="G191" s="73">
        <f>IF(A191="","",IF(F191&gt;0,1,0))</f>
        <v/>
      </c>
      <c r="H191" s="73">
        <f>IF(A191="","",SUMIFS(ERFASSUNG!$E$6:$E$3005,ERFASSUNG!$A$6:$A$3005,A191))</f>
        <v/>
      </c>
      <c r="I191" s="73">
        <f>IF(A191="","",SUMIFS(ERFASSUNG!$F$6:$F$3005,ERFASSUNG!$A$6:$A$3005,A191))</f>
        <v/>
      </c>
      <c r="J191" s="73">
        <f>IF(A191="","",SUMIFS(ERFASSUNG!$G$6:$G$3005,ERFASSUNG!$A$6:$A$3005,A191))</f>
        <v/>
      </c>
      <c r="K191" s="73">
        <f>IF(A191="","",SUMIFS(ERFASSUNG!$H$6:$H$3005,ERFASSUNG!$A$6:$A$3005,A191))</f>
        <v/>
      </c>
      <c r="L191" s="73">
        <f>IF(A191="","",SUMIFS(ERFASSUNG!$I$6:$I$3005,ERFASSUNG!$A$6:$A$3005,A191))</f>
        <v/>
      </c>
      <c r="M191" s="73">
        <f>IF(A191="","",SUMIFS(ERFASSUNG!$J$6:$J$3005,ERFASSUNG!$A$6:$A$3005,A191))</f>
        <v/>
      </c>
      <c r="N191" s="73">
        <f>IF(A191="","",SUMIFS(ERFASSUNG!$K$6:$K$3005,ERFASSUNG!$A$6:$A$3005,A191))</f>
        <v/>
      </c>
      <c r="O191" s="73">
        <f>IF(A191="","",SUMIFS(ERFASSUNG!$L$6:$L$3005,ERFASSUNG!$A$6:$A$3005,A191))</f>
        <v/>
      </c>
      <c r="P191" s="73">
        <f>IF(A191="","",SUMIFS(ERFASSUNG!$M$6:$M$3005,ERFASSUNG!$A$6:$A$3005,A191))</f>
        <v/>
      </c>
      <c r="Q191" s="73">
        <f>IF(A191="","",SUMIFS(ERFASSUNG!$N$6:$N$3005,ERFASSUNG!$A$6:$A$3005,A191))</f>
        <v/>
      </c>
    </row>
    <row r="192">
      <c r="A192" s="72">
        <f>IF(YEAR(DATE(LISTEN!$F$2,1,1)+187)=LISTEN!$F$2,DATE(LISTEN!$F$2,1,1)+187,"")</f>
        <v/>
      </c>
      <c r="B192" s="73">
        <f>IF(A192="","",CHOOSE(WEEKDAY(A192,2),"Mo","Di","Mi","Do","Fr","Sa","So"))</f>
        <v/>
      </c>
      <c r="C192" s="73">
        <f>IF(A192="","",INT((A192-DATE(YEAR(A192-WEEKDAY(A192-1)+4),1,3)+WEEKDAY(DATE(YEAR(A192-WEEKDAY(A192-1)+4),1,3))+5)/7))</f>
        <v/>
      </c>
      <c r="D192" s="73">
        <f>IF(A192="","",MONTH(A192))</f>
        <v/>
      </c>
      <c r="E192" s="73">
        <f>IF(A192="","",WEEKDAY(A192,2))</f>
        <v/>
      </c>
      <c r="F192" s="73">
        <f>IF(A192="","",COUNTIF(ERFASSUNG!$A$6:$A$3005,A192))</f>
        <v/>
      </c>
      <c r="G192" s="73">
        <f>IF(A192="","",IF(F192&gt;0,1,0))</f>
        <v/>
      </c>
      <c r="H192" s="73">
        <f>IF(A192="","",SUMIFS(ERFASSUNG!$E$6:$E$3005,ERFASSUNG!$A$6:$A$3005,A192))</f>
        <v/>
      </c>
      <c r="I192" s="73">
        <f>IF(A192="","",SUMIFS(ERFASSUNG!$F$6:$F$3005,ERFASSUNG!$A$6:$A$3005,A192))</f>
        <v/>
      </c>
      <c r="J192" s="73">
        <f>IF(A192="","",SUMIFS(ERFASSUNG!$G$6:$G$3005,ERFASSUNG!$A$6:$A$3005,A192))</f>
        <v/>
      </c>
      <c r="K192" s="73">
        <f>IF(A192="","",SUMIFS(ERFASSUNG!$H$6:$H$3005,ERFASSUNG!$A$6:$A$3005,A192))</f>
        <v/>
      </c>
      <c r="L192" s="73">
        <f>IF(A192="","",SUMIFS(ERFASSUNG!$I$6:$I$3005,ERFASSUNG!$A$6:$A$3005,A192))</f>
        <v/>
      </c>
      <c r="M192" s="73">
        <f>IF(A192="","",SUMIFS(ERFASSUNG!$J$6:$J$3005,ERFASSUNG!$A$6:$A$3005,A192))</f>
        <v/>
      </c>
      <c r="N192" s="73">
        <f>IF(A192="","",SUMIFS(ERFASSUNG!$K$6:$K$3005,ERFASSUNG!$A$6:$A$3005,A192))</f>
        <v/>
      </c>
      <c r="O192" s="73">
        <f>IF(A192="","",SUMIFS(ERFASSUNG!$L$6:$L$3005,ERFASSUNG!$A$6:$A$3005,A192))</f>
        <v/>
      </c>
      <c r="P192" s="73">
        <f>IF(A192="","",SUMIFS(ERFASSUNG!$M$6:$M$3005,ERFASSUNG!$A$6:$A$3005,A192))</f>
        <v/>
      </c>
      <c r="Q192" s="73">
        <f>IF(A192="","",SUMIFS(ERFASSUNG!$N$6:$N$3005,ERFASSUNG!$A$6:$A$3005,A192))</f>
        <v/>
      </c>
    </row>
    <row r="193">
      <c r="A193" s="72">
        <f>IF(YEAR(DATE(LISTEN!$F$2,1,1)+188)=LISTEN!$F$2,DATE(LISTEN!$F$2,1,1)+188,"")</f>
        <v/>
      </c>
      <c r="B193" s="73">
        <f>IF(A193="","",CHOOSE(WEEKDAY(A193,2),"Mo","Di","Mi","Do","Fr","Sa","So"))</f>
        <v/>
      </c>
      <c r="C193" s="73">
        <f>IF(A193="","",INT((A193-DATE(YEAR(A193-WEEKDAY(A193-1)+4),1,3)+WEEKDAY(DATE(YEAR(A193-WEEKDAY(A193-1)+4),1,3))+5)/7))</f>
        <v/>
      </c>
      <c r="D193" s="73">
        <f>IF(A193="","",MONTH(A193))</f>
        <v/>
      </c>
      <c r="E193" s="73">
        <f>IF(A193="","",WEEKDAY(A193,2))</f>
        <v/>
      </c>
      <c r="F193" s="73">
        <f>IF(A193="","",COUNTIF(ERFASSUNG!$A$6:$A$3005,A193))</f>
        <v/>
      </c>
      <c r="G193" s="73">
        <f>IF(A193="","",IF(F193&gt;0,1,0))</f>
        <v/>
      </c>
      <c r="H193" s="73">
        <f>IF(A193="","",SUMIFS(ERFASSUNG!$E$6:$E$3005,ERFASSUNG!$A$6:$A$3005,A193))</f>
        <v/>
      </c>
      <c r="I193" s="73">
        <f>IF(A193="","",SUMIFS(ERFASSUNG!$F$6:$F$3005,ERFASSUNG!$A$6:$A$3005,A193))</f>
        <v/>
      </c>
      <c r="J193" s="73">
        <f>IF(A193="","",SUMIFS(ERFASSUNG!$G$6:$G$3005,ERFASSUNG!$A$6:$A$3005,A193))</f>
        <v/>
      </c>
      <c r="K193" s="73">
        <f>IF(A193="","",SUMIFS(ERFASSUNG!$H$6:$H$3005,ERFASSUNG!$A$6:$A$3005,A193))</f>
        <v/>
      </c>
      <c r="L193" s="73">
        <f>IF(A193="","",SUMIFS(ERFASSUNG!$I$6:$I$3005,ERFASSUNG!$A$6:$A$3005,A193))</f>
        <v/>
      </c>
      <c r="M193" s="73">
        <f>IF(A193="","",SUMIFS(ERFASSUNG!$J$6:$J$3005,ERFASSUNG!$A$6:$A$3005,A193))</f>
        <v/>
      </c>
      <c r="N193" s="73">
        <f>IF(A193="","",SUMIFS(ERFASSUNG!$K$6:$K$3005,ERFASSUNG!$A$6:$A$3005,A193))</f>
        <v/>
      </c>
      <c r="O193" s="73">
        <f>IF(A193="","",SUMIFS(ERFASSUNG!$L$6:$L$3005,ERFASSUNG!$A$6:$A$3005,A193))</f>
        <v/>
      </c>
      <c r="P193" s="73">
        <f>IF(A193="","",SUMIFS(ERFASSUNG!$M$6:$M$3005,ERFASSUNG!$A$6:$A$3005,A193))</f>
        <v/>
      </c>
      <c r="Q193" s="73">
        <f>IF(A193="","",SUMIFS(ERFASSUNG!$N$6:$N$3005,ERFASSUNG!$A$6:$A$3005,A193))</f>
        <v/>
      </c>
    </row>
    <row r="194">
      <c r="A194" s="72">
        <f>IF(YEAR(DATE(LISTEN!$F$2,1,1)+189)=LISTEN!$F$2,DATE(LISTEN!$F$2,1,1)+189,"")</f>
        <v/>
      </c>
      <c r="B194" s="73">
        <f>IF(A194="","",CHOOSE(WEEKDAY(A194,2),"Mo","Di","Mi","Do","Fr","Sa","So"))</f>
        <v/>
      </c>
      <c r="C194" s="73">
        <f>IF(A194="","",INT((A194-DATE(YEAR(A194-WEEKDAY(A194-1)+4),1,3)+WEEKDAY(DATE(YEAR(A194-WEEKDAY(A194-1)+4),1,3))+5)/7))</f>
        <v/>
      </c>
      <c r="D194" s="73">
        <f>IF(A194="","",MONTH(A194))</f>
        <v/>
      </c>
      <c r="E194" s="73">
        <f>IF(A194="","",WEEKDAY(A194,2))</f>
        <v/>
      </c>
      <c r="F194" s="73">
        <f>IF(A194="","",COUNTIF(ERFASSUNG!$A$6:$A$3005,A194))</f>
        <v/>
      </c>
      <c r="G194" s="73">
        <f>IF(A194="","",IF(F194&gt;0,1,0))</f>
        <v/>
      </c>
      <c r="H194" s="73">
        <f>IF(A194="","",SUMIFS(ERFASSUNG!$E$6:$E$3005,ERFASSUNG!$A$6:$A$3005,A194))</f>
        <v/>
      </c>
      <c r="I194" s="73">
        <f>IF(A194="","",SUMIFS(ERFASSUNG!$F$6:$F$3005,ERFASSUNG!$A$6:$A$3005,A194))</f>
        <v/>
      </c>
      <c r="J194" s="73">
        <f>IF(A194="","",SUMIFS(ERFASSUNG!$G$6:$G$3005,ERFASSUNG!$A$6:$A$3005,A194))</f>
        <v/>
      </c>
      <c r="K194" s="73">
        <f>IF(A194="","",SUMIFS(ERFASSUNG!$H$6:$H$3005,ERFASSUNG!$A$6:$A$3005,A194))</f>
        <v/>
      </c>
      <c r="L194" s="73">
        <f>IF(A194="","",SUMIFS(ERFASSUNG!$I$6:$I$3005,ERFASSUNG!$A$6:$A$3005,A194))</f>
        <v/>
      </c>
      <c r="M194" s="73">
        <f>IF(A194="","",SUMIFS(ERFASSUNG!$J$6:$J$3005,ERFASSUNG!$A$6:$A$3005,A194))</f>
        <v/>
      </c>
      <c r="N194" s="73">
        <f>IF(A194="","",SUMIFS(ERFASSUNG!$K$6:$K$3005,ERFASSUNG!$A$6:$A$3005,A194))</f>
        <v/>
      </c>
      <c r="O194" s="73">
        <f>IF(A194="","",SUMIFS(ERFASSUNG!$L$6:$L$3005,ERFASSUNG!$A$6:$A$3005,A194))</f>
        <v/>
      </c>
      <c r="P194" s="73">
        <f>IF(A194="","",SUMIFS(ERFASSUNG!$M$6:$M$3005,ERFASSUNG!$A$6:$A$3005,A194))</f>
        <v/>
      </c>
      <c r="Q194" s="73">
        <f>IF(A194="","",SUMIFS(ERFASSUNG!$N$6:$N$3005,ERFASSUNG!$A$6:$A$3005,A194))</f>
        <v/>
      </c>
    </row>
    <row r="195">
      <c r="A195" s="72">
        <f>IF(YEAR(DATE(LISTEN!$F$2,1,1)+190)=LISTEN!$F$2,DATE(LISTEN!$F$2,1,1)+190,"")</f>
        <v/>
      </c>
      <c r="B195" s="73">
        <f>IF(A195="","",CHOOSE(WEEKDAY(A195,2),"Mo","Di","Mi","Do","Fr","Sa","So"))</f>
        <v/>
      </c>
      <c r="C195" s="73">
        <f>IF(A195="","",INT((A195-DATE(YEAR(A195-WEEKDAY(A195-1)+4),1,3)+WEEKDAY(DATE(YEAR(A195-WEEKDAY(A195-1)+4),1,3))+5)/7))</f>
        <v/>
      </c>
      <c r="D195" s="73">
        <f>IF(A195="","",MONTH(A195))</f>
        <v/>
      </c>
      <c r="E195" s="73">
        <f>IF(A195="","",WEEKDAY(A195,2))</f>
        <v/>
      </c>
      <c r="F195" s="73">
        <f>IF(A195="","",COUNTIF(ERFASSUNG!$A$6:$A$3005,A195))</f>
        <v/>
      </c>
      <c r="G195" s="73">
        <f>IF(A195="","",IF(F195&gt;0,1,0))</f>
        <v/>
      </c>
      <c r="H195" s="73">
        <f>IF(A195="","",SUMIFS(ERFASSUNG!$E$6:$E$3005,ERFASSUNG!$A$6:$A$3005,A195))</f>
        <v/>
      </c>
      <c r="I195" s="73">
        <f>IF(A195="","",SUMIFS(ERFASSUNG!$F$6:$F$3005,ERFASSUNG!$A$6:$A$3005,A195))</f>
        <v/>
      </c>
      <c r="J195" s="73">
        <f>IF(A195="","",SUMIFS(ERFASSUNG!$G$6:$G$3005,ERFASSUNG!$A$6:$A$3005,A195))</f>
        <v/>
      </c>
      <c r="K195" s="73">
        <f>IF(A195="","",SUMIFS(ERFASSUNG!$H$6:$H$3005,ERFASSUNG!$A$6:$A$3005,A195))</f>
        <v/>
      </c>
      <c r="L195" s="73">
        <f>IF(A195="","",SUMIFS(ERFASSUNG!$I$6:$I$3005,ERFASSUNG!$A$6:$A$3005,A195))</f>
        <v/>
      </c>
      <c r="M195" s="73">
        <f>IF(A195="","",SUMIFS(ERFASSUNG!$J$6:$J$3005,ERFASSUNG!$A$6:$A$3005,A195))</f>
        <v/>
      </c>
      <c r="N195" s="73">
        <f>IF(A195="","",SUMIFS(ERFASSUNG!$K$6:$K$3005,ERFASSUNG!$A$6:$A$3005,A195))</f>
        <v/>
      </c>
      <c r="O195" s="73">
        <f>IF(A195="","",SUMIFS(ERFASSUNG!$L$6:$L$3005,ERFASSUNG!$A$6:$A$3005,A195))</f>
        <v/>
      </c>
      <c r="P195" s="73">
        <f>IF(A195="","",SUMIFS(ERFASSUNG!$M$6:$M$3005,ERFASSUNG!$A$6:$A$3005,A195))</f>
        <v/>
      </c>
      <c r="Q195" s="73">
        <f>IF(A195="","",SUMIFS(ERFASSUNG!$N$6:$N$3005,ERFASSUNG!$A$6:$A$3005,A195))</f>
        <v/>
      </c>
    </row>
    <row r="196">
      <c r="A196" s="72">
        <f>IF(YEAR(DATE(LISTEN!$F$2,1,1)+191)=LISTEN!$F$2,DATE(LISTEN!$F$2,1,1)+191,"")</f>
        <v/>
      </c>
      <c r="B196" s="73">
        <f>IF(A196="","",CHOOSE(WEEKDAY(A196,2),"Mo","Di","Mi","Do","Fr","Sa","So"))</f>
        <v/>
      </c>
      <c r="C196" s="73">
        <f>IF(A196="","",INT((A196-DATE(YEAR(A196-WEEKDAY(A196-1)+4),1,3)+WEEKDAY(DATE(YEAR(A196-WEEKDAY(A196-1)+4),1,3))+5)/7))</f>
        <v/>
      </c>
      <c r="D196" s="73">
        <f>IF(A196="","",MONTH(A196))</f>
        <v/>
      </c>
      <c r="E196" s="73">
        <f>IF(A196="","",WEEKDAY(A196,2))</f>
        <v/>
      </c>
      <c r="F196" s="73">
        <f>IF(A196="","",COUNTIF(ERFASSUNG!$A$6:$A$3005,A196))</f>
        <v/>
      </c>
      <c r="G196" s="73">
        <f>IF(A196="","",IF(F196&gt;0,1,0))</f>
        <v/>
      </c>
      <c r="H196" s="73">
        <f>IF(A196="","",SUMIFS(ERFASSUNG!$E$6:$E$3005,ERFASSUNG!$A$6:$A$3005,A196))</f>
        <v/>
      </c>
      <c r="I196" s="73">
        <f>IF(A196="","",SUMIFS(ERFASSUNG!$F$6:$F$3005,ERFASSUNG!$A$6:$A$3005,A196))</f>
        <v/>
      </c>
      <c r="J196" s="73">
        <f>IF(A196="","",SUMIFS(ERFASSUNG!$G$6:$G$3005,ERFASSUNG!$A$6:$A$3005,A196))</f>
        <v/>
      </c>
      <c r="K196" s="73">
        <f>IF(A196="","",SUMIFS(ERFASSUNG!$H$6:$H$3005,ERFASSUNG!$A$6:$A$3005,A196))</f>
        <v/>
      </c>
      <c r="L196" s="73">
        <f>IF(A196="","",SUMIFS(ERFASSUNG!$I$6:$I$3005,ERFASSUNG!$A$6:$A$3005,A196))</f>
        <v/>
      </c>
      <c r="M196" s="73">
        <f>IF(A196="","",SUMIFS(ERFASSUNG!$J$6:$J$3005,ERFASSUNG!$A$6:$A$3005,A196))</f>
        <v/>
      </c>
      <c r="N196" s="73">
        <f>IF(A196="","",SUMIFS(ERFASSUNG!$K$6:$K$3005,ERFASSUNG!$A$6:$A$3005,A196))</f>
        <v/>
      </c>
      <c r="O196" s="73">
        <f>IF(A196="","",SUMIFS(ERFASSUNG!$L$6:$L$3005,ERFASSUNG!$A$6:$A$3005,A196))</f>
        <v/>
      </c>
      <c r="P196" s="73">
        <f>IF(A196="","",SUMIFS(ERFASSUNG!$M$6:$M$3005,ERFASSUNG!$A$6:$A$3005,A196))</f>
        <v/>
      </c>
      <c r="Q196" s="73">
        <f>IF(A196="","",SUMIFS(ERFASSUNG!$N$6:$N$3005,ERFASSUNG!$A$6:$A$3005,A196))</f>
        <v/>
      </c>
    </row>
    <row r="197">
      <c r="A197" s="72">
        <f>IF(YEAR(DATE(LISTEN!$F$2,1,1)+192)=LISTEN!$F$2,DATE(LISTEN!$F$2,1,1)+192,"")</f>
        <v/>
      </c>
      <c r="B197" s="73">
        <f>IF(A197="","",CHOOSE(WEEKDAY(A197,2),"Mo","Di","Mi","Do","Fr","Sa","So"))</f>
        <v/>
      </c>
      <c r="C197" s="73">
        <f>IF(A197="","",INT((A197-DATE(YEAR(A197-WEEKDAY(A197-1)+4),1,3)+WEEKDAY(DATE(YEAR(A197-WEEKDAY(A197-1)+4),1,3))+5)/7))</f>
        <v/>
      </c>
      <c r="D197" s="73">
        <f>IF(A197="","",MONTH(A197))</f>
        <v/>
      </c>
      <c r="E197" s="73">
        <f>IF(A197="","",WEEKDAY(A197,2))</f>
        <v/>
      </c>
      <c r="F197" s="73">
        <f>IF(A197="","",COUNTIF(ERFASSUNG!$A$6:$A$3005,A197))</f>
        <v/>
      </c>
      <c r="G197" s="73">
        <f>IF(A197="","",IF(F197&gt;0,1,0))</f>
        <v/>
      </c>
      <c r="H197" s="73">
        <f>IF(A197="","",SUMIFS(ERFASSUNG!$E$6:$E$3005,ERFASSUNG!$A$6:$A$3005,A197))</f>
        <v/>
      </c>
      <c r="I197" s="73">
        <f>IF(A197="","",SUMIFS(ERFASSUNG!$F$6:$F$3005,ERFASSUNG!$A$6:$A$3005,A197))</f>
        <v/>
      </c>
      <c r="J197" s="73">
        <f>IF(A197="","",SUMIFS(ERFASSUNG!$G$6:$G$3005,ERFASSUNG!$A$6:$A$3005,A197))</f>
        <v/>
      </c>
      <c r="K197" s="73">
        <f>IF(A197="","",SUMIFS(ERFASSUNG!$H$6:$H$3005,ERFASSUNG!$A$6:$A$3005,A197))</f>
        <v/>
      </c>
      <c r="L197" s="73">
        <f>IF(A197="","",SUMIFS(ERFASSUNG!$I$6:$I$3005,ERFASSUNG!$A$6:$A$3005,A197))</f>
        <v/>
      </c>
      <c r="M197" s="73">
        <f>IF(A197="","",SUMIFS(ERFASSUNG!$J$6:$J$3005,ERFASSUNG!$A$6:$A$3005,A197))</f>
        <v/>
      </c>
      <c r="N197" s="73">
        <f>IF(A197="","",SUMIFS(ERFASSUNG!$K$6:$K$3005,ERFASSUNG!$A$6:$A$3005,A197))</f>
        <v/>
      </c>
      <c r="O197" s="73">
        <f>IF(A197="","",SUMIFS(ERFASSUNG!$L$6:$L$3005,ERFASSUNG!$A$6:$A$3005,A197))</f>
        <v/>
      </c>
      <c r="P197" s="73">
        <f>IF(A197="","",SUMIFS(ERFASSUNG!$M$6:$M$3005,ERFASSUNG!$A$6:$A$3005,A197))</f>
        <v/>
      </c>
      <c r="Q197" s="73">
        <f>IF(A197="","",SUMIFS(ERFASSUNG!$N$6:$N$3005,ERFASSUNG!$A$6:$A$3005,A197))</f>
        <v/>
      </c>
    </row>
    <row r="198">
      <c r="A198" s="72">
        <f>IF(YEAR(DATE(LISTEN!$F$2,1,1)+193)=LISTEN!$F$2,DATE(LISTEN!$F$2,1,1)+193,"")</f>
        <v/>
      </c>
      <c r="B198" s="73">
        <f>IF(A198="","",CHOOSE(WEEKDAY(A198,2),"Mo","Di","Mi","Do","Fr","Sa","So"))</f>
        <v/>
      </c>
      <c r="C198" s="73">
        <f>IF(A198="","",INT((A198-DATE(YEAR(A198-WEEKDAY(A198-1)+4),1,3)+WEEKDAY(DATE(YEAR(A198-WEEKDAY(A198-1)+4),1,3))+5)/7))</f>
        <v/>
      </c>
      <c r="D198" s="73">
        <f>IF(A198="","",MONTH(A198))</f>
        <v/>
      </c>
      <c r="E198" s="73">
        <f>IF(A198="","",WEEKDAY(A198,2))</f>
        <v/>
      </c>
      <c r="F198" s="73">
        <f>IF(A198="","",COUNTIF(ERFASSUNG!$A$6:$A$3005,A198))</f>
        <v/>
      </c>
      <c r="G198" s="73">
        <f>IF(A198="","",IF(F198&gt;0,1,0))</f>
        <v/>
      </c>
      <c r="H198" s="73">
        <f>IF(A198="","",SUMIFS(ERFASSUNG!$E$6:$E$3005,ERFASSUNG!$A$6:$A$3005,A198))</f>
        <v/>
      </c>
      <c r="I198" s="73">
        <f>IF(A198="","",SUMIFS(ERFASSUNG!$F$6:$F$3005,ERFASSUNG!$A$6:$A$3005,A198))</f>
        <v/>
      </c>
      <c r="J198" s="73">
        <f>IF(A198="","",SUMIFS(ERFASSUNG!$G$6:$G$3005,ERFASSUNG!$A$6:$A$3005,A198))</f>
        <v/>
      </c>
      <c r="K198" s="73">
        <f>IF(A198="","",SUMIFS(ERFASSUNG!$H$6:$H$3005,ERFASSUNG!$A$6:$A$3005,A198))</f>
        <v/>
      </c>
      <c r="L198" s="73">
        <f>IF(A198="","",SUMIFS(ERFASSUNG!$I$6:$I$3005,ERFASSUNG!$A$6:$A$3005,A198))</f>
        <v/>
      </c>
      <c r="M198" s="73">
        <f>IF(A198="","",SUMIFS(ERFASSUNG!$J$6:$J$3005,ERFASSUNG!$A$6:$A$3005,A198))</f>
        <v/>
      </c>
      <c r="N198" s="73">
        <f>IF(A198="","",SUMIFS(ERFASSUNG!$K$6:$K$3005,ERFASSUNG!$A$6:$A$3005,A198))</f>
        <v/>
      </c>
      <c r="O198" s="73">
        <f>IF(A198="","",SUMIFS(ERFASSUNG!$L$6:$L$3005,ERFASSUNG!$A$6:$A$3005,A198))</f>
        <v/>
      </c>
      <c r="P198" s="73">
        <f>IF(A198="","",SUMIFS(ERFASSUNG!$M$6:$M$3005,ERFASSUNG!$A$6:$A$3005,A198))</f>
        <v/>
      </c>
      <c r="Q198" s="73">
        <f>IF(A198="","",SUMIFS(ERFASSUNG!$N$6:$N$3005,ERFASSUNG!$A$6:$A$3005,A198))</f>
        <v/>
      </c>
    </row>
    <row r="199">
      <c r="A199" s="72">
        <f>IF(YEAR(DATE(LISTEN!$F$2,1,1)+194)=LISTEN!$F$2,DATE(LISTEN!$F$2,1,1)+194,"")</f>
        <v/>
      </c>
      <c r="B199" s="73">
        <f>IF(A199="","",CHOOSE(WEEKDAY(A199,2),"Mo","Di","Mi","Do","Fr","Sa","So"))</f>
        <v/>
      </c>
      <c r="C199" s="73">
        <f>IF(A199="","",INT((A199-DATE(YEAR(A199-WEEKDAY(A199-1)+4),1,3)+WEEKDAY(DATE(YEAR(A199-WEEKDAY(A199-1)+4),1,3))+5)/7))</f>
        <v/>
      </c>
      <c r="D199" s="73">
        <f>IF(A199="","",MONTH(A199))</f>
        <v/>
      </c>
      <c r="E199" s="73">
        <f>IF(A199="","",WEEKDAY(A199,2))</f>
        <v/>
      </c>
      <c r="F199" s="73">
        <f>IF(A199="","",COUNTIF(ERFASSUNG!$A$6:$A$3005,A199))</f>
        <v/>
      </c>
      <c r="G199" s="73">
        <f>IF(A199="","",IF(F199&gt;0,1,0))</f>
        <v/>
      </c>
      <c r="H199" s="73">
        <f>IF(A199="","",SUMIFS(ERFASSUNG!$E$6:$E$3005,ERFASSUNG!$A$6:$A$3005,A199))</f>
        <v/>
      </c>
      <c r="I199" s="73">
        <f>IF(A199="","",SUMIFS(ERFASSUNG!$F$6:$F$3005,ERFASSUNG!$A$6:$A$3005,A199))</f>
        <v/>
      </c>
      <c r="J199" s="73">
        <f>IF(A199="","",SUMIFS(ERFASSUNG!$G$6:$G$3005,ERFASSUNG!$A$6:$A$3005,A199))</f>
        <v/>
      </c>
      <c r="K199" s="73">
        <f>IF(A199="","",SUMIFS(ERFASSUNG!$H$6:$H$3005,ERFASSUNG!$A$6:$A$3005,A199))</f>
        <v/>
      </c>
      <c r="L199" s="73">
        <f>IF(A199="","",SUMIFS(ERFASSUNG!$I$6:$I$3005,ERFASSUNG!$A$6:$A$3005,A199))</f>
        <v/>
      </c>
      <c r="M199" s="73">
        <f>IF(A199="","",SUMIFS(ERFASSUNG!$J$6:$J$3005,ERFASSUNG!$A$6:$A$3005,A199))</f>
        <v/>
      </c>
      <c r="N199" s="73">
        <f>IF(A199="","",SUMIFS(ERFASSUNG!$K$6:$K$3005,ERFASSUNG!$A$6:$A$3005,A199))</f>
        <v/>
      </c>
      <c r="O199" s="73">
        <f>IF(A199="","",SUMIFS(ERFASSUNG!$L$6:$L$3005,ERFASSUNG!$A$6:$A$3005,A199))</f>
        <v/>
      </c>
      <c r="P199" s="73">
        <f>IF(A199="","",SUMIFS(ERFASSUNG!$M$6:$M$3005,ERFASSUNG!$A$6:$A$3005,A199))</f>
        <v/>
      </c>
      <c r="Q199" s="73">
        <f>IF(A199="","",SUMIFS(ERFASSUNG!$N$6:$N$3005,ERFASSUNG!$A$6:$A$3005,A199))</f>
        <v/>
      </c>
    </row>
    <row r="200">
      <c r="A200" s="72">
        <f>IF(YEAR(DATE(LISTEN!$F$2,1,1)+195)=LISTEN!$F$2,DATE(LISTEN!$F$2,1,1)+195,"")</f>
        <v/>
      </c>
      <c r="B200" s="73">
        <f>IF(A200="","",CHOOSE(WEEKDAY(A200,2),"Mo","Di","Mi","Do","Fr","Sa","So"))</f>
        <v/>
      </c>
      <c r="C200" s="73">
        <f>IF(A200="","",INT((A200-DATE(YEAR(A200-WEEKDAY(A200-1)+4),1,3)+WEEKDAY(DATE(YEAR(A200-WEEKDAY(A200-1)+4),1,3))+5)/7))</f>
        <v/>
      </c>
      <c r="D200" s="73">
        <f>IF(A200="","",MONTH(A200))</f>
        <v/>
      </c>
      <c r="E200" s="73">
        <f>IF(A200="","",WEEKDAY(A200,2))</f>
        <v/>
      </c>
      <c r="F200" s="73">
        <f>IF(A200="","",COUNTIF(ERFASSUNG!$A$6:$A$3005,A200))</f>
        <v/>
      </c>
      <c r="G200" s="73">
        <f>IF(A200="","",IF(F200&gt;0,1,0))</f>
        <v/>
      </c>
      <c r="H200" s="73">
        <f>IF(A200="","",SUMIFS(ERFASSUNG!$E$6:$E$3005,ERFASSUNG!$A$6:$A$3005,A200))</f>
        <v/>
      </c>
      <c r="I200" s="73">
        <f>IF(A200="","",SUMIFS(ERFASSUNG!$F$6:$F$3005,ERFASSUNG!$A$6:$A$3005,A200))</f>
        <v/>
      </c>
      <c r="J200" s="73">
        <f>IF(A200="","",SUMIFS(ERFASSUNG!$G$6:$G$3005,ERFASSUNG!$A$6:$A$3005,A200))</f>
        <v/>
      </c>
      <c r="K200" s="73">
        <f>IF(A200="","",SUMIFS(ERFASSUNG!$H$6:$H$3005,ERFASSUNG!$A$6:$A$3005,A200))</f>
        <v/>
      </c>
      <c r="L200" s="73">
        <f>IF(A200="","",SUMIFS(ERFASSUNG!$I$6:$I$3005,ERFASSUNG!$A$6:$A$3005,A200))</f>
        <v/>
      </c>
      <c r="M200" s="73">
        <f>IF(A200="","",SUMIFS(ERFASSUNG!$J$6:$J$3005,ERFASSUNG!$A$6:$A$3005,A200))</f>
        <v/>
      </c>
      <c r="N200" s="73">
        <f>IF(A200="","",SUMIFS(ERFASSUNG!$K$6:$K$3005,ERFASSUNG!$A$6:$A$3005,A200))</f>
        <v/>
      </c>
      <c r="O200" s="73">
        <f>IF(A200="","",SUMIFS(ERFASSUNG!$L$6:$L$3005,ERFASSUNG!$A$6:$A$3005,A200))</f>
        <v/>
      </c>
      <c r="P200" s="73">
        <f>IF(A200="","",SUMIFS(ERFASSUNG!$M$6:$M$3005,ERFASSUNG!$A$6:$A$3005,A200))</f>
        <v/>
      </c>
      <c r="Q200" s="73">
        <f>IF(A200="","",SUMIFS(ERFASSUNG!$N$6:$N$3005,ERFASSUNG!$A$6:$A$3005,A200))</f>
        <v/>
      </c>
    </row>
    <row r="201">
      <c r="A201" s="72">
        <f>IF(YEAR(DATE(LISTEN!$F$2,1,1)+196)=LISTEN!$F$2,DATE(LISTEN!$F$2,1,1)+196,"")</f>
        <v/>
      </c>
      <c r="B201" s="73">
        <f>IF(A201="","",CHOOSE(WEEKDAY(A201,2),"Mo","Di","Mi","Do","Fr","Sa","So"))</f>
        <v/>
      </c>
      <c r="C201" s="73">
        <f>IF(A201="","",INT((A201-DATE(YEAR(A201-WEEKDAY(A201-1)+4),1,3)+WEEKDAY(DATE(YEAR(A201-WEEKDAY(A201-1)+4),1,3))+5)/7))</f>
        <v/>
      </c>
      <c r="D201" s="73">
        <f>IF(A201="","",MONTH(A201))</f>
        <v/>
      </c>
      <c r="E201" s="73">
        <f>IF(A201="","",WEEKDAY(A201,2))</f>
        <v/>
      </c>
      <c r="F201" s="73">
        <f>IF(A201="","",COUNTIF(ERFASSUNG!$A$6:$A$3005,A201))</f>
        <v/>
      </c>
      <c r="G201" s="73">
        <f>IF(A201="","",IF(F201&gt;0,1,0))</f>
        <v/>
      </c>
      <c r="H201" s="73">
        <f>IF(A201="","",SUMIFS(ERFASSUNG!$E$6:$E$3005,ERFASSUNG!$A$6:$A$3005,A201))</f>
        <v/>
      </c>
      <c r="I201" s="73">
        <f>IF(A201="","",SUMIFS(ERFASSUNG!$F$6:$F$3005,ERFASSUNG!$A$6:$A$3005,A201))</f>
        <v/>
      </c>
      <c r="J201" s="73">
        <f>IF(A201="","",SUMIFS(ERFASSUNG!$G$6:$G$3005,ERFASSUNG!$A$6:$A$3005,A201))</f>
        <v/>
      </c>
      <c r="K201" s="73">
        <f>IF(A201="","",SUMIFS(ERFASSUNG!$H$6:$H$3005,ERFASSUNG!$A$6:$A$3005,A201))</f>
        <v/>
      </c>
      <c r="L201" s="73">
        <f>IF(A201="","",SUMIFS(ERFASSUNG!$I$6:$I$3005,ERFASSUNG!$A$6:$A$3005,A201))</f>
        <v/>
      </c>
      <c r="M201" s="73">
        <f>IF(A201="","",SUMIFS(ERFASSUNG!$J$6:$J$3005,ERFASSUNG!$A$6:$A$3005,A201))</f>
        <v/>
      </c>
      <c r="N201" s="73">
        <f>IF(A201="","",SUMIFS(ERFASSUNG!$K$6:$K$3005,ERFASSUNG!$A$6:$A$3005,A201))</f>
        <v/>
      </c>
      <c r="O201" s="73">
        <f>IF(A201="","",SUMIFS(ERFASSUNG!$L$6:$L$3005,ERFASSUNG!$A$6:$A$3005,A201))</f>
        <v/>
      </c>
      <c r="P201" s="73">
        <f>IF(A201="","",SUMIFS(ERFASSUNG!$M$6:$M$3005,ERFASSUNG!$A$6:$A$3005,A201))</f>
        <v/>
      </c>
      <c r="Q201" s="73">
        <f>IF(A201="","",SUMIFS(ERFASSUNG!$N$6:$N$3005,ERFASSUNG!$A$6:$A$3005,A201))</f>
        <v/>
      </c>
    </row>
    <row r="202">
      <c r="A202" s="72">
        <f>IF(YEAR(DATE(LISTEN!$F$2,1,1)+197)=LISTEN!$F$2,DATE(LISTEN!$F$2,1,1)+197,"")</f>
        <v/>
      </c>
      <c r="B202" s="73">
        <f>IF(A202="","",CHOOSE(WEEKDAY(A202,2),"Mo","Di","Mi","Do","Fr","Sa","So"))</f>
        <v/>
      </c>
      <c r="C202" s="73">
        <f>IF(A202="","",INT((A202-DATE(YEAR(A202-WEEKDAY(A202-1)+4),1,3)+WEEKDAY(DATE(YEAR(A202-WEEKDAY(A202-1)+4),1,3))+5)/7))</f>
        <v/>
      </c>
      <c r="D202" s="73">
        <f>IF(A202="","",MONTH(A202))</f>
        <v/>
      </c>
      <c r="E202" s="73">
        <f>IF(A202="","",WEEKDAY(A202,2))</f>
        <v/>
      </c>
      <c r="F202" s="73">
        <f>IF(A202="","",COUNTIF(ERFASSUNG!$A$6:$A$3005,A202))</f>
        <v/>
      </c>
      <c r="G202" s="73">
        <f>IF(A202="","",IF(F202&gt;0,1,0))</f>
        <v/>
      </c>
      <c r="H202" s="73">
        <f>IF(A202="","",SUMIFS(ERFASSUNG!$E$6:$E$3005,ERFASSUNG!$A$6:$A$3005,A202))</f>
        <v/>
      </c>
      <c r="I202" s="73">
        <f>IF(A202="","",SUMIFS(ERFASSUNG!$F$6:$F$3005,ERFASSUNG!$A$6:$A$3005,A202))</f>
        <v/>
      </c>
      <c r="J202" s="73">
        <f>IF(A202="","",SUMIFS(ERFASSUNG!$G$6:$G$3005,ERFASSUNG!$A$6:$A$3005,A202))</f>
        <v/>
      </c>
      <c r="K202" s="73">
        <f>IF(A202="","",SUMIFS(ERFASSUNG!$H$6:$H$3005,ERFASSUNG!$A$6:$A$3005,A202))</f>
        <v/>
      </c>
      <c r="L202" s="73">
        <f>IF(A202="","",SUMIFS(ERFASSUNG!$I$6:$I$3005,ERFASSUNG!$A$6:$A$3005,A202))</f>
        <v/>
      </c>
      <c r="M202" s="73">
        <f>IF(A202="","",SUMIFS(ERFASSUNG!$J$6:$J$3005,ERFASSUNG!$A$6:$A$3005,A202))</f>
        <v/>
      </c>
      <c r="N202" s="73">
        <f>IF(A202="","",SUMIFS(ERFASSUNG!$K$6:$K$3005,ERFASSUNG!$A$6:$A$3005,A202))</f>
        <v/>
      </c>
      <c r="O202" s="73">
        <f>IF(A202="","",SUMIFS(ERFASSUNG!$L$6:$L$3005,ERFASSUNG!$A$6:$A$3005,A202))</f>
        <v/>
      </c>
      <c r="P202" s="73">
        <f>IF(A202="","",SUMIFS(ERFASSUNG!$M$6:$M$3005,ERFASSUNG!$A$6:$A$3005,A202))</f>
        <v/>
      </c>
      <c r="Q202" s="73">
        <f>IF(A202="","",SUMIFS(ERFASSUNG!$N$6:$N$3005,ERFASSUNG!$A$6:$A$3005,A202))</f>
        <v/>
      </c>
    </row>
    <row r="203">
      <c r="A203" s="72">
        <f>IF(YEAR(DATE(LISTEN!$F$2,1,1)+198)=LISTEN!$F$2,DATE(LISTEN!$F$2,1,1)+198,"")</f>
        <v/>
      </c>
      <c r="B203" s="73">
        <f>IF(A203="","",CHOOSE(WEEKDAY(A203,2),"Mo","Di","Mi","Do","Fr","Sa","So"))</f>
        <v/>
      </c>
      <c r="C203" s="73">
        <f>IF(A203="","",INT((A203-DATE(YEAR(A203-WEEKDAY(A203-1)+4),1,3)+WEEKDAY(DATE(YEAR(A203-WEEKDAY(A203-1)+4),1,3))+5)/7))</f>
        <v/>
      </c>
      <c r="D203" s="73">
        <f>IF(A203="","",MONTH(A203))</f>
        <v/>
      </c>
      <c r="E203" s="73">
        <f>IF(A203="","",WEEKDAY(A203,2))</f>
        <v/>
      </c>
      <c r="F203" s="73">
        <f>IF(A203="","",COUNTIF(ERFASSUNG!$A$6:$A$3005,A203))</f>
        <v/>
      </c>
      <c r="G203" s="73">
        <f>IF(A203="","",IF(F203&gt;0,1,0))</f>
        <v/>
      </c>
      <c r="H203" s="73">
        <f>IF(A203="","",SUMIFS(ERFASSUNG!$E$6:$E$3005,ERFASSUNG!$A$6:$A$3005,A203))</f>
        <v/>
      </c>
      <c r="I203" s="73">
        <f>IF(A203="","",SUMIFS(ERFASSUNG!$F$6:$F$3005,ERFASSUNG!$A$6:$A$3005,A203))</f>
        <v/>
      </c>
      <c r="J203" s="73">
        <f>IF(A203="","",SUMIFS(ERFASSUNG!$G$6:$G$3005,ERFASSUNG!$A$6:$A$3005,A203))</f>
        <v/>
      </c>
      <c r="K203" s="73">
        <f>IF(A203="","",SUMIFS(ERFASSUNG!$H$6:$H$3005,ERFASSUNG!$A$6:$A$3005,A203))</f>
        <v/>
      </c>
      <c r="L203" s="73">
        <f>IF(A203="","",SUMIFS(ERFASSUNG!$I$6:$I$3005,ERFASSUNG!$A$6:$A$3005,A203))</f>
        <v/>
      </c>
      <c r="M203" s="73">
        <f>IF(A203="","",SUMIFS(ERFASSUNG!$J$6:$J$3005,ERFASSUNG!$A$6:$A$3005,A203))</f>
        <v/>
      </c>
      <c r="N203" s="73">
        <f>IF(A203="","",SUMIFS(ERFASSUNG!$K$6:$K$3005,ERFASSUNG!$A$6:$A$3005,A203))</f>
        <v/>
      </c>
      <c r="O203" s="73">
        <f>IF(A203="","",SUMIFS(ERFASSUNG!$L$6:$L$3005,ERFASSUNG!$A$6:$A$3005,A203))</f>
        <v/>
      </c>
      <c r="P203" s="73">
        <f>IF(A203="","",SUMIFS(ERFASSUNG!$M$6:$M$3005,ERFASSUNG!$A$6:$A$3005,A203))</f>
        <v/>
      </c>
      <c r="Q203" s="73">
        <f>IF(A203="","",SUMIFS(ERFASSUNG!$N$6:$N$3005,ERFASSUNG!$A$6:$A$3005,A203))</f>
        <v/>
      </c>
    </row>
    <row r="204">
      <c r="A204" s="72">
        <f>IF(YEAR(DATE(LISTEN!$F$2,1,1)+199)=LISTEN!$F$2,DATE(LISTEN!$F$2,1,1)+199,"")</f>
        <v/>
      </c>
      <c r="B204" s="73">
        <f>IF(A204="","",CHOOSE(WEEKDAY(A204,2),"Mo","Di","Mi","Do","Fr","Sa","So"))</f>
        <v/>
      </c>
      <c r="C204" s="73">
        <f>IF(A204="","",INT((A204-DATE(YEAR(A204-WEEKDAY(A204-1)+4),1,3)+WEEKDAY(DATE(YEAR(A204-WEEKDAY(A204-1)+4),1,3))+5)/7))</f>
        <v/>
      </c>
      <c r="D204" s="73">
        <f>IF(A204="","",MONTH(A204))</f>
        <v/>
      </c>
      <c r="E204" s="73">
        <f>IF(A204="","",WEEKDAY(A204,2))</f>
        <v/>
      </c>
      <c r="F204" s="73">
        <f>IF(A204="","",COUNTIF(ERFASSUNG!$A$6:$A$3005,A204))</f>
        <v/>
      </c>
      <c r="G204" s="73">
        <f>IF(A204="","",IF(F204&gt;0,1,0))</f>
        <v/>
      </c>
      <c r="H204" s="73">
        <f>IF(A204="","",SUMIFS(ERFASSUNG!$E$6:$E$3005,ERFASSUNG!$A$6:$A$3005,A204))</f>
        <v/>
      </c>
      <c r="I204" s="73">
        <f>IF(A204="","",SUMIFS(ERFASSUNG!$F$6:$F$3005,ERFASSUNG!$A$6:$A$3005,A204))</f>
        <v/>
      </c>
      <c r="J204" s="73">
        <f>IF(A204="","",SUMIFS(ERFASSUNG!$G$6:$G$3005,ERFASSUNG!$A$6:$A$3005,A204))</f>
        <v/>
      </c>
      <c r="K204" s="73">
        <f>IF(A204="","",SUMIFS(ERFASSUNG!$H$6:$H$3005,ERFASSUNG!$A$6:$A$3005,A204))</f>
        <v/>
      </c>
      <c r="L204" s="73">
        <f>IF(A204="","",SUMIFS(ERFASSUNG!$I$6:$I$3005,ERFASSUNG!$A$6:$A$3005,A204))</f>
        <v/>
      </c>
      <c r="M204" s="73">
        <f>IF(A204="","",SUMIFS(ERFASSUNG!$J$6:$J$3005,ERFASSUNG!$A$6:$A$3005,A204))</f>
        <v/>
      </c>
      <c r="N204" s="73">
        <f>IF(A204="","",SUMIFS(ERFASSUNG!$K$6:$K$3005,ERFASSUNG!$A$6:$A$3005,A204))</f>
        <v/>
      </c>
      <c r="O204" s="73">
        <f>IF(A204="","",SUMIFS(ERFASSUNG!$L$6:$L$3005,ERFASSUNG!$A$6:$A$3005,A204))</f>
        <v/>
      </c>
      <c r="P204" s="73">
        <f>IF(A204="","",SUMIFS(ERFASSUNG!$M$6:$M$3005,ERFASSUNG!$A$6:$A$3005,A204))</f>
        <v/>
      </c>
      <c r="Q204" s="73">
        <f>IF(A204="","",SUMIFS(ERFASSUNG!$N$6:$N$3005,ERFASSUNG!$A$6:$A$3005,A204))</f>
        <v/>
      </c>
    </row>
    <row r="205">
      <c r="A205" s="72">
        <f>IF(YEAR(DATE(LISTEN!$F$2,1,1)+200)=LISTEN!$F$2,DATE(LISTEN!$F$2,1,1)+200,"")</f>
        <v/>
      </c>
      <c r="B205" s="73">
        <f>IF(A205="","",CHOOSE(WEEKDAY(A205,2),"Mo","Di","Mi","Do","Fr","Sa","So"))</f>
        <v/>
      </c>
      <c r="C205" s="73">
        <f>IF(A205="","",INT((A205-DATE(YEAR(A205-WEEKDAY(A205-1)+4),1,3)+WEEKDAY(DATE(YEAR(A205-WEEKDAY(A205-1)+4),1,3))+5)/7))</f>
        <v/>
      </c>
      <c r="D205" s="73">
        <f>IF(A205="","",MONTH(A205))</f>
        <v/>
      </c>
      <c r="E205" s="73">
        <f>IF(A205="","",WEEKDAY(A205,2))</f>
        <v/>
      </c>
      <c r="F205" s="73">
        <f>IF(A205="","",COUNTIF(ERFASSUNG!$A$6:$A$3005,A205))</f>
        <v/>
      </c>
      <c r="G205" s="73">
        <f>IF(A205="","",IF(F205&gt;0,1,0))</f>
        <v/>
      </c>
      <c r="H205" s="73">
        <f>IF(A205="","",SUMIFS(ERFASSUNG!$E$6:$E$3005,ERFASSUNG!$A$6:$A$3005,A205))</f>
        <v/>
      </c>
      <c r="I205" s="73">
        <f>IF(A205="","",SUMIFS(ERFASSUNG!$F$6:$F$3005,ERFASSUNG!$A$6:$A$3005,A205))</f>
        <v/>
      </c>
      <c r="J205" s="73">
        <f>IF(A205="","",SUMIFS(ERFASSUNG!$G$6:$G$3005,ERFASSUNG!$A$6:$A$3005,A205))</f>
        <v/>
      </c>
      <c r="K205" s="73">
        <f>IF(A205="","",SUMIFS(ERFASSUNG!$H$6:$H$3005,ERFASSUNG!$A$6:$A$3005,A205))</f>
        <v/>
      </c>
      <c r="L205" s="73">
        <f>IF(A205="","",SUMIFS(ERFASSUNG!$I$6:$I$3005,ERFASSUNG!$A$6:$A$3005,A205))</f>
        <v/>
      </c>
      <c r="M205" s="73">
        <f>IF(A205="","",SUMIFS(ERFASSUNG!$J$6:$J$3005,ERFASSUNG!$A$6:$A$3005,A205))</f>
        <v/>
      </c>
      <c r="N205" s="73">
        <f>IF(A205="","",SUMIFS(ERFASSUNG!$K$6:$K$3005,ERFASSUNG!$A$6:$A$3005,A205))</f>
        <v/>
      </c>
      <c r="O205" s="73">
        <f>IF(A205="","",SUMIFS(ERFASSUNG!$L$6:$L$3005,ERFASSUNG!$A$6:$A$3005,A205))</f>
        <v/>
      </c>
      <c r="P205" s="73">
        <f>IF(A205="","",SUMIFS(ERFASSUNG!$M$6:$M$3005,ERFASSUNG!$A$6:$A$3005,A205))</f>
        <v/>
      </c>
      <c r="Q205" s="73">
        <f>IF(A205="","",SUMIFS(ERFASSUNG!$N$6:$N$3005,ERFASSUNG!$A$6:$A$3005,A205))</f>
        <v/>
      </c>
    </row>
    <row r="206">
      <c r="A206" s="72">
        <f>IF(YEAR(DATE(LISTEN!$F$2,1,1)+201)=LISTEN!$F$2,DATE(LISTEN!$F$2,1,1)+201,"")</f>
        <v/>
      </c>
      <c r="B206" s="73">
        <f>IF(A206="","",CHOOSE(WEEKDAY(A206,2),"Mo","Di","Mi","Do","Fr","Sa","So"))</f>
        <v/>
      </c>
      <c r="C206" s="73">
        <f>IF(A206="","",INT((A206-DATE(YEAR(A206-WEEKDAY(A206-1)+4),1,3)+WEEKDAY(DATE(YEAR(A206-WEEKDAY(A206-1)+4),1,3))+5)/7))</f>
        <v/>
      </c>
      <c r="D206" s="73">
        <f>IF(A206="","",MONTH(A206))</f>
        <v/>
      </c>
      <c r="E206" s="73">
        <f>IF(A206="","",WEEKDAY(A206,2))</f>
        <v/>
      </c>
      <c r="F206" s="73">
        <f>IF(A206="","",COUNTIF(ERFASSUNG!$A$6:$A$3005,A206))</f>
        <v/>
      </c>
      <c r="G206" s="73">
        <f>IF(A206="","",IF(F206&gt;0,1,0))</f>
        <v/>
      </c>
      <c r="H206" s="73">
        <f>IF(A206="","",SUMIFS(ERFASSUNG!$E$6:$E$3005,ERFASSUNG!$A$6:$A$3005,A206))</f>
        <v/>
      </c>
      <c r="I206" s="73">
        <f>IF(A206="","",SUMIFS(ERFASSUNG!$F$6:$F$3005,ERFASSUNG!$A$6:$A$3005,A206))</f>
        <v/>
      </c>
      <c r="J206" s="73">
        <f>IF(A206="","",SUMIFS(ERFASSUNG!$G$6:$G$3005,ERFASSUNG!$A$6:$A$3005,A206))</f>
        <v/>
      </c>
      <c r="K206" s="73">
        <f>IF(A206="","",SUMIFS(ERFASSUNG!$H$6:$H$3005,ERFASSUNG!$A$6:$A$3005,A206))</f>
        <v/>
      </c>
      <c r="L206" s="73">
        <f>IF(A206="","",SUMIFS(ERFASSUNG!$I$6:$I$3005,ERFASSUNG!$A$6:$A$3005,A206))</f>
        <v/>
      </c>
      <c r="M206" s="73">
        <f>IF(A206="","",SUMIFS(ERFASSUNG!$J$6:$J$3005,ERFASSUNG!$A$6:$A$3005,A206))</f>
        <v/>
      </c>
      <c r="N206" s="73">
        <f>IF(A206="","",SUMIFS(ERFASSUNG!$K$6:$K$3005,ERFASSUNG!$A$6:$A$3005,A206))</f>
        <v/>
      </c>
      <c r="O206" s="73">
        <f>IF(A206="","",SUMIFS(ERFASSUNG!$L$6:$L$3005,ERFASSUNG!$A$6:$A$3005,A206))</f>
        <v/>
      </c>
      <c r="P206" s="73">
        <f>IF(A206="","",SUMIFS(ERFASSUNG!$M$6:$M$3005,ERFASSUNG!$A$6:$A$3005,A206))</f>
        <v/>
      </c>
      <c r="Q206" s="73">
        <f>IF(A206="","",SUMIFS(ERFASSUNG!$N$6:$N$3005,ERFASSUNG!$A$6:$A$3005,A206))</f>
        <v/>
      </c>
    </row>
    <row r="207">
      <c r="A207" s="72">
        <f>IF(YEAR(DATE(LISTEN!$F$2,1,1)+202)=LISTEN!$F$2,DATE(LISTEN!$F$2,1,1)+202,"")</f>
        <v/>
      </c>
      <c r="B207" s="73">
        <f>IF(A207="","",CHOOSE(WEEKDAY(A207,2),"Mo","Di","Mi","Do","Fr","Sa","So"))</f>
        <v/>
      </c>
      <c r="C207" s="73">
        <f>IF(A207="","",INT((A207-DATE(YEAR(A207-WEEKDAY(A207-1)+4),1,3)+WEEKDAY(DATE(YEAR(A207-WEEKDAY(A207-1)+4),1,3))+5)/7))</f>
        <v/>
      </c>
      <c r="D207" s="73">
        <f>IF(A207="","",MONTH(A207))</f>
        <v/>
      </c>
      <c r="E207" s="73">
        <f>IF(A207="","",WEEKDAY(A207,2))</f>
        <v/>
      </c>
      <c r="F207" s="73">
        <f>IF(A207="","",COUNTIF(ERFASSUNG!$A$6:$A$3005,A207))</f>
        <v/>
      </c>
      <c r="G207" s="73">
        <f>IF(A207="","",IF(F207&gt;0,1,0))</f>
        <v/>
      </c>
      <c r="H207" s="73">
        <f>IF(A207="","",SUMIFS(ERFASSUNG!$E$6:$E$3005,ERFASSUNG!$A$6:$A$3005,A207))</f>
        <v/>
      </c>
      <c r="I207" s="73">
        <f>IF(A207="","",SUMIFS(ERFASSUNG!$F$6:$F$3005,ERFASSUNG!$A$6:$A$3005,A207))</f>
        <v/>
      </c>
      <c r="J207" s="73">
        <f>IF(A207="","",SUMIFS(ERFASSUNG!$G$6:$G$3005,ERFASSUNG!$A$6:$A$3005,A207))</f>
        <v/>
      </c>
      <c r="K207" s="73">
        <f>IF(A207="","",SUMIFS(ERFASSUNG!$H$6:$H$3005,ERFASSUNG!$A$6:$A$3005,A207))</f>
        <v/>
      </c>
      <c r="L207" s="73">
        <f>IF(A207="","",SUMIFS(ERFASSUNG!$I$6:$I$3005,ERFASSUNG!$A$6:$A$3005,A207))</f>
        <v/>
      </c>
      <c r="M207" s="73">
        <f>IF(A207="","",SUMIFS(ERFASSUNG!$J$6:$J$3005,ERFASSUNG!$A$6:$A$3005,A207))</f>
        <v/>
      </c>
      <c r="N207" s="73">
        <f>IF(A207="","",SUMIFS(ERFASSUNG!$K$6:$K$3005,ERFASSUNG!$A$6:$A$3005,A207))</f>
        <v/>
      </c>
      <c r="O207" s="73">
        <f>IF(A207="","",SUMIFS(ERFASSUNG!$L$6:$L$3005,ERFASSUNG!$A$6:$A$3005,A207))</f>
        <v/>
      </c>
      <c r="P207" s="73">
        <f>IF(A207="","",SUMIFS(ERFASSUNG!$M$6:$M$3005,ERFASSUNG!$A$6:$A$3005,A207))</f>
        <v/>
      </c>
      <c r="Q207" s="73">
        <f>IF(A207="","",SUMIFS(ERFASSUNG!$N$6:$N$3005,ERFASSUNG!$A$6:$A$3005,A207))</f>
        <v/>
      </c>
    </row>
    <row r="208">
      <c r="A208" s="72">
        <f>IF(YEAR(DATE(LISTEN!$F$2,1,1)+203)=LISTEN!$F$2,DATE(LISTEN!$F$2,1,1)+203,"")</f>
        <v/>
      </c>
      <c r="B208" s="73">
        <f>IF(A208="","",CHOOSE(WEEKDAY(A208,2),"Mo","Di","Mi","Do","Fr","Sa","So"))</f>
        <v/>
      </c>
      <c r="C208" s="73">
        <f>IF(A208="","",INT((A208-DATE(YEAR(A208-WEEKDAY(A208-1)+4),1,3)+WEEKDAY(DATE(YEAR(A208-WEEKDAY(A208-1)+4),1,3))+5)/7))</f>
        <v/>
      </c>
      <c r="D208" s="73">
        <f>IF(A208="","",MONTH(A208))</f>
        <v/>
      </c>
      <c r="E208" s="73">
        <f>IF(A208="","",WEEKDAY(A208,2))</f>
        <v/>
      </c>
      <c r="F208" s="73">
        <f>IF(A208="","",COUNTIF(ERFASSUNG!$A$6:$A$3005,A208))</f>
        <v/>
      </c>
      <c r="G208" s="73">
        <f>IF(A208="","",IF(F208&gt;0,1,0))</f>
        <v/>
      </c>
      <c r="H208" s="73">
        <f>IF(A208="","",SUMIFS(ERFASSUNG!$E$6:$E$3005,ERFASSUNG!$A$6:$A$3005,A208))</f>
        <v/>
      </c>
      <c r="I208" s="73">
        <f>IF(A208="","",SUMIFS(ERFASSUNG!$F$6:$F$3005,ERFASSUNG!$A$6:$A$3005,A208))</f>
        <v/>
      </c>
      <c r="J208" s="73">
        <f>IF(A208="","",SUMIFS(ERFASSUNG!$G$6:$G$3005,ERFASSUNG!$A$6:$A$3005,A208))</f>
        <v/>
      </c>
      <c r="K208" s="73">
        <f>IF(A208="","",SUMIFS(ERFASSUNG!$H$6:$H$3005,ERFASSUNG!$A$6:$A$3005,A208))</f>
        <v/>
      </c>
      <c r="L208" s="73">
        <f>IF(A208="","",SUMIFS(ERFASSUNG!$I$6:$I$3005,ERFASSUNG!$A$6:$A$3005,A208))</f>
        <v/>
      </c>
      <c r="M208" s="73">
        <f>IF(A208="","",SUMIFS(ERFASSUNG!$J$6:$J$3005,ERFASSUNG!$A$6:$A$3005,A208))</f>
        <v/>
      </c>
      <c r="N208" s="73">
        <f>IF(A208="","",SUMIFS(ERFASSUNG!$K$6:$K$3005,ERFASSUNG!$A$6:$A$3005,A208))</f>
        <v/>
      </c>
      <c r="O208" s="73">
        <f>IF(A208="","",SUMIFS(ERFASSUNG!$L$6:$L$3005,ERFASSUNG!$A$6:$A$3005,A208))</f>
        <v/>
      </c>
      <c r="P208" s="73">
        <f>IF(A208="","",SUMIFS(ERFASSUNG!$M$6:$M$3005,ERFASSUNG!$A$6:$A$3005,A208))</f>
        <v/>
      </c>
      <c r="Q208" s="73">
        <f>IF(A208="","",SUMIFS(ERFASSUNG!$N$6:$N$3005,ERFASSUNG!$A$6:$A$3005,A208))</f>
        <v/>
      </c>
    </row>
    <row r="209">
      <c r="A209" s="72">
        <f>IF(YEAR(DATE(LISTEN!$F$2,1,1)+204)=LISTEN!$F$2,DATE(LISTEN!$F$2,1,1)+204,"")</f>
        <v/>
      </c>
      <c r="B209" s="73">
        <f>IF(A209="","",CHOOSE(WEEKDAY(A209,2),"Mo","Di","Mi","Do","Fr","Sa","So"))</f>
        <v/>
      </c>
      <c r="C209" s="73">
        <f>IF(A209="","",INT((A209-DATE(YEAR(A209-WEEKDAY(A209-1)+4),1,3)+WEEKDAY(DATE(YEAR(A209-WEEKDAY(A209-1)+4),1,3))+5)/7))</f>
        <v/>
      </c>
      <c r="D209" s="73">
        <f>IF(A209="","",MONTH(A209))</f>
        <v/>
      </c>
      <c r="E209" s="73">
        <f>IF(A209="","",WEEKDAY(A209,2))</f>
        <v/>
      </c>
      <c r="F209" s="73">
        <f>IF(A209="","",COUNTIF(ERFASSUNG!$A$6:$A$3005,A209))</f>
        <v/>
      </c>
      <c r="G209" s="73">
        <f>IF(A209="","",IF(F209&gt;0,1,0))</f>
        <v/>
      </c>
      <c r="H209" s="73">
        <f>IF(A209="","",SUMIFS(ERFASSUNG!$E$6:$E$3005,ERFASSUNG!$A$6:$A$3005,A209))</f>
        <v/>
      </c>
      <c r="I209" s="73">
        <f>IF(A209="","",SUMIFS(ERFASSUNG!$F$6:$F$3005,ERFASSUNG!$A$6:$A$3005,A209))</f>
        <v/>
      </c>
      <c r="J209" s="73">
        <f>IF(A209="","",SUMIFS(ERFASSUNG!$G$6:$G$3005,ERFASSUNG!$A$6:$A$3005,A209))</f>
        <v/>
      </c>
      <c r="K209" s="73">
        <f>IF(A209="","",SUMIFS(ERFASSUNG!$H$6:$H$3005,ERFASSUNG!$A$6:$A$3005,A209))</f>
        <v/>
      </c>
      <c r="L209" s="73">
        <f>IF(A209="","",SUMIFS(ERFASSUNG!$I$6:$I$3005,ERFASSUNG!$A$6:$A$3005,A209))</f>
        <v/>
      </c>
      <c r="M209" s="73">
        <f>IF(A209="","",SUMIFS(ERFASSUNG!$J$6:$J$3005,ERFASSUNG!$A$6:$A$3005,A209))</f>
        <v/>
      </c>
      <c r="N209" s="73">
        <f>IF(A209="","",SUMIFS(ERFASSUNG!$K$6:$K$3005,ERFASSUNG!$A$6:$A$3005,A209))</f>
        <v/>
      </c>
      <c r="O209" s="73">
        <f>IF(A209="","",SUMIFS(ERFASSUNG!$L$6:$L$3005,ERFASSUNG!$A$6:$A$3005,A209))</f>
        <v/>
      </c>
      <c r="P209" s="73">
        <f>IF(A209="","",SUMIFS(ERFASSUNG!$M$6:$M$3005,ERFASSUNG!$A$6:$A$3005,A209))</f>
        <v/>
      </c>
      <c r="Q209" s="73">
        <f>IF(A209="","",SUMIFS(ERFASSUNG!$N$6:$N$3005,ERFASSUNG!$A$6:$A$3005,A209))</f>
        <v/>
      </c>
    </row>
    <row r="210">
      <c r="A210" s="72">
        <f>IF(YEAR(DATE(LISTEN!$F$2,1,1)+205)=LISTEN!$F$2,DATE(LISTEN!$F$2,1,1)+205,"")</f>
        <v/>
      </c>
      <c r="B210" s="73">
        <f>IF(A210="","",CHOOSE(WEEKDAY(A210,2),"Mo","Di","Mi","Do","Fr","Sa","So"))</f>
        <v/>
      </c>
      <c r="C210" s="73">
        <f>IF(A210="","",INT((A210-DATE(YEAR(A210-WEEKDAY(A210-1)+4),1,3)+WEEKDAY(DATE(YEAR(A210-WEEKDAY(A210-1)+4),1,3))+5)/7))</f>
        <v/>
      </c>
      <c r="D210" s="73">
        <f>IF(A210="","",MONTH(A210))</f>
        <v/>
      </c>
      <c r="E210" s="73">
        <f>IF(A210="","",WEEKDAY(A210,2))</f>
        <v/>
      </c>
      <c r="F210" s="73">
        <f>IF(A210="","",COUNTIF(ERFASSUNG!$A$6:$A$3005,A210))</f>
        <v/>
      </c>
      <c r="G210" s="73">
        <f>IF(A210="","",IF(F210&gt;0,1,0))</f>
        <v/>
      </c>
      <c r="H210" s="73">
        <f>IF(A210="","",SUMIFS(ERFASSUNG!$E$6:$E$3005,ERFASSUNG!$A$6:$A$3005,A210))</f>
        <v/>
      </c>
      <c r="I210" s="73">
        <f>IF(A210="","",SUMIFS(ERFASSUNG!$F$6:$F$3005,ERFASSUNG!$A$6:$A$3005,A210))</f>
        <v/>
      </c>
      <c r="J210" s="73">
        <f>IF(A210="","",SUMIFS(ERFASSUNG!$G$6:$G$3005,ERFASSUNG!$A$6:$A$3005,A210))</f>
        <v/>
      </c>
      <c r="K210" s="73">
        <f>IF(A210="","",SUMIFS(ERFASSUNG!$H$6:$H$3005,ERFASSUNG!$A$6:$A$3005,A210))</f>
        <v/>
      </c>
      <c r="L210" s="73">
        <f>IF(A210="","",SUMIFS(ERFASSUNG!$I$6:$I$3005,ERFASSUNG!$A$6:$A$3005,A210))</f>
        <v/>
      </c>
      <c r="M210" s="73">
        <f>IF(A210="","",SUMIFS(ERFASSUNG!$J$6:$J$3005,ERFASSUNG!$A$6:$A$3005,A210))</f>
        <v/>
      </c>
      <c r="N210" s="73">
        <f>IF(A210="","",SUMIFS(ERFASSUNG!$K$6:$K$3005,ERFASSUNG!$A$6:$A$3005,A210))</f>
        <v/>
      </c>
      <c r="O210" s="73">
        <f>IF(A210="","",SUMIFS(ERFASSUNG!$L$6:$L$3005,ERFASSUNG!$A$6:$A$3005,A210))</f>
        <v/>
      </c>
      <c r="P210" s="73">
        <f>IF(A210="","",SUMIFS(ERFASSUNG!$M$6:$M$3005,ERFASSUNG!$A$6:$A$3005,A210))</f>
        <v/>
      </c>
      <c r="Q210" s="73">
        <f>IF(A210="","",SUMIFS(ERFASSUNG!$N$6:$N$3005,ERFASSUNG!$A$6:$A$3005,A210))</f>
        <v/>
      </c>
    </row>
    <row r="211">
      <c r="A211" s="72">
        <f>IF(YEAR(DATE(LISTEN!$F$2,1,1)+206)=LISTEN!$F$2,DATE(LISTEN!$F$2,1,1)+206,"")</f>
        <v/>
      </c>
      <c r="B211" s="73">
        <f>IF(A211="","",CHOOSE(WEEKDAY(A211,2),"Mo","Di","Mi","Do","Fr","Sa","So"))</f>
        <v/>
      </c>
      <c r="C211" s="73">
        <f>IF(A211="","",INT((A211-DATE(YEAR(A211-WEEKDAY(A211-1)+4),1,3)+WEEKDAY(DATE(YEAR(A211-WEEKDAY(A211-1)+4),1,3))+5)/7))</f>
        <v/>
      </c>
      <c r="D211" s="73">
        <f>IF(A211="","",MONTH(A211))</f>
        <v/>
      </c>
      <c r="E211" s="73">
        <f>IF(A211="","",WEEKDAY(A211,2))</f>
        <v/>
      </c>
      <c r="F211" s="73">
        <f>IF(A211="","",COUNTIF(ERFASSUNG!$A$6:$A$3005,A211))</f>
        <v/>
      </c>
      <c r="G211" s="73">
        <f>IF(A211="","",IF(F211&gt;0,1,0))</f>
        <v/>
      </c>
      <c r="H211" s="73">
        <f>IF(A211="","",SUMIFS(ERFASSUNG!$E$6:$E$3005,ERFASSUNG!$A$6:$A$3005,A211))</f>
        <v/>
      </c>
      <c r="I211" s="73">
        <f>IF(A211="","",SUMIFS(ERFASSUNG!$F$6:$F$3005,ERFASSUNG!$A$6:$A$3005,A211))</f>
        <v/>
      </c>
      <c r="J211" s="73">
        <f>IF(A211="","",SUMIFS(ERFASSUNG!$G$6:$G$3005,ERFASSUNG!$A$6:$A$3005,A211))</f>
        <v/>
      </c>
      <c r="K211" s="73">
        <f>IF(A211="","",SUMIFS(ERFASSUNG!$H$6:$H$3005,ERFASSUNG!$A$6:$A$3005,A211))</f>
        <v/>
      </c>
      <c r="L211" s="73">
        <f>IF(A211="","",SUMIFS(ERFASSUNG!$I$6:$I$3005,ERFASSUNG!$A$6:$A$3005,A211))</f>
        <v/>
      </c>
      <c r="M211" s="73">
        <f>IF(A211="","",SUMIFS(ERFASSUNG!$J$6:$J$3005,ERFASSUNG!$A$6:$A$3005,A211))</f>
        <v/>
      </c>
      <c r="N211" s="73">
        <f>IF(A211="","",SUMIFS(ERFASSUNG!$K$6:$K$3005,ERFASSUNG!$A$6:$A$3005,A211))</f>
        <v/>
      </c>
      <c r="O211" s="73">
        <f>IF(A211="","",SUMIFS(ERFASSUNG!$L$6:$L$3005,ERFASSUNG!$A$6:$A$3005,A211))</f>
        <v/>
      </c>
      <c r="P211" s="73">
        <f>IF(A211="","",SUMIFS(ERFASSUNG!$M$6:$M$3005,ERFASSUNG!$A$6:$A$3005,A211))</f>
        <v/>
      </c>
      <c r="Q211" s="73">
        <f>IF(A211="","",SUMIFS(ERFASSUNG!$N$6:$N$3005,ERFASSUNG!$A$6:$A$3005,A211))</f>
        <v/>
      </c>
    </row>
    <row r="212">
      <c r="A212" s="72">
        <f>IF(YEAR(DATE(LISTEN!$F$2,1,1)+207)=LISTEN!$F$2,DATE(LISTEN!$F$2,1,1)+207,"")</f>
        <v/>
      </c>
      <c r="B212" s="73">
        <f>IF(A212="","",CHOOSE(WEEKDAY(A212,2),"Mo","Di","Mi","Do","Fr","Sa","So"))</f>
        <v/>
      </c>
      <c r="C212" s="73">
        <f>IF(A212="","",INT((A212-DATE(YEAR(A212-WEEKDAY(A212-1)+4),1,3)+WEEKDAY(DATE(YEAR(A212-WEEKDAY(A212-1)+4),1,3))+5)/7))</f>
        <v/>
      </c>
      <c r="D212" s="73">
        <f>IF(A212="","",MONTH(A212))</f>
        <v/>
      </c>
      <c r="E212" s="73">
        <f>IF(A212="","",WEEKDAY(A212,2))</f>
        <v/>
      </c>
      <c r="F212" s="73">
        <f>IF(A212="","",COUNTIF(ERFASSUNG!$A$6:$A$3005,A212))</f>
        <v/>
      </c>
      <c r="G212" s="73">
        <f>IF(A212="","",IF(F212&gt;0,1,0))</f>
        <v/>
      </c>
      <c r="H212" s="73">
        <f>IF(A212="","",SUMIFS(ERFASSUNG!$E$6:$E$3005,ERFASSUNG!$A$6:$A$3005,A212))</f>
        <v/>
      </c>
      <c r="I212" s="73">
        <f>IF(A212="","",SUMIFS(ERFASSUNG!$F$6:$F$3005,ERFASSUNG!$A$6:$A$3005,A212))</f>
        <v/>
      </c>
      <c r="J212" s="73">
        <f>IF(A212="","",SUMIFS(ERFASSUNG!$G$6:$G$3005,ERFASSUNG!$A$6:$A$3005,A212))</f>
        <v/>
      </c>
      <c r="K212" s="73">
        <f>IF(A212="","",SUMIFS(ERFASSUNG!$H$6:$H$3005,ERFASSUNG!$A$6:$A$3005,A212))</f>
        <v/>
      </c>
      <c r="L212" s="73">
        <f>IF(A212="","",SUMIFS(ERFASSUNG!$I$6:$I$3005,ERFASSUNG!$A$6:$A$3005,A212))</f>
        <v/>
      </c>
      <c r="M212" s="73">
        <f>IF(A212="","",SUMIFS(ERFASSUNG!$J$6:$J$3005,ERFASSUNG!$A$6:$A$3005,A212))</f>
        <v/>
      </c>
      <c r="N212" s="73">
        <f>IF(A212="","",SUMIFS(ERFASSUNG!$K$6:$K$3005,ERFASSUNG!$A$6:$A$3005,A212))</f>
        <v/>
      </c>
      <c r="O212" s="73">
        <f>IF(A212="","",SUMIFS(ERFASSUNG!$L$6:$L$3005,ERFASSUNG!$A$6:$A$3005,A212))</f>
        <v/>
      </c>
      <c r="P212" s="73">
        <f>IF(A212="","",SUMIFS(ERFASSUNG!$M$6:$M$3005,ERFASSUNG!$A$6:$A$3005,A212))</f>
        <v/>
      </c>
      <c r="Q212" s="73">
        <f>IF(A212="","",SUMIFS(ERFASSUNG!$N$6:$N$3005,ERFASSUNG!$A$6:$A$3005,A212))</f>
        <v/>
      </c>
    </row>
    <row r="213">
      <c r="A213" s="72">
        <f>IF(YEAR(DATE(LISTEN!$F$2,1,1)+208)=LISTEN!$F$2,DATE(LISTEN!$F$2,1,1)+208,"")</f>
        <v/>
      </c>
      <c r="B213" s="73">
        <f>IF(A213="","",CHOOSE(WEEKDAY(A213,2),"Mo","Di","Mi","Do","Fr","Sa","So"))</f>
        <v/>
      </c>
      <c r="C213" s="73">
        <f>IF(A213="","",INT((A213-DATE(YEAR(A213-WEEKDAY(A213-1)+4),1,3)+WEEKDAY(DATE(YEAR(A213-WEEKDAY(A213-1)+4),1,3))+5)/7))</f>
        <v/>
      </c>
      <c r="D213" s="73">
        <f>IF(A213="","",MONTH(A213))</f>
        <v/>
      </c>
      <c r="E213" s="73">
        <f>IF(A213="","",WEEKDAY(A213,2))</f>
        <v/>
      </c>
      <c r="F213" s="73">
        <f>IF(A213="","",COUNTIF(ERFASSUNG!$A$6:$A$3005,A213))</f>
        <v/>
      </c>
      <c r="G213" s="73">
        <f>IF(A213="","",IF(F213&gt;0,1,0))</f>
        <v/>
      </c>
      <c r="H213" s="73">
        <f>IF(A213="","",SUMIFS(ERFASSUNG!$E$6:$E$3005,ERFASSUNG!$A$6:$A$3005,A213))</f>
        <v/>
      </c>
      <c r="I213" s="73">
        <f>IF(A213="","",SUMIFS(ERFASSUNG!$F$6:$F$3005,ERFASSUNG!$A$6:$A$3005,A213))</f>
        <v/>
      </c>
      <c r="J213" s="73">
        <f>IF(A213="","",SUMIFS(ERFASSUNG!$G$6:$G$3005,ERFASSUNG!$A$6:$A$3005,A213))</f>
        <v/>
      </c>
      <c r="K213" s="73">
        <f>IF(A213="","",SUMIFS(ERFASSUNG!$H$6:$H$3005,ERFASSUNG!$A$6:$A$3005,A213))</f>
        <v/>
      </c>
      <c r="L213" s="73">
        <f>IF(A213="","",SUMIFS(ERFASSUNG!$I$6:$I$3005,ERFASSUNG!$A$6:$A$3005,A213))</f>
        <v/>
      </c>
      <c r="M213" s="73">
        <f>IF(A213="","",SUMIFS(ERFASSUNG!$J$6:$J$3005,ERFASSUNG!$A$6:$A$3005,A213))</f>
        <v/>
      </c>
      <c r="N213" s="73">
        <f>IF(A213="","",SUMIFS(ERFASSUNG!$K$6:$K$3005,ERFASSUNG!$A$6:$A$3005,A213))</f>
        <v/>
      </c>
      <c r="O213" s="73">
        <f>IF(A213="","",SUMIFS(ERFASSUNG!$L$6:$L$3005,ERFASSUNG!$A$6:$A$3005,A213))</f>
        <v/>
      </c>
      <c r="P213" s="73">
        <f>IF(A213="","",SUMIFS(ERFASSUNG!$M$6:$M$3005,ERFASSUNG!$A$6:$A$3005,A213))</f>
        <v/>
      </c>
      <c r="Q213" s="73">
        <f>IF(A213="","",SUMIFS(ERFASSUNG!$N$6:$N$3005,ERFASSUNG!$A$6:$A$3005,A213))</f>
        <v/>
      </c>
    </row>
    <row r="214">
      <c r="A214" s="72">
        <f>IF(YEAR(DATE(LISTEN!$F$2,1,1)+209)=LISTEN!$F$2,DATE(LISTEN!$F$2,1,1)+209,"")</f>
        <v/>
      </c>
      <c r="B214" s="73">
        <f>IF(A214="","",CHOOSE(WEEKDAY(A214,2),"Mo","Di","Mi","Do","Fr","Sa","So"))</f>
        <v/>
      </c>
      <c r="C214" s="73">
        <f>IF(A214="","",INT((A214-DATE(YEAR(A214-WEEKDAY(A214-1)+4),1,3)+WEEKDAY(DATE(YEAR(A214-WEEKDAY(A214-1)+4),1,3))+5)/7))</f>
        <v/>
      </c>
      <c r="D214" s="73">
        <f>IF(A214="","",MONTH(A214))</f>
        <v/>
      </c>
      <c r="E214" s="73">
        <f>IF(A214="","",WEEKDAY(A214,2))</f>
        <v/>
      </c>
      <c r="F214" s="73">
        <f>IF(A214="","",COUNTIF(ERFASSUNG!$A$6:$A$3005,A214))</f>
        <v/>
      </c>
      <c r="G214" s="73">
        <f>IF(A214="","",IF(F214&gt;0,1,0))</f>
        <v/>
      </c>
      <c r="H214" s="73">
        <f>IF(A214="","",SUMIFS(ERFASSUNG!$E$6:$E$3005,ERFASSUNG!$A$6:$A$3005,A214))</f>
        <v/>
      </c>
      <c r="I214" s="73">
        <f>IF(A214="","",SUMIFS(ERFASSUNG!$F$6:$F$3005,ERFASSUNG!$A$6:$A$3005,A214))</f>
        <v/>
      </c>
      <c r="J214" s="73">
        <f>IF(A214="","",SUMIFS(ERFASSUNG!$G$6:$G$3005,ERFASSUNG!$A$6:$A$3005,A214))</f>
        <v/>
      </c>
      <c r="K214" s="73">
        <f>IF(A214="","",SUMIFS(ERFASSUNG!$H$6:$H$3005,ERFASSUNG!$A$6:$A$3005,A214))</f>
        <v/>
      </c>
      <c r="L214" s="73">
        <f>IF(A214="","",SUMIFS(ERFASSUNG!$I$6:$I$3005,ERFASSUNG!$A$6:$A$3005,A214))</f>
        <v/>
      </c>
      <c r="M214" s="73">
        <f>IF(A214="","",SUMIFS(ERFASSUNG!$J$6:$J$3005,ERFASSUNG!$A$6:$A$3005,A214))</f>
        <v/>
      </c>
      <c r="N214" s="73">
        <f>IF(A214="","",SUMIFS(ERFASSUNG!$K$6:$K$3005,ERFASSUNG!$A$6:$A$3005,A214))</f>
        <v/>
      </c>
      <c r="O214" s="73">
        <f>IF(A214="","",SUMIFS(ERFASSUNG!$L$6:$L$3005,ERFASSUNG!$A$6:$A$3005,A214))</f>
        <v/>
      </c>
      <c r="P214" s="73">
        <f>IF(A214="","",SUMIFS(ERFASSUNG!$M$6:$M$3005,ERFASSUNG!$A$6:$A$3005,A214))</f>
        <v/>
      </c>
      <c r="Q214" s="73">
        <f>IF(A214="","",SUMIFS(ERFASSUNG!$N$6:$N$3005,ERFASSUNG!$A$6:$A$3005,A214))</f>
        <v/>
      </c>
    </row>
    <row r="215">
      <c r="A215" s="72">
        <f>IF(YEAR(DATE(LISTEN!$F$2,1,1)+210)=LISTEN!$F$2,DATE(LISTEN!$F$2,1,1)+210,"")</f>
        <v/>
      </c>
      <c r="B215" s="73">
        <f>IF(A215="","",CHOOSE(WEEKDAY(A215,2),"Mo","Di","Mi","Do","Fr","Sa","So"))</f>
        <v/>
      </c>
      <c r="C215" s="73">
        <f>IF(A215="","",INT((A215-DATE(YEAR(A215-WEEKDAY(A215-1)+4),1,3)+WEEKDAY(DATE(YEAR(A215-WEEKDAY(A215-1)+4),1,3))+5)/7))</f>
        <v/>
      </c>
      <c r="D215" s="73">
        <f>IF(A215="","",MONTH(A215))</f>
        <v/>
      </c>
      <c r="E215" s="73">
        <f>IF(A215="","",WEEKDAY(A215,2))</f>
        <v/>
      </c>
      <c r="F215" s="73">
        <f>IF(A215="","",COUNTIF(ERFASSUNG!$A$6:$A$3005,A215))</f>
        <v/>
      </c>
      <c r="G215" s="73">
        <f>IF(A215="","",IF(F215&gt;0,1,0))</f>
        <v/>
      </c>
      <c r="H215" s="73">
        <f>IF(A215="","",SUMIFS(ERFASSUNG!$E$6:$E$3005,ERFASSUNG!$A$6:$A$3005,A215))</f>
        <v/>
      </c>
      <c r="I215" s="73">
        <f>IF(A215="","",SUMIFS(ERFASSUNG!$F$6:$F$3005,ERFASSUNG!$A$6:$A$3005,A215))</f>
        <v/>
      </c>
      <c r="J215" s="73">
        <f>IF(A215="","",SUMIFS(ERFASSUNG!$G$6:$G$3005,ERFASSUNG!$A$6:$A$3005,A215))</f>
        <v/>
      </c>
      <c r="K215" s="73">
        <f>IF(A215="","",SUMIFS(ERFASSUNG!$H$6:$H$3005,ERFASSUNG!$A$6:$A$3005,A215))</f>
        <v/>
      </c>
      <c r="L215" s="73">
        <f>IF(A215="","",SUMIFS(ERFASSUNG!$I$6:$I$3005,ERFASSUNG!$A$6:$A$3005,A215))</f>
        <v/>
      </c>
      <c r="M215" s="73">
        <f>IF(A215="","",SUMIFS(ERFASSUNG!$J$6:$J$3005,ERFASSUNG!$A$6:$A$3005,A215))</f>
        <v/>
      </c>
      <c r="N215" s="73">
        <f>IF(A215="","",SUMIFS(ERFASSUNG!$K$6:$K$3005,ERFASSUNG!$A$6:$A$3005,A215))</f>
        <v/>
      </c>
      <c r="O215" s="73">
        <f>IF(A215="","",SUMIFS(ERFASSUNG!$L$6:$L$3005,ERFASSUNG!$A$6:$A$3005,A215))</f>
        <v/>
      </c>
      <c r="P215" s="73">
        <f>IF(A215="","",SUMIFS(ERFASSUNG!$M$6:$M$3005,ERFASSUNG!$A$6:$A$3005,A215))</f>
        <v/>
      </c>
      <c r="Q215" s="73">
        <f>IF(A215="","",SUMIFS(ERFASSUNG!$N$6:$N$3005,ERFASSUNG!$A$6:$A$3005,A215))</f>
        <v/>
      </c>
    </row>
    <row r="216">
      <c r="A216" s="72">
        <f>IF(YEAR(DATE(LISTEN!$F$2,1,1)+211)=LISTEN!$F$2,DATE(LISTEN!$F$2,1,1)+211,"")</f>
        <v/>
      </c>
      <c r="B216" s="73">
        <f>IF(A216="","",CHOOSE(WEEKDAY(A216,2),"Mo","Di","Mi","Do","Fr","Sa","So"))</f>
        <v/>
      </c>
      <c r="C216" s="73">
        <f>IF(A216="","",INT((A216-DATE(YEAR(A216-WEEKDAY(A216-1)+4),1,3)+WEEKDAY(DATE(YEAR(A216-WEEKDAY(A216-1)+4),1,3))+5)/7))</f>
        <v/>
      </c>
      <c r="D216" s="73">
        <f>IF(A216="","",MONTH(A216))</f>
        <v/>
      </c>
      <c r="E216" s="73">
        <f>IF(A216="","",WEEKDAY(A216,2))</f>
        <v/>
      </c>
      <c r="F216" s="73">
        <f>IF(A216="","",COUNTIF(ERFASSUNG!$A$6:$A$3005,A216))</f>
        <v/>
      </c>
      <c r="G216" s="73">
        <f>IF(A216="","",IF(F216&gt;0,1,0))</f>
        <v/>
      </c>
      <c r="H216" s="73">
        <f>IF(A216="","",SUMIFS(ERFASSUNG!$E$6:$E$3005,ERFASSUNG!$A$6:$A$3005,A216))</f>
        <v/>
      </c>
      <c r="I216" s="73">
        <f>IF(A216="","",SUMIFS(ERFASSUNG!$F$6:$F$3005,ERFASSUNG!$A$6:$A$3005,A216))</f>
        <v/>
      </c>
      <c r="J216" s="73">
        <f>IF(A216="","",SUMIFS(ERFASSUNG!$G$6:$G$3005,ERFASSUNG!$A$6:$A$3005,A216))</f>
        <v/>
      </c>
      <c r="K216" s="73">
        <f>IF(A216="","",SUMIFS(ERFASSUNG!$H$6:$H$3005,ERFASSUNG!$A$6:$A$3005,A216))</f>
        <v/>
      </c>
      <c r="L216" s="73">
        <f>IF(A216="","",SUMIFS(ERFASSUNG!$I$6:$I$3005,ERFASSUNG!$A$6:$A$3005,A216))</f>
        <v/>
      </c>
      <c r="M216" s="73">
        <f>IF(A216="","",SUMIFS(ERFASSUNG!$J$6:$J$3005,ERFASSUNG!$A$6:$A$3005,A216))</f>
        <v/>
      </c>
      <c r="N216" s="73">
        <f>IF(A216="","",SUMIFS(ERFASSUNG!$K$6:$K$3005,ERFASSUNG!$A$6:$A$3005,A216))</f>
        <v/>
      </c>
      <c r="O216" s="73">
        <f>IF(A216="","",SUMIFS(ERFASSUNG!$L$6:$L$3005,ERFASSUNG!$A$6:$A$3005,A216))</f>
        <v/>
      </c>
      <c r="P216" s="73">
        <f>IF(A216="","",SUMIFS(ERFASSUNG!$M$6:$M$3005,ERFASSUNG!$A$6:$A$3005,A216))</f>
        <v/>
      </c>
      <c r="Q216" s="73">
        <f>IF(A216="","",SUMIFS(ERFASSUNG!$N$6:$N$3005,ERFASSUNG!$A$6:$A$3005,A216))</f>
        <v/>
      </c>
    </row>
    <row r="217">
      <c r="A217" s="72">
        <f>IF(YEAR(DATE(LISTEN!$F$2,1,1)+212)=LISTEN!$F$2,DATE(LISTEN!$F$2,1,1)+212,"")</f>
        <v/>
      </c>
      <c r="B217" s="73">
        <f>IF(A217="","",CHOOSE(WEEKDAY(A217,2),"Mo","Di","Mi","Do","Fr","Sa","So"))</f>
        <v/>
      </c>
      <c r="C217" s="73">
        <f>IF(A217="","",INT((A217-DATE(YEAR(A217-WEEKDAY(A217-1)+4),1,3)+WEEKDAY(DATE(YEAR(A217-WEEKDAY(A217-1)+4),1,3))+5)/7))</f>
        <v/>
      </c>
      <c r="D217" s="73">
        <f>IF(A217="","",MONTH(A217))</f>
        <v/>
      </c>
      <c r="E217" s="73">
        <f>IF(A217="","",WEEKDAY(A217,2))</f>
        <v/>
      </c>
      <c r="F217" s="73">
        <f>IF(A217="","",COUNTIF(ERFASSUNG!$A$6:$A$3005,A217))</f>
        <v/>
      </c>
      <c r="G217" s="73">
        <f>IF(A217="","",IF(F217&gt;0,1,0))</f>
        <v/>
      </c>
      <c r="H217" s="73">
        <f>IF(A217="","",SUMIFS(ERFASSUNG!$E$6:$E$3005,ERFASSUNG!$A$6:$A$3005,A217))</f>
        <v/>
      </c>
      <c r="I217" s="73">
        <f>IF(A217="","",SUMIFS(ERFASSUNG!$F$6:$F$3005,ERFASSUNG!$A$6:$A$3005,A217))</f>
        <v/>
      </c>
      <c r="J217" s="73">
        <f>IF(A217="","",SUMIFS(ERFASSUNG!$G$6:$G$3005,ERFASSUNG!$A$6:$A$3005,A217))</f>
        <v/>
      </c>
      <c r="K217" s="73">
        <f>IF(A217="","",SUMIFS(ERFASSUNG!$H$6:$H$3005,ERFASSUNG!$A$6:$A$3005,A217))</f>
        <v/>
      </c>
      <c r="L217" s="73">
        <f>IF(A217="","",SUMIFS(ERFASSUNG!$I$6:$I$3005,ERFASSUNG!$A$6:$A$3005,A217))</f>
        <v/>
      </c>
      <c r="M217" s="73">
        <f>IF(A217="","",SUMIFS(ERFASSUNG!$J$6:$J$3005,ERFASSUNG!$A$6:$A$3005,A217))</f>
        <v/>
      </c>
      <c r="N217" s="73">
        <f>IF(A217="","",SUMIFS(ERFASSUNG!$K$6:$K$3005,ERFASSUNG!$A$6:$A$3005,A217))</f>
        <v/>
      </c>
      <c r="O217" s="73">
        <f>IF(A217="","",SUMIFS(ERFASSUNG!$L$6:$L$3005,ERFASSUNG!$A$6:$A$3005,A217))</f>
        <v/>
      </c>
      <c r="P217" s="73">
        <f>IF(A217="","",SUMIFS(ERFASSUNG!$M$6:$M$3005,ERFASSUNG!$A$6:$A$3005,A217))</f>
        <v/>
      </c>
      <c r="Q217" s="73">
        <f>IF(A217="","",SUMIFS(ERFASSUNG!$N$6:$N$3005,ERFASSUNG!$A$6:$A$3005,A217))</f>
        <v/>
      </c>
    </row>
    <row r="218">
      <c r="A218" s="72">
        <f>IF(YEAR(DATE(LISTEN!$F$2,1,1)+213)=LISTEN!$F$2,DATE(LISTEN!$F$2,1,1)+213,"")</f>
        <v/>
      </c>
      <c r="B218" s="73">
        <f>IF(A218="","",CHOOSE(WEEKDAY(A218,2),"Mo","Di","Mi","Do","Fr","Sa","So"))</f>
        <v/>
      </c>
      <c r="C218" s="73">
        <f>IF(A218="","",INT((A218-DATE(YEAR(A218-WEEKDAY(A218-1)+4),1,3)+WEEKDAY(DATE(YEAR(A218-WEEKDAY(A218-1)+4),1,3))+5)/7))</f>
        <v/>
      </c>
      <c r="D218" s="73">
        <f>IF(A218="","",MONTH(A218))</f>
        <v/>
      </c>
      <c r="E218" s="73">
        <f>IF(A218="","",WEEKDAY(A218,2))</f>
        <v/>
      </c>
      <c r="F218" s="73">
        <f>IF(A218="","",COUNTIF(ERFASSUNG!$A$6:$A$3005,A218))</f>
        <v/>
      </c>
      <c r="G218" s="73">
        <f>IF(A218="","",IF(F218&gt;0,1,0))</f>
        <v/>
      </c>
      <c r="H218" s="73">
        <f>IF(A218="","",SUMIFS(ERFASSUNG!$E$6:$E$3005,ERFASSUNG!$A$6:$A$3005,A218))</f>
        <v/>
      </c>
      <c r="I218" s="73">
        <f>IF(A218="","",SUMIFS(ERFASSUNG!$F$6:$F$3005,ERFASSUNG!$A$6:$A$3005,A218))</f>
        <v/>
      </c>
      <c r="J218" s="73">
        <f>IF(A218="","",SUMIFS(ERFASSUNG!$G$6:$G$3005,ERFASSUNG!$A$6:$A$3005,A218))</f>
        <v/>
      </c>
      <c r="K218" s="73">
        <f>IF(A218="","",SUMIFS(ERFASSUNG!$H$6:$H$3005,ERFASSUNG!$A$6:$A$3005,A218))</f>
        <v/>
      </c>
      <c r="L218" s="73">
        <f>IF(A218="","",SUMIFS(ERFASSUNG!$I$6:$I$3005,ERFASSUNG!$A$6:$A$3005,A218))</f>
        <v/>
      </c>
      <c r="M218" s="73">
        <f>IF(A218="","",SUMIFS(ERFASSUNG!$J$6:$J$3005,ERFASSUNG!$A$6:$A$3005,A218))</f>
        <v/>
      </c>
      <c r="N218" s="73">
        <f>IF(A218="","",SUMIFS(ERFASSUNG!$K$6:$K$3005,ERFASSUNG!$A$6:$A$3005,A218))</f>
        <v/>
      </c>
      <c r="O218" s="73">
        <f>IF(A218="","",SUMIFS(ERFASSUNG!$L$6:$L$3005,ERFASSUNG!$A$6:$A$3005,A218))</f>
        <v/>
      </c>
      <c r="P218" s="73">
        <f>IF(A218="","",SUMIFS(ERFASSUNG!$M$6:$M$3005,ERFASSUNG!$A$6:$A$3005,A218))</f>
        <v/>
      </c>
      <c r="Q218" s="73">
        <f>IF(A218="","",SUMIFS(ERFASSUNG!$N$6:$N$3005,ERFASSUNG!$A$6:$A$3005,A218))</f>
        <v/>
      </c>
    </row>
    <row r="219">
      <c r="A219" s="72">
        <f>IF(YEAR(DATE(LISTEN!$F$2,1,1)+214)=LISTEN!$F$2,DATE(LISTEN!$F$2,1,1)+214,"")</f>
        <v/>
      </c>
      <c r="B219" s="73">
        <f>IF(A219="","",CHOOSE(WEEKDAY(A219,2),"Mo","Di","Mi","Do","Fr","Sa","So"))</f>
        <v/>
      </c>
      <c r="C219" s="73">
        <f>IF(A219="","",INT((A219-DATE(YEAR(A219-WEEKDAY(A219-1)+4),1,3)+WEEKDAY(DATE(YEAR(A219-WEEKDAY(A219-1)+4),1,3))+5)/7))</f>
        <v/>
      </c>
      <c r="D219" s="73">
        <f>IF(A219="","",MONTH(A219))</f>
        <v/>
      </c>
      <c r="E219" s="73">
        <f>IF(A219="","",WEEKDAY(A219,2))</f>
        <v/>
      </c>
      <c r="F219" s="73">
        <f>IF(A219="","",COUNTIF(ERFASSUNG!$A$6:$A$3005,A219))</f>
        <v/>
      </c>
      <c r="G219" s="73">
        <f>IF(A219="","",IF(F219&gt;0,1,0))</f>
        <v/>
      </c>
      <c r="H219" s="73">
        <f>IF(A219="","",SUMIFS(ERFASSUNG!$E$6:$E$3005,ERFASSUNG!$A$6:$A$3005,A219))</f>
        <v/>
      </c>
      <c r="I219" s="73">
        <f>IF(A219="","",SUMIFS(ERFASSUNG!$F$6:$F$3005,ERFASSUNG!$A$6:$A$3005,A219))</f>
        <v/>
      </c>
      <c r="J219" s="73">
        <f>IF(A219="","",SUMIFS(ERFASSUNG!$G$6:$G$3005,ERFASSUNG!$A$6:$A$3005,A219))</f>
        <v/>
      </c>
      <c r="K219" s="73">
        <f>IF(A219="","",SUMIFS(ERFASSUNG!$H$6:$H$3005,ERFASSUNG!$A$6:$A$3005,A219))</f>
        <v/>
      </c>
      <c r="L219" s="73">
        <f>IF(A219="","",SUMIFS(ERFASSUNG!$I$6:$I$3005,ERFASSUNG!$A$6:$A$3005,A219))</f>
        <v/>
      </c>
      <c r="M219" s="73">
        <f>IF(A219="","",SUMIFS(ERFASSUNG!$J$6:$J$3005,ERFASSUNG!$A$6:$A$3005,A219))</f>
        <v/>
      </c>
      <c r="N219" s="73">
        <f>IF(A219="","",SUMIFS(ERFASSUNG!$K$6:$K$3005,ERFASSUNG!$A$6:$A$3005,A219))</f>
        <v/>
      </c>
      <c r="O219" s="73">
        <f>IF(A219="","",SUMIFS(ERFASSUNG!$L$6:$L$3005,ERFASSUNG!$A$6:$A$3005,A219))</f>
        <v/>
      </c>
      <c r="P219" s="73">
        <f>IF(A219="","",SUMIFS(ERFASSUNG!$M$6:$M$3005,ERFASSUNG!$A$6:$A$3005,A219))</f>
        <v/>
      </c>
      <c r="Q219" s="73">
        <f>IF(A219="","",SUMIFS(ERFASSUNG!$N$6:$N$3005,ERFASSUNG!$A$6:$A$3005,A219))</f>
        <v/>
      </c>
    </row>
    <row r="220">
      <c r="A220" s="72">
        <f>IF(YEAR(DATE(LISTEN!$F$2,1,1)+215)=LISTEN!$F$2,DATE(LISTEN!$F$2,1,1)+215,"")</f>
        <v/>
      </c>
      <c r="B220" s="73">
        <f>IF(A220="","",CHOOSE(WEEKDAY(A220,2),"Mo","Di","Mi","Do","Fr","Sa","So"))</f>
        <v/>
      </c>
      <c r="C220" s="73">
        <f>IF(A220="","",INT((A220-DATE(YEAR(A220-WEEKDAY(A220-1)+4),1,3)+WEEKDAY(DATE(YEAR(A220-WEEKDAY(A220-1)+4),1,3))+5)/7))</f>
        <v/>
      </c>
      <c r="D220" s="73">
        <f>IF(A220="","",MONTH(A220))</f>
        <v/>
      </c>
      <c r="E220" s="73">
        <f>IF(A220="","",WEEKDAY(A220,2))</f>
        <v/>
      </c>
      <c r="F220" s="73">
        <f>IF(A220="","",COUNTIF(ERFASSUNG!$A$6:$A$3005,A220))</f>
        <v/>
      </c>
      <c r="G220" s="73">
        <f>IF(A220="","",IF(F220&gt;0,1,0))</f>
        <v/>
      </c>
      <c r="H220" s="73">
        <f>IF(A220="","",SUMIFS(ERFASSUNG!$E$6:$E$3005,ERFASSUNG!$A$6:$A$3005,A220))</f>
        <v/>
      </c>
      <c r="I220" s="73">
        <f>IF(A220="","",SUMIFS(ERFASSUNG!$F$6:$F$3005,ERFASSUNG!$A$6:$A$3005,A220))</f>
        <v/>
      </c>
      <c r="J220" s="73">
        <f>IF(A220="","",SUMIFS(ERFASSUNG!$G$6:$G$3005,ERFASSUNG!$A$6:$A$3005,A220))</f>
        <v/>
      </c>
      <c r="K220" s="73">
        <f>IF(A220="","",SUMIFS(ERFASSUNG!$H$6:$H$3005,ERFASSUNG!$A$6:$A$3005,A220))</f>
        <v/>
      </c>
      <c r="L220" s="73">
        <f>IF(A220="","",SUMIFS(ERFASSUNG!$I$6:$I$3005,ERFASSUNG!$A$6:$A$3005,A220))</f>
        <v/>
      </c>
      <c r="M220" s="73">
        <f>IF(A220="","",SUMIFS(ERFASSUNG!$J$6:$J$3005,ERFASSUNG!$A$6:$A$3005,A220))</f>
        <v/>
      </c>
      <c r="N220" s="73">
        <f>IF(A220="","",SUMIFS(ERFASSUNG!$K$6:$K$3005,ERFASSUNG!$A$6:$A$3005,A220))</f>
        <v/>
      </c>
      <c r="O220" s="73">
        <f>IF(A220="","",SUMIFS(ERFASSUNG!$L$6:$L$3005,ERFASSUNG!$A$6:$A$3005,A220))</f>
        <v/>
      </c>
      <c r="P220" s="73">
        <f>IF(A220="","",SUMIFS(ERFASSUNG!$M$6:$M$3005,ERFASSUNG!$A$6:$A$3005,A220))</f>
        <v/>
      </c>
      <c r="Q220" s="73">
        <f>IF(A220="","",SUMIFS(ERFASSUNG!$N$6:$N$3005,ERFASSUNG!$A$6:$A$3005,A220))</f>
        <v/>
      </c>
    </row>
    <row r="221">
      <c r="A221" s="72">
        <f>IF(YEAR(DATE(LISTEN!$F$2,1,1)+216)=LISTEN!$F$2,DATE(LISTEN!$F$2,1,1)+216,"")</f>
        <v/>
      </c>
      <c r="B221" s="73">
        <f>IF(A221="","",CHOOSE(WEEKDAY(A221,2),"Mo","Di","Mi","Do","Fr","Sa","So"))</f>
        <v/>
      </c>
      <c r="C221" s="73">
        <f>IF(A221="","",INT((A221-DATE(YEAR(A221-WEEKDAY(A221-1)+4),1,3)+WEEKDAY(DATE(YEAR(A221-WEEKDAY(A221-1)+4),1,3))+5)/7))</f>
        <v/>
      </c>
      <c r="D221" s="73">
        <f>IF(A221="","",MONTH(A221))</f>
        <v/>
      </c>
      <c r="E221" s="73">
        <f>IF(A221="","",WEEKDAY(A221,2))</f>
        <v/>
      </c>
      <c r="F221" s="73">
        <f>IF(A221="","",COUNTIF(ERFASSUNG!$A$6:$A$3005,A221))</f>
        <v/>
      </c>
      <c r="G221" s="73">
        <f>IF(A221="","",IF(F221&gt;0,1,0))</f>
        <v/>
      </c>
      <c r="H221" s="73">
        <f>IF(A221="","",SUMIFS(ERFASSUNG!$E$6:$E$3005,ERFASSUNG!$A$6:$A$3005,A221))</f>
        <v/>
      </c>
      <c r="I221" s="73">
        <f>IF(A221="","",SUMIFS(ERFASSUNG!$F$6:$F$3005,ERFASSUNG!$A$6:$A$3005,A221))</f>
        <v/>
      </c>
      <c r="J221" s="73">
        <f>IF(A221="","",SUMIFS(ERFASSUNG!$G$6:$G$3005,ERFASSUNG!$A$6:$A$3005,A221))</f>
        <v/>
      </c>
      <c r="K221" s="73">
        <f>IF(A221="","",SUMIFS(ERFASSUNG!$H$6:$H$3005,ERFASSUNG!$A$6:$A$3005,A221))</f>
        <v/>
      </c>
      <c r="L221" s="73">
        <f>IF(A221="","",SUMIFS(ERFASSUNG!$I$6:$I$3005,ERFASSUNG!$A$6:$A$3005,A221))</f>
        <v/>
      </c>
      <c r="M221" s="73">
        <f>IF(A221="","",SUMIFS(ERFASSUNG!$J$6:$J$3005,ERFASSUNG!$A$6:$A$3005,A221))</f>
        <v/>
      </c>
      <c r="N221" s="73">
        <f>IF(A221="","",SUMIFS(ERFASSUNG!$K$6:$K$3005,ERFASSUNG!$A$6:$A$3005,A221))</f>
        <v/>
      </c>
      <c r="O221" s="73">
        <f>IF(A221="","",SUMIFS(ERFASSUNG!$L$6:$L$3005,ERFASSUNG!$A$6:$A$3005,A221))</f>
        <v/>
      </c>
      <c r="P221" s="73">
        <f>IF(A221="","",SUMIFS(ERFASSUNG!$M$6:$M$3005,ERFASSUNG!$A$6:$A$3005,A221))</f>
        <v/>
      </c>
      <c r="Q221" s="73">
        <f>IF(A221="","",SUMIFS(ERFASSUNG!$N$6:$N$3005,ERFASSUNG!$A$6:$A$3005,A221))</f>
        <v/>
      </c>
    </row>
    <row r="222">
      <c r="A222" s="72">
        <f>IF(YEAR(DATE(LISTEN!$F$2,1,1)+217)=LISTEN!$F$2,DATE(LISTEN!$F$2,1,1)+217,"")</f>
        <v/>
      </c>
      <c r="B222" s="73">
        <f>IF(A222="","",CHOOSE(WEEKDAY(A222,2),"Mo","Di","Mi","Do","Fr","Sa","So"))</f>
        <v/>
      </c>
      <c r="C222" s="73">
        <f>IF(A222="","",INT((A222-DATE(YEAR(A222-WEEKDAY(A222-1)+4),1,3)+WEEKDAY(DATE(YEAR(A222-WEEKDAY(A222-1)+4),1,3))+5)/7))</f>
        <v/>
      </c>
      <c r="D222" s="73">
        <f>IF(A222="","",MONTH(A222))</f>
        <v/>
      </c>
      <c r="E222" s="73">
        <f>IF(A222="","",WEEKDAY(A222,2))</f>
        <v/>
      </c>
      <c r="F222" s="73">
        <f>IF(A222="","",COUNTIF(ERFASSUNG!$A$6:$A$3005,A222))</f>
        <v/>
      </c>
      <c r="G222" s="73">
        <f>IF(A222="","",IF(F222&gt;0,1,0))</f>
        <v/>
      </c>
      <c r="H222" s="73">
        <f>IF(A222="","",SUMIFS(ERFASSUNG!$E$6:$E$3005,ERFASSUNG!$A$6:$A$3005,A222))</f>
        <v/>
      </c>
      <c r="I222" s="73">
        <f>IF(A222="","",SUMIFS(ERFASSUNG!$F$6:$F$3005,ERFASSUNG!$A$6:$A$3005,A222))</f>
        <v/>
      </c>
      <c r="J222" s="73">
        <f>IF(A222="","",SUMIFS(ERFASSUNG!$G$6:$G$3005,ERFASSUNG!$A$6:$A$3005,A222))</f>
        <v/>
      </c>
      <c r="K222" s="73">
        <f>IF(A222="","",SUMIFS(ERFASSUNG!$H$6:$H$3005,ERFASSUNG!$A$6:$A$3005,A222))</f>
        <v/>
      </c>
      <c r="L222" s="73">
        <f>IF(A222="","",SUMIFS(ERFASSUNG!$I$6:$I$3005,ERFASSUNG!$A$6:$A$3005,A222))</f>
        <v/>
      </c>
      <c r="M222" s="73">
        <f>IF(A222="","",SUMIFS(ERFASSUNG!$J$6:$J$3005,ERFASSUNG!$A$6:$A$3005,A222))</f>
        <v/>
      </c>
      <c r="N222" s="73">
        <f>IF(A222="","",SUMIFS(ERFASSUNG!$K$6:$K$3005,ERFASSUNG!$A$6:$A$3005,A222))</f>
        <v/>
      </c>
      <c r="O222" s="73">
        <f>IF(A222="","",SUMIFS(ERFASSUNG!$L$6:$L$3005,ERFASSUNG!$A$6:$A$3005,A222))</f>
        <v/>
      </c>
      <c r="P222" s="73">
        <f>IF(A222="","",SUMIFS(ERFASSUNG!$M$6:$M$3005,ERFASSUNG!$A$6:$A$3005,A222))</f>
        <v/>
      </c>
      <c r="Q222" s="73">
        <f>IF(A222="","",SUMIFS(ERFASSUNG!$N$6:$N$3005,ERFASSUNG!$A$6:$A$3005,A222))</f>
        <v/>
      </c>
    </row>
    <row r="223">
      <c r="A223" s="72">
        <f>IF(YEAR(DATE(LISTEN!$F$2,1,1)+218)=LISTEN!$F$2,DATE(LISTEN!$F$2,1,1)+218,"")</f>
        <v/>
      </c>
      <c r="B223" s="73">
        <f>IF(A223="","",CHOOSE(WEEKDAY(A223,2),"Mo","Di","Mi","Do","Fr","Sa","So"))</f>
        <v/>
      </c>
      <c r="C223" s="73">
        <f>IF(A223="","",INT((A223-DATE(YEAR(A223-WEEKDAY(A223-1)+4),1,3)+WEEKDAY(DATE(YEAR(A223-WEEKDAY(A223-1)+4),1,3))+5)/7))</f>
        <v/>
      </c>
      <c r="D223" s="73">
        <f>IF(A223="","",MONTH(A223))</f>
        <v/>
      </c>
      <c r="E223" s="73">
        <f>IF(A223="","",WEEKDAY(A223,2))</f>
        <v/>
      </c>
      <c r="F223" s="73">
        <f>IF(A223="","",COUNTIF(ERFASSUNG!$A$6:$A$3005,A223))</f>
        <v/>
      </c>
      <c r="G223" s="73">
        <f>IF(A223="","",IF(F223&gt;0,1,0))</f>
        <v/>
      </c>
      <c r="H223" s="73">
        <f>IF(A223="","",SUMIFS(ERFASSUNG!$E$6:$E$3005,ERFASSUNG!$A$6:$A$3005,A223))</f>
        <v/>
      </c>
      <c r="I223" s="73">
        <f>IF(A223="","",SUMIFS(ERFASSUNG!$F$6:$F$3005,ERFASSUNG!$A$6:$A$3005,A223))</f>
        <v/>
      </c>
      <c r="J223" s="73">
        <f>IF(A223="","",SUMIFS(ERFASSUNG!$G$6:$G$3005,ERFASSUNG!$A$6:$A$3005,A223))</f>
        <v/>
      </c>
      <c r="K223" s="73">
        <f>IF(A223="","",SUMIFS(ERFASSUNG!$H$6:$H$3005,ERFASSUNG!$A$6:$A$3005,A223))</f>
        <v/>
      </c>
      <c r="L223" s="73">
        <f>IF(A223="","",SUMIFS(ERFASSUNG!$I$6:$I$3005,ERFASSUNG!$A$6:$A$3005,A223))</f>
        <v/>
      </c>
      <c r="M223" s="73">
        <f>IF(A223="","",SUMIFS(ERFASSUNG!$J$6:$J$3005,ERFASSUNG!$A$6:$A$3005,A223))</f>
        <v/>
      </c>
      <c r="N223" s="73">
        <f>IF(A223="","",SUMIFS(ERFASSUNG!$K$6:$K$3005,ERFASSUNG!$A$6:$A$3005,A223))</f>
        <v/>
      </c>
      <c r="O223" s="73">
        <f>IF(A223="","",SUMIFS(ERFASSUNG!$L$6:$L$3005,ERFASSUNG!$A$6:$A$3005,A223))</f>
        <v/>
      </c>
      <c r="P223" s="73">
        <f>IF(A223="","",SUMIFS(ERFASSUNG!$M$6:$M$3005,ERFASSUNG!$A$6:$A$3005,A223))</f>
        <v/>
      </c>
      <c r="Q223" s="73">
        <f>IF(A223="","",SUMIFS(ERFASSUNG!$N$6:$N$3005,ERFASSUNG!$A$6:$A$3005,A223))</f>
        <v/>
      </c>
    </row>
    <row r="224">
      <c r="A224" s="72">
        <f>IF(YEAR(DATE(LISTEN!$F$2,1,1)+219)=LISTEN!$F$2,DATE(LISTEN!$F$2,1,1)+219,"")</f>
        <v/>
      </c>
      <c r="B224" s="73">
        <f>IF(A224="","",CHOOSE(WEEKDAY(A224,2),"Mo","Di","Mi","Do","Fr","Sa","So"))</f>
        <v/>
      </c>
      <c r="C224" s="73">
        <f>IF(A224="","",INT((A224-DATE(YEAR(A224-WEEKDAY(A224-1)+4),1,3)+WEEKDAY(DATE(YEAR(A224-WEEKDAY(A224-1)+4),1,3))+5)/7))</f>
        <v/>
      </c>
      <c r="D224" s="73">
        <f>IF(A224="","",MONTH(A224))</f>
        <v/>
      </c>
      <c r="E224" s="73">
        <f>IF(A224="","",WEEKDAY(A224,2))</f>
        <v/>
      </c>
      <c r="F224" s="73">
        <f>IF(A224="","",COUNTIF(ERFASSUNG!$A$6:$A$3005,A224))</f>
        <v/>
      </c>
      <c r="G224" s="73">
        <f>IF(A224="","",IF(F224&gt;0,1,0))</f>
        <v/>
      </c>
      <c r="H224" s="73">
        <f>IF(A224="","",SUMIFS(ERFASSUNG!$E$6:$E$3005,ERFASSUNG!$A$6:$A$3005,A224))</f>
        <v/>
      </c>
      <c r="I224" s="73">
        <f>IF(A224="","",SUMIFS(ERFASSUNG!$F$6:$F$3005,ERFASSUNG!$A$6:$A$3005,A224))</f>
        <v/>
      </c>
      <c r="J224" s="73">
        <f>IF(A224="","",SUMIFS(ERFASSUNG!$G$6:$G$3005,ERFASSUNG!$A$6:$A$3005,A224))</f>
        <v/>
      </c>
      <c r="K224" s="73">
        <f>IF(A224="","",SUMIFS(ERFASSUNG!$H$6:$H$3005,ERFASSUNG!$A$6:$A$3005,A224))</f>
        <v/>
      </c>
      <c r="L224" s="73">
        <f>IF(A224="","",SUMIFS(ERFASSUNG!$I$6:$I$3005,ERFASSUNG!$A$6:$A$3005,A224))</f>
        <v/>
      </c>
      <c r="M224" s="73">
        <f>IF(A224="","",SUMIFS(ERFASSUNG!$J$6:$J$3005,ERFASSUNG!$A$6:$A$3005,A224))</f>
        <v/>
      </c>
      <c r="N224" s="73">
        <f>IF(A224="","",SUMIFS(ERFASSUNG!$K$6:$K$3005,ERFASSUNG!$A$6:$A$3005,A224))</f>
        <v/>
      </c>
      <c r="O224" s="73">
        <f>IF(A224="","",SUMIFS(ERFASSUNG!$L$6:$L$3005,ERFASSUNG!$A$6:$A$3005,A224))</f>
        <v/>
      </c>
      <c r="P224" s="73">
        <f>IF(A224="","",SUMIFS(ERFASSUNG!$M$6:$M$3005,ERFASSUNG!$A$6:$A$3005,A224))</f>
        <v/>
      </c>
      <c r="Q224" s="73">
        <f>IF(A224="","",SUMIFS(ERFASSUNG!$N$6:$N$3005,ERFASSUNG!$A$6:$A$3005,A224))</f>
        <v/>
      </c>
    </row>
    <row r="225">
      <c r="A225" s="72">
        <f>IF(YEAR(DATE(LISTEN!$F$2,1,1)+220)=LISTEN!$F$2,DATE(LISTEN!$F$2,1,1)+220,"")</f>
        <v/>
      </c>
      <c r="B225" s="73">
        <f>IF(A225="","",CHOOSE(WEEKDAY(A225,2),"Mo","Di","Mi","Do","Fr","Sa","So"))</f>
        <v/>
      </c>
      <c r="C225" s="73">
        <f>IF(A225="","",INT((A225-DATE(YEAR(A225-WEEKDAY(A225-1)+4),1,3)+WEEKDAY(DATE(YEAR(A225-WEEKDAY(A225-1)+4),1,3))+5)/7))</f>
        <v/>
      </c>
      <c r="D225" s="73">
        <f>IF(A225="","",MONTH(A225))</f>
        <v/>
      </c>
      <c r="E225" s="73">
        <f>IF(A225="","",WEEKDAY(A225,2))</f>
        <v/>
      </c>
      <c r="F225" s="73">
        <f>IF(A225="","",COUNTIF(ERFASSUNG!$A$6:$A$3005,A225))</f>
        <v/>
      </c>
      <c r="G225" s="73">
        <f>IF(A225="","",IF(F225&gt;0,1,0))</f>
        <v/>
      </c>
      <c r="H225" s="73">
        <f>IF(A225="","",SUMIFS(ERFASSUNG!$E$6:$E$3005,ERFASSUNG!$A$6:$A$3005,A225))</f>
        <v/>
      </c>
      <c r="I225" s="73">
        <f>IF(A225="","",SUMIFS(ERFASSUNG!$F$6:$F$3005,ERFASSUNG!$A$6:$A$3005,A225))</f>
        <v/>
      </c>
      <c r="J225" s="73">
        <f>IF(A225="","",SUMIFS(ERFASSUNG!$G$6:$G$3005,ERFASSUNG!$A$6:$A$3005,A225))</f>
        <v/>
      </c>
      <c r="K225" s="73">
        <f>IF(A225="","",SUMIFS(ERFASSUNG!$H$6:$H$3005,ERFASSUNG!$A$6:$A$3005,A225))</f>
        <v/>
      </c>
      <c r="L225" s="73">
        <f>IF(A225="","",SUMIFS(ERFASSUNG!$I$6:$I$3005,ERFASSUNG!$A$6:$A$3005,A225))</f>
        <v/>
      </c>
      <c r="M225" s="73">
        <f>IF(A225="","",SUMIFS(ERFASSUNG!$J$6:$J$3005,ERFASSUNG!$A$6:$A$3005,A225))</f>
        <v/>
      </c>
      <c r="N225" s="73">
        <f>IF(A225="","",SUMIFS(ERFASSUNG!$K$6:$K$3005,ERFASSUNG!$A$6:$A$3005,A225))</f>
        <v/>
      </c>
      <c r="O225" s="73">
        <f>IF(A225="","",SUMIFS(ERFASSUNG!$L$6:$L$3005,ERFASSUNG!$A$6:$A$3005,A225))</f>
        <v/>
      </c>
      <c r="P225" s="73">
        <f>IF(A225="","",SUMIFS(ERFASSUNG!$M$6:$M$3005,ERFASSUNG!$A$6:$A$3005,A225))</f>
        <v/>
      </c>
      <c r="Q225" s="73">
        <f>IF(A225="","",SUMIFS(ERFASSUNG!$N$6:$N$3005,ERFASSUNG!$A$6:$A$3005,A225))</f>
        <v/>
      </c>
    </row>
    <row r="226">
      <c r="A226" s="72">
        <f>IF(YEAR(DATE(LISTEN!$F$2,1,1)+221)=LISTEN!$F$2,DATE(LISTEN!$F$2,1,1)+221,"")</f>
        <v/>
      </c>
      <c r="B226" s="73">
        <f>IF(A226="","",CHOOSE(WEEKDAY(A226,2),"Mo","Di","Mi","Do","Fr","Sa","So"))</f>
        <v/>
      </c>
      <c r="C226" s="73">
        <f>IF(A226="","",INT((A226-DATE(YEAR(A226-WEEKDAY(A226-1)+4),1,3)+WEEKDAY(DATE(YEAR(A226-WEEKDAY(A226-1)+4),1,3))+5)/7))</f>
        <v/>
      </c>
      <c r="D226" s="73">
        <f>IF(A226="","",MONTH(A226))</f>
        <v/>
      </c>
      <c r="E226" s="73">
        <f>IF(A226="","",WEEKDAY(A226,2))</f>
        <v/>
      </c>
      <c r="F226" s="73">
        <f>IF(A226="","",COUNTIF(ERFASSUNG!$A$6:$A$3005,A226))</f>
        <v/>
      </c>
      <c r="G226" s="73">
        <f>IF(A226="","",IF(F226&gt;0,1,0))</f>
        <v/>
      </c>
      <c r="H226" s="73">
        <f>IF(A226="","",SUMIFS(ERFASSUNG!$E$6:$E$3005,ERFASSUNG!$A$6:$A$3005,A226))</f>
        <v/>
      </c>
      <c r="I226" s="73">
        <f>IF(A226="","",SUMIFS(ERFASSUNG!$F$6:$F$3005,ERFASSUNG!$A$6:$A$3005,A226))</f>
        <v/>
      </c>
      <c r="J226" s="73">
        <f>IF(A226="","",SUMIFS(ERFASSUNG!$G$6:$G$3005,ERFASSUNG!$A$6:$A$3005,A226))</f>
        <v/>
      </c>
      <c r="K226" s="73">
        <f>IF(A226="","",SUMIFS(ERFASSUNG!$H$6:$H$3005,ERFASSUNG!$A$6:$A$3005,A226))</f>
        <v/>
      </c>
      <c r="L226" s="73">
        <f>IF(A226="","",SUMIFS(ERFASSUNG!$I$6:$I$3005,ERFASSUNG!$A$6:$A$3005,A226))</f>
        <v/>
      </c>
      <c r="M226" s="73">
        <f>IF(A226="","",SUMIFS(ERFASSUNG!$J$6:$J$3005,ERFASSUNG!$A$6:$A$3005,A226))</f>
        <v/>
      </c>
      <c r="N226" s="73">
        <f>IF(A226="","",SUMIFS(ERFASSUNG!$K$6:$K$3005,ERFASSUNG!$A$6:$A$3005,A226))</f>
        <v/>
      </c>
      <c r="O226" s="73">
        <f>IF(A226="","",SUMIFS(ERFASSUNG!$L$6:$L$3005,ERFASSUNG!$A$6:$A$3005,A226))</f>
        <v/>
      </c>
      <c r="P226" s="73">
        <f>IF(A226="","",SUMIFS(ERFASSUNG!$M$6:$M$3005,ERFASSUNG!$A$6:$A$3005,A226))</f>
        <v/>
      </c>
      <c r="Q226" s="73">
        <f>IF(A226="","",SUMIFS(ERFASSUNG!$N$6:$N$3005,ERFASSUNG!$A$6:$A$3005,A226))</f>
        <v/>
      </c>
    </row>
    <row r="227">
      <c r="A227" s="72">
        <f>IF(YEAR(DATE(LISTEN!$F$2,1,1)+222)=LISTEN!$F$2,DATE(LISTEN!$F$2,1,1)+222,"")</f>
        <v/>
      </c>
      <c r="B227" s="73">
        <f>IF(A227="","",CHOOSE(WEEKDAY(A227,2),"Mo","Di","Mi","Do","Fr","Sa","So"))</f>
        <v/>
      </c>
      <c r="C227" s="73">
        <f>IF(A227="","",INT((A227-DATE(YEAR(A227-WEEKDAY(A227-1)+4),1,3)+WEEKDAY(DATE(YEAR(A227-WEEKDAY(A227-1)+4),1,3))+5)/7))</f>
        <v/>
      </c>
      <c r="D227" s="73">
        <f>IF(A227="","",MONTH(A227))</f>
        <v/>
      </c>
      <c r="E227" s="73">
        <f>IF(A227="","",WEEKDAY(A227,2))</f>
        <v/>
      </c>
      <c r="F227" s="73">
        <f>IF(A227="","",COUNTIF(ERFASSUNG!$A$6:$A$3005,A227))</f>
        <v/>
      </c>
      <c r="G227" s="73">
        <f>IF(A227="","",IF(F227&gt;0,1,0))</f>
        <v/>
      </c>
      <c r="H227" s="73">
        <f>IF(A227="","",SUMIFS(ERFASSUNG!$E$6:$E$3005,ERFASSUNG!$A$6:$A$3005,A227))</f>
        <v/>
      </c>
      <c r="I227" s="73">
        <f>IF(A227="","",SUMIFS(ERFASSUNG!$F$6:$F$3005,ERFASSUNG!$A$6:$A$3005,A227))</f>
        <v/>
      </c>
      <c r="J227" s="73">
        <f>IF(A227="","",SUMIFS(ERFASSUNG!$G$6:$G$3005,ERFASSUNG!$A$6:$A$3005,A227))</f>
        <v/>
      </c>
      <c r="K227" s="73">
        <f>IF(A227="","",SUMIFS(ERFASSUNG!$H$6:$H$3005,ERFASSUNG!$A$6:$A$3005,A227))</f>
        <v/>
      </c>
      <c r="L227" s="73">
        <f>IF(A227="","",SUMIFS(ERFASSUNG!$I$6:$I$3005,ERFASSUNG!$A$6:$A$3005,A227))</f>
        <v/>
      </c>
      <c r="M227" s="73">
        <f>IF(A227="","",SUMIFS(ERFASSUNG!$J$6:$J$3005,ERFASSUNG!$A$6:$A$3005,A227))</f>
        <v/>
      </c>
      <c r="N227" s="73">
        <f>IF(A227="","",SUMIFS(ERFASSUNG!$K$6:$K$3005,ERFASSUNG!$A$6:$A$3005,A227))</f>
        <v/>
      </c>
      <c r="O227" s="73">
        <f>IF(A227="","",SUMIFS(ERFASSUNG!$L$6:$L$3005,ERFASSUNG!$A$6:$A$3005,A227))</f>
        <v/>
      </c>
      <c r="P227" s="73">
        <f>IF(A227="","",SUMIFS(ERFASSUNG!$M$6:$M$3005,ERFASSUNG!$A$6:$A$3005,A227))</f>
        <v/>
      </c>
      <c r="Q227" s="73">
        <f>IF(A227="","",SUMIFS(ERFASSUNG!$N$6:$N$3005,ERFASSUNG!$A$6:$A$3005,A227))</f>
        <v/>
      </c>
    </row>
    <row r="228">
      <c r="A228" s="72">
        <f>IF(YEAR(DATE(LISTEN!$F$2,1,1)+223)=LISTEN!$F$2,DATE(LISTEN!$F$2,1,1)+223,"")</f>
        <v/>
      </c>
      <c r="B228" s="73">
        <f>IF(A228="","",CHOOSE(WEEKDAY(A228,2),"Mo","Di","Mi","Do","Fr","Sa","So"))</f>
        <v/>
      </c>
      <c r="C228" s="73">
        <f>IF(A228="","",INT((A228-DATE(YEAR(A228-WEEKDAY(A228-1)+4),1,3)+WEEKDAY(DATE(YEAR(A228-WEEKDAY(A228-1)+4),1,3))+5)/7))</f>
        <v/>
      </c>
      <c r="D228" s="73">
        <f>IF(A228="","",MONTH(A228))</f>
        <v/>
      </c>
      <c r="E228" s="73">
        <f>IF(A228="","",WEEKDAY(A228,2))</f>
        <v/>
      </c>
      <c r="F228" s="73">
        <f>IF(A228="","",COUNTIF(ERFASSUNG!$A$6:$A$3005,A228))</f>
        <v/>
      </c>
      <c r="G228" s="73">
        <f>IF(A228="","",IF(F228&gt;0,1,0))</f>
        <v/>
      </c>
      <c r="H228" s="73">
        <f>IF(A228="","",SUMIFS(ERFASSUNG!$E$6:$E$3005,ERFASSUNG!$A$6:$A$3005,A228))</f>
        <v/>
      </c>
      <c r="I228" s="73">
        <f>IF(A228="","",SUMIFS(ERFASSUNG!$F$6:$F$3005,ERFASSUNG!$A$6:$A$3005,A228))</f>
        <v/>
      </c>
      <c r="J228" s="73">
        <f>IF(A228="","",SUMIFS(ERFASSUNG!$G$6:$G$3005,ERFASSUNG!$A$6:$A$3005,A228))</f>
        <v/>
      </c>
      <c r="K228" s="73">
        <f>IF(A228="","",SUMIFS(ERFASSUNG!$H$6:$H$3005,ERFASSUNG!$A$6:$A$3005,A228))</f>
        <v/>
      </c>
      <c r="L228" s="73">
        <f>IF(A228="","",SUMIFS(ERFASSUNG!$I$6:$I$3005,ERFASSUNG!$A$6:$A$3005,A228))</f>
        <v/>
      </c>
      <c r="M228" s="73">
        <f>IF(A228="","",SUMIFS(ERFASSUNG!$J$6:$J$3005,ERFASSUNG!$A$6:$A$3005,A228))</f>
        <v/>
      </c>
      <c r="N228" s="73">
        <f>IF(A228="","",SUMIFS(ERFASSUNG!$K$6:$K$3005,ERFASSUNG!$A$6:$A$3005,A228))</f>
        <v/>
      </c>
      <c r="O228" s="73">
        <f>IF(A228="","",SUMIFS(ERFASSUNG!$L$6:$L$3005,ERFASSUNG!$A$6:$A$3005,A228))</f>
        <v/>
      </c>
      <c r="P228" s="73">
        <f>IF(A228="","",SUMIFS(ERFASSUNG!$M$6:$M$3005,ERFASSUNG!$A$6:$A$3005,A228))</f>
        <v/>
      </c>
      <c r="Q228" s="73">
        <f>IF(A228="","",SUMIFS(ERFASSUNG!$N$6:$N$3005,ERFASSUNG!$A$6:$A$3005,A228))</f>
        <v/>
      </c>
    </row>
    <row r="229">
      <c r="A229" s="72">
        <f>IF(YEAR(DATE(LISTEN!$F$2,1,1)+224)=LISTEN!$F$2,DATE(LISTEN!$F$2,1,1)+224,"")</f>
        <v/>
      </c>
      <c r="B229" s="73">
        <f>IF(A229="","",CHOOSE(WEEKDAY(A229,2),"Mo","Di","Mi","Do","Fr","Sa","So"))</f>
        <v/>
      </c>
      <c r="C229" s="73">
        <f>IF(A229="","",INT((A229-DATE(YEAR(A229-WEEKDAY(A229-1)+4),1,3)+WEEKDAY(DATE(YEAR(A229-WEEKDAY(A229-1)+4),1,3))+5)/7))</f>
        <v/>
      </c>
      <c r="D229" s="73">
        <f>IF(A229="","",MONTH(A229))</f>
        <v/>
      </c>
      <c r="E229" s="73">
        <f>IF(A229="","",WEEKDAY(A229,2))</f>
        <v/>
      </c>
      <c r="F229" s="73">
        <f>IF(A229="","",COUNTIF(ERFASSUNG!$A$6:$A$3005,A229))</f>
        <v/>
      </c>
      <c r="G229" s="73">
        <f>IF(A229="","",IF(F229&gt;0,1,0))</f>
        <v/>
      </c>
      <c r="H229" s="73">
        <f>IF(A229="","",SUMIFS(ERFASSUNG!$E$6:$E$3005,ERFASSUNG!$A$6:$A$3005,A229))</f>
        <v/>
      </c>
      <c r="I229" s="73">
        <f>IF(A229="","",SUMIFS(ERFASSUNG!$F$6:$F$3005,ERFASSUNG!$A$6:$A$3005,A229))</f>
        <v/>
      </c>
      <c r="J229" s="73">
        <f>IF(A229="","",SUMIFS(ERFASSUNG!$G$6:$G$3005,ERFASSUNG!$A$6:$A$3005,A229))</f>
        <v/>
      </c>
      <c r="K229" s="73">
        <f>IF(A229="","",SUMIFS(ERFASSUNG!$H$6:$H$3005,ERFASSUNG!$A$6:$A$3005,A229))</f>
        <v/>
      </c>
      <c r="L229" s="73">
        <f>IF(A229="","",SUMIFS(ERFASSUNG!$I$6:$I$3005,ERFASSUNG!$A$6:$A$3005,A229))</f>
        <v/>
      </c>
      <c r="M229" s="73">
        <f>IF(A229="","",SUMIFS(ERFASSUNG!$J$6:$J$3005,ERFASSUNG!$A$6:$A$3005,A229))</f>
        <v/>
      </c>
      <c r="N229" s="73">
        <f>IF(A229="","",SUMIFS(ERFASSUNG!$K$6:$K$3005,ERFASSUNG!$A$6:$A$3005,A229))</f>
        <v/>
      </c>
      <c r="O229" s="73">
        <f>IF(A229="","",SUMIFS(ERFASSUNG!$L$6:$L$3005,ERFASSUNG!$A$6:$A$3005,A229))</f>
        <v/>
      </c>
      <c r="P229" s="73">
        <f>IF(A229="","",SUMIFS(ERFASSUNG!$M$6:$M$3005,ERFASSUNG!$A$6:$A$3005,A229))</f>
        <v/>
      </c>
      <c r="Q229" s="73">
        <f>IF(A229="","",SUMIFS(ERFASSUNG!$N$6:$N$3005,ERFASSUNG!$A$6:$A$3005,A229))</f>
        <v/>
      </c>
    </row>
    <row r="230">
      <c r="A230" s="72">
        <f>IF(YEAR(DATE(LISTEN!$F$2,1,1)+225)=LISTEN!$F$2,DATE(LISTEN!$F$2,1,1)+225,"")</f>
        <v/>
      </c>
      <c r="B230" s="73">
        <f>IF(A230="","",CHOOSE(WEEKDAY(A230,2),"Mo","Di","Mi","Do","Fr","Sa","So"))</f>
        <v/>
      </c>
      <c r="C230" s="73">
        <f>IF(A230="","",INT((A230-DATE(YEAR(A230-WEEKDAY(A230-1)+4),1,3)+WEEKDAY(DATE(YEAR(A230-WEEKDAY(A230-1)+4),1,3))+5)/7))</f>
        <v/>
      </c>
      <c r="D230" s="73">
        <f>IF(A230="","",MONTH(A230))</f>
        <v/>
      </c>
      <c r="E230" s="73">
        <f>IF(A230="","",WEEKDAY(A230,2))</f>
        <v/>
      </c>
      <c r="F230" s="73">
        <f>IF(A230="","",COUNTIF(ERFASSUNG!$A$6:$A$3005,A230))</f>
        <v/>
      </c>
      <c r="G230" s="73">
        <f>IF(A230="","",IF(F230&gt;0,1,0))</f>
        <v/>
      </c>
      <c r="H230" s="73">
        <f>IF(A230="","",SUMIFS(ERFASSUNG!$E$6:$E$3005,ERFASSUNG!$A$6:$A$3005,A230))</f>
        <v/>
      </c>
      <c r="I230" s="73">
        <f>IF(A230="","",SUMIFS(ERFASSUNG!$F$6:$F$3005,ERFASSUNG!$A$6:$A$3005,A230))</f>
        <v/>
      </c>
      <c r="J230" s="73">
        <f>IF(A230="","",SUMIFS(ERFASSUNG!$G$6:$G$3005,ERFASSUNG!$A$6:$A$3005,A230))</f>
        <v/>
      </c>
      <c r="K230" s="73">
        <f>IF(A230="","",SUMIFS(ERFASSUNG!$H$6:$H$3005,ERFASSUNG!$A$6:$A$3005,A230))</f>
        <v/>
      </c>
      <c r="L230" s="73">
        <f>IF(A230="","",SUMIFS(ERFASSUNG!$I$6:$I$3005,ERFASSUNG!$A$6:$A$3005,A230))</f>
        <v/>
      </c>
      <c r="M230" s="73">
        <f>IF(A230="","",SUMIFS(ERFASSUNG!$J$6:$J$3005,ERFASSUNG!$A$6:$A$3005,A230))</f>
        <v/>
      </c>
      <c r="N230" s="73">
        <f>IF(A230="","",SUMIFS(ERFASSUNG!$K$6:$K$3005,ERFASSUNG!$A$6:$A$3005,A230))</f>
        <v/>
      </c>
      <c r="O230" s="73">
        <f>IF(A230="","",SUMIFS(ERFASSUNG!$L$6:$L$3005,ERFASSUNG!$A$6:$A$3005,A230))</f>
        <v/>
      </c>
      <c r="P230" s="73">
        <f>IF(A230="","",SUMIFS(ERFASSUNG!$M$6:$M$3005,ERFASSUNG!$A$6:$A$3005,A230))</f>
        <v/>
      </c>
      <c r="Q230" s="73">
        <f>IF(A230="","",SUMIFS(ERFASSUNG!$N$6:$N$3005,ERFASSUNG!$A$6:$A$3005,A230))</f>
        <v/>
      </c>
    </row>
    <row r="231">
      <c r="A231" s="72">
        <f>IF(YEAR(DATE(LISTEN!$F$2,1,1)+226)=LISTEN!$F$2,DATE(LISTEN!$F$2,1,1)+226,"")</f>
        <v/>
      </c>
      <c r="B231" s="73">
        <f>IF(A231="","",CHOOSE(WEEKDAY(A231,2),"Mo","Di","Mi","Do","Fr","Sa","So"))</f>
        <v/>
      </c>
      <c r="C231" s="73">
        <f>IF(A231="","",INT((A231-DATE(YEAR(A231-WEEKDAY(A231-1)+4),1,3)+WEEKDAY(DATE(YEAR(A231-WEEKDAY(A231-1)+4),1,3))+5)/7))</f>
        <v/>
      </c>
      <c r="D231" s="73">
        <f>IF(A231="","",MONTH(A231))</f>
        <v/>
      </c>
      <c r="E231" s="73">
        <f>IF(A231="","",WEEKDAY(A231,2))</f>
        <v/>
      </c>
      <c r="F231" s="73">
        <f>IF(A231="","",COUNTIF(ERFASSUNG!$A$6:$A$3005,A231))</f>
        <v/>
      </c>
      <c r="G231" s="73">
        <f>IF(A231="","",IF(F231&gt;0,1,0))</f>
        <v/>
      </c>
      <c r="H231" s="73">
        <f>IF(A231="","",SUMIFS(ERFASSUNG!$E$6:$E$3005,ERFASSUNG!$A$6:$A$3005,A231))</f>
        <v/>
      </c>
      <c r="I231" s="73">
        <f>IF(A231="","",SUMIFS(ERFASSUNG!$F$6:$F$3005,ERFASSUNG!$A$6:$A$3005,A231))</f>
        <v/>
      </c>
      <c r="J231" s="73">
        <f>IF(A231="","",SUMIFS(ERFASSUNG!$G$6:$G$3005,ERFASSUNG!$A$6:$A$3005,A231))</f>
        <v/>
      </c>
      <c r="K231" s="73">
        <f>IF(A231="","",SUMIFS(ERFASSUNG!$H$6:$H$3005,ERFASSUNG!$A$6:$A$3005,A231))</f>
        <v/>
      </c>
      <c r="L231" s="73">
        <f>IF(A231="","",SUMIFS(ERFASSUNG!$I$6:$I$3005,ERFASSUNG!$A$6:$A$3005,A231))</f>
        <v/>
      </c>
      <c r="M231" s="73">
        <f>IF(A231="","",SUMIFS(ERFASSUNG!$J$6:$J$3005,ERFASSUNG!$A$6:$A$3005,A231))</f>
        <v/>
      </c>
      <c r="N231" s="73">
        <f>IF(A231="","",SUMIFS(ERFASSUNG!$K$6:$K$3005,ERFASSUNG!$A$6:$A$3005,A231))</f>
        <v/>
      </c>
      <c r="O231" s="73">
        <f>IF(A231="","",SUMIFS(ERFASSUNG!$L$6:$L$3005,ERFASSUNG!$A$6:$A$3005,A231))</f>
        <v/>
      </c>
      <c r="P231" s="73">
        <f>IF(A231="","",SUMIFS(ERFASSUNG!$M$6:$M$3005,ERFASSUNG!$A$6:$A$3005,A231))</f>
        <v/>
      </c>
      <c r="Q231" s="73">
        <f>IF(A231="","",SUMIFS(ERFASSUNG!$N$6:$N$3005,ERFASSUNG!$A$6:$A$3005,A231))</f>
        <v/>
      </c>
    </row>
    <row r="232">
      <c r="A232" s="72">
        <f>IF(YEAR(DATE(LISTEN!$F$2,1,1)+227)=LISTEN!$F$2,DATE(LISTEN!$F$2,1,1)+227,"")</f>
        <v/>
      </c>
      <c r="B232" s="73">
        <f>IF(A232="","",CHOOSE(WEEKDAY(A232,2),"Mo","Di","Mi","Do","Fr","Sa","So"))</f>
        <v/>
      </c>
      <c r="C232" s="73">
        <f>IF(A232="","",INT((A232-DATE(YEAR(A232-WEEKDAY(A232-1)+4),1,3)+WEEKDAY(DATE(YEAR(A232-WEEKDAY(A232-1)+4),1,3))+5)/7))</f>
        <v/>
      </c>
      <c r="D232" s="73">
        <f>IF(A232="","",MONTH(A232))</f>
        <v/>
      </c>
      <c r="E232" s="73">
        <f>IF(A232="","",WEEKDAY(A232,2))</f>
        <v/>
      </c>
      <c r="F232" s="73">
        <f>IF(A232="","",COUNTIF(ERFASSUNG!$A$6:$A$3005,A232))</f>
        <v/>
      </c>
      <c r="G232" s="73">
        <f>IF(A232="","",IF(F232&gt;0,1,0))</f>
        <v/>
      </c>
      <c r="H232" s="73">
        <f>IF(A232="","",SUMIFS(ERFASSUNG!$E$6:$E$3005,ERFASSUNG!$A$6:$A$3005,A232))</f>
        <v/>
      </c>
      <c r="I232" s="73">
        <f>IF(A232="","",SUMIFS(ERFASSUNG!$F$6:$F$3005,ERFASSUNG!$A$6:$A$3005,A232))</f>
        <v/>
      </c>
      <c r="J232" s="73">
        <f>IF(A232="","",SUMIFS(ERFASSUNG!$G$6:$G$3005,ERFASSUNG!$A$6:$A$3005,A232))</f>
        <v/>
      </c>
      <c r="K232" s="73">
        <f>IF(A232="","",SUMIFS(ERFASSUNG!$H$6:$H$3005,ERFASSUNG!$A$6:$A$3005,A232))</f>
        <v/>
      </c>
      <c r="L232" s="73">
        <f>IF(A232="","",SUMIFS(ERFASSUNG!$I$6:$I$3005,ERFASSUNG!$A$6:$A$3005,A232))</f>
        <v/>
      </c>
      <c r="M232" s="73">
        <f>IF(A232="","",SUMIFS(ERFASSUNG!$J$6:$J$3005,ERFASSUNG!$A$6:$A$3005,A232))</f>
        <v/>
      </c>
      <c r="N232" s="73">
        <f>IF(A232="","",SUMIFS(ERFASSUNG!$K$6:$K$3005,ERFASSUNG!$A$6:$A$3005,A232))</f>
        <v/>
      </c>
      <c r="O232" s="73">
        <f>IF(A232="","",SUMIFS(ERFASSUNG!$L$6:$L$3005,ERFASSUNG!$A$6:$A$3005,A232))</f>
        <v/>
      </c>
      <c r="P232" s="73">
        <f>IF(A232="","",SUMIFS(ERFASSUNG!$M$6:$M$3005,ERFASSUNG!$A$6:$A$3005,A232))</f>
        <v/>
      </c>
      <c r="Q232" s="73">
        <f>IF(A232="","",SUMIFS(ERFASSUNG!$N$6:$N$3005,ERFASSUNG!$A$6:$A$3005,A232))</f>
        <v/>
      </c>
    </row>
    <row r="233">
      <c r="A233" s="72">
        <f>IF(YEAR(DATE(LISTEN!$F$2,1,1)+228)=LISTEN!$F$2,DATE(LISTEN!$F$2,1,1)+228,"")</f>
        <v/>
      </c>
      <c r="B233" s="73">
        <f>IF(A233="","",CHOOSE(WEEKDAY(A233,2),"Mo","Di","Mi","Do","Fr","Sa","So"))</f>
        <v/>
      </c>
      <c r="C233" s="73">
        <f>IF(A233="","",INT((A233-DATE(YEAR(A233-WEEKDAY(A233-1)+4),1,3)+WEEKDAY(DATE(YEAR(A233-WEEKDAY(A233-1)+4),1,3))+5)/7))</f>
        <v/>
      </c>
      <c r="D233" s="73">
        <f>IF(A233="","",MONTH(A233))</f>
        <v/>
      </c>
      <c r="E233" s="73">
        <f>IF(A233="","",WEEKDAY(A233,2))</f>
        <v/>
      </c>
      <c r="F233" s="73">
        <f>IF(A233="","",COUNTIF(ERFASSUNG!$A$6:$A$3005,A233))</f>
        <v/>
      </c>
      <c r="G233" s="73">
        <f>IF(A233="","",IF(F233&gt;0,1,0))</f>
        <v/>
      </c>
      <c r="H233" s="73">
        <f>IF(A233="","",SUMIFS(ERFASSUNG!$E$6:$E$3005,ERFASSUNG!$A$6:$A$3005,A233))</f>
        <v/>
      </c>
      <c r="I233" s="73">
        <f>IF(A233="","",SUMIFS(ERFASSUNG!$F$6:$F$3005,ERFASSUNG!$A$6:$A$3005,A233))</f>
        <v/>
      </c>
      <c r="J233" s="73">
        <f>IF(A233="","",SUMIFS(ERFASSUNG!$G$6:$G$3005,ERFASSUNG!$A$6:$A$3005,A233))</f>
        <v/>
      </c>
      <c r="K233" s="73">
        <f>IF(A233="","",SUMIFS(ERFASSUNG!$H$6:$H$3005,ERFASSUNG!$A$6:$A$3005,A233))</f>
        <v/>
      </c>
      <c r="L233" s="73">
        <f>IF(A233="","",SUMIFS(ERFASSUNG!$I$6:$I$3005,ERFASSUNG!$A$6:$A$3005,A233))</f>
        <v/>
      </c>
      <c r="M233" s="73">
        <f>IF(A233="","",SUMIFS(ERFASSUNG!$J$6:$J$3005,ERFASSUNG!$A$6:$A$3005,A233))</f>
        <v/>
      </c>
      <c r="N233" s="73">
        <f>IF(A233="","",SUMIFS(ERFASSUNG!$K$6:$K$3005,ERFASSUNG!$A$6:$A$3005,A233))</f>
        <v/>
      </c>
      <c r="O233" s="73">
        <f>IF(A233="","",SUMIFS(ERFASSUNG!$L$6:$L$3005,ERFASSUNG!$A$6:$A$3005,A233))</f>
        <v/>
      </c>
      <c r="P233" s="73">
        <f>IF(A233="","",SUMIFS(ERFASSUNG!$M$6:$M$3005,ERFASSUNG!$A$6:$A$3005,A233))</f>
        <v/>
      </c>
      <c r="Q233" s="73">
        <f>IF(A233="","",SUMIFS(ERFASSUNG!$N$6:$N$3005,ERFASSUNG!$A$6:$A$3005,A233))</f>
        <v/>
      </c>
    </row>
    <row r="234">
      <c r="A234" s="72">
        <f>IF(YEAR(DATE(LISTEN!$F$2,1,1)+229)=LISTEN!$F$2,DATE(LISTEN!$F$2,1,1)+229,"")</f>
        <v/>
      </c>
      <c r="B234" s="73">
        <f>IF(A234="","",CHOOSE(WEEKDAY(A234,2),"Mo","Di","Mi","Do","Fr","Sa","So"))</f>
        <v/>
      </c>
      <c r="C234" s="73">
        <f>IF(A234="","",INT((A234-DATE(YEAR(A234-WEEKDAY(A234-1)+4),1,3)+WEEKDAY(DATE(YEAR(A234-WEEKDAY(A234-1)+4),1,3))+5)/7))</f>
        <v/>
      </c>
      <c r="D234" s="73">
        <f>IF(A234="","",MONTH(A234))</f>
        <v/>
      </c>
      <c r="E234" s="73">
        <f>IF(A234="","",WEEKDAY(A234,2))</f>
        <v/>
      </c>
      <c r="F234" s="73">
        <f>IF(A234="","",COUNTIF(ERFASSUNG!$A$6:$A$3005,A234))</f>
        <v/>
      </c>
      <c r="G234" s="73">
        <f>IF(A234="","",IF(F234&gt;0,1,0))</f>
        <v/>
      </c>
      <c r="H234" s="73">
        <f>IF(A234="","",SUMIFS(ERFASSUNG!$E$6:$E$3005,ERFASSUNG!$A$6:$A$3005,A234))</f>
        <v/>
      </c>
      <c r="I234" s="73">
        <f>IF(A234="","",SUMIFS(ERFASSUNG!$F$6:$F$3005,ERFASSUNG!$A$6:$A$3005,A234))</f>
        <v/>
      </c>
      <c r="J234" s="73">
        <f>IF(A234="","",SUMIFS(ERFASSUNG!$G$6:$G$3005,ERFASSUNG!$A$6:$A$3005,A234))</f>
        <v/>
      </c>
      <c r="K234" s="73">
        <f>IF(A234="","",SUMIFS(ERFASSUNG!$H$6:$H$3005,ERFASSUNG!$A$6:$A$3005,A234))</f>
        <v/>
      </c>
      <c r="L234" s="73">
        <f>IF(A234="","",SUMIFS(ERFASSUNG!$I$6:$I$3005,ERFASSUNG!$A$6:$A$3005,A234))</f>
        <v/>
      </c>
      <c r="M234" s="73">
        <f>IF(A234="","",SUMIFS(ERFASSUNG!$J$6:$J$3005,ERFASSUNG!$A$6:$A$3005,A234))</f>
        <v/>
      </c>
      <c r="N234" s="73">
        <f>IF(A234="","",SUMIFS(ERFASSUNG!$K$6:$K$3005,ERFASSUNG!$A$6:$A$3005,A234))</f>
        <v/>
      </c>
      <c r="O234" s="73">
        <f>IF(A234="","",SUMIFS(ERFASSUNG!$L$6:$L$3005,ERFASSUNG!$A$6:$A$3005,A234))</f>
        <v/>
      </c>
      <c r="P234" s="73">
        <f>IF(A234="","",SUMIFS(ERFASSUNG!$M$6:$M$3005,ERFASSUNG!$A$6:$A$3005,A234))</f>
        <v/>
      </c>
      <c r="Q234" s="73">
        <f>IF(A234="","",SUMIFS(ERFASSUNG!$N$6:$N$3005,ERFASSUNG!$A$6:$A$3005,A234))</f>
        <v/>
      </c>
    </row>
    <row r="235">
      <c r="A235" s="72">
        <f>IF(YEAR(DATE(LISTEN!$F$2,1,1)+230)=LISTEN!$F$2,DATE(LISTEN!$F$2,1,1)+230,"")</f>
        <v/>
      </c>
      <c r="B235" s="73">
        <f>IF(A235="","",CHOOSE(WEEKDAY(A235,2),"Mo","Di","Mi","Do","Fr","Sa","So"))</f>
        <v/>
      </c>
      <c r="C235" s="73">
        <f>IF(A235="","",INT((A235-DATE(YEAR(A235-WEEKDAY(A235-1)+4),1,3)+WEEKDAY(DATE(YEAR(A235-WEEKDAY(A235-1)+4),1,3))+5)/7))</f>
        <v/>
      </c>
      <c r="D235" s="73">
        <f>IF(A235="","",MONTH(A235))</f>
        <v/>
      </c>
      <c r="E235" s="73">
        <f>IF(A235="","",WEEKDAY(A235,2))</f>
        <v/>
      </c>
      <c r="F235" s="73">
        <f>IF(A235="","",COUNTIF(ERFASSUNG!$A$6:$A$3005,A235))</f>
        <v/>
      </c>
      <c r="G235" s="73">
        <f>IF(A235="","",IF(F235&gt;0,1,0))</f>
        <v/>
      </c>
      <c r="H235" s="73">
        <f>IF(A235="","",SUMIFS(ERFASSUNG!$E$6:$E$3005,ERFASSUNG!$A$6:$A$3005,A235))</f>
        <v/>
      </c>
      <c r="I235" s="73">
        <f>IF(A235="","",SUMIFS(ERFASSUNG!$F$6:$F$3005,ERFASSUNG!$A$6:$A$3005,A235))</f>
        <v/>
      </c>
      <c r="J235" s="73">
        <f>IF(A235="","",SUMIFS(ERFASSUNG!$G$6:$G$3005,ERFASSUNG!$A$6:$A$3005,A235))</f>
        <v/>
      </c>
      <c r="K235" s="73">
        <f>IF(A235="","",SUMIFS(ERFASSUNG!$H$6:$H$3005,ERFASSUNG!$A$6:$A$3005,A235))</f>
        <v/>
      </c>
      <c r="L235" s="73">
        <f>IF(A235="","",SUMIFS(ERFASSUNG!$I$6:$I$3005,ERFASSUNG!$A$6:$A$3005,A235))</f>
        <v/>
      </c>
      <c r="M235" s="73">
        <f>IF(A235="","",SUMIFS(ERFASSUNG!$J$6:$J$3005,ERFASSUNG!$A$6:$A$3005,A235))</f>
        <v/>
      </c>
      <c r="N235" s="73">
        <f>IF(A235="","",SUMIFS(ERFASSUNG!$K$6:$K$3005,ERFASSUNG!$A$6:$A$3005,A235))</f>
        <v/>
      </c>
      <c r="O235" s="73">
        <f>IF(A235="","",SUMIFS(ERFASSUNG!$L$6:$L$3005,ERFASSUNG!$A$6:$A$3005,A235))</f>
        <v/>
      </c>
      <c r="P235" s="73">
        <f>IF(A235="","",SUMIFS(ERFASSUNG!$M$6:$M$3005,ERFASSUNG!$A$6:$A$3005,A235))</f>
        <v/>
      </c>
      <c r="Q235" s="73">
        <f>IF(A235="","",SUMIFS(ERFASSUNG!$N$6:$N$3005,ERFASSUNG!$A$6:$A$3005,A235))</f>
        <v/>
      </c>
    </row>
    <row r="236">
      <c r="A236" s="72">
        <f>IF(YEAR(DATE(LISTEN!$F$2,1,1)+231)=LISTEN!$F$2,DATE(LISTEN!$F$2,1,1)+231,"")</f>
        <v/>
      </c>
      <c r="B236" s="73">
        <f>IF(A236="","",CHOOSE(WEEKDAY(A236,2),"Mo","Di","Mi","Do","Fr","Sa","So"))</f>
        <v/>
      </c>
      <c r="C236" s="73">
        <f>IF(A236="","",INT((A236-DATE(YEAR(A236-WEEKDAY(A236-1)+4),1,3)+WEEKDAY(DATE(YEAR(A236-WEEKDAY(A236-1)+4),1,3))+5)/7))</f>
        <v/>
      </c>
      <c r="D236" s="73">
        <f>IF(A236="","",MONTH(A236))</f>
        <v/>
      </c>
      <c r="E236" s="73">
        <f>IF(A236="","",WEEKDAY(A236,2))</f>
        <v/>
      </c>
      <c r="F236" s="73">
        <f>IF(A236="","",COUNTIF(ERFASSUNG!$A$6:$A$3005,A236))</f>
        <v/>
      </c>
      <c r="G236" s="73">
        <f>IF(A236="","",IF(F236&gt;0,1,0))</f>
        <v/>
      </c>
      <c r="H236" s="73">
        <f>IF(A236="","",SUMIFS(ERFASSUNG!$E$6:$E$3005,ERFASSUNG!$A$6:$A$3005,A236))</f>
        <v/>
      </c>
      <c r="I236" s="73">
        <f>IF(A236="","",SUMIFS(ERFASSUNG!$F$6:$F$3005,ERFASSUNG!$A$6:$A$3005,A236))</f>
        <v/>
      </c>
      <c r="J236" s="73">
        <f>IF(A236="","",SUMIFS(ERFASSUNG!$G$6:$G$3005,ERFASSUNG!$A$6:$A$3005,A236))</f>
        <v/>
      </c>
      <c r="K236" s="73">
        <f>IF(A236="","",SUMIFS(ERFASSUNG!$H$6:$H$3005,ERFASSUNG!$A$6:$A$3005,A236))</f>
        <v/>
      </c>
      <c r="L236" s="73">
        <f>IF(A236="","",SUMIFS(ERFASSUNG!$I$6:$I$3005,ERFASSUNG!$A$6:$A$3005,A236))</f>
        <v/>
      </c>
      <c r="M236" s="73">
        <f>IF(A236="","",SUMIFS(ERFASSUNG!$J$6:$J$3005,ERFASSUNG!$A$6:$A$3005,A236))</f>
        <v/>
      </c>
      <c r="N236" s="73">
        <f>IF(A236="","",SUMIFS(ERFASSUNG!$K$6:$K$3005,ERFASSUNG!$A$6:$A$3005,A236))</f>
        <v/>
      </c>
      <c r="O236" s="73">
        <f>IF(A236="","",SUMIFS(ERFASSUNG!$L$6:$L$3005,ERFASSUNG!$A$6:$A$3005,A236))</f>
        <v/>
      </c>
      <c r="P236" s="73">
        <f>IF(A236="","",SUMIFS(ERFASSUNG!$M$6:$M$3005,ERFASSUNG!$A$6:$A$3005,A236))</f>
        <v/>
      </c>
      <c r="Q236" s="73">
        <f>IF(A236="","",SUMIFS(ERFASSUNG!$N$6:$N$3005,ERFASSUNG!$A$6:$A$3005,A236))</f>
        <v/>
      </c>
    </row>
    <row r="237">
      <c r="A237" s="72">
        <f>IF(YEAR(DATE(LISTEN!$F$2,1,1)+232)=LISTEN!$F$2,DATE(LISTEN!$F$2,1,1)+232,"")</f>
        <v/>
      </c>
      <c r="B237" s="73">
        <f>IF(A237="","",CHOOSE(WEEKDAY(A237,2),"Mo","Di","Mi","Do","Fr","Sa","So"))</f>
        <v/>
      </c>
      <c r="C237" s="73">
        <f>IF(A237="","",INT((A237-DATE(YEAR(A237-WEEKDAY(A237-1)+4),1,3)+WEEKDAY(DATE(YEAR(A237-WEEKDAY(A237-1)+4),1,3))+5)/7))</f>
        <v/>
      </c>
      <c r="D237" s="73">
        <f>IF(A237="","",MONTH(A237))</f>
        <v/>
      </c>
      <c r="E237" s="73">
        <f>IF(A237="","",WEEKDAY(A237,2))</f>
        <v/>
      </c>
      <c r="F237" s="73">
        <f>IF(A237="","",COUNTIF(ERFASSUNG!$A$6:$A$3005,A237))</f>
        <v/>
      </c>
      <c r="G237" s="73">
        <f>IF(A237="","",IF(F237&gt;0,1,0))</f>
        <v/>
      </c>
      <c r="H237" s="73">
        <f>IF(A237="","",SUMIFS(ERFASSUNG!$E$6:$E$3005,ERFASSUNG!$A$6:$A$3005,A237))</f>
        <v/>
      </c>
      <c r="I237" s="73">
        <f>IF(A237="","",SUMIFS(ERFASSUNG!$F$6:$F$3005,ERFASSUNG!$A$6:$A$3005,A237))</f>
        <v/>
      </c>
      <c r="J237" s="73">
        <f>IF(A237="","",SUMIFS(ERFASSUNG!$G$6:$G$3005,ERFASSUNG!$A$6:$A$3005,A237))</f>
        <v/>
      </c>
      <c r="K237" s="73">
        <f>IF(A237="","",SUMIFS(ERFASSUNG!$H$6:$H$3005,ERFASSUNG!$A$6:$A$3005,A237))</f>
        <v/>
      </c>
      <c r="L237" s="73">
        <f>IF(A237="","",SUMIFS(ERFASSUNG!$I$6:$I$3005,ERFASSUNG!$A$6:$A$3005,A237))</f>
        <v/>
      </c>
      <c r="M237" s="73">
        <f>IF(A237="","",SUMIFS(ERFASSUNG!$J$6:$J$3005,ERFASSUNG!$A$6:$A$3005,A237))</f>
        <v/>
      </c>
      <c r="N237" s="73">
        <f>IF(A237="","",SUMIFS(ERFASSUNG!$K$6:$K$3005,ERFASSUNG!$A$6:$A$3005,A237))</f>
        <v/>
      </c>
      <c r="O237" s="73">
        <f>IF(A237="","",SUMIFS(ERFASSUNG!$L$6:$L$3005,ERFASSUNG!$A$6:$A$3005,A237))</f>
        <v/>
      </c>
      <c r="P237" s="73">
        <f>IF(A237="","",SUMIFS(ERFASSUNG!$M$6:$M$3005,ERFASSUNG!$A$6:$A$3005,A237))</f>
        <v/>
      </c>
      <c r="Q237" s="73">
        <f>IF(A237="","",SUMIFS(ERFASSUNG!$N$6:$N$3005,ERFASSUNG!$A$6:$A$3005,A237))</f>
        <v/>
      </c>
    </row>
    <row r="238">
      <c r="A238" s="72">
        <f>IF(YEAR(DATE(LISTEN!$F$2,1,1)+233)=LISTEN!$F$2,DATE(LISTEN!$F$2,1,1)+233,"")</f>
        <v/>
      </c>
      <c r="B238" s="73">
        <f>IF(A238="","",CHOOSE(WEEKDAY(A238,2),"Mo","Di","Mi","Do","Fr","Sa","So"))</f>
        <v/>
      </c>
      <c r="C238" s="73">
        <f>IF(A238="","",INT((A238-DATE(YEAR(A238-WEEKDAY(A238-1)+4),1,3)+WEEKDAY(DATE(YEAR(A238-WEEKDAY(A238-1)+4),1,3))+5)/7))</f>
        <v/>
      </c>
      <c r="D238" s="73">
        <f>IF(A238="","",MONTH(A238))</f>
        <v/>
      </c>
      <c r="E238" s="73">
        <f>IF(A238="","",WEEKDAY(A238,2))</f>
        <v/>
      </c>
      <c r="F238" s="73">
        <f>IF(A238="","",COUNTIF(ERFASSUNG!$A$6:$A$3005,A238))</f>
        <v/>
      </c>
      <c r="G238" s="73">
        <f>IF(A238="","",IF(F238&gt;0,1,0))</f>
        <v/>
      </c>
      <c r="H238" s="73">
        <f>IF(A238="","",SUMIFS(ERFASSUNG!$E$6:$E$3005,ERFASSUNG!$A$6:$A$3005,A238))</f>
        <v/>
      </c>
      <c r="I238" s="73">
        <f>IF(A238="","",SUMIFS(ERFASSUNG!$F$6:$F$3005,ERFASSUNG!$A$6:$A$3005,A238))</f>
        <v/>
      </c>
      <c r="J238" s="73">
        <f>IF(A238="","",SUMIFS(ERFASSUNG!$G$6:$G$3005,ERFASSUNG!$A$6:$A$3005,A238))</f>
        <v/>
      </c>
      <c r="K238" s="73">
        <f>IF(A238="","",SUMIFS(ERFASSUNG!$H$6:$H$3005,ERFASSUNG!$A$6:$A$3005,A238))</f>
        <v/>
      </c>
      <c r="L238" s="73">
        <f>IF(A238="","",SUMIFS(ERFASSUNG!$I$6:$I$3005,ERFASSUNG!$A$6:$A$3005,A238))</f>
        <v/>
      </c>
      <c r="M238" s="73">
        <f>IF(A238="","",SUMIFS(ERFASSUNG!$J$6:$J$3005,ERFASSUNG!$A$6:$A$3005,A238))</f>
        <v/>
      </c>
      <c r="N238" s="73">
        <f>IF(A238="","",SUMIFS(ERFASSUNG!$K$6:$K$3005,ERFASSUNG!$A$6:$A$3005,A238))</f>
        <v/>
      </c>
      <c r="O238" s="73">
        <f>IF(A238="","",SUMIFS(ERFASSUNG!$L$6:$L$3005,ERFASSUNG!$A$6:$A$3005,A238))</f>
        <v/>
      </c>
      <c r="P238" s="73">
        <f>IF(A238="","",SUMIFS(ERFASSUNG!$M$6:$M$3005,ERFASSUNG!$A$6:$A$3005,A238))</f>
        <v/>
      </c>
      <c r="Q238" s="73">
        <f>IF(A238="","",SUMIFS(ERFASSUNG!$N$6:$N$3005,ERFASSUNG!$A$6:$A$3005,A238))</f>
        <v/>
      </c>
    </row>
    <row r="239">
      <c r="A239" s="72">
        <f>IF(YEAR(DATE(LISTEN!$F$2,1,1)+234)=LISTEN!$F$2,DATE(LISTEN!$F$2,1,1)+234,"")</f>
        <v/>
      </c>
      <c r="B239" s="73">
        <f>IF(A239="","",CHOOSE(WEEKDAY(A239,2),"Mo","Di","Mi","Do","Fr","Sa","So"))</f>
        <v/>
      </c>
      <c r="C239" s="73">
        <f>IF(A239="","",INT((A239-DATE(YEAR(A239-WEEKDAY(A239-1)+4),1,3)+WEEKDAY(DATE(YEAR(A239-WEEKDAY(A239-1)+4),1,3))+5)/7))</f>
        <v/>
      </c>
      <c r="D239" s="73">
        <f>IF(A239="","",MONTH(A239))</f>
        <v/>
      </c>
      <c r="E239" s="73">
        <f>IF(A239="","",WEEKDAY(A239,2))</f>
        <v/>
      </c>
      <c r="F239" s="73">
        <f>IF(A239="","",COUNTIF(ERFASSUNG!$A$6:$A$3005,A239))</f>
        <v/>
      </c>
      <c r="G239" s="73">
        <f>IF(A239="","",IF(F239&gt;0,1,0))</f>
        <v/>
      </c>
      <c r="H239" s="73">
        <f>IF(A239="","",SUMIFS(ERFASSUNG!$E$6:$E$3005,ERFASSUNG!$A$6:$A$3005,A239))</f>
        <v/>
      </c>
      <c r="I239" s="73">
        <f>IF(A239="","",SUMIFS(ERFASSUNG!$F$6:$F$3005,ERFASSUNG!$A$6:$A$3005,A239))</f>
        <v/>
      </c>
      <c r="J239" s="73">
        <f>IF(A239="","",SUMIFS(ERFASSUNG!$G$6:$G$3005,ERFASSUNG!$A$6:$A$3005,A239))</f>
        <v/>
      </c>
      <c r="K239" s="73">
        <f>IF(A239="","",SUMIFS(ERFASSUNG!$H$6:$H$3005,ERFASSUNG!$A$6:$A$3005,A239))</f>
        <v/>
      </c>
      <c r="L239" s="73">
        <f>IF(A239="","",SUMIFS(ERFASSUNG!$I$6:$I$3005,ERFASSUNG!$A$6:$A$3005,A239))</f>
        <v/>
      </c>
      <c r="M239" s="73">
        <f>IF(A239="","",SUMIFS(ERFASSUNG!$J$6:$J$3005,ERFASSUNG!$A$6:$A$3005,A239))</f>
        <v/>
      </c>
      <c r="N239" s="73">
        <f>IF(A239="","",SUMIFS(ERFASSUNG!$K$6:$K$3005,ERFASSUNG!$A$6:$A$3005,A239))</f>
        <v/>
      </c>
      <c r="O239" s="73">
        <f>IF(A239="","",SUMIFS(ERFASSUNG!$L$6:$L$3005,ERFASSUNG!$A$6:$A$3005,A239))</f>
        <v/>
      </c>
      <c r="P239" s="73">
        <f>IF(A239="","",SUMIFS(ERFASSUNG!$M$6:$M$3005,ERFASSUNG!$A$6:$A$3005,A239))</f>
        <v/>
      </c>
      <c r="Q239" s="73">
        <f>IF(A239="","",SUMIFS(ERFASSUNG!$N$6:$N$3005,ERFASSUNG!$A$6:$A$3005,A239))</f>
        <v/>
      </c>
    </row>
    <row r="240">
      <c r="A240" s="72">
        <f>IF(YEAR(DATE(LISTEN!$F$2,1,1)+235)=LISTEN!$F$2,DATE(LISTEN!$F$2,1,1)+235,"")</f>
        <v/>
      </c>
      <c r="B240" s="73">
        <f>IF(A240="","",CHOOSE(WEEKDAY(A240,2),"Mo","Di","Mi","Do","Fr","Sa","So"))</f>
        <v/>
      </c>
      <c r="C240" s="73">
        <f>IF(A240="","",INT((A240-DATE(YEAR(A240-WEEKDAY(A240-1)+4),1,3)+WEEKDAY(DATE(YEAR(A240-WEEKDAY(A240-1)+4),1,3))+5)/7))</f>
        <v/>
      </c>
      <c r="D240" s="73">
        <f>IF(A240="","",MONTH(A240))</f>
        <v/>
      </c>
      <c r="E240" s="73">
        <f>IF(A240="","",WEEKDAY(A240,2))</f>
        <v/>
      </c>
      <c r="F240" s="73">
        <f>IF(A240="","",COUNTIF(ERFASSUNG!$A$6:$A$3005,A240))</f>
        <v/>
      </c>
      <c r="G240" s="73">
        <f>IF(A240="","",IF(F240&gt;0,1,0))</f>
        <v/>
      </c>
      <c r="H240" s="73">
        <f>IF(A240="","",SUMIFS(ERFASSUNG!$E$6:$E$3005,ERFASSUNG!$A$6:$A$3005,A240))</f>
        <v/>
      </c>
      <c r="I240" s="73">
        <f>IF(A240="","",SUMIFS(ERFASSUNG!$F$6:$F$3005,ERFASSUNG!$A$6:$A$3005,A240))</f>
        <v/>
      </c>
      <c r="J240" s="73">
        <f>IF(A240="","",SUMIFS(ERFASSUNG!$G$6:$G$3005,ERFASSUNG!$A$6:$A$3005,A240))</f>
        <v/>
      </c>
      <c r="K240" s="73">
        <f>IF(A240="","",SUMIFS(ERFASSUNG!$H$6:$H$3005,ERFASSUNG!$A$6:$A$3005,A240))</f>
        <v/>
      </c>
      <c r="L240" s="73">
        <f>IF(A240="","",SUMIFS(ERFASSUNG!$I$6:$I$3005,ERFASSUNG!$A$6:$A$3005,A240))</f>
        <v/>
      </c>
      <c r="M240" s="73">
        <f>IF(A240="","",SUMIFS(ERFASSUNG!$J$6:$J$3005,ERFASSUNG!$A$6:$A$3005,A240))</f>
        <v/>
      </c>
      <c r="N240" s="73">
        <f>IF(A240="","",SUMIFS(ERFASSUNG!$K$6:$K$3005,ERFASSUNG!$A$6:$A$3005,A240))</f>
        <v/>
      </c>
      <c r="O240" s="73">
        <f>IF(A240="","",SUMIFS(ERFASSUNG!$L$6:$L$3005,ERFASSUNG!$A$6:$A$3005,A240))</f>
        <v/>
      </c>
      <c r="P240" s="73">
        <f>IF(A240="","",SUMIFS(ERFASSUNG!$M$6:$M$3005,ERFASSUNG!$A$6:$A$3005,A240))</f>
        <v/>
      </c>
      <c r="Q240" s="73">
        <f>IF(A240="","",SUMIFS(ERFASSUNG!$N$6:$N$3005,ERFASSUNG!$A$6:$A$3005,A240))</f>
        <v/>
      </c>
    </row>
    <row r="241">
      <c r="A241" s="72">
        <f>IF(YEAR(DATE(LISTEN!$F$2,1,1)+236)=LISTEN!$F$2,DATE(LISTEN!$F$2,1,1)+236,"")</f>
        <v/>
      </c>
      <c r="B241" s="73">
        <f>IF(A241="","",CHOOSE(WEEKDAY(A241,2),"Mo","Di","Mi","Do","Fr","Sa","So"))</f>
        <v/>
      </c>
      <c r="C241" s="73">
        <f>IF(A241="","",INT((A241-DATE(YEAR(A241-WEEKDAY(A241-1)+4),1,3)+WEEKDAY(DATE(YEAR(A241-WEEKDAY(A241-1)+4),1,3))+5)/7))</f>
        <v/>
      </c>
      <c r="D241" s="73">
        <f>IF(A241="","",MONTH(A241))</f>
        <v/>
      </c>
      <c r="E241" s="73">
        <f>IF(A241="","",WEEKDAY(A241,2))</f>
        <v/>
      </c>
      <c r="F241" s="73">
        <f>IF(A241="","",COUNTIF(ERFASSUNG!$A$6:$A$3005,A241))</f>
        <v/>
      </c>
      <c r="G241" s="73">
        <f>IF(A241="","",IF(F241&gt;0,1,0))</f>
        <v/>
      </c>
      <c r="H241" s="73">
        <f>IF(A241="","",SUMIFS(ERFASSUNG!$E$6:$E$3005,ERFASSUNG!$A$6:$A$3005,A241))</f>
        <v/>
      </c>
      <c r="I241" s="73">
        <f>IF(A241="","",SUMIFS(ERFASSUNG!$F$6:$F$3005,ERFASSUNG!$A$6:$A$3005,A241))</f>
        <v/>
      </c>
      <c r="J241" s="73">
        <f>IF(A241="","",SUMIFS(ERFASSUNG!$G$6:$G$3005,ERFASSUNG!$A$6:$A$3005,A241))</f>
        <v/>
      </c>
      <c r="K241" s="73">
        <f>IF(A241="","",SUMIFS(ERFASSUNG!$H$6:$H$3005,ERFASSUNG!$A$6:$A$3005,A241))</f>
        <v/>
      </c>
      <c r="L241" s="73">
        <f>IF(A241="","",SUMIFS(ERFASSUNG!$I$6:$I$3005,ERFASSUNG!$A$6:$A$3005,A241))</f>
        <v/>
      </c>
      <c r="M241" s="73">
        <f>IF(A241="","",SUMIFS(ERFASSUNG!$J$6:$J$3005,ERFASSUNG!$A$6:$A$3005,A241))</f>
        <v/>
      </c>
      <c r="N241" s="73">
        <f>IF(A241="","",SUMIFS(ERFASSUNG!$K$6:$K$3005,ERFASSUNG!$A$6:$A$3005,A241))</f>
        <v/>
      </c>
      <c r="O241" s="73">
        <f>IF(A241="","",SUMIFS(ERFASSUNG!$L$6:$L$3005,ERFASSUNG!$A$6:$A$3005,A241))</f>
        <v/>
      </c>
      <c r="P241" s="73">
        <f>IF(A241="","",SUMIFS(ERFASSUNG!$M$6:$M$3005,ERFASSUNG!$A$6:$A$3005,A241))</f>
        <v/>
      </c>
      <c r="Q241" s="73">
        <f>IF(A241="","",SUMIFS(ERFASSUNG!$N$6:$N$3005,ERFASSUNG!$A$6:$A$3005,A241))</f>
        <v/>
      </c>
    </row>
    <row r="242">
      <c r="A242" s="72">
        <f>IF(YEAR(DATE(LISTEN!$F$2,1,1)+237)=LISTEN!$F$2,DATE(LISTEN!$F$2,1,1)+237,"")</f>
        <v/>
      </c>
      <c r="B242" s="73">
        <f>IF(A242="","",CHOOSE(WEEKDAY(A242,2),"Mo","Di","Mi","Do","Fr","Sa","So"))</f>
        <v/>
      </c>
      <c r="C242" s="73">
        <f>IF(A242="","",INT((A242-DATE(YEAR(A242-WEEKDAY(A242-1)+4),1,3)+WEEKDAY(DATE(YEAR(A242-WEEKDAY(A242-1)+4),1,3))+5)/7))</f>
        <v/>
      </c>
      <c r="D242" s="73">
        <f>IF(A242="","",MONTH(A242))</f>
        <v/>
      </c>
      <c r="E242" s="73">
        <f>IF(A242="","",WEEKDAY(A242,2))</f>
        <v/>
      </c>
      <c r="F242" s="73">
        <f>IF(A242="","",COUNTIF(ERFASSUNG!$A$6:$A$3005,A242))</f>
        <v/>
      </c>
      <c r="G242" s="73">
        <f>IF(A242="","",IF(F242&gt;0,1,0))</f>
        <v/>
      </c>
      <c r="H242" s="73">
        <f>IF(A242="","",SUMIFS(ERFASSUNG!$E$6:$E$3005,ERFASSUNG!$A$6:$A$3005,A242))</f>
        <v/>
      </c>
      <c r="I242" s="73">
        <f>IF(A242="","",SUMIFS(ERFASSUNG!$F$6:$F$3005,ERFASSUNG!$A$6:$A$3005,A242))</f>
        <v/>
      </c>
      <c r="J242" s="73">
        <f>IF(A242="","",SUMIFS(ERFASSUNG!$G$6:$G$3005,ERFASSUNG!$A$6:$A$3005,A242))</f>
        <v/>
      </c>
      <c r="K242" s="73">
        <f>IF(A242="","",SUMIFS(ERFASSUNG!$H$6:$H$3005,ERFASSUNG!$A$6:$A$3005,A242))</f>
        <v/>
      </c>
      <c r="L242" s="73">
        <f>IF(A242="","",SUMIFS(ERFASSUNG!$I$6:$I$3005,ERFASSUNG!$A$6:$A$3005,A242))</f>
        <v/>
      </c>
      <c r="M242" s="73">
        <f>IF(A242="","",SUMIFS(ERFASSUNG!$J$6:$J$3005,ERFASSUNG!$A$6:$A$3005,A242))</f>
        <v/>
      </c>
      <c r="N242" s="73">
        <f>IF(A242="","",SUMIFS(ERFASSUNG!$K$6:$K$3005,ERFASSUNG!$A$6:$A$3005,A242))</f>
        <v/>
      </c>
      <c r="O242" s="73">
        <f>IF(A242="","",SUMIFS(ERFASSUNG!$L$6:$L$3005,ERFASSUNG!$A$6:$A$3005,A242))</f>
        <v/>
      </c>
      <c r="P242" s="73">
        <f>IF(A242="","",SUMIFS(ERFASSUNG!$M$6:$M$3005,ERFASSUNG!$A$6:$A$3005,A242))</f>
        <v/>
      </c>
      <c r="Q242" s="73">
        <f>IF(A242="","",SUMIFS(ERFASSUNG!$N$6:$N$3005,ERFASSUNG!$A$6:$A$3005,A242))</f>
        <v/>
      </c>
    </row>
    <row r="243">
      <c r="A243" s="72">
        <f>IF(YEAR(DATE(LISTEN!$F$2,1,1)+238)=LISTEN!$F$2,DATE(LISTEN!$F$2,1,1)+238,"")</f>
        <v/>
      </c>
      <c r="B243" s="73">
        <f>IF(A243="","",CHOOSE(WEEKDAY(A243,2),"Mo","Di","Mi","Do","Fr","Sa","So"))</f>
        <v/>
      </c>
      <c r="C243" s="73">
        <f>IF(A243="","",INT((A243-DATE(YEAR(A243-WEEKDAY(A243-1)+4),1,3)+WEEKDAY(DATE(YEAR(A243-WEEKDAY(A243-1)+4),1,3))+5)/7))</f>
        <v/>
      </c>
      <c r="D243" s="73">
        <f>IF(A243="","",MONTH(A243))</f>
        <v/>
      </c>
      <c r="E243" s="73">
        <f>IF(A243="","",WEEKDAY(A243,2))</f>
        <v/>
      </c>
      <c r="F243" s="73">
        <f>IF(A243="","",COUNTIF(ERFASSUNG!$A$6:$A$3005,A243))</f>
        <v/>
      </c>
      <c r="G243" s="73">
        <f>IF(A243="","",IF(F243&gt;0,1,0))</f>
        <v/>
      </c>
      <c r="H243" s="73">
        <f>IF(A243="","",SUMIFS(ERFASSUNG!$E$6:$E$3005,ERFASSUNG!$A$6:$A$3005,A243))</f>
        <v/>
      </c>
      <c r="I243" s="73">
        <f>IF(A243="","",SUMIFS(ERFASSUNG!$F$6:$F$3005,ERFASSUNG!$A$6:$A$3005,A243))</f>
        <v/>
      </c>
      <c r="J243" s="73">
        <f>IF(A243="","",SUMIFS(ERFASSUNG!$G$6:$G$3005,ERFASSUNG!$A$6:$A$3005,A243))</f>
        <v/>
      </c>
      <c r="K243" s="73">
        <f>IF(A243="","",SUMIFS(ERFASSUNG!$H$6:$H$3005,ERFASSUNG!$A$6:$A$3005,A243))</f>
        <v/>
      </c>
      <c r="L243" s="73">
        <f>IF(A243="","",SUMIFS(ERFASSUNG!$I$6:$I$3005,ERFASSUNG!$A$6:$A$3005,A243))</f>
        <v/>
      </c>
      <c r="M243" s="73">
        <f>IF(A243="","",SUMIFS(ERFASSUNG!$J$6:$J$3005,ERFASSUNG!$A$6:$A$3005,A243))</f>
        <v/>
      </c>
      <c r="N243" s="73">
        <f>IF(A243="","",SUMIFS(ERFASSUNG!$K$6:$K$3005,ERFASSUNG!$A$6:$A$3005,A243))</f>
        <v/>
      </c>
      <c r="O243" s="73">
        <f>IF(A243="","",SUMIFS(ERFASSUNG!$L$6:$L$3005,ERFASSUNG!$A$6:$A$3005,A243))</f>
        <v/>
      </c>
      <c r="P243" s="73">
        <f>IF(A243="","",SUMIFS(ERFASSUNG!$M$6:$M$3005,ERFASSUNG!$A$6:$A$3005,A243))</f>
        <v/>
      </c>
      <c r="Q243" s="73">
        <f>IF(A243="","",SUMIFS(ERFASSUNG!$N$6:$N$3005,ERFASSUNG!$A$6:$A$3005,A243))</f>
        <v/>
      </c>
    </row>
    <row r="244">
      <c r="A244" s="72">
        <f>IF(YEAR(DATE(LISTEN!$F$2,1,1)+239)=LISTEN!$F$2,DATE(LISTEN!$F$2,1,1)+239,"")</f>
        <v/>
      </c>
      <c r="B244" s="73">
        <f>IF(A244="","",CHOOSE(WEEKDAY(A244,2),"Mo","Di","Mi","Do","Fr","Sa","So"))</f>
        <v/>
      </c>
      <c r="C244" s="73">
        <f>IF(A244="","",INT((A244-DATE(YEAR(A244-WEEKDAY(A244-1)+4),1,3)+WEEKDAY(DATE(YEAR(A244-WEEKDAY(A244-1)+4),1,3))+5)/7))</f>
        <v/>
      </c>
      <c r="D244" s="73">
        <f>IF(A244="","",MONTH(A244))</f>
        <v/>
      </c>
      <c r="E244" s="73">
        <f>IF(A244="","",WEEKDAY(A244,2))</f>
        <v/>
      </c>
      <c r="F244" s="73">
        <f>IF(A244="","",COUNTIF(ERFASSUNG!$A$6:$A$3005,A244))</f>
        <v/>
      </c>
      <c r="G244" s="73">
        <f>IF(A244="","",IF(F244&gt;0,1,0))</f>
        <v/>
      </c>
      <c r="H244" s="73">
        <f>IF(A244="","",SUMIFS(ERFASSUNG!$E$6:$E$3005,ERFASSUNG!$A$6:$A$3005,A244))</f>
        <v/>
      </c>
      <c r="I244" s="73">
        <f>IF(A244="","",SUMIFS(ERFASSUNG!$F$6:$F$3005,ERFASSUNG!$A$6:$A$3005,A244))</f>
        <v/>
      </c>
      <c r="J244" s="73">
        <f>IF(A244="","",SUMIFS(ERFASSUNG!$G$6:$G$3005,ERFASSUNG!$A$6:$A$3005,A244))</f>
        <v/>
      </c>
      <c r="K244" s="73">
        <f>IF(A244="","",SUMIFS(ERFASSUNG!$H$6:$H$3005,ERFASSUNG!$A$6:$A$3005,A244))</f>
        <v/>
      </c>
      <c r="L244" s="73">
        <f>IF(A244="","",SUMIFS(ERFASSUNG!$I$6:$I$3005,ERFASSUNG!$A$6:$A$3005,A244))</f>
        <v/>
      </c>
      <c r="M244" s="73">
        <f>IF(A244="","",SUMIFS(ERFASSUNG!$J$6:$J$3005,ERFASSUNG!$A$6:$A$3005,A244))</f>
        <v/>
      </c>
      <c r="N244" s="73">
        <f>IF(A244="","",SUMIFS(ERFASSUNG!$K$6:$K$3005,ERFASSUNG!$A$6:$A$3005,A244))</f>
        <v/>
      </c>
      <c r="O244" s="73">
        <f>IF(A244="","",SUMIFS(ERFASSUNG!$L$6:$L$3005,ERFASSUNG!$A$6:$A$3005,A244))</f>
        <v/>
      </c>
      <c r="P244" s="73">
        <f>IF(A244="","",SUMIFS(ERFASSUNG!$M$6:$M$3005,ERFASSUNG!$A$6:$A$3005,A244))</f>
        <v/>
      </c>
      <c r="Q244" s="73">
        <f>IF(A244="","",SUMIFS(ERFASSUNG!$N$6:$N$3005,ERFASSUNG!$A$6:$A$3005,A244))</f>
        <v/>
      </c>
    </row>
    <row r="245">
      <c r="A245" s="72">
        <f>IF(YEAR(DATE(LISTEN!$F$2,1,1)+240)=LISTEN!$F$2,DATE(LISTEN!$F$2,1,1)+240,"")</f>
        <v/>
      </c>
      <c r="B245" s="73">
        <f>IF(A245="","",CHOOSE(WEEKDAY(A245,2),"Mo","Di","Mi","Do","Fr","Sa","So"))</f>
        <v/>
      </c>
      <c r="C245" s="73">
        <f>IF(A245="","",INT((A245-DATE(YEAR(A245-WEEKDAY(A245-1)+4),1,3)+WEEKDAY(DATE(YEAR(A245-WEEKDAY(A245-1)+4),1,3))+5)/7))</f>
        <v/>
      </c>
      <c r="D245" s="73">
        <f>IF(A245="","",MONTH(A245))</f>
        <v/>
      </c>
      <c r="E245" s="73">
        <f>IF(A245="","",WEEKDAY(A245,2))</f>
        <v/>
      </c>
      <c r="F245" s="73">
        <f>IF(A245="","",COUNTIF(ERFASSUNG!$A$6:$A$3005,A245))</f>
        <v/>
      </c>
      <c r="G245" s="73">
        <f>IF(A245="","",IF(F245&gt;0,1,0))</f>
        <v/>
      </c>
      <c r="H245" s="73">
        <f>IF(A245="","",SUMIFS(ERFASSUNG!$E$6:$E$3005,ERFASSUNG!$A$6:$A$3005,A245))</f>
        <v/>
      </c>
      <c r="I245" s="73">
        <f>IF(A245="","",SUMIFS(ERFASSUNG!$F$6:$F$3005,ERFASSUNG!$A$6:$A$3005,A245))</f>
        <v/>
      </c>
      <c r="J245" s="73">
        <f>IF(A245="","",SUMIFS(ERFASSUNG!$G$6:$G$3005,ERFASSUNG!$A$6:$A$3005,A245))</f>
        <v/>
      </c>
      <c r="K245" s="73">
        <f>IF(A245="","",SUMIFS(ERFASSUNG!$H$6:$H$3005,ERFASSUNG!$A$6:$A$3005,A245))</f>
        <v/>
      </c>
      <c r="L245" s="73">
        <f>IF(A245="","",SUMIFS(ERFASSUNG!$I$6:$I$3005,ERFASSUNG!$A$6:$A$3005,A245))</f>
        <v/>
      </c>
      <c r="M245" s="73">
        <f>IF(A245="","",SUMIFS(ERFASSUNG!$J$6:$J$3005,ERFASSUNG!$A$6:$A$3005,A245))</f>
        <v/>
      </c>
      <c r="N245" s="73">
        <f>IF(A245="","",SUMIFS(ERFASSUNG!$K$6:$K$3005,ERFASSUNG!$A$6:$A$3005,A245))</f>
        <v/>
      </c>
      <c r="O245" s="73">
        <f>IF(A245="","",SUMIFS(ERFASSUNG!$L$6:$L$3005,ERFASSUNG!$A$6:$A$3005,A245))</f>
        <v/>
      </c>
      <c r="P245" s="73">
        <f>IF(A245="","",SUMIFS(ERFASSUNG!$M$6:$M$3005,ERFASSUNG!$A$6:$A$3005,A245))</f>
        <v/>
      </c>
      <c r="Q245" s="73">
        <f>IF(A245="","",SUMIFS(ERFASSUNG!$N$6:$N$3005,ERFASSUNG!$A$6:$A$3005,A245))</f>
        <v/>
      </c>
    </row>
    <row r="246">
      <c r="A246" s="72">
        <f>IF(YEAR(DATE(LISTEN!$F$2,1,1)+241)=LISTEN!$F$2,DATE(LISTEN!$F$2,1,1)+241,"")</f>
        <v/>
      </c>
      <c r="B246" s="73">
        <f>IF(A246="","",CHOOSE(WEEKDAY(A246,2),"Mo","Di","Mi","Do","Fr","Sa","So"))</f>
        <v/>
      </c>
      <c r="C246" s="73">
        <f>IF(A246="","",INT((A246-DATE(YEAR(A246-WEEKDAY(A246-1)+4),1,3)+WEEKDAY(DATE(YEAR(A246-WEEKDAY(A246-1)+4),1,3))+5)/7))</f>
        <v/>
      </c>
      <c r="D246" s="73">
        <f>IF(A246="","",MONTH(A246))</f>
        <v/>
      </c>
      <c r="E246" s="73">
        <f>IF(A246="","",WEEKDAY(A246,2))</f>
        <v/>
      </c>
      <c r="F246" s="73">
        <f>IF(A246="","",COUNTIF(ERFASSUNG!$A$6:$A$3005,A246))</f>
        <v/>
      </c>
      <c r="G246" s="73">
        <f>IF(A246="","",IF(F246&gt;0,1,0))</f>
        <v/>
      </c>
      <c r="H246" s="73">
        <f>IF(A246="","",SUMIFS(ERFASSUNG!$E$6:$E$3005,ERFASSUNG!$A$6:$A$3005,A246))</f>
        <v/>
      </c>
      <c r="I246" s="73">
        <f>IF(A246="","",SUMIFS(ERFASSUNG!$F$6:$F$3005,ERFASSUNG!$A$6:$A$3005,A246))</f>
        <v/>
      </c>
      <c r="J246" s="73">
        <f>IF(A246="","",SUMIFS(ERFASSUNG!$G$6:$G$3005,ERFASSUNG!$A$6:$A$3005,A246))</f>
        <v/>
      </c>
      <c r="K246" s="73">
        <f>IF(A246="","",SUMIFS(ERFASSUNG!$H$6:$H$3005,ERFASSUNG!$A$6:$A$3005,A246))</f>
        <v/>
      </c>
      <c r="L246" s="73">
        <f>IF(A246="","",SUMIFS(ERFASSUNG!$I$6:$I$3005,ERFASSUNG!$A$6:$A$3005,A246))</f>
        <v/>
      </c>
      <c r="M246" s="73">
        <f>IF(A246="","",SUMIFS(ERFASSUNG!$J$6:$J$3005,ERFASSUNG!$A$6:$A$3005,A246))</f>
        <v/>
      </c>
      <c r="N246" s="73">
        <f>IF(A246="","",SUMIFS(ERFASSUNG!$K$6:$K$3005,ERFASSUNG!$A$6:$A$3005,A246))</f>
        <v/>
      </c>
      <c r="O246" s="73">
        <f>IF(A246="","",SUMIFS(ERFASSUNG!$L$6:$L$3005,ERFASSUNG!$A$6:$A$3005,A246))</f>
        <v/>
      </c>
      <c r="P246" s="73">
        <f>IF(A246="","",SUMIFS(ERFASSUNG!$M$6:$M$3005,ERFASSUNG!$A$6:$A$3005,A246))</f>
        <v/>
      </c>
      <c r="Q246" s="73">
        <f>IF(A246="","",SUMIFS(ERFASSUNG!$N$6:$N$3005,ERFASSUNG!$A$6:$A$3005,A246))</f>
        <v/>
      </c>
    </row>
    <row r="247">
      <c r="A247" s="72">
        <f>IF(YEAR(DATE(LISTEN!$F$2,1,1)+242)=LISTEN!$F$2,DATE(LISTEN!$F$2,1,1)+242,"")</f>
        <v/>
      </c>
      <c r="B247" s="73">
        <f>IF(A247="","",CHOOSE(WEEKDAY(A247,2),"Mo","Di","Mi","Do","Fr","Sa","So"))</f>
        <v/>
      </c>
      <c r="C247" s="73">
        <f>IF(A247="","",INT((A247-DATE(YEAR(A247-WEEKDAY(A247-1)+4),1,3)+WEEKDAY(DATE(YEAR(A247-WEEKDAY(A247-1)+4),1,3))+5)/7))</f>
        <v/>
      </c>
      <c r="D247" s="73">
        <f>IF(A247="","",MONTH(A247))</f>
        <v/>
      </c>
      <c r="E247" s="73">
        <f>IF(A247="","",WEEKDAY(A247,2))</f>
        <v/>
      </c>
      <c r="F247" s="73">
        <f>IF(A247="","",COUNTIF(ERFASSUNG!$A$6:$A$3005,A247))</f>
        <v/>
      </c>
      <c r="G247" s="73">
        <f>IF(A247="","",IF(F247&gt;0,1,0))</f>
        <v/>
      </c>
      <c r="H247" s="73">
        <f>IF(A247="","",SUMIFS(ERFASSUNG!$E$6:$E$3005,ERFASSUNG!$A$6:$A$3005,A247))</f>
        <v/>
      </c>
      <c r="I247" s="73">
        <f>IF(A247="","",SUMIFS(ERFASSUNG!$F$6:$F$3005,ERFASSUNG!$A$6:$A$3005,A247))</f>
        <v/>
      </c>
      <c r="J247" s="73">
        <f>IF(A247="","",SUMIFS(ERFASSUNG!$G$6:$G$3005,ERFASSUNG!$A$6:$A$3005,A247))</f>
        <v/>
      </c>
      <c r="K247" s="73">
        <f>IF(A247="","",SUMIFS(ERFASSUNG!$H$6:$H$3005,ERFASSUNG!$A$6:$A$3005,A247))</f>
        <v/>
      </c>
      <c r="L247" s="73">
        <f>IF(A247="","",SUMIFS(ERFASSUNG!$I$6:$I$3005,ERFASSUNG!$A$6:$A$3005,A247))</f>
        <v/>
      </c>
      <c r="M247" s="73">
        <f>IF(A247="","",SUMIFS(ERFASSUNG!$J$6:$J$3005,ERFASSUNG!$A$6:$A$3005,A247))</f>
        <v/>
      </c>
      <c r="N247" s="73">
        <f>IF(A247="","",SUMIFS(ERFASSUNG!$K$6:$K$3005,ERFASSUNG!$A$6:$A$3005,A247))</f>
        <v/>
      </c>
      <c r="O247" s="73">
        <f>IF(A247="","",SUMIFS(ERFASSUNG!$L$6:$L$3005,ERFASSUNG!$A$6:$A$3005,A247))</f>
        <v/>
      </c>
      <c r="P247" s="73">
        <f>IF(A247="","",SUMIFS(ERFASSUNG!$M$6:$M$3005,ERFASSUNG!$A$6:$A$3005,A247))</f>
        <v/>
      </c>
      <c r="Q247" s="73">
        <f>IF(A247="","",SUMIFS(ERFASSUNG!$N$6:$N$3005,ERFASSUNG!$A$6:$A$3005,A247))</f>
        <v/>
      </c>
    </row>
    <row r="248">
      <c r="A248" s="72">
        <f>IF(YEAR(DATE(LISTEN!$F$2,1,1)+243)=LISTEN!$F$2,DATE(LISTEN!$F$2,1,1)+243,"")</f>
        <v/>
      </c>
      <c r="B248" s="73">
        <f>IF(A248="","",CHOOSE(WEEKDAY(A248,2),"Mo","Di","Mi","Do","Fr","Sa","So"))</f>
        <v/>
      </c>
      <c r="C248" s="73">
        <f>IF(A248="","",INT((A248-DATE(YEAR(A248-WEEKDAY(A248-1)+4),1,3)+WEEKDAY(DATE(YEAR(A248-WEEKDAY(A248-1)+4),1,3))+5)/7))</f>
        <v/>
      </c>
      <c r="D248" s="73">
        <f>IF(A248="","",MONTH(A248))</f>
        <v/>
      </c>
      <c r="E248" s="73">
        <f>IF(A248="","",WEEKDAY(A248,2))</f>
        <v/>
      </c>
      <c r="F248" s="73">
        <f>IF(A248="","",COUNTIF(ERFASSUNG!$A$6:$A$3005,A248))</f>
        <v/>
      </c>
      <c r="G248" s="73">
        <f>IF(A248="","",IF(F248&gt;0,1,0))</f>
        <v/>
      </c>
      <c r="H248" s="73">
        <f>IF(A248="","",SUMIFS(ERFASSUNG!$E$6:$E$3005,ERFASSUNG!$A$6:$A$3005,A248))</f>
        <v/>
      </c>
      <c r="I248" s="73">
        <f>IF(A248="","",SUMIFS(ERFASSUNG!$F$6:$F$3005,ERFASSUNG!$A$6:$A$3005,A248))</f>
        <v/>
      </c>
      <c r="J248" s="73">
        <f>IF(A248="","",SUMIFS(ERFASSUNG!$G$6:$G$3005,ERFASSUNG!$A$6:$A$3005,A248))</f>
        <v/>
      </c>
      <c r="K248" s="73">
        <f>IF(A248="","",SUMIFS(ERFASSUNG!$H$6:$H$3005,ERFASSUNG!$A$6:$A$3005,A248))</f>
        <v/>
      </c>
      <c r="L248" s="73">
        <f>IF(A248="","",SUMIFS(ERFASSUNG!$I$6:$I$3005,ERFASSUNG!$A$6:$A$3005,A248))</f>
        <v/>
      </c>
      <c r="M248" s="73">
        <f>IF(A248="","",SUMIFS(ERFASSUNG!$J$6:$J$3005,ERFASSUNG!$A$6:$A$3005,A248))</f>
        <v/>
      </c>
      <c r="N248" s="73">
        <f>IF(A248="","",SUMIFS(ERFASSUNG!$K$6:$K$3005,ERFASSUNG!$A$6:$A$3005,A248))</f>
        <v/>
      </c>
      <c r="O248" s="73">
        <f>IF(A248="","",SUMIFS(ERFASSUNG!$L$6:$L$3005,ERFASSUNG!$A$6:$A$3005,A248))</f>
        <v/>
      </c>
      <c r="P248" s="73">
        <f>IF(A248="","",SUMIFS(ERFASSUNG!$M$6:$M$3005,ERFASSUNG!$A$6:$A$3005,A248))</f>
        <v/>
      </c>
      <c r="Q248" s="73">
        <f>IF(A248="","",SUMIFS(ERFASSUNG!$N$6:$N$3005,ERFASSUNG!$A$6:$A$3005,A248))</f>
        <v/>
      </c>
    </row>
    <row r="249">
      <c r="A249" s="72">
        <f>IF(YEAR(DATE(LISTEN!$F$2,1,1)+244)=LISTEN!$F$2,DATE(LISTEN!$F$2,1,1)+244,"")</f>
        <v/>
      </c>
      <c r="B249" s="73">
        <f>IF(A249="","",CHOOSE(WEEKDAY(A249,2),"Mo","Di","Mi","Do","Fr","Sa","So"))</f>
        <v/>
      </c>
      <c r="C249" s="73">
        <f>IF(A249="","",INT((A249-DATE(YEAR(A249-WEEKDAY(A249-1)+4),1,3)+WEEKDAY(DATE(YEAR(A249-WEEKDAY(A249-1)+4),1,3))+5)/7))</f>
        <v/>
      </c>
      <c r="D249" s="73">
        <f>IF(A249="","",MONTH(A249))</f>
        <v/>
      </c>
      <c r="E249" s="73">
        <f>IF(A249="","",WEEKDAY(A249,2))</f>
        <v/>
      </c>
      <c r="F249" s="73">
        <f>IF(A249="","",COUNTIF(ERFASSUNG!$A$6:$A$3005,A249))</f>
        <v/>
      </c>
      <c r="G249" s="73">
        <f>IF(A249="","",IF(F249&gt;0,1,0))</f>
        <v/>
      </c>
      <c r="H249" s="73">
        <f>IF(A249="","",SUMIFS(ERFASSUNG!$E$6:$E$3005,ERFASSUNG!$A$6:$A$3005,A249))</f>
        <v/>
      </c>
      <c r="I249" s="73">
        <f>IF(A249="","",SUMIFS(ERFASSUNG!$F$6:$F$3005,ERFASSUNG!$A$6:$A$3005,A249))</f>
        <v/>
      </c>
      <c r="J249" s="73">
        <f>IF(A249="","",SUMIFS(ERFASSUNG!$G$6:$G$3005,ERFASSUNG!$A$6:$A$3005,A249))</f>
        <v/>
      </c>
      <c r="K249" s="73">
        <f>IF(A249="","",SUMIFS(ERFASSUNG!$H$6:$H$3005,ERFASSUNG!$A$6:$A$3005,A249))</f>
        <v/>
      </c>
      <c r="L249" s="73">
        <f>IF(A249="","",SUMIFS(ERFASSUNG!$I$6:$I$3005,ERFASSUNG!$A$6:$A$3005,A249))</f>
        <v/>
      </c>
      <c r="M249" s="73">
        <f>IF(A249="","",SUMIFS(ERFASSUNG!$J$6:$J$3005,ERFASSUNG!$A$6:$A$3005,A249))</f>
        <v/>
      </c>
      <c r="N249" s="73">
        <f>IF(A249="","",SUMIFS(ERFASSUNG!$K$6:$K$3005,ERFASSUNG!$A$6:$A$3005,A249))</f>
        <v/>
      </c>
      <c r="O249" s="73">
        <f>IF(A249="","",SUMIFS(ERFASSUNG!$L$6:$L$3005,ERFASSUNG!$A$6:$A$3005,A249))</f>
        <v/>
      </c>
      <c r="P249" s="73">
        <f>IF(A249="","",SUMIFS(ERFASSUNG!$M$6:$M$3005,ERFASSUNG!$A$6:$A$3005,A249))</f>
        <v/>
      </c>
      <c r="Q249" s="73">
        <f>IF(A249="","",SUMIFS(ERFASSUNG!$N$6:$N$3005,ERFASSUNG!$A$6:$A$3005,A249))</f>
        <v/>
      </c>
    </row>
    <row r="250">
      <c r="A250" s="72">
        <f>IF(YEAR(DATE(LISTEN!$F$2,1,1)+245)=LISTEN!$F$2,DATE(LISTEN!$F$2,1,1)+245,"")</f>
        <v/>
      </c>
      <c r="B250" s="73">
        <f>IF(A250="","",CHOOSE(WEEKDAY(A250,2),"Mo","Di","Mi","Do","Fr","Sa","So"))</f>
        <v/>
      </c>
      <c r="C250" s="73">
        <f>IF(A250="","",INT((A250-DATE(YEAR(A250-WEEKDAY(A250-1)+4),1,3)+WEEKDAY(DATE(YEAR(A250-WEEKDAY(A250-1)+4),1,3))+5)/7))</f>
        <v/>
      </c>
      <c r="D250" s="73">
        <f>IF(A250="","",MONTH(A250))</f>
        <v/>
      </c>
      <c r="E250" s="73">
        <f>IF(A250="","",WEEKDAY(A250,2))</f>
        <v/>
      </c>
      <c r="F250" s="73">
        <f>IF(A250="","",COUNTIF(ERFASSUNG!$A$6:$A$3005,A250))</f>
        <v/>
      </c>
      <c r="G250" s="73">
        <f>IF(A250="","",IF(F250&gt;0,1,0))</f>
        <v/>
      </c>
      <c r="H250" s="73">
        <f>IF(A250="","",SUMIFS(ERFASSUNG!$E$6:$E$3005,ERFASSUNG!$A$6:$A$3005,A250))</f>
        <v/>
      </c>
      <c r="I250" s="73">
        <f>IF(A250="","",SUMIFS(ERFASSUNG!$F$6:$F$3005,ERFASSUNG!$A$6:$A$3005,A250))</f>
        <v/>
      </c>
      <c r="J250" s="73">
        <f>IF(A250="","",SUMIFS(ERFASSUNG!$G$6:$G$3005,ERFASSUNG!$A$6:$A$3005,A250))</f>
        <v/>
      </c>
      <c r="K250" s="73">
        <f>IF(A250="","",SUMIFS(ERFASSUNG!$H$6:$H$3005,ERFASSUNG!$A$6:$A$3005,A250))</f>
        <v/>
      </c>
      <c r="L250" s="73">
        <f>IF(A250="","",SUMIFS(ERFASSUNG!$I$6:$I$3005,ERFASSUNG!$A$6:$A$3005,A250))</f>
        <v/>
      </c>
      <c r="M250" s="73">
        <f>IF(A250="","",SUMIFS(ERFASSUNG!$J$6:$J$3005,ERFASSUNG!$A$6:$A$3005,A250))</f>
        <v/>
      </c>
      <c r="N250" s="73">
        <f>IF(A250="","",SUMIFS(ERFASSUNG!$K$6:$K$3005,ERFASSUNG!$A$6:$A$3005,A250))</f>
        <v/>
      </c>
      <c r="O250" s="73">
        <f>IF(A250="","",SUMIFS(ERFASSUNG!$L$6:$L$3005,ERFASSUNG!$A$6:$A$3005,A250))</f>
        <v/>
      </c>
      <c r="P250" s="73">
        <f>IF(A250="","",SUMIFS(ERFASSUNG!$M$6:$M$3005,ERFASSUNG!$A$6:$A$3005,A250))</f>
        <v/>
      </c>
      <c r="Q250" s="73">
        <f>IF(A250="","",SUMIFS(ERFASSUNG!$N$6:$N$3005,ERFASSUNG!$A$6:$A$3005,A250))</f>
        <v/>
      </c>
    </row>
    <row r="251">
      <c r="A251" s="72">
        <f>IF(YEAR(DATE(LISTEN!$F$2,1,1)+246)=LISTEN!$F$2,DATE(LISTEN!$F$2,1,1)+246,"")</f>
        <v/>
      </c>
      <c r="B251" s="73">
        <f>IF(A251="","",CHOOSE(WEEKDAY(A251,2),"Mo","Di","Mi","Do","Fr","Sa","So"))</f>
        <v/>
      </c>
      <c r="C251" s="73">
        <f>IF(A251="","",INT((A251-DATE(YEAR(A251-WEEKDAY(A251-1)+4),1,3)+WEEKDAY(DATE(YEAR(A251-WEEKDAY(A251-1)+4),1,3))+5)/7))</f>
        <v/>
      </c>
      <c r="D251" s="73">
        <f>IF(A251="","",MONTH(A251))</f>
        <v/>
      </c>
      <c r="E251" s="73">
        <f>IF(A251="","",WEEKDAY(A251,2))</f>
        <v/>
      </c>
      <c r="F251" s="73">
        <f>IF(A251="","",COUNTIF(ERFASSUNG!$A$6:$A$3005,A251))</f>
        <v/>
      </c>
      <c r="G251" s="73">
        <f>IF(A251="","",IF(F251&gt;0,1,0))</f>
        <v/>
      </c>
      <c r="H251" s="73">
        <f>IF(A251="","",SUMIFS(ERFASSUNG!$E$6:$E$3005,ERFASSUNG!$A$6:$A$3005,A251))</f>
        <v/>
      </c>
      <c r="I251" s="73">
        <f>IF(A251="","",SUMIFS(ERFASSUNG!$F$6:$F$3005,ERFASSUNG!$A$6:$A$3005,A251))</f>
        <v/>
      </c>
      <c r="J251" s="73">
        <f>IF(A251="","",SUMIFS(ERFASSUNG!$G$6:$G$3005,ERFASSUNG!$A$6:$A$3005,A251))</f>
        <v/>
      </c>
      <c r="K251" s="73">
        <f>IF(A251="","",SUMIFS(ERFASSUNG!$H$6:$H$3005,ERFASSUNG!$A$6:$A$3005,A251))</f>
        <v/>
      </c>
      <c r="L251" s="73">
        <f>IF(A251="","",SUMIFS(ERFASSUNG!$I$6:$I$3005,ERFASSUNG!$A$6:$A$3005,A251))</f>
        <v/>
      </c>
      <c r="M251" s="73">
        <f>IF(A251="","",SUMIFS(ERFASSUNG!$J$6:$J$3005,ERFASSUNG!$A$6:$A$3005,A251))</f>
        <v/>
      </c>
      <c r="N251" s="73">
        <f>IF(A251="","",SUMIFS(ERFASSUNG!$K$6:$K$3005,ERFASSUNG!$A$6:$A$3005,A251))</f>
        <v/>
      </c>
      <c r="O251" s="73">
        <f>IF(A251="","",SUMIFS(ERFASSUNG!$L$6:$L$3005,ERFASSUNG!$A$6:$A$3005,A251))</f>
        <v/>
      </c>
      <c r="P251" s="73">
        <f>IF(A251="","",SUMIFS(ERFASSUNG!$M$6:$M$3005,ERFASSUNG!$A$6:$A$3005,A251))</f>
        <v/>
      </c>
      <c r="Q251" s="73">
        <f>IF(A251="","",SUMIFS(ERFASSUNG!$N$6:$N$3005,ERFASSUNG!$A$6:$A$3005,A251))</f>
        <v/>
      </c>
    </row>
    <row r="252">
      <c r="A252" s="72">
        <f>IF(YEAR(DATE(LISTEN!$F$2,1,1)+247)=LISTEN!$F$2,DATE(LISTEN!$F$2,1,1)+247,"")</f>
        <v/>
      </c>
      <c r="B252" s="73">
        <f>IF(A252="","",CHOOSE(WEEKDAY(A252,2),"Mo","Di","Mi","Do","Fr","Sa","So"))</f>
        <v/>
      </c>
      <c r="C252" s="73">
        <f>IF(A252="","",INT((A252-DATE(YEAR(A252-WEEKDAY(A252-1)+4),1,3)+WEEKDAY(DATE(YEAR(A252-WEEKDAY(A252-1)+4),1,3))+5)/7))</f>
        <v/>
      </c>
      <c r="D252" s="73">
        <f>IF(A252="","",MONTH(A252))</f>
        <v/>
      </c>
      <c r="E252" s="73">
        <f>IF(A252="","",WEEKDAY(A252,2))</f>
        <v/>
      </c>
      <c r="F252" s="73">
        <f>IF(A252="","",COUNTIF(ERFASSUNG!$A$6:$A$3005,A252))</f>
        <v/>
      </c>
      <c r="G252" s="73">
        <f>IF(A252="","",IF(F252&gt;0,1,0))</f>
        <v/>
      </c>
      <c r="H252" s="73">
        <f>IF(A252="","",SUMIFS(ERFASSUNG!$E$6:$E$3005,ERFASSUNG!$A$6:$A$3005,A252))</f>
        <v/>
      </c>
      <c r="I252" s="73">
        <f>IF(A252="","",SUMIFS(ERFASSUNG!$F$6:$F$3005,ERFASSUNG!$A$6:$A$3005,A252))</f>
        <v/>
      </c>
      <c r="J252" s="73">
        <f>IF(A252="","",SUMIFS(ERFASSUNG!$G$6:$G$3005,ERFASSUNG!$A$6:$A$3005,A252))</f>
        <v/>
      </c>
      <c r="K252" s="73">
        <f>IF(A252="","",SUMIFS(ERFASSUNG!$H$6:$H$3005,ERFASSUNG!$A$6:$A$3005,A252))</f>
        <v/>
      </c>
      <c r="L252" s="73">
        <f>IF(A252="","",SUMIFS(ERFASSUNG!$I$6:$I$3005,ERFASSUNG!$A$6:$A$3005,A252))</f>
        <v/>
      </c>
      <c r="M252" s="73">
        <f>IF(A252="","",SUMIFS(ERFASSUNG!$J$6:$J$3005,ERFASSUNG!$A$6:$A$3005,A252))</f>
        <v/>
      </c>
      <c r="N252" s="73">
        <f>IF(A252="","",SUMIFS(ERFASSUNG!$K$6:$K$3005,ERFASSUNG!$A$6:$A$3005,A252))</f>
        <v/>
      </c>
      <c r="O252" s="73">
        <f>IF(A252="","",SUMIFS(ERFASSUNG!$L$6:$L$3005,ERFASSUNG!$A$6:$A$3005,A252))</f>
        <v/>
      </c>
      <c r="P252" s="73">
        <f>IF(A252="","",SUMIFS(ERFASSUNG!$M$6:$M$3005,ERFASSUNG!$A$6:$A$3005,A252))</f>
        <v/>
      </c>
      <c r="Q252" s="73">
        <f>IF(A252="","",SUMIFS(ERFASSUNG!$N$6:$N$3005,ERFASSUNG!$A$6:$A$3005,A252))</f>
        <v/>
      </c>
    </row>
    <row r="253">
      <c r="A253" s="72">
        <f>IF(YEAR(DATE(LISTEN!$F$2,1,1)+248)=LISTEN!$F$2,DATE(LISTEN!$F$2,1,1)+248,"")</f>
        <v/>
      </c>
      <c r="B253" s="73">
        <f>IF(A253="","",CHOOSE(WEEKDAY(A253,2),"Mo","Di","Mi","Do","Fr","Sa","So"))</f>
        <v/>
      </c>
      <c r="C253" s="73">
        <f>IF(A253="","",INT((A253-DATE(YEAR(A253-WEEKDAY(A253-1)+4),1,3)+WEEKDAY(DATE(YEAR(A253-WEEKDAY(A253-1)+4),1,3))+5)/7))</f>
        <v/>
      </c>
      <c r="D253" s="73">
        <f>IF(A253="","",MONTH(A253))</f>
        <v/>
      </c>
      <c r="E253" s="73">
        <f>IF(A253="","",WEEKDAY(A253,2))</f>
        <v/>
      </c>
      <c r="F253" s="73">
        <f>IF(A253="","",COUNTIF(ERFASSUNG!$A$6:$A$3005,A253))</f>
        <v/>
      </c>
      <c r="G253" s="73">
        <f>IF(A253="","",IF(F253&gt;0,1,0))</f>
        <v/>
      </c>
      <c r="H253" s="73">
        <f>IF(A253="","",SUMIFS(ERFASSUNG!$E$6:$E$3005,ERFASSUNG!$A$6:$A$3005,A253))</f>
        <v/>
      </c>
      <c r="I253" s="73">
        <f>IF(A253="","",SUMIFS(ERFASSUNG!$F$6:$F$3005,ERFASSUNG!$A$6:$A$3005,A253))</f>
        <v/>
      </c>
      <c r="J253" s="73">
        <f>IF(A253="","",SUMIFS(ERFASSUNG!$G$6:$G$3005,ERFASSUNG!$A$6:$A$3005,A253))</f>
        <v/>
      </c>
      <c r="K253" s="73">
        <f>IF(A253="","",SUMIFS(ERFASSUNG!$H$6:$H$3005,ERFASSUNG!$A$6:$A$3005,A253))</f>
        <v/>
      </c>
      <c r="L253" s="73">
        <f>IF(A253="","",SUMIFS(ERFASSUNG!$I$6:$I$3005,ERFASSUNG!$A$6:$A$3005,A253))</f>
        <v/>
      </c>
      <c r="M253" s="73">
        <f>IF(A253="","",SUMIFS(ERFASSUNG!$J$6:$J$3005,ERFASSUNG!$A$6:$A$3005,A253))</f>
        <v/>
      </c>
      <c r="N253" s="73">
        <f>IF(A253="","",SUMIFS(ERFASSUNG!$K$6:$K$3005,ERFASSUNG!$A$6:$A$3005,A253))</f>
        <v/>
      </c>
      <c r="O253" s="73">
        <f>IF(A253="","",SUMIFS(ERFASSUNG!$L$6:$L$3005,ERFASSUNG!$A$6:$A$3005,A253))</f>
        <v/>
      </c>
      <c r="P253" s="73">
        <f>IF(A253="","",SUMIFS(ERFASSUNG!$M$6:$M$3005,ERFASSUNG!$A$6:$A$3005,A253))</f>
        <v/>
      </c>
      <c r="Q253" s="73">
        <f>IF(A253="","",SUMIFS(ERFASSUNG!$N$6:$N$3005,ERFASSUNG!$A$6:$A$3005,A253))</f>
        <v/>
      </c>
    </row>
    <row r="254">
      <c r="A254" s="72">
        <f>IF(YEAR(DATE(LISTEN!$F$2,1,1)+249)=LISTEN!$F$2,DATE(LISTEN!$F$2,1,1)+249,"")</f>
        <v/>
      </c>
      <c r="B254" s="73">
        <f>IF(A254="","",CHOOSE(WEEKDAY(A254,2),"Mo","Di","Mi","Do","Fr","Sa","So"))</f>
        <v/>
      </c>
      <c r="C254" s="73">
        <f>IF(A254="","",INT((A254-DATE(YEAR(A254-WEEKDAY(A254-1)+4),1,3)+WEEKDAY(DATE(YEAR(A254-WEEKDAY(A254-1)+4),1,3))+5)/7))</f>
        <v/>
      </c>
      <c r="D254" s="73">
        <f>IF(A254="","",MONTH(A254))</f>
        <v/>
      </c>
      <c r="E254" s="73">
        <f>IF(A254="","",WEEKDAY(A254,2))</f>
        <v/>
      </c>
      <c r="F254" s="73">
        <f>IF(A254="","",COUNTIF(ERFASSUNG!$A$6:$A$3005,A254))</f>
        <v/>
      </c>
      <c r="G254" s="73">
        <f>IF(A254="","",IF(F254&gt;0,1,0))</f>
        <v/>
      </c>
      <c r="H254" s="73">
        <f>IF(A254="","",SUMIFS(ERFASSUNG!$E$6:$E$3005,ERFASSUNG!$A$6:$A$3005,A254))</f>
        <v/>
      </c>
      <c r="I254" s="73">
        <f>IF(A254="","",SUMIFS(ERFASSUNG!$F$6:$F$3005,ERFASSUNG!$A$6:$A$3005,A254))</f>
        <v/>
      </c>
      <c r="J254" s="73">
        <f>IF(A254="","",SUMIFS(ERFASSUNG!$G$6:$G$3005,ERFASSUNG!$A$6:$A$3005,A254))</f>
        <v/>
      </c>
      <c r="K254" s="73">
        <f>IF(A254="","",SUMIFS(ERFASSUNG!$H$6:$H$3005,ERFASSUNG!$A$6:$A$3005,A254))</f>
        <v/>
      </c>
      <c r="L254" s="73">
        <f>IF(A254="","",SUMIFS(ERFASSUNG!$I$6:$I$3005,ERFASSUNG!$A$6:$A$3005,A254))</f>
        <v/>
      </c>
      <c r="M254" s="73">
        <f>IF(A254="","",SUMIFS(ERFASSUNG!$J$6:$J$3005,ERFASSUNG!$A$6:$A$3005,A254))</f>
        <v/>
      </c>
      <c r="N254" s="73">
        <f>IF(A254="","",SUMIFS(ERFASSUNG!$K$6:$K$3005,ERFASSUNG!$A$6:$A$3005,A254))</f>
        <v/>
      </c>
      <c r="O254" s="73">
        <f>IF(A254="","",SUMIFS(ERFASSUNG!$L$6:$L$3005,ERFASSUNG!$A$6:$A$3005,A254))</f>
        <v/>
      </c>
      <c r="P254" s="73">
        <f>IF(A254="","",SUMIFS(ERFASSUNG!$M$6:$M$3005,ERFASSUNG!$A$6:$A$3005,A254))</f>
        <v/>
      </c>
      <c r="Q254" s="73">
        <f>IF(A254="","",SUMIFS(ERFASSUNG!$N$6:$N$3005,ERFASSUNG!$A$6:$A$3005,A254))</f>
        <v/>
      </c>
    </row>
    <row r="255">
      <c r="A255" s="72">
        <f>IF(YEAR(DATE(LISTEN!$F$2,1,1)+250)=LISTEN!$F$2,DATE(LISTEN!$F$2,1,1)+250,"")</f>
        <v/>
      </c>
      <c r="B255" s="73">
        <f>IF(A255="","",CHOOSE(WEEKDAY(A255,2),"Mo","Di","Mi","Do","Fr","Sa","So"))</f>
        <v/>
      </c>
      <c r="C255" s="73">
        <f>IF(A255="","",INT((A255-DATE(YEAR(A255-WEEKDAY(A255-1)+4),1,3)+WEEKDAY(DATE(YEAR(A255-WEEKDAY(A255-1)+4),1,3))+5)/7))</f>
        <v/>
      </c>
      <c r="D255" s="73">
        <f>IF(A255="","",MONTH(A255))</f>
        <v/>
      </c>
      <c r="E255" s="73">
        <f>IF(A255="","",WEEKDAY(A255,2))</f>
        <v/>
      </c>
      <c r="F255" s="73">
        <f>IF(A255="","",COUNTIF(ERFASSUNG!$A$6:$A$3005,A255))</f>
        <v/>
      </c>
      <c r="G255" s="73">
        <f>IF(A255="","",IF(F255&gt;0,1,0))</f>
        <v/>
      </c>
      <c r="H255" s="73">
        <f>IF(A255="","",SUMIFS(ERFASSUNG!$E$6:$E$3005,ERFASSUNG!$A$6:$A$3005,A255))</f>
        <v/>
      </c>
      <c r="I255" s="73">
        <f>IF(A255="","",SUMIFS(ERFASSUNG!$F$6:$F$3005,ERFASSUNG!$A$6:$A$3005,A255))</f>
        <v/>
      </c>
      <c r="J255" s="73">
        <f>IF(A255="","",SUMIFS(ERFASSUNG!$G$6:$G$3005,ERFASSUNG!$A$6:$A$3005,A255))</f>
        <v/>
      </c>
      <c r="K255" s="73">
        <f>IF(A255="","",SUMIFS(ERFASSUNG!$H$6:$H$3005,ERFASSUNG!$A$6:$A$3005,A255))</f>
        <v/>
      </c>
      <c r="L255" s="73">
        <f>IF(A255="","",SUMIFS(ERFASSUNG!$I$6:$I$3005,ERFASSUNG!$A$6:$A$3005,A255))</f>
        <v/>
      </c>
      <c r="M255" s="73">
        <f>IF(A255="","",SUMIFS(ERFASSUNG!$J$6:$J$3005,ERFASSUNG!$A$6:$A$3005,A255))</f>
        <v/>
      </c>
      <c r="N255" s="73">
        <f>IF(A255="","",SUMIFS(ERFASSUNG!$K$6:$K$3005,ERFASSUNG!$A$6:$A$3005,A255))</f>
        <v/>
      </c>
      <c r="O255" s="73">
        <f>IF(A255="","",SUMIFS(ERFASSUNG!$L$6:$L$3005,ERFASSUNG!$A$6:$A$3005,A255))</f>
        <v/>
      </c>
      <c r="P255" s="73">
        <f>IF(A255="","",SUMIFS(ERFASSUNG!$M$6:$M$3005,ERFASSUNG!$A$6:$A$3005,A255))</f>
        <v/>
      </c>
      <c r="Q255" s="73">
        <f>IF(A255="","",SUMIFS(ERFASSUNG!$N$6:$N$3005,ERFASSUNG!$A$6:$A$3005,A255))</f>
        <v/>
      </c>
    </row>
    <row r="256">
      <c r="A256" s="72">
        <f>IF(YEAR(DATE(LISTEN!$F$2,1,1)+251)=LISTEN!$F$2,DATE(LISTEN!$F$2,1,1)+251,"")</f>
        <v/>
      </c>
      <c r="B256" s="73">
        <f>IF(A256="","",CHOOSE(WEEKDAY(A256,2),"Mo","Di","Mi","Do","Fr","Sa","So"))</f>
        <v/>
      </c>
      <c r="C256" s="73">
        <f>IF(A256="","",INT((A256-DATE(YEAR(A256-WEEKDAY(A256-1)+4),1,3)+WEEKDAY(DATE(YEAR(A256-WEEKDAY(A256-1)+4),1,3))+5)/7))</f>
        <v/>
      </c>
      <c r="D256" s="73">
        <f>IF(A256="","",MONTH(A256))</f>
        <v/>
      </c>
      <c r="E256" s="73">
        <f>IF(A256="","",WEEKDAY(A256,2))</f>
        <v/>
      </c>
      <c r="F256" s="73">
        <f>IF(A256="","",COUNTIF(ERFASSUNG!$A$6:$A$3005,A256))</f>
        <v/>
      </c>
      <c r="G256" s="73">
        <f>IF(A256="","",IF(F256&gt;0,1,0))</f>
        <v/>
      </c>
      <c r="H256" s="73">
        <f>IF(A256="","",SUMIFS(ERFASSUNG!$E$6:$E$3005,ERFASSUNG!$A$6:$A$3005,A256))</f>
        <v/>
      </c>
      <c r="I256" s="73">
        <f>IF(A256="","",SUMIFS(ERFASSUNG!$F$6:$F$3005,ERFASSUNG!$A$6:$A$3005,A256))</f>
        <v/>
      </c>
      <c r="J256" s="73">
        <f>IF(A256="","",SUMIFS(ERFASSUNG!$G$6:$G$3005,ERFASSUNG!$A$6:$A$3005,A256))</f>
        <v/>
      </c>
      <c r="K256" s="73">
        <f>IF(A256="","",SUMIFS(ERFASSUNG!$H$6:$H$3005,ERFASSUNG!$A$6:$A$3005,A256))</f>
        <v/>
      </c>
      <c r="L256" s="73">
        <f>IF(A256="","",SUMIFS(ERFASSUNG!$I$6:$I$3005,ERFASSUNG!$A$6:$A$3005,A256))</f>
        <v/>
      </c>
      <c r="M256" s="73">
        <f>IF(A256="","",SUMIFS(ERFASSUNG!$J$6:$J$3005,ERFASSUNG!$A$6:$A$3005,A256))</f>
        <v/>
      </c>
      <c r="N256" s="73">
        <f>IF(A256="","",SUMIFS(ERFASSUNG!$K$6:$K$3005,ERFASSUNG!$A$6:$A$3005,A256))</f>
        <v/>
      </c>
      <c r="O256" s="73">
        <f>IF(A256="","",SUMIFS(ERFASSUNG!$L$6:$L$3005,ERFASSUNG!$A$6:$A$3005,A256))</f>
        <v/>
      </c>
      <c r="P256" s="73">
        <f>IF(A256="","",SUMIFS(ERFASSUNG!$M$6:$M$3005,ERFASSUNG!$A$6:$A$3005,A256))</f>
        <v/>
      </c>
      <c r="Q256" s="73">
        <f>IF(A256="","",SUMIFS(ERFASSUNG!$N$6:$N$3005,ERFASSUNG!$A$6:$A$3005,A256))</f>
        <v/>
      </c>
    </row>
    <row r="257">
      <c r="A257" s="72">
        <f>IF(YEAR(DATE(LISTEN!$F$2,1,1)+252)=LISTEN!$F$2,DATE(LISTEN!$F$2,1,1)+252,"")</f>
        <v/>
      </c>
      <c r="B257" s="73">
        <f>IF(A257="","",CHOOSE(WEEKDAY(A257,2),"Mo","Di","Mi","Do","Fr","Sa","So"))</f>
        <v/>
      </c>
      <c r="C257" s="73">
        <f>IF(A257="","",INT((A257-DATE(YEAR(A257-WEEKDAY(A257-1)+4),1,3)+WEEKDAY(DATE(YEAR(A257-WEEKDAY(A257-1)+4),1,3))+5)/7))</f>
        <v/>
      </c>
      <c r="D257" s="73">
        <f>IF(A257="","",MONTH(A257))</f>
        <v/>
      </c>
      <c r="E257" s="73">
        <f>IF(A257="","",WEEKDAY(A257,2))</f>
        <v/>
      </c>
      <c r="F257" s="73">
        <f>IF(A257="","",COUNTIF(ERFASSUNG!$A$6:$A$3005,A257))</f>
        <v/>
      </c>
      <c r="G257" s="73">
        <f>IF(A257="","",IF(F257&gt;0,1,0))</f>
        <v/>
      </c>
      <c r="H257" s="73">
        <f>IF(A257="","",SUMIFS(ERFASSUNG!$E$6:$E$3005,ERFASSUNG!$A$6:$A$3005,A257))</f>
        <v/>
      </c>
      <c r="I257" s="73">
        <f>IF(A257="","",SUMIFS(ERFASSUNG!$F$6:$F$3005,ERFASSUNG!$A$6:$A$3005,A257))</f>
        <v/>
      </c>
      <c r="J257" s="73">
        <f>IF(A257="","",SUMIFS(ERFASSUNG!$G$6:$G$3005,ERFASSUNG!$A$6:$A$3005,A257))</f>
        <v/>
      </c>
      <c r="K257" s="73">
        <f>IF(A257="","",SUMIFS(ERFASSUNG!$H$6:$H$3005,ERFASSUNG!$A$6:$A$3005,A257))</f>
        <v/>
      </c>
      <c r="L257" s="73">
        <f>IF(A257="","",SUMIFS(ERFASSUNG!$I$6:$I$3005,ERFASSUNG!$A$6:$A$3005,A257))</f>
        <v/>
      </c>
      <c r="M257" s="73">
        <f>IF(A257="","",SUMIFS(ERFASSUNG!$J$6:$J$3005,ERFASSUNG!$A$6:$A$3005,A257))</f>
        <v/>
      </c>
      <c r="N257" s="73">
        <f>IF(A257="","",SUMIFS(ERFASSUNG!$K$6:$K$3005,ERFASSUNG!$A$6:$A$3005,A257))</f>
        <v/>
      </c>
      <c r="O257" s="73">
        <f>IF(A257="","",SUMIFS(ERFASSUNG!$L$6:$L$3005,ERFASSUNG!$A$6:$A$3005,A257))</f>
        <v/>
      </c>
      <c r="P257" s="73">
        <f>IF(A257="","",SUMIFS(ERFASSUNG!$M$6:$M$3005,ERFASSUNG!$A$6:$A$3005,A257))</f>
        <v/>
      </c>
      <c r="Q257" s="73">
        <f>IF(A257="","",SUMIFS(ERFASSUNG!$N$6:$N$3005,ERFASSUNG!$A$6:$A$3005,A257))</f>
        <v/>
      </c>
    </row>
    <row r="258">
      <c r="A258" s="72">
        <f>IF(YEAR(DATE(LISTEN!$F$2,1,1)+253)=LISTEN!$F$2,DATE(LISTEN!$F$2,1,1)+253,"")</f>
        <v/>
      </c>
      <c r="B258" s="73">
        <f>IF(A258="","",CHOOSE(WEEKDAY(A258,2),"Mo","Di","Mi","Do","Fr","Sa","So"))</f>
        <v/>
      </c>
      <c r="C258" s="73">
        <f>IF(A258="","",INT((A258-DATE(YEAR(A258-WEEKDAY(A258-1)+4),1,3)+WEEKDAY(DATE(YEAR(A258-WEEKDAY(A258-1)+4),1,3))+5)/7))</f>
        <v/>
      </c>
      <c r="D258" s="73">
        <f>IF(A258="","",MONTH(A258))</f>
        <v/>
      </c>
      <c r="E258" s="73">
        <f>IF(A258="","",WEEKDAY(A258,2))</f>
        <v/>
      </c>
      <c r="F258" s="73">
        <f>IF(A258="","",COUNTIF(ERFASSUNG!$A$6:$A$3005,A258))</f>
        <v/>
      </c>
      <c r="G258" s="73">
        <f>IF(A258="","",IF(F258&gt;0,1,0))</f>
        <v/>
      </c>
      <c r="H258" s="73">
        <f>IF(A258="","",SUMIFS(ERFASSUNG!$E$6:$E$3005,ERFASSUNG!$A$6:$A$3005,A258))</f>
        <v/>
      </c>
      <c r="I258" s="73">
        <f>IF(A258="","",SUMIFS(ERFASSUNG!$F$6:$F$3005,ERFASSUNG!$A$6:$A$3005,A258))</f>
        <v/>
      </c>
      <c r="J258" s="73">
        <f>IF(A258="","",SUMIFS(ERFASSUNG!$G$6:$G$3005,ERFASSUNG!$A$6:$A$3005,A258))</f>
        <v/>
      </c>
      <c r="K258" s="73">
        <f>IF(A258="","",SUMIFS(ERFASSUNG!$H$6:$H$3005,ERFASSUNG!$A$6:$A$3005,A258))</f>
        <v/>
      </c>
      <c r="L258" s="73">
        <f>IF(A258="","",SUMIFS(ERFASSUNG!$I$6:$I$3005,ERFASSUNG!$A$6:$A$3005,A258))</f>
        <v/>
      </c>
      <c r="M258" s="73">
        <f>IF(A258="","",SUMIFS(ERFASSUNG!$J$6:$J$3005,ERFASSUNG!$A$6:$A$3005,A258))</f>
        <v/>
      </c>
      <c r="N258" s="73">
        <f>IF(A258="","",SUMIFS(ERFASSUNG!$K$6:$K$3005,ERFASSUNG!$A$6:$A$3005,A258))</f>
        <v/>
      </c>
      <c r="O258" s="73">
        <f>IF(A258="","",SUMIFS(ERFASSUNG!$L$6:$L$3005,ERFASSUNG!$A$6:$A$3005,A258))</f>
        <v/>
      </c>
      <c r="P258" s="73">
        <f>IF(A258="","",SUMIFS(ERFASSUNG!$M$6:$M$3005,ERFASSUNG!$A$6:$A$3005,A258))</f>
        <v/>
      </c>
      <c r="Q258" s="73">
        <f>IF(A258="","",SUMIFS(ERFASSUNG!$N$6:$N$3005,ERFASSUNG!$A$6:$A$3005,A258))</f>
        <v/>
      </c>
    </row>
    <row r="259">
      <c r="A259" s="72">
        <f>IF(YEAR(DATE(LISTEN!$F$2,1,1)+254)=LISTEN!$F$2,DATE(LISTEN!$F$2,1,1)+254,"")</f>
        <v/>
      </c>
      <c r="B259" s="73">
        <f>IF(A259="","",CHOOSE(WEEKDAY(A259,2),"Mo","Di","Mi","Do","Fr","Sa","So"))</f>
        <v/>
      </c>
      <c r="C259" s="73">
        <f>IF(A259="","",INT((A259-DATE(YEAR(A259-WEEKDAY(A259-1)+4),1,3)+WEEKDAY(DATE(YEAR(A259-WEEKDAY(A259-1)+4),1,3))+5)/7))</f>
        <v/>
      </c>
      <c r="D259" s="73">
        <f>IF(A259="","",MONTH(A259))</f>
        <v/>
      </c>
      <c r="E259" s="73">
        <f>IF(A259="","",WEEKDAY(A259,2))</f>
        <v/>
      </c>
      <c r="F259" s="73">
        <f>IF(A259="","",COUNTIF(ERFASSUNG!$A$6:$A$3005,A259))</f>
        <v/>
      </c>
      <c r="G259" s="73">
        <f>IF(A259="","",IF(F259&gt;0,1,0))</f>
        <v/>
      </c>
      <c r="H259" s="73">
        <f>IF(A259="","",SUMIFS(ERFASSUNG!$E$6:$E$3005,ERFASSUNG!$A$6:$A$3005,A259))</f>
        <v/>
      </c>
      <c r="I259" s="73">
        <f>IF(A259="","",SUMIFS(ERFASSUNG!$F$6:$F$3005,ERFASSUNG!$A$6:$A$3005,A259))</f>
        <v/>
      </c>
      <c r="J259" s="73">
        <f>IF(A259="","",SUMIFS(ERFASSUNG!$G$6:$G$3005,ERFASSUNG!$A$6:$A$3005,A259))</f>
        <v/>
      </c>
      <c r="K259" s="73">
        <f>IF(A259="","",SUMIFS(ERFASSUNG!$H$6:$H$3005,ERFASSUNG!$A$6:$A$3005,A259))</f>
        <v/>
      </c>
      <c r="L259" s="73">
        <f>IF(A259="","",SUMIFS(ERFASSUNG!$I$6:$I$3005,ERFASSUNG!$A$6:$A$3005,A259))</f>
        <v/>
      </c>
      <c r="M259" s="73">
        <f>IF(A259="","",SUMIFS(ERFASSUNG!$J$6:$J$3005,ERFASSUNG!$A$6:$A$3005,A259))</f>
        <v/>
      </c>
      <c r="N259" s="73">
        <f>IF(A259="","",SUMIFS(ERFASSUNG!$K$6:$K$3005,ERFASSUNG!$A$6:$A$3005,A259))</f>
        <v/>
      </c>
      <c r="O259" s="73">
        <f>IF(A259="","",SUMIFS(ERFASSUNG!$L$6:$L$3005,ERFASSUNG!$A$6:$A$3005,A259))</f>
        <v/>
      </c>
      <c r="P259" s="73">
        <f>IF(A259="","",SUMIFS(ERFASSUNG!$M$6:$M$3005,ERFASSUNG!$A$6:$A$3005,A259))</f>
        <v/>
      </c>
      <c r="Q259" s="73">
        <f>IF(A259="","",SUMIFS(ERFASSUNG!$N$6:$N$3005,ERFASSUNG!$A$6:$A$3005,A259))</f>
        <v/>
      </c>
    </row>
    <row r="260">
      <c r="A260" s="72">
        <f>IF(YEAR(DATE(LISTEN!$F$2,1,1)+255)=LISTEN!$F$2,DATE(LISTEN!$F$2,1,1)+255,"")</f>
        <v/>
      </c>
      <c r="B260" s="73">
        <f>IF(A260="","",CHOOSE(WEEKDAY(A260,2),"Mo","Di","Mi","Do","Fr","Sa","So"))</f>
        <v/>
      </c>
      <c r="C260" s="73">
        <f>IF(A260="","",INT((A260-DATE(YEAR(A260-WEEKDAY(A260-1)+4),1,3)+WEEKDAY(DATE(YEAR(A260-WEEKDAY(A260-1)+4),1,3))+5)/7))</f>
        <v/>
      </c>
      <c r="D260" s="73">
        <f>IF(A260="","",MONTH(A260))</f>
        <v/>
      </c>
      <c r="E260" s="73">
        <f>IF(A260="","",WEEKDAY(A260,2))</f>
        <v/>
      </c>
      <c r="F260" s="73">
        <f>IF(A260="","",COUNTIF(ERFASSUNG!$A$6:$A$3005,A260))</f>
        <v/>
      </c>
      <c r="G260" s="73">
        <f>IF(A260="","",IF(F260&gt;0,1,0))</f>
        <v/>
      </c>
      <c r="H260" s="73">
        <f>IF(A260="","",SUMIFS(ERFASSUNG!$E$6:$E$3005,ERFASSUNG!$A$6:$A$3005,A260))</f>
        <v/>
      </c>
      <c r="I260" s="73">
        <f>IF(A260="","",SUMIFS(ERFASSUNG!$F$6:$F$3005,ERFASSUNG!$A$6:$A$3005,A260))</f>
        <v/>
      </c>
      <c r="J260" s="73">
        <f>IF(A260="","",SUMIFS(ERFASSUNG!$G$6:$G$3005,ERFASSUNG!$A$6:$A$3005,A260))</f>
        <v/>
      </c>
      <c r="K260" s="73">
        <f>IF(A260="","",SUMIFS(ERFASSUNG!$H$6:$H$3005,ERFASSUNG!$A$6:$A$3005,A260))</f>
        <v/>
      </c>
      <c r="L260" s="73">
        <f>IF(A260="","",SUMIFS(ERFASSUNG!$I$6:$I$3005,ERFASSUNG!$A$6:$A$3005,A260))</f>
        <v/>
      </c>
      <c r="M260" s="73">
        <f>IF(A260="","",SUMIFS(ERFASSUNG!$J$6:$J$3005,ERFASSUNG!$A$6:$A$3005,A260))</f>
        <v/>
      </c>
      <c r="N260" s="73">
        <f>IF(A260="","",SUMIFS(ERFASSUNG!$K$6:$K$3005,ERFASSUNG!$A$6:$A$3005,A260))</f>
        <v/>
      </c>
      <c r="O260" s="73">
        <f>IF(A260="","",SUMIFS(ERFASSUNG!$L$6:$L$3005,ERFASSUNG!$A$6:$A$3005,A260))</f>
        <v/>
      </c>
      <c r="P260" s="73">
        <f>IF(A260="","",SUMIFS(ERFASSUNG!$M$6:$M$3005,ERFASSUNG!$A$6:$A$3005,A260))</f>
        <v/>
      </c>
      <c r="Q260" s="73">
        <f>IF(A260="","",SUMIFS(ERFASSUNG!$N$6:$N$3005,ERFASSUNG!$A$6:$A$3005,A260))</f>
        <v/>
      </c>
    </row>
    <row r="261">
      <c r="A261" s="72">
        <f>IF(YEAR(DATE(LISTEN!$F$2,1,1)+256)=LISTEN!$F$2,DATE(LISTEN!$F$2,1,1)+256,"")</f>
        <v/>
      </c>
      <c r="B261" s="73">
        <f>IF(A261="","",CHOOSE(WEEKDAY(A261,2),"Mo","Di","Mi","Do","Fr","Sa","So"))</f>
        <v/>
      </c>
      <c r="C261" s="73">
        <f>IF(A261="","",INT((A261-DATE(YEAR(A261-WEEKDAY(A261-1)+4),1,3)+WEEKDAY(DATE(YEAR(A261-WEEKDAY(A261-1)+4),1,3))+5)/7))</f>
        <v/>
      </c>
      <c r="D261" s="73">
        <f>IF(A261="","",MONTH(A261))</f>
        <v/>
      </c>
      <c r="E261" s="73">
        <f>IF(A261="","",WEEKDAY(A261,2))</f>
        <v/>
      </c>
      <c r="F261" s="73">
        <f>IF(A261="","",COUNTIF(ERFASSUNG!$A$6:$A$3005,A261))</f>
        <v/>
      </c>
      <c r="G261" s="73">
        <f>IF(A261="","",IF(F261&gt;0,1,0))</f>
        <v/>
      </c>
      <c r="H261" s="73">
        <f>IF(A261="","",SUMIFS(ERFASSUNG!$E$6:$E$3005,ERFASSUNG!$A$6:$A$3005,A261))</f>
        <v/>
      </c>
      <c r="I261" s="73">
        <f>IF(A261="","",SUMIFS(ERFASSUNG!$F$6:$F$3005,ERFASSUNG!$A$6:$A$3005,A261))</f>
        <v/>
      </c>
      <c r="J261" s="73">
        <f>IF(A261="","",SUMIFS(ERFASSUNG!$G$6:$G$3005,ERFASSUNG!$A$6:$A$3005,A261))</f>
        <v/>
      </c>
      <c r="K261" s="73">
        <f>IF(A261="","",SUMIFS(ERFASSUNG!$H$6:$H$3005,ERFASSUNG!$A$6:$A$3005,A261))</f>
        <v/>
      </c>
      <c r="L261" s="73">
        <f>IF(A261="","",SUMIFS(ERFASSUNG!$I$6:$I$3005,ERFASSUNG!$A$6:$A$3005,A261))</f>
        <v/>
      </c>
      <c r="M261" s="73">
        <f>IF(A261="","",SUMIFS(ERFASSUNG!$J$6:$J$3005,ERFASSUNG!$A$6:$A$3005,A261))</f>
        <v/>
      </c>
      <c r="N261" s="73">
        <f>IF(A261="","",SUMIFS(ERFASSUNG!$K$6:$K$3005,ERFASSUNG!$A$6:$A$3005,A261))</f>
        <v/>
      </c>
      <c r="O261" s="73">
        <f>IF(A261="","",SUMIFS(ERFASSUNG!$L$6:$L$3005,ERFASSUNG!$A$6:$A$3005,A261))</f>
        <v/>
      </c>
      <c r="P261" s="73">
        <f>IF(A261="","",SUMIFS(ERFASSUNG!$M$6:$M$3005,ERFASSUNG!$A$6:$A$3005,A261))</f>
        <v/>
      </c>
      <c r="Q261" s="73">
        <f>IF(A261="","",SUMIFS(ERFASSUNG!$N$6:$N$3005,ERFASSUNG!$A$6:$A$3005,A261))</f>
        <v/>
      </c>
    </row>
    <row r="262">
      <c r="A262" s="72">
        <f>IF(YEAR(DATE(LISTEN!$F$2,1,1)+257)=LISTEN!$F$2,DATE(LISTEN!$F$2,1,1)+257,"")</f>
        <v/>
      </c>
      <c r="B262" s="73">
        <f>IF(A262="","",CHOOSE(WEEKDAY(A262,2),"Mo","Di","Mi","Do","Fr","Sa","So"))</f>
        <v/>
      </c>
      <c r="C262" s="73">
        <f>IF(A262="","",INT((A262-DATE(YEAR(A262-WEEKDAY(A262-1)+4),1,3)+WEEKDAY(DATE(YEAR(A262-WEEKDAY(A262-1)+4),1,3))+5)/7))</f>
        <v/>
      </c>
      <c r="D262" s="73">
        <f>IF(A262="","",MONTH(A262))</f>
        <v/>
      </c>
      <c r="E262" s="73">
        <f>IF(A262="","",WEEKDAY(A262,2))</f>
        <v/>
      </c>
      <c r="F262" s="73">
        <f>IF(A262="","",COUNTIF(ERFASSUNG!$A$6:$A$3005,A262))</f>
        <v/>
      </c>
      <c r="G262" s="73">
        <f>IF(A262="","",IF(F262&gt;0,1,0))</f>
        <v/>
      </c>
      <c r="H262" s="73">
        <f>IF(A262="","",SUMIFS(ERFASSUNG!$E$6:$E$3005,ERFASSUNG!$A$6:$A$3005,A262))</f>
        <v/>
      </c>
      <c r="I262" s="73">
        <f>IF(A262="","",SUMIFS(ERFASSUNG!$F$6:$F$3005,ERFASSUNG!$A$6:$A$3005,A262))</f>
        <v/>
      </c>
      <c r="J262" s="73">
        <f>IF(A262="","",SUMIFS(ERFASSUNG!$G$6:$G$3005,ERFASSUNG!$A$6:$A$3005,A262))</f>
        <v/>
      </c>
      <c r="K262" s="73">
        <f>IF(A262="","",SUMIFS(ERFASSUNG!$H$6:$H$3005,ERFASSUNG!$A$6:$A$3005,A262))</f>
        <v/>
      </c>
      <c r="L262" s="73">
        <f>IF(A262="","",SUMIFS(ERFASSUNG!$I$6:$I$3005,ERFASSUNG!$A$6:$A$3005,A262))</f>
        <v/>
      </c>
      <c r="M262" s="73">
        <f>IF(A262="","",SUMIFS(ERFASSUNG!$J$6:$J$3005,ERFASSUNG!$A$6:$A$3005,A262))</f>
        <v/>
      </c>
      <c r="N262" s="73">
        <f>IF(A262="","",SUMIFS(ERFASSUNG!$K$6:$K$3005,ERFASSUNG!$A$6:$A$3005,A262))</f>
        <v/>
      </c>
      <c r="O262" s="73">
        <f>IF(A262="","",SUMIFS(ERFASSUNG!$L$6:$L$3005,ERFASSUNG!$A$6:$A$3005,A262))</f>
        <v/>
      </c>
      <c r="P262" s="73">
        <f>IF(A262="","",SUMIFS(ERFASSUNG!$M$6:$M$3005,ERFASSUNG!$A$6:$A$3005,A262))</f>
        <v/>
      </c>
      <c r="Q262" s="73">
        <f>IF(A262="","",SUMIFS(ERFASSUNG!$N$6:$N$3005,ERFASSUNG!$A$6:$A$3005,A262))</f>
        <v/>
      </c>
    </row>
    <row r="263">
      <c r="A263" s="72">
        <f>IF(YEAR(DATE(LISTEN!$F$2,1,1)+258)=LISTEN!$F$2,DATE(LISTEN!$F$2,1,1)+258,"")</f>
        <v/>
      </c>
      <c r="B263" s="73">
        <f>IF(A263="","",CHOOSE(WEEKDAY(A263,2),"Mo","Di","Mi","Do","Fr","Sa","So"))</f>
        <v/>
      </c>
      <c r="C263" s="73">
        <f>IF(A263="","",INT((A263-DATE(YEAR(A263-WEEKDAY(A263-1)+4),1,3)+WEEKDAY(DATE(YEAR(A263-WEEKDAY(A263-1)+4),1,3))+5)/7))</f>
        <v/>
      </c>
      <c r="D263" s="73">
        <f>IF(A263="","",MONTH(A263))</f>
        <v/>
      </c>
      <c r="E263" s="73">
        <f>IF(A263="","",WEEKDAY(A263,2))</f>
        <v/>
      </c>
      <c r="F263" s="73">
        <f>IF(A263="","",COUNTIF(ERFASSUNG!$A$6:$A$3005,A263))</f>
        <v/>
      </c>
      <c r="G263" s="73">
        <f>IF(A263="","",IF(F263&gt;0,1,0))</f>
        <v/>
      </c>
      <c r="H263" s="73">
        <f>IF(A263="","",SUMIFS(ERFASSUNG!$E$6:$E$3005,ERFASSUNG!$A$6:$A$3005,A263))</f>
        <v/>
      </c>
      <c r="I263" s="73">
        <f>IF(A263="","",SUMIFS(ERFASSUNG!$F$6:$F$3005,ERFASSUNG!$A$6:$A$3005,A263))</f>
        <v/>
      </c>
      <c r="J263" s="73">
        <f>IF(A263="","",SUMIFS(ERFASSUNG!$G$6:$G$3005,ERFASSUNG!$A$6:$A$3005,A263))</f>
        <v/>
      </c>
      <c r="K263" s="73">
        <f>IF(A263="","",SUMIFS(ERFASSUNG!$H$6:$H$3005,ERFASSUNG!$A$6:$A$3005,A263))</f>
        <v/>
      </c>
      <c r="L263" s="73">
        <f>IF(A263="","",SUMIFS(ERFASSUNG!$I$6:$I$3005,ERFASSUNG!$A$6:$A$3005,A263))</f>
        <v/>
      </c>
      <c r="M263" s="73">
        <f>IF(A263="","",SUMIFS(ERFASSUNG!$J$6:$J$3005,ERFASSUNG!$A$6:$A$3005,A263))</f>
        <v/>
      </c>
      <c r="N263" s="73">
        <f>IF(A263="","",SUMIFS(ERFASSUNG!$K$6:$K$3005,ERFASSUNG!$A$6:$A$3005,A263))</f>
        <v/>
      </c>
      <c r="O263" s="73">
        <f>IF(A263="","",SUMIFS(ERFASSUNG!$L$6:$L$3005,ERFASSUNG!$A$6:$A$3005,A263))</f>
        <v/>
      </c>
      <c r="P263" s="73">
        <f>IF(A263="","",SUMIFS(ERFASSUNG!$M$6:$M$3005,ERFASSUNG!$A$6:$A$3005,A263))</f>
        <v/>
      </c>
      <c r="Q263" s="73">
        <f>IF(A263="","",SUMIFS(ERFASSUNG!$N$6:$N$3005,ERFASSUNG!$A$6:$A$3005,A263))</f>
        <v/>
      </c>
    </row>
    <row r="264">
      <c r="A264" s="72">
        <f>IF(YEAR(DATE(LISTEN!$F$2,1,1)+259)=LISTEN!$F$2,DATE(LISTEN!$F$2,1,1)+259,"")</f>
        <v/>
      </c>
      <c r="B264" s="73">
        <f>IF(A264="","",CHOOSE(WEEKDAY(A264,2),"Mo","Di","Mi","Do","Fr","Sa","So"))</f>
        <v/>
      </c>
      <c r="C264" s="73">
        <f>IF(A264="","",INT((A264-DATE(YEAR(A264-WEEKDAY(A264-1)+4),1,3)+WEEKDAY(DATE(YEAR(A264-WEEKDAY(A264-1)+4),1,3))+5)/7))</f>
        <v/>
      </c>
      <c r="D264" s="73">
        <f>IF(A264="","",MONTH(A264))</f>
        <v/>
      </c>
      <c r="E264" s="73">
        <f>IF(A264="","",WEEKDAY(A264,2))</f>
        <v/>
      </c>
      <c r="F264" s="73">
        <f>IF(A264="","",COUNTIF(ERFASSUNG!$A$6:$A$3005,A264))</f>
        <v/>
      </c>
      <c r="G264" s="73">
        <f>IF(A264="","",IF(F264&gt;0,1,0))</f>
        <v/>
      </c>
      <c r="H264" s="73">
        <f>IF(A264="","",SUMIFS(ERFASSUNG!$E$6:$E$3005,ERFASSUNG!$A$6:$A$3005,A264))</f>
        <v/>
      </c>
      <c r="I264" s="73">
        <f>IF(A264="","",SUMIFS(ERFASSUNG!$F$6:$F$3005,ERFASSUNG!$A$6:$A$3005,A264))</f>
        <v/>
      </c>
      <c r="J264" s="73">
        <f>IF(A264="","",SUMIFS(ERFASSUNG!$G$6:$G$3005,ERFASSUNG!$A$6:$A$3005,A264))</f>
        <v/>
      </c>
      <c r="K264" s="73">
        <f>IF(A264="","",SUMIFS(ERFASSUNG!$H$6:$H$3005,ERFASSUNG!$A$6:$A$3005,A264))</f>
        <v/>
      </c>
      <c r="L264" s="73">
        <f>IF(A264="","",SUMIFS(ERFASSUNG!$I$6:$I$3005,ERFASSUNG!$A$6:$A$3005,A264))</f>
        <v/>
      </c>
      <c r="M264" s="73">
        <f>IF(A264="","",SUMIFS(ERFASSUNG!$J$6:$J$3005,ERFASSUNG!$A$6:$A$3005,A264))</f>
        <v/>
      </c>
      <c r="N264" s="73">
        <f>IF(A264="","",SUMIFS(ERFASSUNG!$K$6:$K$3005,ERFASSUNG!$A$6:$A$3005,A264))</f>
        <v/>
      </c>
      <c r="O264" s="73">
        <f>IF(A264="","",SUMIFS(ERFASSUNG!$L$6:$L$3005,ERFASSUNG!$A$6:$A$3005,A264))</f>
        <v/>
      </c>
      <c r="P264" s="73">
        <f>IF(A264="","",SUMIFS(ERFASSUNG!$M$6:$M$3005,ERFASSUNG!$A$6:$A$3005,A264))</f>
        <v/>
      </c>
      <c r="Q264" s="73">
        <f>IF(A264="","",SUMIFS(ERFASSUNG!$N$6:$N$3005,ERFASSUNG!$A$6:$A$3005,A264))</f>
        <v/>
      </c>
    </row>
    <row r="265">
      <c r="A265" s="72">
        <f>IF(YEAR(DATE(LISTEN!$F$2,1,1)+260)=LISTEN!$F$2,DATE(LISTEN!$F$2,1,1)+260,"")</f>
        <v/>
      </c>
      <c r="B265" s="73">
        <f>IF(A265="","",CHOOSE(WEEKDAY(A265,2),"Mo","Di","Mi","Do","Fr","Sa","So"))</f>
        <v/>
      </c>
      <c r="C265" s="73">
        <f>IF(A265="","",INT((A265-DATE(YEAR(A265-WEEKDAY(A265-1)+4),1,3)+WEEKDAY(DATE(YEAR(A265-WEEKDAY(A265-1)+4),1,3))+5)/7))</f>
        <v/>
      </c>
      <c r="D265" s="73">
        <f>IF(A265="","",MONTH(A265))</f>
        <v/>
      </c>
      <c r="E265" s="73">
        <f>IF(A265="","",WEEKDAY(A265,2))</f>
        <v/>
      </c>
      <c r="F265" s="73">
        <f>IF(A265="","",COUNTIF(ERFASSUNG!$A$6:$A$3005,A265))</f>
        <v/>
      </c>
      <c r="G265" s="73">
        <f>IF(A265="","",IF(F265&gt;0,1,0))</f>
        <v/>
      </c>
      <c r="H265" s="73">
        <f>IF(A265="","",SUMIFS(ERFASSUNG!$E$6:$E$3005,ERFASSUNG!$A$6:$A$3005,A265))</f>
        <v/>
      </c>
      <c r="I265" s="73">
        <f>IF(A265="","",SUMIFS(ERFASSUNG!$F$6:$F$3005,ERFASSUNG!$A$6:$A$3005,A265))</f>
        <v/>
      </c>
      <c r="J265" s="73">
        <f>IF(A265="","",SUMIFS(ERFASSUNG!$G$6:$G$3005,ERFASSUNG!$A$6:$A$3005,A265))</f>
        <v/>
      </c>
      <c r="K265" s="73">
        <f>IF(A265="","",SUMIFS(ERFASSUNG!$H$6:$H$3005,ERFASSUNG!$A$6:$A$3005,A265))</f>
        <v/>
      </c>
      <c r="L265" s="73">
        <f>IF(A265="","",SUMIFS(ERFASSUNG!$I$6:$I$3005,ERFASSUNG!$A$6:$A$3005,A265))</f>
        <v/>
      </c>
      <c r="M265" s="73">
        <f>IF(A265="","",SUMIFS(ERFASSUNG!$J$6:$J$3005,ERFASSUNG!$A$6:$A$3005,A265))</f>
        <v/>
      </c>
      <c r="N265" s="73">
        <f>IF(A265="","",SUMIFS(ERFASSUNG!$K$6:$K$3005,ERFASSUNG!$A$6:$A$3005,A265))</f>
        <v/>
      </c>
      <c r="O265" s="73">
        <f>IF(A265="","",SUMIFS(ERFASSUNG!$L$6:$L$3005,ERFASSUNG!$A$6:$A$3005,A265))</f>
        <v/>
      </c>
      <c r="P265" s="73">
        <f>IF(A265="","",SUMIFS(ERFASSUNG!$M$6:$M$3005,ERFASSUNG!$A$6:$A$3005,A265))</f>
        <v/>
      </c>
      <c r="Q265" s="73">
        <f>IF(A265="","",SUMIFS(ERFASSUNG!$N$6:$N$3005,ERFASSUNG!$A$6:$A$3005,A265))</f>
        <v/>
      </c>
    </row>
    <row r="266">
      <c r="A266" s="72">
        <f>IF(YEAR(DATE(LISTEN!$F$2,1,1)+261)=LISTEN!$F$2,DATE(LISTEN!$F$2,1,1)+261,"")</f>
        <v/>
      </c>
      <c r="B266" s="73">
        <f>IF(A266="","",CHOOSE(WEEKDAY(A266,2),"Mo","Di","Mi","Do","Fr","Sa","So"))</f>
        <v/>
      </c>
      <c r="C266" s="73">
        <f>IF(A266="","",INT((A266-DATE(YEAR(A266-WEEKDAY(A266-1)+4),1,3)+WEEKDAY(DATE(YEAR(A266-WEEKDAY(A266-1)+4),1,3))+5)/7))</f>
        <v/>
      </c>
      <c r="D266" s="73">
        <f>IF(A266="","",MONTH(A266))</f>
        <v/>
      </c>
      <c r="E266" s="73">
        <f>IF(A266="","",WEEKDAY(A266,2))</f>
        <v/>
      </c>
      <c r="F266" s="73">
        <f>IF(A266="","",COUNTIF(ERFASSUNG!$A$6:$A$3005,A266))</f>
        <v/>
      </c>
      <c r="G266" s="73">
        <f>IF(A266="","",IF(F266&gt;0,1,0))</f>
        <v/>
      </c>
      <c r="H266" s="73">
        <f>IF(A266="","",SUMIFS(ERFASSUNG!$E$6:$E$3005,ERFASSUNG!$A$6:$A$3005,A266))</f>
        <v/>
      </c>
      <c r="I266" s="73">
        <f>IF(A266="","",SUMIFS(ERFASSUNG!$F$6:$F$3005,ERFASSUNG!$A$6:$A$3005,A266))</f>
        <v/>
      </c>
      <c r="J266" s="73">
        <f>IF(A266="","",SUMIFS(ERFASSUNG!$G$6:$G$3005,ERFASSUNG!$A$6:$A$3005,A266))</f>
        <v/>
      </c>
      <c r="K266" s="73">
        <f>IF(A266="","",SUMIFS(ERFASSUNG!$H$6:$H$3005,ERFASSUNG!$A$6:$A$3005,A266))</f>
        <v/>
      </c>
      <c r="L266" s="73">
        <f>IF(A266="","",SUMIFS(ERFASSUNG!$I$6:$I$3005,ERFASSUNG!$A$6:$A$3005,A266))</f>
        <v/>
      </c>
      <c r="M266" s="73">
        <f>IF(A266="","",SUMIFS(ERFASSUNG!$J$6:$J$3005,ERFASSUNG!$A$6:$A$3005,A266))</f>
        <v/>
      </c>
      <c r="N266" s="73">
        <f>IF(A266="","",SUMIFS(ERFASSUNG!$K$6:$K$3005,ERFASSUNG!$A$6:$A$3005,A266))</f>
        <v/>
      </c>
      <c r="O266" s="73">
        <f>IF(A266="","",SUMIFS(ERFASSUNG!$L$6:$L$3005,ERFASSUNG!$A$6:$A$3005,A266))</f>
        <v/>
      </c>
      <c r="P266" s="73">
        <f>IF(A266="","",SUMIFS(ERFASSUNG!$M$6:$M$3005,ERFASSUNG!$A$6:$A$3005,A266))</f>
        <v/>
      </c>
      <c r="Q266" s="73">
        <f>IF(A266="","",SUMIFS(ERFASSUNG!$N$6:$N$3005,ERFASSUNG!$A$6:$A$3005,A266))</f>
        <v/>
      </c>
    </row>
    <row r="267">
      <c r="A267" s="72">
        <f>IF(YEAR(DATE(LISTEN!$F$2,1,1)+262)=LISTEN!$F$2,DATE(LISTEN!$F$2,1,1)+262,"")</f>
        <v/>
      </c>
      <c r="B267" s="73">
        <f>IF(A267="","",CHOOSE(WEEKDAY(A267,2),"Mo","Di","Mi","Do","Fr","Sa","So"))</f>
        <v/>
      </c>
      <c r="C267" s="73">
        <f>IF(A267="","",INT((A267-DATE(YEAR(A267-WEEKDAY(A267-1)+4),1,3)+WEEKDAY(DATE(YEAR(A267-WEEKDAY(A267-1)+4),1,3))+5)/7))</f>
        <v/>
      </c>
      <c r="D267" s="73">
        <f>IF(A267="","",MONTH(A267))</f>
        <v/>
      </c>
      <c r="E267" s="73">
        <f>IF(A267="","",WEEKDAY(A267,2))</f>
        <v/>
      </c>
      <c r="F267" s="73">
        <f>IF(A267="","",COUNTIF(ERFASSUNG!$A$6:$A$3005,A267))</f>
        <v/>
      </c>
      <c r="G267" s="73">
        <f>IF(A267="","",IF(F267&gt;0,1,0))</f>
        <v/>
      </c>
      <c r="H267" s="73">
        <f>IF(A267="","",SUMIFS(ERFASSUNG!$E$6:$E$3005,ERFASSUNG!$A$6:$A$3005,A267))</f>
        <v/>
      </c>
      <c r="I267" s="73">
        <f>IF(A267="","",SUMIFS(ERFASSUNG!$F$6:$F$3005,ERFASSUNG!$A$6:$A$3005,A267))</f>
        <v/>
      </c>
      <c r="J267" s="73">
        <f>IF(A267="","",SUMIFS(ERFASSUNG!$G$6:$G$3005,ERFASSUNG!$A$6:$A$3005,A267))</f>
        <v/>
      </c>
      <c r="K267" s="73">
        <f>IF(A267="","",SUMIFS(ERFASSUNG!$H$6:$H$3005,ERFASSUNG!$A$6:$A$3005,A267))</f>
        <v/>
      </c>
      <c r="L267" s="73">
        <f>IF(A267="","",SUMIFS(ERFASSUNG!$I$6:$I$3005,ERFASSUNG!$A$6:$A$3005,A267))</f>
        <v/>
      </c>
      <c r="M267" s="73">
        <f>IF(A267="","",SUMIFS(ERFASSUNG!$J$6:$J$3005,ERFASSUNG!$A$6:$A$3005,A267))</f>
        <v/>
      </c>
      <c r="N267" s="73">
        <f>IF(A267="","",SUMIFS(ERFASSUNG!$K$6:$K$3005,ERFASSUNG!$A$6:$A$3005,A267))</f>
        <v/>
      </c>
      <c r="O267" s="73">
        <f>IF(A267="","",SUMIFS(ERFASSUNG!$L$6:$L$3005,ERFASSUNG!$A$6:$A$3005,A267))</f>
        <v/>
      </c>
      <c r="P267" s="73">
        <f>IF(A267="","",SUMIFS(ERFASSUNG!$M$6:$M$3005,ERFASSUNG!$A$6:$A$3005,A267))</f>
        <v/>
      </c>
      <c r="Q267" s="73">
        <f>IF(A267="","",SUMIFS(ERFASSUNG!$N$6:$N$3005,ERFASSUNG!$A$6:$A$3005,A267))</f>
        <v/>
      </c>
    </row>
    <row r="268">
      <c r="A268" s="72">
        <f>IF(YEAR(DATE(LISTEN!$F$2,1,1)+263)=LISTEN!$F$2,DATE(LISTEN!$F$2,1,1)+263,"")</f>
        <v/>
      </c>
      <c r="B268" s="73">
        <f>IF(A268="","",CHOOSE(WEEKDAY(A268,2),"Mo","Di","Mi","Do","Fr","Sa","So"))</f>
        <v/>
      </c>
      <c r="C268" s="73">
        <f>IF(A268="","",INT((A268-DATE(YEAR(A268-WEEKDAY(A268-1)+4),1,3)+WEEKDAY(DATE(YEAR(A268-WEEKDAY(A268-1)+4),1,3))+5)/7))</f>
        <v/>
      </c>
      <c r="D268" s="73">
        <f>IF(A268="","",MONTH(A268))</f>
        <v/>
      </c>
      <c r="E268" s="73">
        <f>IF(A268="","",WEEKDAY(A268,2))</f>
        <v/>
      </c>
      <c r="F268" s="73">
        <f>IF(A268="","",COUNTIF(ERFASSUNG!$A$6:$A$3005,A268))</f>
        <v/>
      </c>
      <c r="G268" s="73">
        <f>IF(A268="","",IF(F268&gt;0,1,0))</f>
        <v/>
      </c>
      <c r="H268" s="73">
        <f>IF(A268="","",SUMIFS(ERFASSUNG!$E$6:$E$3005,ERFASSUNG!$A$6:$A$3005,A268))</f>
        <v/>
      </c>
      <c r="I268" s="73">
        <f>IF(A268="","",SUMIFS(ERFASSUNG!$F$6:$F$3005,ERFASSUNG!$A$6:$A$3005,A268))</f>
        <v/>
      </c>
      <c r="J268" s="73">
        <f>IF(A268="","",SUMIFS(ERFASSUNG!$G$6:$G$3005,ERFASSUNG!$A$6:$A$3005,A268))</f>
        <v/>
      </c>
      <c r="K268" s="73">
        <f>IF(A268="","",SUMIFS(ERFASSUNG!$H$6:$H$3005,ERFASSUNG!$A$6:$A$3005,A268))</f>
        <v/>
      </c>
      <c r="L268" s="73">
        <f>IF(A268="","",SUMIFS(ERFASSUNG!$I$6:$I$3005,ERFASSUNG!$A$6:$A$3005,A268))</f>
        <v/>
      </c>
      <c r="M268" s="73">
        <f>IF(A268="","",SUMIFS(ERFASSUNG!$J$6:$J$3005,ERFASSUNG!$A$6:$A$3005,A268))</f>
        <v/>
      </c>
      <c r="N268" s="73">
        <f>IF(A268="","",SUMIFS(ERFASSUNG!$K$6:$K$3005,ERFASSUNG!$A$6:$A$3005,A268))</f>
        <v/>
      </c>
      <c r="O268" s="73">
        <f>IF(A268="","",SUMIFS(ERFASSUNG!$L$6:$L$3005,ERFASSUNG!$A$6:$A$3005,A268))</f>
        <v/>
      </c>
      <c r="P268" s="73">
        <f>IF(A268="","",SUMIFS(ERFASSUNG!$M$6:$M$3005,ERFASSUNG!$A$6:$A$3005,A268))</f>
        <v/>
      </c>
      <c r="Q268" s="73">
        <f>IF(A268="","",SUMIFS(ERFASSUNG!$N$6:$N$3005,ERFASSUNG!$A$6:$A$3005,A268))</f>
        <v/>
      </c>
    </row>
    <row r="269">
      <c r="A269" s="72">
        <f>IF(YEAR(DATE(LISTEN!$F$2,1,1)+264)=LISTEN!$F$2,DATE(LISTEN!$F$2,1,1)+264,"")</f>
        <v/>
      </c>
      <c r="B269" s="73">
        <f>IF(A269="","",CHOOSE(WEEKDAY(A269,2),"Mo","Di","Mi","Do","Fr","Sa","So"))</f>
        <v/>
      </c>
      <c r="C269" s="73">
        <f>IF(A269="","",INT((A269-DATE(YEAR(A269-WEEKDAY(A269-1)+4),1,3)+WEEKDAY(DATE(YEAR(A269-WEEKDAY(A269-1)+4),1,3))+5)/7))</f>
        <v/>
      </c>
      <c r="D269" s="73">
        <f>IF(A269="","",MONTH(A269))</f>
        <v/>
      </c>
      <c r="E269" s="73">
        <f>IF(A269="","",WEEKDAY(A269,2))</f>
        <v/>
      </c>
      <c r="F269" s="73">
        <f>IF(A269="","",COUNTIF(ERFASSUNG!$A$6:$A$3005,A269))</f>
        <v/>
      </c>
      <c r="G269" s="73">
        <f>IF(A269="","",IF(F269&gt;0,1,0))</f>
        <v/>
      </c>
      <c r="H269" s="73">
        <f>IF(A269="","",SUMIFS(ERFASSUNG!$E$6:$E$3005,ERFASSUNG!$A$6:$A$3005,A269))</f>
        <v/>
      </c>
      <c r="I269" s="73">
        <f>IF(A269="","",SUMIFS(ERFASSUNG!$F$6:$F$3005,ERFASSUNG!$A$6:$A$3005,A269))</f>
        <v/>
      </c>
      <c r="J269" s="73">
        <f>IF(A269="","",SUMIFS(ERFASSUNG!$G$6:$G$3005,ERFASSUNG!$A$6:$A$3005,A269))</f>
        <v/>
      </c>
      <c r="K269" s="73">
        <f>IF(A269="","",SUMIFS(ERFASSUNG!$H$6:$H$3005,ERFASSUNG!$A$6:$A$3005,A269))</f>
        <v/>
      </c>
      <c r="L269" s="73">
        <f>IF(A269="","",SUMIFS(ERFASSUNG!$I$6:$I$3005,ERFASSUNG!$A$6:$A$3005,A269))</f>
        <v/>
      </c>
      <c r="M269" s="73">
        <f>IF(A269="","",SUMIFS(ERFASSUNG!$J$6:$J$3005,ERFASSUNG!$A$6:$A$3005,A269))</f>
        <v/>
      </c>
      <c r="N269" s="73">
        <f>IF(A269="","",SUMIFS(ERFASSUNG!$K$6:$K$3005,ERFASSUNG!$A$6:$A$3005,A269))</f>
        <v/>
      </c>
      <c r="O269" s="73">
        <f>IF(A269="","",SUMIFS(ERFASSUNG!$L$6:$L$3005,ERFASSUNG!$A$6:$A$3005,A269))</f>
        <v/>
      </c>
      <c r="P269" s="73">
        <f>IF(A269="","",SUMIFS(ERFASSUNG!$M$6:$M$3005,ERFASSUNG!$A$6:$A$3005,A269))</f>
        <v/>
      </c>
      <c r="Q269" s="73">
        <f>IF(A269="","",SUMIFS(ERFASSUNG!$N$6:$N$3005,ERFASSUNG!$A$6:$A$3005,A269))</f>
        <v/>
      </c>
    </row>
    <row r="270">
      <c r="A270" s="72">
        <f>IF(YEAR(DATE(LISTEN!$F$2,1,1)+265)=LISTEN!$F$2,DATE(LISTEN!$F$2,1,1)+265,"")</f>
        <v/>
      </c>
      <c r="B270" s="73">
        <f>IF(A270="","",CHOOSE(WEEKDAY(A270,2),"Mo","Di","Mi","Do","Fr","Sa","So"))</f>
        <v/>
      </c>
      <c r="C270" s="73">
        <f>IF(A270="","",INT((A270-DATE(YEAR(A270-WEEKDAY(A270-1)+4),1,3)+WEEKDAY(DATE(YEAR(A270-WEEKDAY(A270-1)+4),1,3))+5)/7))</f>
        <v/>
      </c>
      <c r="D270" s="73">
        <f>IF(A270="","",MONTH(A270))</f>
        <v/>
      </c>
      <c r="E270" s="73">
        <f>IF(A270="","",WEEKDAY(A270,2))</f>
        <v/>
      </c>
      <c r="F270" s="73">
        <f>IF(A270="","",COUNTIF(ERFASSUNG!$A$6:$A$3005,A270))</f>
        <v/>
      </c>
      <c r="G270" s="73">
        <f>IF(A270="","",IF(F270&gt;0,1,0))</f>
        <v/>
      </c>
      <c r="H270" s="73">
        <f>IF(A270="","",SUMIFS(ERFASSUNG!$E$6:$E$3005,ERFASSUNG!$A$6:$A$3005,A270))</f>
        <v/>
      </c>
      <c r="I270" s="73">
        <f>IF(A270="","",SUMIFS(ERFASSUNG!$F$6:$F$3005,ERFASSUNG!$A$6:$A$3005,A270))</f>
        <v/>
      </c>
      <c r="J270" s="73">
        <f>IF(A270="","",SUMIFS(ERFASSUNG!$G$6:$G$3005,ERFASSUNG!$A$6:$A$3005,A270))</f>
        <v/>
      </c>
      <c r="K270" s="73">
        <f>IF(A270="","",SUMIFS(ERFASSUNG!$H$6:$H$3005,ERFASSUNG!$A$6:$A$3005,A270))</f>
        <v/>
      </c>
      <c r="L270" s="73">
        <f>IF(A270="","",SUMIFS(ERFASSUNG!$I$6:$I$3005,ERFASSUNG!$A$6:$A$3005,A270))</f>
        <v/>
      </c>
      <c r="M270" s="73">
        <f>IF(A270="","",SUMIFS(ERFASSUNG!$J$6:$J$3005,ERFASSUNG!$A$6:$A$3005,A270))</f>
        <v/>
      </c>
      <c r="N270" s="73">
        <f>IF(A270="","",SUMIFS(ERFASSUNG!$K$6:$K$3005,ERFASSUNG!$A$6:$A$3005,A270))</f>
        <v/>
      </c>
      <c r="O270" s="73">
        <f>IF(A270="","",SUMIFS(ERFASSUNG!$L$6:$L$3005,ERFASSUNG!$A$6:$A$3005,A270))</f>
        <v/>
      </c>
      <c r="P270" s="73">
        <f>IF(A270="","",SUMIFS(ERFASSUNG!$M$6:$M$3005,ERFASSUNG!$A$6:$A$3005,A270))</f>
        <v/>
      </c>
      <c r="Q270" s="73">
        <f>IF(A270="","",SUMIFS(ERFASSUNG!$N$6:$N$3005,ERFASSUNG!$A$6:$A$3005,A270))</f>
        <v/>
      </c>
    </row>
    <row r="271">
      <c r="A271" s="72">
        <f>IF(YEAR(DATE(LISTEN!$F$2,1,1)+266)=LISTEN!$F$2,DATE(LISTEN!$F$2,1,1)+266,"")</f>
        <v/>
      </c>
      <c r="B271" s="73">
        <f>IF(A271="","",CHOOSE(WEEKDAY(A271,2),"Mo","Di","Mi","Do","Fr","Sa","So"))</f>
        <v/>
      </c>
      <c r="C271" s="73">
        <f>IF(A271="","",INT((A271-DATE(YEAR(A271-WEEKDAY(A271-1)+4),1,3)+WEEKDAY(DATE(YEAR(A271-WEEKDAY(A271-1)+4),1,3))+5)/7))</f>
        <v/>
      </c>
      <c r="D271" s="73">
        <f>IF(A271="","",MONTH(A271))</f>
        <v/>
      </c>
      <c r="E271" s="73">
        <f>IF(A271="","",WEEKDAY(A271,2))</f>
        <v/>
      </c>
      <c r="F271" s="73">
        <f>IF(A271="","",COUNTIF(ERFASSUNG!$A$6:$A$3005,A271))</f>
        <v/>
      </c>
      <c r="G271" s="73">
        <f>IF(A271="","",IF(F271&gt;0,1,0))</f>
        <v/>
      </c>
      <c r="H271" s="73">
        <f>IF(A271="","",SUMIFS(ERFASSUNG!$E$6:$E$3005,ERFASSUNG!$A$6:$A$3005,A271))</f>
        <v/>
      </c>
      <c r="I271" s="73">
        <f>IF(A271="","",SUMIFS(ERFASSUNG!$F$6:$F$3005,ERFASSUNG!$A$6:$A$3005,A271))</f>
        <v/>
      </c>
      <c r="J271" s="73">
        <f>IF(A271="","",SUMIFS(ERFASSUNG!$G$6:$G$3005,ERFASSUNG!$A$6:$A$3005,A271))</f>
        <v/>
      </c>
      <c r="K271" s="73">
        <f>IF(A271="","",SUMIFS(ERFASSUNG!$H$6:$H$3005,ERFASSUNG!$A$6:$A$3005,A271))</f>
        <v/>
      </c>
      <c r="L271" s="73">
        <f>IF(A271="","",SUMIFS(ERFASSUNG!$I$6:$I$3005,ERFASSUNG!$A$6:$A$3005,A271))</f>
        <v/>
      </c>
      <c r="M271" s="73">
        <f>IF(A271="","",SUMIFS(ERFASSUNG!$J$6:$J$3005,ERFASSUNG!$A$6:$A$3005,A271))</f>
        <v/>
      </c>
      <c r="N271" s="73">
        <f>IF(A271="","",SUMIFS(ERFASSUNG!$K$6:$K$3005,ERFASSUNG!$A$6:$A$3005,A271))</f>
        <v/>
      </c>
      <c r="O271" s="73">
        <f>IF(A271="","",SUMIFS(ERFASSUNG!$L$6:$L$3005,ERFASSUNG!$A$6:$A$3005,A271))</f>
        <v/>
      </c>
      <c r="P271" s="73">
        <f>IF(A271="","",SUMIFS(ERFASSUNG!$M$6:$M$3005,ERFASSUNG!$A$6:$A$3005,A271))</f>
        <v/>
      </c>
      <c r="Q271" s="73">
        <f>IF(A271="","",SUMIFS(ERFASSUNG!$N$6:$N$3005,ERFASSUNG!$A$6:$A$3005,A271))</f>
        <v/>
      </c>
    </row>
    <row r="272">
      <c r="A272" s="72">
        <f>IF(YEAR(DATE(LISTEN!$F$2,1,1)+267)=LISTEN!$F$2,DATE(LISTEN!$F$2,1,1)+267,"")</f>
        <v/>
      </c>
      <c r="B272" s="73">
        <f>IF(A272="","",CHOOSE(WEEKDAY(A272,2),"Mo","Di","Mi","Do","Fr","Sa","So"))</f>
        <v/>
      </c>
      <c r="C272" s="73">
        <f>IF(A272="","",INT((A272-DATE(YEAR(A272-WEEKDAY(A272-1)+4),1,3)+WEEKDAY(DATE(YEAR(A272-WEEKDAY(A272-1)+4),1,3))+5)/7))</f>
        <v/>
      </c>
      <c r="D272" s="73">
        <f>IF(A272="","",MONTH(A272))</f>
        <v/>
      </c>
      <c r="E272" s="73">
        <f>IF(A272="","",WEEKDAY(A272,2))</f>
        <v/>
      </c>
      <c r="F272" s="73">
        <f>IF(A272="","",COUNTIF(ERFASSUNG!$A$6:$A$3005,A272))</f>
        <v/>
      </c>
      <c r="G272" s="73">
        <f>IF(A272="","",IF(F272&gt;0,1,0))</f>
        <v/>
      </c>
      <c r="H272" s="73">
        <f>IF(A272="","",SUMIFS(ERFASSUNG!$E$6:$E$3005,ERFASSUNG!$A$6:$A$3005,A272))</f>
        <v/>
      </c>
      <c r="I272" s="73">
        <f>IF(A272="","",SUMIFS(ERFASSUNG!$F$6:$F$3005,ERFASSUNG!$A$6:$A$3005,A272))</f>
        <v/>
      </c>
      <c r="J272" s="73">
        <f>IF(A272="","",SUMIFS(ERFASSUNG!$G$6:$G$3005,ERFASSUNG!$A$6:$A$3005,A272))</f>
        <v/>
      </c>
      <c r="K272" s="73">
        <f>IF(A272="","",SUMIFS(ERFASSUNG!$H$6:$H$3005,ERFASSUNG!$A$6:$A$3005,A272))</f>
        <v/>
      </c>
      <c r="L272" s="73">
        <f>IF(A272="","",SUMIFS(ERFASSUNG!$I$6:$I$3005,ERFASSUNG!$A$6:$A$3005,A272))</f>
        <v/>
      </c>
      <c r="M272" s="73">
        <f>IF(A272="","",SUMIFS(ERFASSUNG!$J$6:$J$3005,ERFASSUNG!$A$6:$A$3005,A272))</f>
        <v/>
      </c>
      <c r="N272" s="73">
        <f>IF(A272="","",SUMIFS(ERFASSUNG!$K$6:$K$3005,ERFASSUNG!$A$6:$A$3005,A272))</f>
        <v/>
      </c>
      <c r="O272" s="73">
        <f>IF(A272="","",SUMIFS(ERFASSUNG!$L$6:$L$3005,ERFASSUNG!$A$6:$A$3005,A272))</f>
        <v/>
      </c>
      <c r="P272" s="73">
        <f>IF(A272="","",SUMIFS(ERFASSUNG!$M$6:$M$3005,ERFASSUNG!$A$6:$A$3005,A272))</f>
        <v/>
      </c>
      <c r="Q272" s="73">
        <f>IF(A272="","",SUMIFS(ERFASSUNG!$N$6:$N$3005,ERFASSUNG!$A$6:$A$3005,A272))</f>
        <v/>
      </c>
    </row>
    <row r="273">
      <c r="A273" s="72">
        <f>IF(YEAR(DATE(LISTEN!$F$2,1,1)+268)=LISTEN!$F$2,DATE(LISTEN!$F$2,1,1)+268,"")</f>
        <v/>
      </c>
      <c r="B273" s="73">
        <f>IF(A273="","",CHOOSE(WEEKDAY(A273,2),"Mo","Di","Mi","Do","Fr","Sa","So"))</f>
        <v/>
      </c>
      <c r="C273" s="73">
        <f>IF(A273="","",INT((A273-DATE(YEAR(A273-WEEKDAY(A273-1)+4),1,3)+WEEKDAY(DATE(YEAR(A273-WEEKDAY(A273-1)+4),1,3))+5)/7))</f>
        <v/>
      </c>
      <c r="D273" s="73">
        <f>IF(A273="","",MONTH(A273))</f>
        <v/>
      </c>
      <c r="E273" s="73">
        <f>IF(A273="","",WEEKDAY(A273,2))</f>
        <v/>
      </c>
      <c r="F273" s="73">
        <f>IF(A273="","",COUNTIF(ERFASSUNG!$A$6:$A$3005,A273))</f>
        <v/>
      </c>
      <c r="G273" s="73">
        <f>IF(A273="","",IF(F273&gt;0,1,0))</f>
        <v/>
      </c>
      <c r="H273" s="73">
        <f>IF(A273="","",SUMIFS(ERFASSUNG!$E$6:$E$3005,ERFASSUNG!$A$6:$A$3005,A273))</f>
        <v/>
      </c>
      <c r="I273" s="73">
        <f>IF(A273="","",SUMIFS(ERFASSUNG!$F$6:$F$3005,ERFASSUNG!$A$6:$A$3005,A273))</f>
        <v/>
      </c>
      <c r="J273" s="73">
        <f>IF(A273="","",SUMIFS(ERFASSUNG!$G$6:$G$3005,ERFASSUNG!$A$6:$A$3005,A273))</f>
        <v/>
      </c>
      <c r="K273" s="73">
        <f>IF(A273="","",SUMIFS(ERFASSUNG!$H$6:$H$3005,ERFASSUNG!$A$6:$A$3005,A273))</f>
        <v/>
      </c>
      <c r="L273" s="73">
        <f>IF(A273="","",SUMIFS(ERFASSUNG!$I$6:$I$3005,ERFASSUNG!$A$6:$A$3005,A273))</f>
        <v/>
      </c>
      <c r="M273" s="73">
        <f>IF(A273="","",SUMIFS(ERFASSUNG!$J$6:$J$3005,ERFASSUNG!$A$6:$A$3005,A273))</f>
        <v/>
      </c>
      <c r="N273" s="73">
        <f>IF(A273="","",SUMIFS(ERFASSUNG!$K$6:$K$3005,ERFASSUNG!$A$6:$A$3005,A273))</f>
        <v/>
      </c>
      <c r="O273" s="73">
        <f>IF(A273="","",SUMIFS(ERFASSUNG!$L$6:$L$3005,ERFASSUNG!$A$6:$A$3005,A273))</f>
        <v/>
      </c>
      <c r="P273" s="73">
        <f>IF(A273="","",SUMIFS(ERFASSUNG!$M$6:$M$3005,ERFASSUNG!$A$6:$A$3005,A273))</f>
        <v/>
      </c>
      <c r="Q273" s="73">
        <f>IF(A273="","",SUMIFS(ERFASSUNG!$N$6:$N$3005,ERFASSUNG!$A$6:$A$3005,A273))</f>
        <v/>
      </c>
    </row>
    <row r="274">
      <c r="A274" s="72">
        <f>IF(YEAR(DATE(LISTEN!$F$2,1,1)+269)=LISTEN!$F$2,DATE(LISTEN!$F$2,1,1)+269,"")</f>
        <v/>
      </c>
      <c r="B274" s="73">
        <f>IF(A274="","",CHOOSE(WEEKDAY(A274,2),"Mo","Di","Mi","Do","Fr","Sa","So"))</f>
        <v/>
      </c>
      <c r="C274" s="73">
        <f>IF(A274="","",INT((A274-DATE(YEAR(A274-WEEKDAY(A274-1)+4),1,3)+WEEKDAY(DATE(YEAR(A274-WEEKDAY(A274-1)+4),1,3))+5)/7))</f>
        <v/>
      </c>
      <c r="D274" s="73">
        <f>IF(A274="","",MONTH(A274))</f>
        <v/>
      </c>
      <c r="E274" s="73">
        <f>IF(A274="","",WEEKDAY(A274,2))</f>
        <v/>
      </c>
      <c r="F274" s="73">
        <f>IF(A274="","",COUNTIF(ERFASSUNG!$A$6:$A$3005,A274))</f>
        <v/>
      </c>
      <c r="G274" s="73">
        <f>IF(A274="","",IF(F274&gt;0,1,0))</f>
        <v/>
      </c>
      <c r="H274" s="73">
        <f>IF(A274="","",SUMIFS(ERFASSUNG!$E$6:$E$3005,ERFASSUNG!$A$6:$A$3005,A274))</f>
        <v/>
      </c>
      <c r="I274" s="73">
        <f>IF(A274="","",SUMIFS(ERFASSUNG!$F$6:$F$3005,ERFASSUNG!$A$6:$A$3005,A274))</f>
        <v/>
      </c>
      <c r="J274" s="73">
        <f>IF(A274="","",SUMIFS(ERFASSUNG!$G$6:$G$3005,ERFASSUNG!$A$6:$A$3005,A274))</f>
        <v/>
      </c>
      <c r="K274" s="73">
        <f>IF(A274="","",SUMIFS(ERFASSUNG!$H$6:$H$3005,ERFASSUNG!$A$6:$A$3005,A274))</f>
        <v/>
      </c>
      <c r="L274" s="73">
        <f>IF(A274="","",SUMIFS(ERFASSUNG!$I$6:$I$3005,ERFASSUNG!$A$6:$A$3005,A274))</f>
        <v/>
      </c>
      <c r="M274" s="73">
        <f>IF(A274="","",SUMIFS(ERFASSUNG!$J$6:$J$3005,ERFASSUNG!$A$6:$A$3005,A274))</f>
        <v/>
      </c>
      <c r="N274" s="73">
        <f>IF(A274="","",SUMIFS(ERFASSUNG!$K$6:$K$3005,ERFASSUNG!$A$6:$A$3005,A274))</f>
        <v/>
      </c>
      <c r="O274" s="73">
        <f>IF(A274="","",SUMIFS(ERFASSUNG!$L$6:$L$3005,ERFASSUNG!$A$6:$A$3005,A274))</f>
        <v/>
      </c>
      <c r="P274" s="73">
        <f>IF(A274="","",SUMIFS(ERFASSUNG!$M$6:$M$3005,ERFASSUNG!$A$6:$A$3005,A274))</f>
        <v/>
      </c>
      <c r="Q274" s="73">
        <f>IF(A274="","",SUMIFS(ERFASSUNG!$N$6:$N$3005,ERFASSUNG!$A$6:$A$3005,A274))</f>
        <v/>
      </c>
    </row>
    <row r="275">
      <c r="A275" s="72">
        <f>IF(YEAR(DATE(LISTEN!$F$2,1,1)+270)=LISTEN!$F$2,DATE(LISTEN!$F$2,1,1)+270,"")</f>
        <v/>
      </c>
      <c r="B275" s="73">
        <f>IF(A275="","",CHOOSE(WEEKDAY(A275,2),"Mo","Di","Mi","Do","Fr","Sa","So"))</f>
        <v/>
      </c>
      <c r="C275" s="73">
        <f>IF(A275="","",INT((A275-DATE(YEAR(A275-WEEKDAY(A275-1)+4),1,3)+WEEKDAY(DATE(YEAR(A275-WEEKDAY(A275-1)+4),1,3))+5)/7))</f>
        <v/>
      </c>
      <c r="D275" s="73">
        <f>IF(A275="","",MONTH(A275))</f>
        <v/>
      </c>
      <c r="E275" s="73">
        <f>IF(A275="","",WEEKDAY(A275,2))</f>
        <v/>
      </c>
      <c r="F275" s="73">
        <f>IF(A275="","",COUNTIF(ERFASSUNG!$A$6:$A$3005,A275))</f>
        <v/>
      </c>
      <c r="G275" s="73">
        <f>IF(A275="","",IF(F275&gt;0,1,0))</f>
        <v/>
      </c>
      <c r="H275" s="73">
        <f>IF(A275="","",SUMIFS(ERFASSUNG!$E$6:$E$3005,ERFASSUNG!$A$6:$A$3005,A275))</f>
        <v/>
      </c>
      <c r="I275" s="73">
        <f>IF(A275="","",SUMIFS(ERFASSUNG!$F$6:$F$3005,ERFASSUNG!$A$6:$A$3005,A275))</f>
        <v/>
      </c>
      <c r="J275" s="73">
        <f>IF(A275="","",SUMIFS(ERFASSUNG!$G$6:$G$3005,ERFASSUNG!$A$6:$A$3005,A275))</f>
        <v/>
      </c>
      <c r="K275" s="73">
        <f>IF(A275="","",SUMIFS(ERFASSUNG!$H$6:$H$3005,ERFASSUNG!$A$6:$A$3005,A275))</f>
        <v/>
      </c>
      <c r="L275" s="73">
        <f>IF(A275="","",SUMIFS(ERFASSUNG!$I$6:$I$3005,ERFASSUNG!$A$6:$A$3005,A275))</f>
        <v/>
      </c>
      <c r="M275" s="73">
        <f>IF(A275="","",SUMIFS(ERFASSUNG!$J$6:$J$3005,ERFASSUNG!$A$6:$A$3005,A275))</f>
        <v/>
      </c>
      <c r="N275" s="73">
        <f>IF(A275="","",SUMIFS(ERFASSUNG!$K$6:$K$3005,ERFASSUNG!$A$6:$A$3005,A275))</f>
        <v/>
      </c>
      <c r="O275" s="73">
        <f>IF(A275="","",SUMIFS(ERFASSUNG!$L$6:$L$3005,ERFASSUNG!$A$6:$A$3005,A275))</f>
        <v/>
      </c>
      <c r="P275" s="73">
        <f>IF(A275="","",SUMIFS(ERFASSUNG!$M$6:$M$3005,ERFASSUNG!$A$6:$A$3005,A275))</f>
        <v/>
      </c>
      <c r="Q275" s="73">
        <f>IF(A275="","",SUMIFS(ERFASSUNG!$N$6:$N$3005,ERFASSUNG!$A$6:$A$3005,A275))</f>
        <v/>
      </c>
    </row>
    <row r="276">
      <c r="A276" s="72">
        <f>IF(YEAR(DATE(LISTEN!$F$2,1,1)+271)=LISTEN!$F$2,DATE(LISTEN!$F$2,1,1)+271,"")</f>
        <v/>
      </c>
      <c r="B276" s="73">
        <f>IF(A276="","",CHOOSE(WEEKDAY(A276,2),"Mo","Di","Mi","Do","Fr","Sa","So"))</f>
        <v/>
      </c>
      <c r="C276" s="73">
        <f>IF(A276="","",INT((A276-DATE(YEAR(A276-WEEKDAY(A276-1)+4),1,3)+WEEKDAY(DATE(YEAR(A276-WEEKDAY(A276-1)+4),1,3))+5)/7))</f>
        <v/>
      </c>
      <c r="D276" s="73">
        <f>IF(A276="","",MONTH(A276))</f>
        <v/>
      </c>
      <c r="E276" s="73">
        <f>IF(A276="","",WEEKDAY(A276,2))</f>
        <v/>
      </c>
      <c r="F276" s="73">
        <f>IF(A276="","",COUNTIF(ERFASSUNG!$A$6:$A$3005,A276))</f>
        <v/>
      </c>
      <c r="G276" s="73">
        <f>IF(A276="","",IF(F276&gt;0,1,0))</f>
        <v/>
      </c>
      <c r="H276" s="73">
        <f>IF(A276="","",SUMIFS(ERFASSUNG!$E$6:$E$3005,ERFASSUNG!$A$6:$A$3005,A276))</f>
        <v/>
      </c>
      <c r="I276" s="73">
        <f>IF(A276="","",SUMIFS(ERFASSUNG!$F$6:$F$3005,ERFASSUNG!$A$6:$A$3005,A276))</f>
        <v/>
      </c>
      <c r="J276" s="73">
        <f>IF(A276="","",SUMIFS(ERFASSUNG!$G$6:$G$3005,ERFASSUNG!$A$6:$A$3005,A276))</f>
        <v/>
      </c>
      <c r="K276" s="73">
        <f>IF(A276="","",SUMIFS(ERFASSUNG!$H$6:$H$3005,ERFASSUNG!$A$6:$A$3005,A276))</f>
        <v/>
      </c>
      <c r="L276" s="73">
        <f>IF(A276="","",SUMIFS(ERFASSUNG!$I$6:$I$3005,ERFASSUNG!$A$6:$A$3005,A276))</f>
        <v/>
      </c>
      <c r="M276" s="73">
        <f>IF(A276="","",SUMIFS(ERFASSUNG!$J$6:$J$3005,ERFASSUNG!$A$6:$A$3005,A276))</f>
        <v/>
      </c>
      <c r="N276" s="73">
        <f>IF(A276="","",SUMIFS(ERFASSUNG!$K$6:$K$3005,ERFASSUNG!$A$6:$A$3005,A276))</f>
        <v/>
      </c>
      <c r="O276" s="73">
        <f>IF(A276="","",SUMIFS(ERFASSUNG!$L$6:$L$3005,ERFASSUNG!$A$6:$A$3005,A276))</f>
        <v/>
      </c>
      <c r="P276" s="73">
        <f>IF(A276="","",SUMIFS(ERFASSUNG!$M$6:$M$3005,ERFASSUNG!$A$6:$A$3005,A276))</f>
        <v/>
      </c>
      <c r="Q276" s="73">
        <f>IF(A276="","",SUMIFS(ERFASSUNG!$N$6:$N$3005,ERFASSUNG!$A$6:$A$3005,A276))</f>
        <v/>
      </c>
    </row>
    <row r="277">
      <c r="A277" s="72">
        <f>IF(YEAR(DATE(LISTEN!$F$2,1,1)+272)=LISTEN!$F$2,DATE(LISTEN!$F$2,1,1)+272,"")</f>
        <v/>
      </c>
      <c r="B277" s="73">
        <f>IF(A277="","",CHOOSE(WEEKDAY(A277,2),"Mo","Di","Mi","Do","Fr","Sa","So"))</f>
        <v/>
      </c>
      <c r="C277" s="73">
        <f>IF(A277="","",INT((A277-DATE(YEAR(A277-WEEKDAY(A277-1)+4),1,3)+WEEKDAY(DATE(YEAR(A277-WEEKDAY(A277-1)+4),1,3))+5)/7))</f>
        <v/>
      </c>
      <c r="D277" s="73">
        <f>IF(A277="","",MONTH(A277))</f>
        <v/>
      </c>
      <c r="E277" s="73">
        <f>IF(A277="","",WEEKDAY(A277,2))</f>
        <v/>
      </c>
      <c r="F277" s="73">
        <f>IF(A277="","",COUNTIF(ERFASSUNG!$A$6:$A$3005,A277))</f>
        <v/>
      </c>
      <c r="G277" s="73">
        <f>IF(A277="","",IF(F277&gt;0,1,0))</f>
        <v/>
      </c>
      <c r="H277" s="73">
        <f>IF(A277="","",SUMIFS(ERFASSUNG!$E$6:$E$3005,ERFASSUNG!$A$6:$A$3005,A277))</f>
        <v/>
      </c>
      <c r="I277" s="73">
        <f>IF(A277="","",SUMIFS(ERFASSUNG!$F$6:$F$3005,ERFASSUNG!$A$6:$A$3005,A277))</f>
        <v/>
      </c>
      <c r="J277" s="73">
        <f>IF(A277="","",SUMIFS(ERFASSUNG!$G$6:$G$3005,ERFASSUNG!$A$6:$A$3005,A277))</f>
        <v/>
      </c>
      <c r="K277" s="73">
        <f>IF(A277="","",SUMIFS(ERFASSUNG!$H$6:$H$3005,ERFASSUNG!$A$6:$A$3005,A277))</f>
        <v/>
      </c>
      <c r="L277" s="73">
        <f>IF(A277="","",SUMIFS(ERFASSUNG!$I$6:$I$3005,ERFASSUNG!$A$6:$A$3005,A277))</f>
        <v/>
      </c>
      <c r="M277" s="73">
        <f>IF(A277="","",SUMIFS(ERFASSUNG!$J$6:$J$3005,ERFASSUNG!$A$6:$A$3005,A277))</f>
        <v/>
      </c>
      <c r="N277" s="73">
        <f>IF(A277="","",SUMIFS(ERFASSUNG!$K$6:$K$3005,ERFASSUNG!$A$6:$A$3005,A277))</f>
        <v/>
      </c>
      <c r="O277" s="73">
        <f>IF(A277="","",SUMIFS(ERFASSUNG!$L$6:$L$3005,ERFASSUNG!$A$6:$A$3005,A277))</f>
        <v/>
      </c>
      <c r="P277" s="73">
        <f>IF(A277="","",SUMIFS(ERFASSUNG!$M$6:$M$3005,ERFASSUNG!$A$6:$A$3005,A277))</f>
        <v/>
      </c>
      <c r="Q277" s="73">
        <f>IF(A277="","",SUMIFS(ERFASSUNG!$N$6:$N$3005,ERFASSUNG!$A$6:$A$3005,A277))</f>
        <v/>
      </c>
    </row>
    <row r="278">
      <c r="A278" s="72">
        <f>IF(YEAR(DATE(LISTEN!$F$2,1,1)+273)=LISTEN!$F$2,DATE(LISTEN!$F$2,1,1)+273,"")</f>
        <v/>
      </c>
      <c r="B278" s="73">
        <f>IF(A278="","",CHOOSE(WEEKDAY(A278,2),"Mo","Di","Mi","Do","Fr","Sa","So"))</f>
        <v/>
      </c>
      <c r="C278" s="73">
        <f>IF(A278="","",INT((A278-DATE(YEAR(A278-WEEKDAY(A278-1)+4),1,3)+WEEKDAY(DATE(YEAR(A278-WEEKDAY(A278-1)+4),1,3))+5)/7))</f>
        <v/>
      </c>
      <c r="D278" s="73">
        <f>IF(A278="","",MONTH(A278))</f>
        <v/>
      </c>
      <c r="E278" s="73">
        <f>IF(A278="","",WEEKDAY(A278,2))</f>
        <v/>
      </c>
      <c r="F278" s="73">
        <f>IF(A278="","",COUNTIF(ERFASSUNG!$A$6:$A$3005,A278))</f>
        <v/>
      </c>
      <c r="G278" s="73">
        <f>IF(A278="","",IF(F278&gt;0,1,0))</f>
        <v/>
      </c>
      <c r="H278" s="73">
        <f>IF(A278="","",SUMIFS(ERFASSUNG!$E$6:$E$3005,ERFASSUNG!$A$6:$A$3005,A278))</f>
        <v/>
      </c>
      <c r="I278" s="73">
        <f>IF(A278="","",SUMIFS(ERFASSUNG!$F$6:$F$3005,ERFASSUNG!$A$6:$A$3005,A278))</f>
        <v/>
      </c>
      <c r="J278" s="73">
        <f>IF(A278="","",SUMIFS(ERFASSUNG!$G$6:$G$3005,ERFASSUNG!$A$6:$A$3005,A278))</f>
        <v/>
      </c>
      <c r="K278" s="73">
        <f>IF(A278="","",SUMIFS(ERFASSUNG!$H$6:$H$3005,ERFASSUNG!$A$6:$A$3005,A278))</f>
        <v/>
      </c>
      <c r="L278" s="73">
        <f>IF(A278="","",SUMIFS(ERFASSUNG!$I$6:$I$3005,ERFASSUNG!$A$6:$A$3005,A278))</f>
        <v/>
      </c>
      <c r="M278" s="73">
        <f>IF(A278="","",SUMIFS(ERFASSUNG!$J$6:$J$3005,ERFASSUNG!$A$6:$A$3005,A278))</f>
        <v/>
      </c>
      <c r="N278" s="73">
        <f>IF(A278="","",SUMIFS(ERFASSUNG!$K$6:$K$3005,ERFASSUNG!$A$6:$A$3005,A278))</f>
        <v/>
      </c>
      <c r="O278" s="73">
        <f>IF(A278="","",SUMIFS(ERFASSUNG!$L$6:$L$3005,ERFASSUNG!$A$6:$A$3005,A278))</f>
        <v/>
      </c>
      <c r="P278" s="73">
        <f>IF(A278="","",SUMIFS(ERFASSUNG!$M$6:$M$3005,ERFASSUNG!$A$6:$A$3005,A278))</f>
        <v/>
      </c>
      <c r="Q278" s="73">
        <f>IF(A278="","",SUMIFS(ERFASSUNG!$N$6:$N$3005,ERFASSUNG!$A$6:$A$3005,A278))</f>
        <v/>
      </c>
    </row>
    <row r="279">
      <c r="A279" s="72">
        <f>IF(YEAR(DATE(LISTEN!$F$2,1,1)+274)=LISTEN!$F$2,DATE(LISTEN!$F$2,1,1)+274,"")</f>
        <v/>
      </c>
      <c r="B279" s="73">
        <f>IF(A279="","",CHOOSE(WEEKDAY(A279,2),"Mo","Di","Mi","Do","Fr","Sa","So"))</f>
        <v/>
      </c>
      <c r="C279" s="73">
        <f>IF(A279="","",INT((A279-DATE(YEAR(A279-WEEKDAY(A279-1)+4),1,3)+WEEKDAY(DATE(YEAR(A279-WEEKDAY(A279-1)+4),1,3))+5)/7))</f>
        <v/>
      </c>
      <c r="D279" s="73">
        <f>IF(A279="","",MONTH(A279))</f>
        <v/>
      </c>
      <c r="E279" s="73">
        <f>IF(A279="","",WEEKDAY(A279,2))</f>
        <v/>
      </c>
      <c r="F279" s="73">
        <f>IF(A279="","",COUNTIF(ERFASSUNG!$A$6:$A$3005,A279))</f>
        <v/>
      </c>
      <c r="G279" s="73">
        <f>IF(A279="","",IF(F279&gt;0,1,0))</f>
        <v/>
      </c>
      <c r="H279" s="73">
        <f>IF(A279="","",SUMIFS(ERFASSUNG!$E$6:$E$3005,ERFASSUNG!$A$6:$A$3005,A279))</f>
        <v/>
      </c>
      <c r="I279" s="73">
        <f>IF(A279="","",SUMIFS(ERFASSUNG!$F$6:$F$3005,ERFASSUNG!$A$6:$A$3005,A279))</f>
        <v/>
      </c>
      <c r="J279" s="73">
        <f>IF(A279="","",SUMIFS(ERFASSUNG!$G$6:$G$3005,ERFASSUNG!$A$6:$A$3005,A279))</f>
        <v/>
      </c>
      <c r="K279" s="73">
        <f>IF(A279="","",SUMIFS(ERFASSUNG!$H$6:$H$3005,ERFASSUNG!$A$6:$A$3005,A279))</f>
        <v/>
      </c>
      <c r="L279" s="73">
        <f>IF(A279="","",SUMIFS(ERFASSUNG!$I$6:$I$3005,ERFASSUNG!$A$6:$A$3005,A279))</f>
        <v/>
      </c>
      <c r="M279" s="73">
        <f>IF(A279="","",SUMIFS(ERFASSUNG!$J$6:$J$3005,ERFASSUNG!$A$6:$A$3005,A279))</f>
        <v/>
      </c>
      <c r="N279" s="73">
        <f>IF(A279="","",SUMIFS(ERFASSUNG!$K$6:$K$3005,ERFASSUNG!$A$6:$A$3005,A279))</f>
        <v/>
      </c>
      <c r="O279" s="73">
        <f>IF(A279="","",SUMIFS(ERFASSUNG!$L$6:$L$3005,ERFASSUNG!$A$6:$A$3005,A279))</f>
        <v/>
      </c>
      <c r="P279" s="73">
        <f>IF(A279="","",SUMIFS(ERFASSUNG!$M$6:$M$3005,ERFASSUNG!$A$6:$A$3005,A279))</f>
        <v/>
      </c>
      <c r="Q279" s="73">
        <f>IF(A279="","",SUMIFS(ERFASSUNG!$N$6:$N$3005,ERFASSUNG!$A$6:$A$3005,A279))</f>
        <v/>
      </c>
    </row>
    <row r="280">
      <c r="A280" s="72">
        <f>IF(YEAR(DATE(LISTEN!$F$2,1,1)+275)=LISTEN!$F$2,DATE(LISTEN!$F$2,1,1)+275,"")</f>
        <v/>
      </c>
      <c r="B280" s="73">
        <f>IF(A280="","",CHOOSE(WEEKDAY(A280,2),"Mo","Di","Mi","Do","Fr","Sa","So"))</f>
        <v/>
      </c>
      <c r="C280" s="73">
        <f>IF(A280="","",INT((A280-DATE(YEAR(A280-WEEKDAY(A280-1)+4),1,3)+WEEKDAY(DATE(YEAR(A280-WEEKDAY(A280-1)+4),1,3))+5)/7))</f>
        <v/>
      </c>
      <c r="D280" s="73">
        <f>IF(A280="","",MONTH(A280))</f>
        <v/>
      </c>
      <c r="E280" s="73">
        <f>IF(A280="","",WEEKDAY(A280,2))</f>
        <v/>
      </c>
      <c r="F280" s="73">
        <f>IF(A280="","",COUNTIF(ERFASSUNG!$A$6:$A$3005,A280))</f>
        <v/>
      </c>
      <c r="G280" s="73">
        <f>IF(A280="","",IF(F280&gt;0,1,0))</f>
        <v/>
      </c>
      <c r="H280" s="73">
        <f>IF(A280="","",SUMIFS(ERFASSUNG!$E$6:$E$3005,ERFASSUNG!$A$6:$A$3005,A280))</f>
        <v/>
      </c>
      <c r="I280" s="73">
        <f>IF(A280="","",SUMIFS(ERFASSUNG!$F$6:$F$3005,ERFASSUNG!$A$6:$A$3005,A280))</f>
        <v/>
      </c>
      <c r="J280" s="73">
        <f>IF(A280="","",SUMIFS(ERFASSUNG!$G$6:$G$3005,ERFASSUNG!$A$6:$A$3005,A280))</f>
        <v/>
      </c>
      <c r="K280" s="73">
        <f>IF(A280="","",SUMIFS(ERFASSUNG!$H$6:$H$3005,ERFASSUNG!$A$6:$A$3005,A280))</f>
        <v/>
      </c>
      <c r="L280" s="73">
        <f>IF(A280="","",SUMIFS(ERFASSUNG!$I$6:$I$3005,ERFASSUNG!$A$6:$A$3005,A280))</f>
        <v/>
      </c>
      <c r="M280" s="73">
        <f>IF(A280="","",SUMIFS(ERFASSUNG!$J$6:$J$3005,ERFASSUNG!$A$6:$A$3005,A280))</f>
        <v/>
      </c>
      <c r="N280" s="73">
        <f>IF(A280="","",SUMIFS(ERFASSUNG!$K$6:$K$3005,ERFASSUNG!$A$6:$A$3005,A280))</f>
        <v/>
      </c>
      <c r="O280" s="73">
        <f>IF(A280="","",SUMIFS(ERFASSUNG!$L$6:$L$3005,ERFASSUNG!$A$6:$A$3005,A280))</f>
        <v/>
      </c>
      <c r="P280" s="73">
        <f>IF(A280="","",SUMIFS(ERFASSUNG!$M$6:$M$3005,ERFASSUNG!$A$6:$A$3005,A280))</f>
        <v/>
      </c>
      <c r="Q280" s="73">
        <f>IF(A280="","",SUMIFS(ERFASSUNG!$N$6:$N$3005,ERFASSUNG!$A$6:$A$3005,A280))</f>
        <v/>
      </c>
    </row>
    <row r="281">
      <c r="A281" s="72">
        <f>IF(YEAR(DATE(LISTEN!$F$2,1,1)+276)=LISTEN!$F$2,DATE(LISTEN!$F$2,1,1)+276,"")</f>
        <v/>
      </c>
      <c r="B281" s="73">
        <f>IF(A281="","",CHOOSE(WEEKDAY(A281,2),"Mo","Di","Mi","Do","Fr","Sa","So"))</f>
        <v/>
      </c>
      <c r="C281" s="73">
        <f>IF(A281="","",INT((A281-DATE(YEAR(A281-WEEKDAY(A281-1)+4),1,3)+WEEKDAY(DATE(YEAR(A281-WEEKDAY(A281-1)+4),1,3))+5)/7))</f>
        <v/>
      </c>
      <c r="D281" s="73">
        <f>IF(A281="","",MONTH(A281))</f>
        <v/>
      </c>
      <c r="E281" s="73">
        <f>IF(A281="","",WEEKDAY(A281,2))</f>
        <v/>
      </c>
      <c r="F281" s="73">
        <f>IF(A281="","",COUNTIF(ERFASSUNG!$A$6:$A$3005,A281))</f>
        <v/>
      </c>
      <c r="G281" s="73">
        <f>IF(A281="","",IF(F281&gt;0,1,0))</f>
        <v/>
      </c>
      <c r="H281" s="73">
        <f>IF(A281="","",SUMIFS(ERFASSUNG!$E$6:$E$3005,ERFASSUNG!$A$6:$A$3005,A281))</f>
        <v/>
      </c>
      <c r="I281" s="73">
        <f>IF(A281="","",SUMIFS(ERFASSUNG!$F$6:$F$3005,ERFASSUNG!$A$6:$A$3005,A281))</f>
        <v/>
      </c>
      <c r="J281" s="73">
        <f>IF(A281="","",SUMIFS(ERFASSUNG!$G$6:$G$3005,ERFASSUNG!$A$6:$A$3005,A281))</f>
        <v/>
      </c>
      <c r="K281" s="73">
        <f>IF(A281="","",SUMIFS(ERFASSUNG!$H$6:$H$3005,ERFASSUNG!$A$6:$A$3005,A281))</f>
        <v/>
      </c>
      <c r="L281" s="73">
        <f>IF(A281="","",SUMIFS(ERFASSUNG!$I$6:$I$3005,ERFASSUNG!$A$6:$A$3005,A281))</f>
        <v/>
      </c>
      <c r="M281" s="73">
        <f>IF(A281="","",SUMIFS(ERFASSUNG!$J$6:$J$3005,ERFASSUNG!$A$6:$A$3005,A281))</f>
        <v/>
      </c>
      <c r="N281" s="73">
        <f>IF(A281="","",SUMIFS(ERFASSUNG!$K$6:$K$3005,ERFASSUNG!$A$6:$A$3005,A281))</f>
        <v/>
      </c>
      <c r="O281" s="73">
        <f>IF(A281="","",SUMIFS(ERFASSUNG!$L$6:$L$3005,ERFASSUNG!$A$6:$A$3005,A281))</f>
        <v/>
      </c>
      <c r="P281" s="73">
        <f>IF(A281="","",SUMIFS(ERFASSUNG!$M$6:$M$3005,ERFASSUNG!$A$6:$A$3005,A281))</f>
        <v/>
      </c>
      <c r="Q281" s="73">
        <f>IF(A281="","",SUMIFS(ERFASSUNG!$N$6:$N$3005,ERFASSUNG!$A$6:$A$3005,A281))</f>
        <v/>
      </c>
    </row>
    <row r="282">
      <c r="A282" s="72">
        <f>IF(YEAR(DATE(LISTEN!$F$2,1,1)+277)=LISTEN!$F$2,DATE(LISTEN!$F$2,1,1)+277,"")</f>
        <v/>
      </c>
      <c r="B282" s="73">
        <f>IF(A282="","",CHOOSE(WEEKDAY(A282,2),"Mo","Di","Mi","Do","Fr","Sa","So"))</f>
        <v/>
      </c>
      <c r="C282" s="73">
        <f>IF(A282="","",INT((A282-DATE(YEAR(A282-WEEKDAY(A282-1)+4),1,3)+WEEKDAY(DATE(YEAR(A282-WEEKDAY(A282-1)+4),1,3))+5)/7))</f>
        <v/>
      </c>
      <c r="D282" s="73">
        <f>IF(A282="","",MONTH(A282))</f>
        <v/>
      </c>
      <c r="E282" s="73">
        <f>IF(A282="","",WEEKDAY(A282,2))</f>
        <v/>
      </c>
      <c r="F282" s="73">
        <f>IF(A282="","",COUNTIF(ERFASSUNG!$A$6:$A$3005,A282))</f>
        <v/>
      </c>
      <c r="G282" s="73">
        <f>IF(A282="","",IF(F282&gt;0,1,0))</f>
        <v/>
      </c>
      <c r="H282" s="73">
        <f>IF(A282="","",SUMIFS(ERFASSUNG!$E$6:$E$3005,ERFASSUNG!$A$6:$A$3005,A282))</f>
        <v/>
      </c>
      <c r="I282" s="73">
        <f>IF(A282="","",SUMIFS(ERFASSUNG!$F$6:$F$3005,ERFASSUNG!$A$6:$A$3005,A282))</f>
        <v/>
      </c>
      <c r="J282" s="73">
        <f>IF(A282="","",SUMIFS(ERFASSUNG!$G$6:$G$3005,ERFASSUNG!$A$6:$A$3005,A282))</f>
        <v/>
      </c>
      <c r="K282" s="73">
        <f>IF(A282="","",SUMIFS(ERFASSUNG!$H$6:$H$3005,ERFASSUNG!$A$6:$A$3005,A282))</f>
        <v/>
      </c>
      <c r="L282" s="73">
        <f>IF(A282="","",SUMIFS(ERFASSUNG!$I$6:$I$3005,ERFASSUNG!$A$6:$A$3005,A282))</f>
        <v/>
      </c>
      <c r="M282" s="73">
        <f>IF(A282="","",SUMIFS(ERFASSUNG!$J$6:$J$3005,ERFASSUNG!$A$6:$A$3005,A282))</f>
        <v/>
      </c>
      <c r="N282" s="73">
        <f>IF(A282="","",SUMIFS(ERFASSUNG!$K$6:$K$3005,ERFASSUNG!$A$6:$A$3005,A282))</f>
        <v/>
      </c>
      <c r="O282" s="73">
        <f>IF(A282="","",SUMIFS(ERFASSUNG!$L$6:$L$3005,ERFASSUNG!$A$6:$A$3005,A282))</f>
        <v/>
      </c>
      <c r="P282" s="73">
        <f>IF(A282="","",SUMIFS(ERFASSUNG!$M$6:$M$3005,ERFASSUNG!$A$6:$A$3005,A282))</f>
        <v/>
      </c>
      <c r="Q282" s="73">
        <f>IF(A282="","",SUMIFS(ERFASSUNG!$N$6:$N$3005,ERFASSUNG!$A$6:$A$3005,A282))</f>
        <v/>
      </c>
    </row>
    <row r="283">
      <c r="A283" s="72">
        <f>IF(YEAR(DATE(LISTEN!$F$2,1,1)+278)=LISTEN!$F$2,DATE(LISTEN!$F$2,1,1)+278,"")</f>
        <v/>
      </c>
      <c r="B283" s="73">
        <f>IF(A283="","",CHOOSE(WEEKDAY(A283,2),"Mo","Di","Mi","Do","Fr","Sa","So"))</f>
        <v/>
      </c>
      <c r="C283" s="73">
        <f>IF(A283="","",INT((A283-DATE(YEAR(A283-WEEKDAY(A283-1)+4),1,3)+WEEKDAY(DATE(YEAR(A283-WEEKDAY(A283-1)+4),1,3))+5)/7))</f>
        <v/>
      </c>
      <c r="D283" s="73">
        <f>IF(A283="","",MONTH(A283))</f>
        <v/>
      </c>
      <c r="E283" s="73">
        <f>IF(A283="","",WEEKDAY(A283,2))</f>
        <v/>
      </c>
      <c r="F283" s="73">
        <f>IF(A283="","",COUNTIF(ERFASSUNG!$A$6:$A$3005,A283))</f>
        <v/>
      </c>
      <c r="G283" s="73">
        <f>IF(A283="","",IF(F283&gt;0,1,0))</f>
        <v/>
      </c>
      <c r="H283" s="73">
        <f>IF(A283="","",SUMIFS(ERFASSUNG!$E$6:$E$3005,ERFASSUNG!$A$6:$A$3005,A283))</f>
        <v/>
      </c>
      <c r="I283" s="73">
        <f>IF(A283="","",SUMIFS(ERFASSUNG!$F$6:$F$3005,ERFASSUNG!$A$6:$A$3005,A283))</f>
        <v/>
      </c>
      <c r="J283" s="73">
        <f>IF(A283="","",SUMIFS(ERFASSUNG!$G$6:$G$3005,ERFASSUNG!$A$6:$A$3005,A283))</f>
        <v/>
      </c>
      <c r="K283" s="73">
        <f>IF(A283="","",SUMIFS(ERFASSUNG!$H$6:$H$3005,ERFASSUNG!$A$6:$A$3005,A283))</f>
        <v/>
      </c>
      <c r="L283" s="73">
        <f>IF(A283="","",SUMIFS(ERFASSUNG!$I$6:$I$3005,ERFASSUNG!$A$6:$A$3005,A283))</f>
        <v/>
      </c>
      <c r="M283" s="73">
        <f>IF(A283="","",SUMIFS(ERFASSUNG!$J$6:$J$3005,ERFASSUNG!$A$6:$A$3005,A283))</f>
        <v/>
      </c>
      <c r="N283" s="73">
        <f>IF(A283="","",SUMIFS(ERFASSUNG!$K$6:$K$3005,ERFASSUNG!$A$6:$A$3005,A283))</f>
        <v/>
      </c>
      <c r="O283" s="73">
        <f>IF(A283="","",SUMIFS(ERFASSUNG!$L$6:$L$3005,ERFASSUNG!$A$6:$A$3005,A283))</f>
        <v/>
      </c>
      <c r="P283" s="73">
        <f>IF(A283="","",SUMIFS(ERFASSUNG!$M$6:$M$3005,ERFASSUNG!$A$6:$A$3005,A283))</f>
        <v/>
      </c>
      <c r="Q283" s="73">
        <f>IF(A283="","",SUMIFS(ERFASSUNG!$N$6:$N$3005,ERFASSUNG!$A$6:$A$3005,A283))</f>
        <v/>
      </c>
    </row>
    <row r="284">
      <c r="A284" s="72">
        <f>IF(YEAR(DATE(LISTEN!$F$2,1,1)+279)=LISTEN!$F$2,DATE(LISTEN!$F$2,1,1)+279,"")</f>
        <v/>
      </c>
      <c r="B284" s="73">
        <f>IF(A284="","",CHOOSE(WEEKDAY(A284,2),"Mo","Di","Mi","Do","Fr","Sa","So"))</f>
        <v/>
      </c>
      <c r="C284" s="73">
        <f>IF(A284="","",INT((A284-DATE(YEAR(A284-WEEKDAY(A284-1)+4),1,3)+WEEKDAY(DATE(YEAR(A284-WEEKDAY(A284-1)+4),1,3))+5)/7))</f>
        <v/>
      </c>
      <c r="D284" s="73">
        <f>IF(A284="","",MONTH(A284))</f>
        <v/>
      </c>
      <c r="E284" s="73">
        <f>IF(A284="","",WEEKDAY(A284,2))</f>
        <v/>
      </c>
      <c r="F284" s="73">
        <f>IF(A284="","",COUNTIF(ERFASSUNG!$A$6:$A$3005,A284))</f>
        <v/>
      </c>
      <c r="G284" s="73">
        <f>IF(A284="","",IF(F284&gt;0,1,0))</f>
        <v/>
      </c>
      <c r="H284" s="73">
        <f>IF(A284="","",SUMIFS(ERFASSUNG!$E$6:$E$3005,ERFASSUNG!$A$6:$A$3005,A284))</f>
        <v/>
      </c>
      <c r="I284" s="73">
        <f>IF(A284="","",SUMIFS(ERFASSUNG!$F$6:$F$3005,ERFASSUNG!$A$6:$A$3005,A284))</f>
        <v/>
      </c>
      <c r="J284" s="73">
        <f>IF(A284="","",SUMIFS(ERFASSUNG!$G$6:$G$3005,ERFASSUNG!$A$6:$A$3005,A284))</f>
        <v/>
      </c>
      <c r="K284" s="73">
        <f>IF(A284="","",SUMIFS(ERFASSUNG!$H$6:$H$3005,ERFASSUNG!$A$6:$A$3005,A284))</f>
        <v/>
      </c>
      <c r="L284" s="73">
        <f>IF(A284="","",SUMIFS(ERFASSUNG!$I$6:$I$3005,ERFASSUNG!$A$6:$A$3005,A284))</f>
        <v/>
      </c>
      <c r="M284" s="73">
        <f>IF(A284="","",SUMIFS(ERFASSUNG!$J$6:$J$3005,ERFASSUNG!$A$6:$A$3005,A284))</f>
        <v/>
      </c>
      <c r="N284" s="73">
        <f>IF(A284="","",SUMIFS(ERFASSUNG!$K$6:$K$3005,ERFASSUNG!$A$6:$A$3005,A284))</f>
        <v/>
      </c>
      <c r="O284" s="73">
        <f>IF(A284="","",SUMIFS(ERFASSUNG!$L$6:$L$3005,ERFASSUNG!$A$6:$A$3005,A284))</f>
        <v/>
      </c>
      <c r="P284" s="73">
        <f>IF(A284="","",SUMIFS(ERFASSUNG!$M$6:$M$3005,ERFASSUNG!$A$6:$A$3005,A284))</f>
        <v/>
      </c>
      <c r="Q284" s="73">
        <f>IF(A284="","",SUMIFS(ERFASSUNG!$N$6:$N$3005,ERFASSUNG!$A$6:$A$3005,A284))</f>
        <v/>
      </c>
    </row>
    <row r="285">
      <c r="A285" s="72">
        <f>IF(YEAR(DATE(LISTEN!$F$2,1,1)+280)=LISTEN!$F$2,DATE(LISTEN!$F$2,1,1)+280,"")</f>
        <v/>
      </c>
      <c r="B285" s="73">
        <f>IF(A285="","",CHOOSE(WEEKDAY(A285,2),"Mo","Di","Mi","Do","Fr","Sa","So"))</f>
        <v/>
      </c>
      <c r="C285" s="73">
        <f>IF(A285="","",INT((A285-DATE(YEAR(A285-WEEKDAY(A285-1)+4),1,3)+WEEKDAY(DATE(YEAR(A285-WEEKDAY(A285-1)+4),1,3))+5)/7))</f>
        <v/>
      </c>
      <c r="D285" s="73">
        <f>IF(A285="","",MONTH(A285))</f>
        <v/>
      </c>
      <c r="E285" s="73">
        <f>IF(A285="","",WEEKDAY(A285,2))</f>
        <v/>
      </c>
      <c r="F285" s="73">
        <f>IF(A285="","",COUNTIF(ERFASSUNG!$A$6:$A$3005,A285))</f>
        <v/>
      </c>
      <c r="G285" s="73">
        <f>IF(A285="","",IF(F285&gt;0,1,0))</f>
        <v/>
      </c>
      <c r="H285" s="73">
        <f>IF(A285="","",SUMIFS(ERFASSUNG!$E$6:$E$3005,ERFASSUNG!$A$6:$A$3005,A285))</f>
        <v/>
      </c>
      <c r="I285" s="73">
        <f>IF(A285="","",SUMIFS(ERFASSUNG!$F$6:$F$3005,ERFASSUNG!$A$6:$A$3005,A285))</f>
        <v/>
      </c>
      <c r="J285" s="73">
        <f>IF(A285="","",SUMIFS(ERFASSUNG!$G$6:$G$3005,ERFASSUNG!$A$6:$A$3005,A285))</f>
        <v/>
      </c>
      <c r="K285" s="73">
        <f>IF(A285="","",SUMIFS(ERFASSUNG!$H$6:$H$3005,ERFASSUNG!$A$6:$A$3005,A285))</f>
        <v/>
      </c>
      <c r="L285" s="73">
        <f>IF(A285="","",SUMIFS(ERFASSUNG!$I$6:$I$3005,ERFASSUNG!$A$6:$A$3005,A285))</f>
        <v/>
      </c>
      <c r="M285" s="73">
        <f>IF(A285="","",SUMIFS(ERFASSUNG!$J$6:$J$3005,ERFASSUNG!$A$6:$A$3005,A285))</f>
        <v/>
      </c>
      <c r="N285" s="73">
        <f>IF(A285="","",SUMIFS(ERFASSUNG!$K$6:$K$3005,ERFASSUNG!$A$6:$A$3005,A285))</f>
        <v/>
      </c>
      <c r="O285" s="73">
        <f>IF(A285="","",SUMIFS(ERFASSUNG!$L$6:$L$3005,ERFASSUNG!$A$6:$A$3005,A285))</f>
        <v/>
      </c>
      <c r="P285" s="73">
        <f>IF(A285="","",SUMIFS(ERFASSUNG!$M$6:$M$3005,ERFASSUNG!$A$6:$A$3005,A285))</f>
        <v/>
      </c>
      <c r="Q285" s="73">
        <f>IF(A285="","",SUMIFS(ERFASSUNG!$N$6:$N$3005,ERFASSUNG!$A$6:$A$3005,A285))</f>
        <v/>
      </c>
    </row>
    <row r="286">
      <c r="A286" s="72">
        <f>IF(YEAR(DATE(LISTEN!$F$2,1,1)+281)=LISTEN!$F$2,DATE(LISTEN!$F$2,1,1)+281,"")</f>
        <v/>
      </c>
      <c r="B286" s="73">
        <f>IF(A286="","",CHOOSE(WEEKDAY(A286,2),"Mo","Di","Mi","Do","Fr","Sa","So"))</f>
        <v/>
      </c>
      <c r="C286" s="73">
        <f>IF(A286="","",INT((A286-DATE(YEAR(A286-WEEKDAY(A286-1)+4),1,3)+WEEKDAY(DATE(YEAR(A286-WEEKDAY(A286-1)+4),1,3))+5)/7))</f>
        <v/>
      </c>
      <c r="D286" s="73">
        <f>IF(A286="","",MONTH(A286))</f>
        <v/>
      </c>
      <c r="E286" s="73">
        <f>IF(A286="","",WEEKDAY(A286,2))</f>
        <v/>
      </c>
      <c r="F286" s="73">
        <f>IF(A286="","",COUNTIF(ERFASSUNG!$A$6:$A$3005,A286))</f>
        <v/>
      </c>
      <c r="G286" s="73">
        <f>IF(A286="","",IF(F286&gt;0,1,0))</f>
        <v/>
      </c>
      <c r="H286" s="73">
        <f>IF(A286="","",SUMIFS(ERFASSUNG!$E$6:$E$3005,ERFASSUNG!$A$6:$A$3005,A286))</f>
        <v/>
      </c>
      <c r="I286" s="73">
        <f>IF(A286="","",SUMIFS(ERFASSUNG!$F$6:$F$3005,ERFASSUNG!$A$6:$A$3005,A286))</f>
        <v/>
      </c>
      <c r="J286" s="73">
        <f>IF(A286="","",SUMIFS(ERFASSUNG!$G$6:$G$3005,ERFASSUNG!$A$6:$A$3005,A286))</f>
        <v/>
      </c>
      <c r="K286" s="73">
        <f>IF(A286="","",SUMIFS(ERFASSUNG!$H$6:$H$3005,ERFASSUNG!$A$6:$A$3005,A286))</f>
        <v/>
      </c>
      <c r="L286" s="73">
        <f>IF(A286="","",SUMIFS(ERFASSUNG!$I$6:$I$3005,ERFASSUNG!$A$6:$A$3005,A286))</f>
        <v/>
      </c>
      <c r="M286" s="73">
        <f>IF(A286="","",SUMIFS(ERFASSUNG!$J$6:$J$3005,ERFASSUNG!$A$6:$A$3005,A286))</f>
        <v/>
      </c>
      <c r="N286" s="73">
        <f>IF(A286="","",SUMIFS(ERFASSUNG!$K$6:$K$3005,ERFASSUNG!$A$6:$A$3005,A286))</f>
        <v/>
      </c>
      <c r="O286" s="73">
        <f>IF(A286="","",SUMIFS(ERFASSUNG!$L$6:$L$3005,ERFASSUNG!$A$6:$A$3005,A286))</f>
        <v/>
      </c>
      <c r="P286" s="73">
        <f>IF(A286="","",SUMIFS(ERFASSUNG!$M$6:$M$3005,ERFASSUNG!$A$6:$A$3005,A286))</f>
        <v/>
      </c>
      <c r="Q286" s="73">
        <f>IF(A286="","",SUMIFS(ERFASSUNG!$N$6:$N$3005,ERFASSUNG!$A$6:$A$3005,A286))</f>
        <v/>
      </c>
    </row>
    <row r="287">
      <c r="A287" s="72">
        <f>IF(YEAR(DATE(LISTEN!$F$2,1,1)+282)=LISTEN!$F$2,DATE(LISTEN!$F$2,1,1)+282,"")</f>
        <v/>
      </c>
      <c r="B287" s="73">
        <f>IF(A287="","",CHOOSE(WEEKDAY(A287,2),"Mo","Di","Mi","Do","Fr","Sa","So"))</f>
        <v/>
      </c>
      <c r="C287" s="73">
        <f>IF(A287="","",INT((A287-DATE(YEAR(A287-WEEKDAY(A287-1)+4),1,3)+WEEKDAY(DATE(YEAR(A287-WEEKDAY(A287-1)+4),1,3))+5)/7))</f>
        <v/>
      </c>
      <c r="D287" s="73">
        <f>IF(A287="","",MONTH(A287))</f>
        <v/>
      </c>
      <c r="E287" s="73">
        <f>IF(A287="","",WEEKDAY(A287,2))</f>
        <v/>
      </c>
      <c r="F287" s="73">
        <f>IF(A287="","",COUNTIF(ERFASSUNG!$A$6:$A$3005,A287))</f>
        <v/>
      </c>
      <c r="G287" s="73">
        <f>IF(A287="","",IF(F287&gt;0,1,0))</f>
        <v/>
      </c>
      <c r="H287" s="73">
        <f>IF(A287="","",SUMIFS(ERFASSUNG!$E$6:$E$3005,ERFASSUNG!$A$6:$A$3005,A287))</f>
        <v/>
      </c>
      <c r="I287" s="73">
        <f>IF(A287="","",SUMIFS(ERFASSUNG!$F$6:$F$3005,ERFASSUNG!$A$6:$A$3005,A287))</f>
        <v/>
      </c>
      <c r="J287" s="73">
        <f>IF(A287="","",SUMIFS(ERFASSUNG!$G$6:$G$3005,ERFASSUNG!$A$6:$A$3005,A287))</f>
        <v/>
      </c>
      <c r="K287" s="73">
        <f>IF(A287="","",SUMIFS(ERFASSUNG!$H$6:$H$3005,ERFASSUNG!$A$6:$A$3005,A287))</f>
        <v/>
      </c>
      <c r="L287" s="73">
        <f>IF(A287="","",SUMIFS(ERFASSUNG!$I$6:$I$3005,ERFASSUNG!$A$6:$A$3005,A287))</f>
        <v/>
      </c>
      <c r="M287" s="73">
        <f>IF(A287="","",SUMIFS(ERFASSUNG!$J$6:$J$3005,ERFASSUNG!$A$6:$A$3005,A287))</f>
        <v/>
      </c>
      <c r="N287" s="73">
        <f>IF(A287="","",SUMIFS(ERFASSUNG!$K$6:$K$3005,ERFASSUNG!$A$6:$A$3005,A287))</f>
        <v/>
      </c>
      <c r="O287" s="73">
        <f>IF(A287="","",SUMIFS(ERFASSUNG!$L$6:$L$3005,ERFASSUNG!$A$6:$A$3005,A287))</f>
        <v/>
      </c>
      <c r="P287" s="73">
        <f>IF(A287="","",SUMIFS(ERFASSUNG!$M$6:$M$3005,ERFASSUNG!$A$6:$A$3005,A287))</f>
        <v/>
      </c>
      <c r="Q287" s="73">
        <f>IF(A287="","",SUMIFS(ERFASSUNG!$N$6:$N$3005,ERFASSUNG!$A$6:$A$3005,A287))</f>
        <v/>
      </c>
    </row>
    <row r="288">
      <c r="A288" s="72">
        <f>IF(YEAR(DATE(LISTEN!$F$2,1,1)+283)=LISTEN!$F$2,DATE(LISTEN!$F$2,1,1)+283,"")</f>
        <v/>
      </c>
      <c r="B288" s="73">
        <f>IF(A288="","",CHOOSE(WEEKDAY(A288,2),"Mo","Di","Mi","Do","Fr","Sa","So"))</f>
        <v/>
      </c>
      <c r="C288" s="73">
        <f>IF(A288="","",INT((A288-DATE(YEAR(A288-WEEKDAY(A288-1)+4),1,3)+WEEKDAY(DATE(YEAR(A288-WEEKDAY(A288-1)+4),1,3))+5)/7))</f>
        <v/>
      </c>
      <c r="D288" s="73">
        <f>IF(A288="","",MONTH(A288))</f>
        <v/>
      </c>
      <c r="E288" s="73">
        <f>IF(A288="","",WEEKDAY(A288,2))</f>
        <v/>
      </c>
      <c r="F288" s="73">
        <f>IF(A288="","",COUNTIF(ERFASSUNG!$A$6:$A$3005,A288))</f>
        <v/>
      </c>
      <c r="G288" s="73">
        <f>IF(A288="","",IF(F288&gt;0,1,0))</f>
        <v/>
      </c>
      <c r="H288" s="73">
        <f>IF(A288="","",SUMIFS(ERFASSUNG!$E$6:$E$3005,ERFASSUNG!$A$6:$A$3005,A288))</f>
        <v/>
      </c>
      <c r="I288" s="73">
        <f>IF(A288="","",SUMIFS(ERFASSUNG!$F$6:$F$3005,ERFASSUNG!$A$6:$A$3005,A288))</f>
        <v/>
      </c>
      <c r="J288" s="73">
        <f>IF(A288="","",SUMIFS(ERFASSUNG!$G$6:$G$3005,ERFASSUNG!$A$6:$A$3005,A288))</f>
        <v/>
      </c>
      <c r="K288" s="73">
        <f>IF(A288="","",SUMIFS(ERFASSUNG!$H$6:$H$3005,ERFASSUNG!$A$6:$A$3005,A288))</f>
        <v/>
      </c>
      <c r="L288" s="73">
        <f>IF(A288="","",SUMIFS(ERFASSUNG!$I$6:$I$3005,ERFASSUNG!$A$6:$A$3005,A288))</f>
        <v/>
      </c>
      <c r="M288" s="73">
        <f>IF(A288="","",SUMIFS(ERFASSUNG!$J$6:$J$3005,ERFASSUNG!$A$6:$A$3005,A288))</f>
        <v/>
      </c>
      <c r="N288" s="73">
        <f>IF(A288="","",SUMIFS(ERFASSUNG!$K$6:$K$3005,ERFASSUNG!$A$6:$A$3005,A288))</f>
        <v/>
      </c>
      <c r="O288" s="73">
        <f>IF(A288="","",SUMIFS(ERFASSUNG!$L$6:$L$3005,ERFASSUNG!$A$6:$A$3005,A288))</f>
        <v/>
      </c>
      <c r="P288" s="73">
        <f>IF(A288="","",SUMIFS(ERFASSUNG!$M$6:$M$3005,ERFASSUNG!$A$6:$A$3005,A288))</f>
        <v/>
      </c>
      <c r="Q288" s="73">
        <f>IF(A288="","",SUMIFS(ERFASSUNG!$N$6:$N$3005,ERFASSUNG!$A$6:$A$3005,A288))</f>
        <v/>
      </c>
    </row>
    <row r="289">
      <c r="A289" s="72">
        <f>IF(YEAR(DATE(LISTEN!$F$2,1,1)+284)=LISTEN!$F$2,DATE(LISTEN!$F$2,1,1)+284,"")</f>
        <v/>
      </c>
      <c r="B289" s="73">
        <f>IF(A289="","",CHOOSE(WEEKDAY(A289,2),"Mo","Di","Mi","Do","Fr","Sa","So"))</f>
        <v/>
      </c>
      <c r="C289" s="73">
        <f>IF(A289="","",INT((A289-DATE(YEAR(A289-WEEKDAY(A289-1)+4),1,3)+WEEKDAY(DATE(YEAR(A289-WEEKDAY(A289-1)+4),1,3))+5)/7))</f>
        <v/>
      </c>
      <c r="D289" s="73">
        <f>IF(A289="","",MONTH(A289))</f>
        <v/>
      </c>
      <c r="E289" s="73">
        <f>IF(A289="","",WEEKDAY(A289,2))</f>
        <v/>
      </c>
      <c r="F289" s="73">
        <f>IF(A289="","",COUNTIF(ERFASSUNG!$A$6:$A$3005,A289))</f>
        <v/>
      </c>
      <c r="G289" s="73">
        <f>IF(A289="","",IF(F289&gt;0,1,0))</f>
        <v/>
      </c>
      <c r="H289" s="73">
        <f>IF(A289="","",SUMIFS(ERFASSUNG!$E$6:$E$3005,ERFASSUNG!$A$6:$A$3005,A289))</f>
        <v/>
      </c>
      <c r="I289" s="73">
        <f>IF(A289="","",SUMIFS(ERFASSUNG!$F$6:$F$3005,ERFASSUNG!$A$6:$A$3005,A289))</f>
        <v/>
      </c>
      <c r="J289" s="73">
        <f>IF(A289="","",SUMIFS(ERFASSUNG!$G$6:$G$3005,ERFASSUNG!$A$6:$A$3005,A289))</f>
        <v/>
      </c>
      <c r="K289" s="73">
        <f>IF(A289="","",SUMIFS(ERFASSUNG!$H$6:$H$3005,ERFASSUNG!$A$6:$A$3005,A289))</f>
        <v/>
      </c>
      <c r="L289" s="73">
        <f>IF(A289="","",SUMIFS(ERFASSUNG!$I$6:$I$3005,ERFASSUNG!$A$6:$A$3005,A289))</f>
        <v/>
      </c>
      <c r="M289" s="73">
        <f>IF(A289="","",SUMIFS(ERFASSUNG!$J$6:$J$3005,ERFASSUNG!$A$6:$A$3005,A289))</f>
        <v/>
      </c>
      <c r="N289" s="73">
        <f>IF(A289="","",SUMIFS(ERFASSUNG!$K$6:$K$3005,ERFASSUNG!$A$6:$A$3005,A289))</f>
        <v/>
      </c>
      <c r="O289" s="73">
        <f>IF(A289="","",SUMIFS(ERFASSUNG!$L$6:$L$3005,ERFASSUNG!$A$6:$A$3005,A289))</f>
        <v/>
      </c>
      <c r="P289" s="73">
        <f>IF(A289="","",SUMIFS(ERFASSUNG!$M$6:$M$3005,ERFASSUNG!$A$6:$A$3005,A289))</f>
        <v/>
      </c>
      <c r="Q289" s="73">
        <f>IF(A289="","",SUMIFS(ERFASSUNG!$N$6:$N$3005,ERFASSUNG!$A$6:$A$3005,A289))</f>
        <v/>
      </c>
    </row>
    <row r="290">
      <c r="A290" s="72">
        <f>IF(YEAR(DATE(LISTEN!$F$2,1,1)+285)=LISTEN!$F$2,DATE(LISTEN!$F$2,1,1)+285,"")</f>
        <v/>
      </c>
      <c r="B290" s="73">
        <f>IF(A290="","",CHOOSE(WEEKDAY(A290,2),"Mo","Di","Mi","Do","Fr","Sa","So"))</f>
        <v/>
      </c>
      <c r="C290" s="73">
        <f>IF(A290="","",INT((A290-DATE(YEAR(A290-WEEKDAY(A290-1)+4),1,3)+WEEKDAY(DATE(YEAR(A290-WEEKDAY(A290-1)+4),1,3))+5)/7))</f>
        <v/>
      </c>
      <c r="D290" s="73">
        <f>IF(A290="","",MONTH(A290))</f>
        <v/>
      </c>
      <c r="E290" s="73">
        <f>IF(A290="","",WEEKDAY(A290,2))</f>
        <v/>
      </c>
      <c r="F290" s="73">
        <f>IF(A290="","",COUNTIF(ERFASSUNG!$A$6:$A$3005,A290))</f>
        <v/>
      </c>
      <c r="G290" s="73">
        <f>IF(A290="","",IF(F290&gt;0,1,0))</f>
        <v/>
      </c>
      <c r="H290" s="73">
        <f>IF(A290="","",SUMIFS(ERFASSUNG!$E$6:$E$3005,ERFASSUNG!$A$6:$A$3005,A290))</f>
        <v/>
      </c>
      <c r="I290" s="73">
        <f>IF(A290="","",SUMIFS(ERFASSUNG!$F$6:$F$3005,ERFASSUNG!$A$6:$A$3005,A290))</f>
        <v/>
      </c>
      <c r="J290" s="73">
        <f>IF(A290="","",SUMIFS(ERFASSUNG!$G$6:$G$3005,ERFASSUNG!$A$6:$A$3005,A290))</f>
        <v/>
      </c>
      <c r="K290" s="73">
        <f>IF(A290="","",SUMIFS(ERFASSUNG!$H$6:$H$3005,ERFASSUNG!$A$6:$A$3005,A290))</f>
        <v/>
      </c>
      <c r="L290" s="73">
        <f>IF(A290="","",SUMIFS(ERFASSUNG!$I$6:$I$3005,ERFASSUNG!$A$6:$A$3005,A290))</f>
        <v/>
      </c>
      <c r="M290" s="73">
        <f>IF(A290="","",SUMIFS(ERFASSUNG!$J$6:$J$3005,ERFASSUNG!$A$6:$A$3005,A290))</f>
        <v/>
      </c>
      <c r="N290" s="73">
        <f>IF(A290="","",SUMIFS(ERFASSUNG!$K$6:$K$3005,ERFASSUNG!$A$6:$A$3005,A290))</f>
        <v/>
      </c>
      <c r="O290" s="73">
        <f>IF(A290="","",SUMIFS(ERFASSUNG!$L$6:$L$3005,ERFASSUNG!$A$6:$A$3005,A290))</f>
        <v/>
      </c>
      <c r="P290" s="73">
        <f>IF(A290="","",SUMIFS(ERFASSUNG!$M$6:$M$3005,ERFASSUNG!$A$6:$A$3005,A290))</f>
        <v/>
      </c>
      <c r="Q290" s="73">
        <f>IF(A290="","",SUMIFS(ERFASSUNG!$N$6:$N$3005,ERFASSUNG!$A$6:$A$3005,A290))</f>
        <v/>
      </c>
    </row>
    <row r="291">
      <c r="A291" s="72">
        <f>IF(YEAR(DATE(LISTEN!$F$2,1,1)+286)=LISTEN!$F$2,DATE(LISTEN!$F$2,1,1)+286,"")</f>
        <v/>
      </c>
      <c r="B291" s="73">
        <f>IF(A291="","",CHOOSE(WEEKDAY(A291,2),"Mo","Di","Mi","Do","Fr","Sa","So"))</f>
        <v/>
      </c>
      <c r="C291" s="73">
        <f>IF(A291="","",INT((A291-DATE(YEAR(A291-WEEKDAY(A291-1)+4),1,3)+WEEKDAY(DATE(YEAR(A291-WEEKDAY(A291-1)+4),1,3))+5)/7))</f>
        <v/>
      </c>
      <c r="D291" s="73">
        <f>IF(A291="","",MONTH(A291))</f>
        <v/>
      </c>
      <c r="E291" s="73">
        <f>IF(A291="","",WEEKDAY(A291,2))</f>
        <v/>
      </c>
      <c r="F291" s="73">
        <f>IF(A291="","",COUNTIF(ERFASSUNG!$A$6:$A$3005,A291))</f>
        <v/>
      </c>
      <c r="G291" s="73">
        <f>IF(A291="","",IF(F291&gt;0,1,0))</f>
        <v/>
      </c>
      <c r="H291" s="73">
        <f>IF(A291="","",SUMIFS(ERFASSUNG!$E$6:$E$3005,ERFASSUNG!$A$6:$A$3005,A291))</f>
        <v/>
      </c>
      <c r="I291" s="73">
        <f>IF(A291="","",SUMIFS(ERFASSUNG!$F$6:$F$3005,ERFASSUNG!$A$6:$A$3005,A291))</f>
        <v/>
      </c>
      <c r="J291" s="73">
        <f>IF(A291="","",SUMIFS(ERFASSUNG!$G$6:$G$3005,ERFASSUNG!$A$6:$A$3005,A291))</f>
        <v/>
      </c>
      <c r="K291" s="73">
        <f>IF(A291="","",SUMIFS(ERFASSUNG!$H$6:$H$3005,ERFASSUNG!$A$6:$A$3005,A291))</f>
        <v/>
      </c>
      <c r="L291" s="73">
        <f>IF(A291="","",SUMIFS(ERFASSUNG!$I$6:$I$3005,ERFASSUNG!$A$6:$A$3005,A291))</f>
        <v/>
      </c>
      <c r="M291" s="73">
        <f>IF(A291="","",SUMIFS(ERFASSUNG!$J$6:$J$3005,ERFASSUNG!$A$6:$A$3005,A291))</f>
        <v/>
      </c>
      <c r="N291" s="73">
        <f>IF(A291="","",SUMIFS(ERFASSUNG!$K$6:$K$3005,ERFASSUNG!$A$6:$A$3005,A291))</f>
        <v/>
      </c>
      <c r="O291" s="73">
        <f>IF(A291="","",SUMIFS(ERFASSUNG!$L$6:$L$3005,ERFASSUNG!$A$6:$A$3005,A291))</f>
        <v/>
      </c>
      <c r="P291" s="73">
        <f>IF(A291="","",SUMIFS(ERFASSUNG!$M$6:$M$3005,ERFASSUNG!$A$6:$A$3005,A291))</f>
        <v/>
      </c>
      <c r="Q291" s="73">
        <f>IF(A291="","",SUMIFS(ERFASSUNG!$N$6:$N$3005,ERFASSUNG!$A$6:$A$3005,A291))</f>
        <v/>
      </c>
    </row>
    <row r="292">
      <c r="A292" s="72">
        <f>IF(YEAR(DATE(LISTEN!$F$2,1,1)+287)=LISTEN!$F$2,DATE(LISTEN!$F$2,1,1)+287,"")</f>
        <v/>
      </c>
      <c r="B292" s="73">
        <f>IF(A292="","",CHOOSE(WEEKDAY(A292,2),"Mo","Di","Mi","Do","Fr","Sa","So"))</f>
        <v/>
      </c>
      <c r="C292" s="73">
        <f>IF(A292="","",INT((A292-DATE(YEAR(A292-WEEKDAY(A292-1)+4),1,3)+WEEKDAY(DATE(YEAR(A292-WEEKDAY(A292-1)+4),1,3))+5)/7))</f>
        <v/>
      </c>
      <c r="D292" s="73">
        <f>IF(A292="","",MONTH(A292))</f>
        <v/>
      </c>
      <c r="E292" s="73">
        <f>IF(A292="","",WEEKDAY(A292,2))</f>
        <v/>
      </c>
      <c r="F292" s="73">
        <f>IF(A292="","",COUNTIF(ERFASSUNG!$A$6:$A$3005,A292))</f>
        <v/>
      </c>
      <c r="G292" s="73">
        <f>IF(A292="","",IF(F292&gt;0,1,0))</f>
        <v/>
      </c>
      <c r="H292" s="73">
        <f>IF(A292="","",SUMIFS(ERFASSUNG!$E$6:$E$3005,ERFASSUNG!$A$6:$A$3005,A292))</f>
        <v/>
      </c>
      <c r="I292" s="73">
        <f>IF(A292="","",SUMIFS(ERFASSUNG!$F$6:$F$3005,ERFASSUNG!$A$6:$A$3005,A292))</f>
        <v/>
      </c>
      <c r="J292" s="73">
        <f>IF(A292="","",SUMIFS(ERFASSUNG!$G$6:$G$3005,ERFASSUNG!$A$6:$A$3005,A292))</f>
        <v/>
      </c>
      <c r="K292" s="73">
        <f>IF(A292="","",SUMIFS(ERFASSUNG!$H$6:$H$3005,ERFASSUNG!$A$6:$A$3005,A292))</f>
        <v/>
      </c>
      <c r="L292" s="73">
        <f>IF(A292="","",SUMIFS(ERFASSUNG!$I$6:$I$3005,ERFASSUNG!$A$6:$A$3005,A292))</f>
        <v/>
      </c>
      <c r="M292" s="73">
        <f>IF(A292="","",SUMIFS(ERFASSUNG!$J$6:$J$3005,ERFASSUNG!$A$6:$A$3005,A292))</f>
        <v/>
      </c>
      <c r="N292" s="73">
        <f>IF(A292="","",SUMIFS(ERFASSUNG!$K$6:$K$3005,ERFASSUNG!$A$6:$A$3005,A292))</f>
        <v/>
      </c>
      <c r="O292" s="73">
        <f>IF(A292="","",SUMIFS(ERFASSUNG!$L$6:$L$3005,ERFASSUNG!$A$6:$A$3005,A292))</f>
        <v/>
      </c>
      <c r="P292" s="73">
        <f>IF(A292="","",SUMIFS(ERFASSUNG!$M$6:$M$3005,ERFASSUNG!$A$6:$A$3005,A292))</f>
        <v/>
      </c>
      <c r="Q292" s="73">
        <f>IF(A292="","",SUMIFS(ERFASSUNG!$N$6:$N$3005,ERFASSUNG!$A$6:$A$3005,A292))</f>
        <v/>
      </c>
    </row>
    <row r="293">
      <c r="A293" s="72">
        <f>IF(YEAR(DATE(LISTEN!$F$2,1,1)+288)=LISTEN!$F$2,DATE(LISTEN!$F$2,1,1)+288,"")</f>
        <v/>
      </c>
      <c r="B293" s="73">
        <f>IF(A293="","",CHOOSE(WEEKDAY(A293,2),"Mo","Di","Mi","Do","Fr","Sa","So"))</f>
        <v/>
      </c>
      <c r="C293" s="73">
        <f>IF(A293="","",INT((A293-DATE(YEAR(A293-WEEKDAY(A293-1)+4),1,3)+WEEKDAY(DATE(YEAR(A293-WEEKDAY(A293-1)+4),1,3))+5)/7))</f>
        <v/>
      </c>
      <c r="D293" s="73">
        <f>IF(A293="","",MONTH(A293))</f>
        <v/>
      </c>
      <c r="E293" s="73">
        <f>IF(A293="","",WEEKDAY(A293,2))</f>
        <v/>
      </c>
      <c r="F293" s="73">
        <f>IF(A293="","",COUNTIF(ERFASSUNG!$A$6:$A$3005,A293))</f>
        <v/>
      </c>
      <c r="G293" s="73">
        <f>IF(A293="","",IF(F293&gt;0,1,0))</f>
        <v/>
      </c>
      <c r="H293" s="73">
        <f>IF(A293="","",SUMIFS(ERFASSUNG!$E$6:$E$3005,ERFASSUNG!$A$6:$A$3005,A293))</f>
        <v/>
      </c>
      <c r="I293" s="73">
        <f>IF(A293="","",SUMIFS(ERFASSUNG!$F$6:$F$3005,ERFASSUNG!$A$6:$A$3005,A293))</f>
        <v/>
      </c>
      <c r="J293" s="73">
        <f>IF(A293="","",SUMIFS(ERFASSUNG!$G$6:$G$3005,ERFASSUNG!$A$6:$A$3005,A293))</f>
        <v/>
      </c>
      <c r="K293" s="73">
        <f>IF(A293="","",SUMIFS(ERFASSUNG!$H$6:$H$3005,ERFASSUNG!$A$6:$A$3005,A293))</f>
        <v/>
      </c>
      <c r="L293" s="73">
        <f>IF(A293="","",SUMIFS(ERFASSUNG!$I$6:$I$3005,ERFASSUNG!$A$6:$A$3005,A293))</f>
        <v/>
      </c>
      <c r="M293" s="73">
        <f>IF(A293="","",SUMIFS(ERFASSUNG!$J$6:$J$3005,ERFASSUNG!$A$6:$A$3005,A293))</f>
        <v/>
      </c>
      <c r="N293" s="73">
        <f>IF(A293="","",SUMIFS(ERFASSUNG!$K$6:$K$3005,ERFASSUNG!$A$6:$A$3005,A293))</f>
        <v/>
      </c>
      <c r="O293" s="73">
        <f>IF(A293="","",SUMIFS(ERFASSUNG!$L$6:$L$3005,ERFASSUNG!$A$6:$A$3005,A293))</f>
        <v/>
      </c>
      <c r="P293" s="73">
        <f>IF(A293="","",SUMIFS(ERFASSUNG!$M$6:$M$3005,ERFASSUNG!$A$6:$A$3005,A293))</f>
        <v/>
      </c>
      <c r="Q293" s="73">
        <f>IF(A293="","",SUMIFS(ERFASSUNG!$N$6:$N$3005,ERFASSUNG!$A$6:$A$3005,A293))</f>
        <v/>
      </c>
    </row>
    <row r="294">
      <c r="A294" s="72">
        <f>IF(YEAR(DATE(LISTEN!$F$2,1,1)+289)=LISTEN!$F$2,DATE(LISTEN!$F$2,1,1)+289,"")</f>
        <v/>
      </c>
      <c r="B294" s="73">
        <f>IF(A294="","",CHOOSE(WEEKDAY(A294,2),"Mo","Di","Mi","Do","Fr","Sa","So"))</f>
        <v/>
      </c>
      <c r="C294" s="73">
        <f>IF(A294="","",INT((A294-DATE(YEAR(A294-WEEKDAY(A294-1)+4),1,3)+WEEKDAY(DATE(YEAR(A294-WEEKDAY(A294-1)+4),1,3))+5)/7))</f>
        <v/>
      </c>
      <c r="D294" s="73">
        <f>IF(A294="","",MONTH(A294))</f>
        <v/>
      </c>
      <c r="E294" s="73">
        <f>IF(A294="","",WEEKDAY(A294,2))</f>
        <v/>
      </c>
      <c r="F294" s="73">
        <f>IF(A294="","",COUNTIF(ERFASSUNG!$A$6:$A$3005,A294))</f>
        <v/>
      </c>
      <c r="G294" s="73">
        <f>IF(A294="","",IF(F294&gt;0,1,0))</f>
        <v/>
      </c>
      <c r="H294" s="73">
        <f>IF(A294="","",SUMIFS(ERFASSUNG!$E$6:$E$3005,ERFASSUNG!$A$6:$A$3005,A294))</f>
        <v/>
      </c>
      <c r="I294" s="73">
        <f>IF(A294="","",SUMIFS(ERFASSUNG!$F$6:$F$3005,ERFASSUNG!$A$6:$A$3005,A294))</f>
        <v/>
      </c>
      <c r="J294" s="73">
        <f>IF(A294="","",SUMIFS(ERFASSUNG!$G$6:$G$3005,ERFASSUNG!$A$6:$A$3005,A294))</f>
        <v/>
      </c>
      <c r="K294" s="73">
        <f>IF(A294="","",SUMIFS(ERFASSUNG!$H$6:$H$3005,ERFASSUNG!$A$6:$A$3005,A294))</f>
        <v/>
      </c>
      <c r="L294" s="73">
        <f>IF(A294="","",SUMIFS(ERFASSUNG!$I$6:$I$3005,ERFASSUNG!$A$6:$A$3005,A294))</f>
        <v/>
      </c>
      <c r="M294" s="73">
        <f>IF(A294="","",SUMIFS(ERFASSUNG!$J$6:$J$3005,ERFASSUNG!$A$6:$A$3005,A294))</f>
        <v/>
      </c>
      <c r="N294" s="73">
        <f>IF(A294="","",SUMIFS(ERFASSUNG!$K$6:$K$3005,ERFASSUNG!$A$6:$A$3005,A294))</f>
        <v/>
      </c>
      <c r="O294" s="73">
        <f>IF(A294="","",SUMIFS(ERFASSUNG!$L$6:$L$3005,ERFASSUNG!$A$6:$A$3005,A294))</f>
        <v/>
      </c>
      <c r="P294" s="73">
        <f>IF(A294="","",SUMIFS(ERFASSUNG!$M$6:$M$3005,ERFASSUNG!$A$6:$A$3005,A294))</f>
        <v/>
      </c>
      <c r="Q294" s="73">
        <f>IF(A294="","",SUMIFS(ERFASSUNG!$N$6:$N$3005,ERFASSUNG!$A$6:$A$3005,A294))</f>
        <v/>
      </c>
    </row>
    <row r="295">
      <c r="A295" s="72">
        <f>IF(YEAR(DATE(LISTEN!$F$2,1,1)+290)=LISTEN!$F$2,DATE(LISTEN!$F$2,1,1)+290,"")</f>
        <v/>
      </c>
      <c r="B295" s="73">
        <f>IF(A295="","",CHOOSE(WEEKDAY(A295,2),"Mo","Di","Mi","Do","Fr","Sa","So"))</f>
        <v/>
      </c>
      <c r="C295" s="73">
        <f>IF(A295="","",INT((A295-DATE(YEAR(A295-WEEKDAY(A295-1)+4),1,3)+WEEKDAY(DATE(YEAR(A295-WEEKDAY(A295-1)+4),1,3))+5)/7))</f>
        <v/>
      </c>
      <c r="D295" s="73">
        <f>IF(A295="","",MONTH(A295))</f>
        <v/>
      </c>
      <c r="E295" s="73">
        <f>IF(A295="","",WEEKDAY(A295,2))</f>
        <v/>
      </c>
      <c r="F295" s="73">
        <f>IF(A295="","",COUNTIF(ERFASSUNG!$A$6:$A$3005,A295))</f>
        <v/>
      </c>
      <c r="G295" s="73">
        <f>IF(A295="","",IF(F295&gt;0,1,0))</f>
        <v/>
      </c>
      <c r="H295" s="73">
        <f>IF(A295="","",SUMIFS(ERFASSUNG!$E$6:$E$3005,ERFASSUNG!$A$6:$A$3005,A295))</f>
        <v/>
      </c>
      <c r="I295" s="73">
        <f>IF(A295="","",SUMIFS(ERFASSUNG!$F$6:$F$3005,ERFASSUNG!$A$6:$A$3005,A295))</f>
        <v/>
      </c>
      <c r="J295" s="73">
        <f>IF(A295="","",SUMIFS(ERFASSUNG!$G$6:$G$3005,ERFASSUNG!$A$6:$A$3005,A295))</f>
        <v/>
      </c>
      <c r="K295" s="73">
        <f>IF(A295="","",SUMIFS(ERFASSUNG!$H$6:$H$3005,ERFASSUNG!$A$6:$A$3005,A295))</f>
        <v/>
      </c>
      <c r="L295" s="73">
        <f>IF(A295="","",SUMIFS(ERFASSUNG!$I$6:$I$3005,ERFASSUNG!$A$6:$A$3005,A295))</f>
        <v/>
      </c>
      <c r="M295" s="73">
        <f>IF(A295="","",SUMIFS(ERFASSUNG!$J$6:$J$3005,ERFASSUNG!$A$6:$A$3005,A295))</f>
        <v/>
      </c>
      <c r="N295" s="73">
        <f>IF(A295="","",SUMIFS(ERFASSUNG!$K$6:$K$3005,ERFASSUNG!$A$6:$A$3005,A295))</f>
        <v/>
      </c>
      <c r="O295" s="73">
        <f>IF(A295="","",SUMIFS(ERFASSUNG!$L$6:$L$3005,ERFASSUNG!$A$6:$A$3005,A295))</f>
        <v/>
      </c>
      <c r="P295" s="73">
        <f>IF(A295="","",SUMIFS(ERFASSUNG!$M$6:$M$3005,ERFASSUNG!$A$6:$A$3005,A295))</f>
        <v/>
      </c>
      <c r="Q295" s="73">
        <f>IF(A295="","",SUMIFS(ERFASSUNG!$N$6:$N$3005,ERFASSUNG!$A$6:$A$3005,A295))</f>
        <v/>
      </c>
    </row>
    <row r="296">
      <c r="A296" s="72">
        <f>IF(YEAR(DATE(LISTEN!$F$2,1,1)+291)=LISTEN!$F$2,DATE(LISTEN!$F$2,1,1)+291,"")</f>
        <v/>
      </c>
      <c r="B296" s="73">
        <f>IF(A296="","",CHOOSE(WEEKDAY(A296,2),"Mo","Di","Mi","Do","Fr","Sa","So"))</f>
        <v/>
      </c>
      <c r="C296" s="73">
        <f>IF(A296="","",INT((A296-DATE(YEAR(A296-WEEKDAY(A296-1)+4),1,3)+WEEKDAY(DATE(YEAR(A296-WEEKDAY(A296-1)+4),1,3))+5)/7))</f>
        <v/>
      </c>
      <c r="D296" s="73">
        <f>IF(A296="","",MONTH(A296))</f>
        <v/>
      </c>
      <c r="E296" s="73">
        <f>IF(A296="","",WEEKDAY(A296,2))</f>
        <v/>
      </c>
      <c r="F296" s="73">
        <f>IF(A296="","",COUNTIF(ERFASSUNG!$A$6:$A$3005,A296))</f>
        <v/>
      </c>
      <c r="G296" s="73">
        <f>IF(A296="","",IF(F296&gt;0,1,0))</f>
        <v/>
      </c>
      <c r="H296" s="73">
        <f>IF(A296="","",SUMIFS(ERFASSUNG!$E$6:$E$3005,ERFASSUNG!$A$6:$A$3005,A296))</f>
        <v/>
      </c>
      <c r="I296" s="73">
        <f>IF(A296="","",SUMIFS(ERFASSUNG!$F$6:$F$3005,ERFASSUNG!$A$6:$A$3005,A296))</f>
        <v/>
      </c>
      <c r="J296" s="73">
        <f>IF(A296="","",SUMIFS(ERFASSUNG!$G$6:$G$3005,ERFASSUNG!$A$6:$A$3005,A296))</f>
        <v/>
      </c>
      <c r="K296" s="73">
        <f>IF(A296="","",SUMIFS(ERFASSUNG!$H$6:$H$3005,ERFASSUNG!$A$6:$A$3005,A296))</f>
        <v/>
      </c>
      <c r="L296" s="73">
        <f>IF(A296="","",SUMIFS(ERFASSUNG!$I$6:$I$3005,ERFASSUNG!$A$6:$A$3005,A296))</f>
        <v/>
      </c>
      <c r="M296" s="73">
        <f>IF(A296="","",SUMIFS(ERFASSUNG!$J$6:$J$3005,ERFASSUNG!$A$6:$A$3005,A296))</f>
        <v/>
      </c>
      <c r="N296" s="73">
        <f>IF(A296="","",SUMIFS(ERFASSUNG!$K$6:$K$3005,ERFASSUNG!$A$6:$A$3005,A296))</f>
        <v/>
      </c>
      <c r="O296" s="73">
        <f>IF(A296="","",SUMIFS(ERFASSUNG!$L$6:$L$3005,ERFASSUNG!$A$6:$A$3005,A296))</f>
        <v/>
      </c>
      <c r="P296" s="73">
        <f>IF(A296="","",SUMIFS(ERFASSUNG!$M$6:$M$3005,ERFASSUNG!$A$6:$A$3005,A296))</f>
        <v/>
      </c>
      <c r="Q296" s="73">
        <f>IF(A296="","",SUMIFS(ERFASSUNG!$N$6:$N$3005,ERFASSUNG!$A$6:$A$3005,A296))</f>
        <v/>
      </c>
    </row>
    <row r="297">
      <c r="A297" s="72">
        <f>IF(YEAR(DATE(LISTEN!$F$2,1,1)+292)=LISTEN!$F$2,DATE(LISTEN!$F$2,1,1)+292,"")</f>
        <v/>
      </c>
      <c r="B297" s="73">
        <f>IF(A297="","",CHOOSE(WEEKDAY(A297,2),"Mo","Di","Mi","Do","Fr","Sa","So"))</f>
        <v/>
      </c>
      <c r="C297" s="73">
        <f>IF(A297="","",INT((A297-DATE(YEAR(A297-WEEKDAY(A297-1)+4),1,3)+WEEKDAY(DATE(YEAR(A297-WEEKDAY(A297-1)+4),1,3))+5)/7))</f>
        <v/>
      </c>
      <c r="D297" s="73">
        <f>IF(A297="","",MONTH(A297))</f>
        <v/>
      </c>
      <c r="E297" s="73">
        <f>IF(A297="","",WEEKDAY(A297,2))</f>
        <v/>
      </c>
      <c r="F297" s="73">
        <f>IF(A297="","",COUNTIF(ERFASSUNG!$A$6:$A$3005,A297))</f>
        <v/>
      </c>
      <c r="G297" s="73">
        <f>IF(A297="","",IF(F297&gt;0,1,0))</f>
        <v/>
      </c>
      <c r="H297" s="73">
        <f>IF(A297="","",SUMIFS(ERFASSUNG!$E$6:$E$3005,ERFASSUNG!$A$6:$A$3005,A297))</f>
        <v/>
      </c>
      <c r="I297" s="73">
        <f>IF(A297="","",SUMIFS(ERFASSUNG!$F$6:$F$3005,ERFASSUNG!$A$6:$A$3005,A297))</f>
        <v/>
      </c>
      <c r="J297" s="73">
        <f>IF(A297="","",SUMIFS(ERFASSUNG!$G$6:$G$3005,ERFASSUNG!$A$6:$A$3005,A297))</f>
        <v/>
      </c>
      <c r="K297" s="73">
        <f>IF(A297="","",SUMIFS(ERFASSUNG!$H$6:$H$3005,ERFASSUNG!$A$6:$A$3005,A297))</f>
        <v/>
      </c>
      <c r="L297" s="73">
        <f>IF(A297="","",SUMIFS(ERFASSUNG!$I$6:$I$3005,ERFASSUNG!$A$6:$A$3005,A297))</f>
        <v/>
      </c>
      <c r="M297" s="73">
        <f>IF(A297="","",SUMIFS(ERFASSUNG!$J$6:$J$3005,ERFASSUNG!$A$6:$A$3005,A297))</f>
        <v/>
      </c>
      <c r="N297" s="73">
        <f>IF(A297="","",SUMIFS(ERFASSUNG!$K$6:$K$3005,ERFASSUNG!$A$6:$A$3005,A297))</f>
        <v/>
      </c>
      <c r="O297" s="73">
        <f>IF(A297="","",SUMIFS(ERFASSUNG!$L$6:$L$3005,ERFASSUNG!$A$6:$A$3005,A297))</f>
        <v/>
      </c>
      <c r="P297" s="73">
        <f>IF(A297="","",SUMIFS(ERFASSUNG!$M$6:$M$3005,ERFASSUNG!$A$6:$A$3005,A297))</f>
        <v/>
      </c>
      <c r="Q297" s="73">
        <f>IF(A297="","",SUMIFS(ERFASSUNG!$N$6:$N$3005,ERFASSUNG!$A$6:$A$3005,A297))</f>
        <v/>
      </c>
    </row>
    <row r="298">
      <c r="A298" s="72">
        <f>IF(YEAR(DATE(LISTEN!$F$2,1,1)+293)=LISTEN!$F$2,DATE(LISTEN!$F$2,1,1)+293,"")</f>
        <v/>
      </c>
      <c r="B298" s="73">
        <f>IF(A298="","",CHOOSE(WEEKDAY(A298,2),"Mo","Di","Mi","Do","Fr","Sa","So"))</f>
        <v/>
      </c>
      <c r="C298" s="73">
        <f>IF(A298="","",INT((A298-DATE(YEAR(A298-WEEKDAY(A298-1)+4),1,3)+WEEKDAY(DATE(YEAR(A298-WEEKDAY(A298-1)+4),1,3))+5)/7))</f>
        <v/>
      </c>
      <c r="D298" s="73">
        <f>IF(A298="","",MONTH(A298))</f>
        <v/>
      </c>
      <c r="E298" s="73">
        <f>IF(A298="","",WEEKDAY(A298,2))</f>
        <v/>
      </c>
      <c r="F298" s="73">
        <f>IF(A298="","",COUNTIF(ERFASSUNG!$A$6:$A$3005,A298))</f>
        <v/>
      </c>
      <c r="G298" s="73">
        <f>IF(A298="","",IF(F298&gt;0,1,0))</f>
        <v/>
      </c>
      <c r="H298" s="73">
        <f>IF(A298="","",SUMIFS(ERFASSUNG!$E$6:$E$3005,ERFASSUNG!$A$6:$A$3005,A298))</f>
        <v/>
      </c>
      <c r="I298" s="73">
        <f>IF(A298="","",SUMIFS(ERFASSUNG!$F$6:$F$3005,ERFASSUNG!$A$6:$A$3005,A298))</f>
        <v/>
      </c>
      <c r="J298" s="73">
        <f>IF(A298="","",SUMIFS(ERFASSUNG!$G$6:$G$3005,ERFASSUNG!$A$6:$A$3005,A298))</f>
        <v/>
      </c>
      <c r="K298" s="73">
        <f>IF(A298="","",SUMIFS(ERFASSUNG!$H$6:$H$3005,ERFASSUNG!$A$6:$A$3005,A298))</f>
        <v/>
      </c>
      <c r="L298" s="73">
        <f>IF(A298="","",SUMIFS(ERFASSUNG!$I$6:$I$3005,ERFASSUNG!$A$6:$A$3005,A298))</f>
        <v/>
      </c>
      <c r="M298" s="73">
        <f>IF(A298="","",SUMIFS(ERFASSUNG!$J$6:$J$3005,ERFASSUNG!$A$6:$A$3005,A298))</f>
        <v/>
      </c>
      <c r="N298" s="73">
        <f>IF(A298="","",SUMIFS(ERFASSUNG!$K$6:$K$3005,ERFASSUNG!$A$6:$A$3005,A298))</f>
        <v/>
      </c>
      <c r="O298" s="73">
        <f>IF(A298="","",SUMIFS(ERFASSUNG!$L$6:$L$3005,ERFASSUNG!$A$6:$A$3005,A298))</f>
        <v/>
      </c>
      <c r="P298" s="73">
        <f>IF(A298="","",SUMIFS(ERFASSUNG!$M$6:$M$3005,ERFASSUNG!$A$6:$A$3005,A298))</f>
        <v/>
      </c>
      <c r="Q298" s="73">
        <f>IF(A298="","",SUMIFS(ERFASSUNG!$N$6:$N$3005,ERFASSUNG!$A$6:$A$3005,A298))</f>
        <v/>
      </c>
    </row>
    <row r="299">
      <c r="A299" s="72">
        <f>IF(YEAR(DATE(LISTEN!$F$2,1,1)+294)=LISTEN!$F$2,DATE(LISTEN!$F$2,1,1)+294,"")</f>
        <v/>
      </c>
      <c r="B299" s="73">
        <f>IF(A299="","",CHOOSE(WEEKDAY(A299,2),"Mo","Di","Mi","Do","Fr","Sa","So"))</f>
        <v/>
      </c>
      <c r="C299" s="73">
        <f>IF(A299="","",INT((A299-DATE(YEAR(A299-WEEKDAY(A299-1)+4),1,3)+WEEKDAY(DATE(YEAR(A299-WEEKDAY(A299-1)+4),1,3))+5)/7))</f>
        <v/>
      </c>
      <c r="D299" s="73">
        <f>IF(A299="","",MONTH(A299))</f>
        <v/>
      </c>
      <c r="E299" s="73">
        <f>IF(A299="","",WEEKDAY(A299,2))</f>
        <v/>
      </c>
      <c r="F299" s="73">
        <f>IF(A299="","",COUNTIF(ERFASSUNG!$A$6:$A$3005,A299))</f>
        <v/>
      </c>
      <c r="G299" s="73">
        <f>IF(A299="","",IF(F299&gt;0,1,0))</f>
        <v/>
      </c>
      <c r="H299" s="73">
        <f>IF(A299="","",SUMIFS(ERFASSUNG!$E$6:$E$3005,ERFASSUNG!$A$6:$A$3005,A299))</f>
        <v/>
      </c>
      <c r="I299" s="73">
        <f>IF(A299="","",SUMIFS(ERFASSUNG!$F$6:$F$3005,ERFASSUNG!$A$6:$A$3005,A299))</f>
        <v/>
      </c>
      <c r="J299" s="73">
        <f>IF(A299="","",SUMIFS(ERFASSUNG!$G$6:$G$3005,ERFASSUNG!$A$6:$A$3005,A299))</f>
        <v/>
      </c>
      <c r="K299" s="73">
        <f>IF(A299="","",SUMIFS(ERFASSUNG!$H$6:$H$3005,ERFASSUNG!$A$6:$A$3005,A299))</f>
        <v/>
      </c>
      <c r="L299" s="73">
        <f>IF(A299="","",SUMIFS(ERFASSUNG!$I$6:$I$3005,ERFASSUNG!$A$6:$A$3005,A299))</f>
        <v/>
      </c>
      <c r="M299" s="73">
        <f>IF(A299="","",SUMIFS(ERFASSUNG!$J$6:$J$3005,ERFASSUNG!$A$6:$A$3005,A299))</f>
        <v/>
      </c>
      <c r="N299" s="73">
        <f>IF(A299="","",SUMIFS(ERFASSUNG!$K$6:$K$3005,ERFASSUNG!$A$6:$A$3005,A299))</f>
        <v/>
      </c>
      <c r="O299" s="73">
        <f>IF(A299="","",SUMIFS(ERFASSUNG!$L$6:$L$3005,ERFASSUNG!$A$6:$A$3005,A299))</f>
        <v/>
      </c>
      <c r="P299" s="73">
        <f>IF(A299="","",SUMIFS(ERFASSUNG!$M$6:$M$3005,ERFASSUNG!$A$6:$A$3005,A299))</f>
        <v/>
      </c>
      <c r="Q299" s="73">
        <f>IF(A299="","",SUMIFS(ERFASSUNG!$N$6:$N$3005,ERFASSUNG!$A$6:$A$3005,A299))</f>
        <v/>
      </c>
    </row>
    <row r="300">
      <c r="A300" s="72">
        <f>IF(YEAR(DATE(LISTEN!$F$2,1,1)+295)=LISTEN!$F$2,DATE(LISTEN!$F$2,1,1)+295,"")</f>
        <v/>
      </c>
      <c r="B300" s="73">
        <f>IF(A300="","",CHOOSE(WEEKDAY(A300,2),"Mo","Di","Mi","Do","Fr","Sa","So"))</f>
        <v/>
      </c>
      <c r="C300" s="73">
        <f>IF(A300="","",INT((A300-DATE(YEAR(A300-WEEKDAY(A300-1)+4),1,3)+WEEKDAY(DATE(YEAR(A300-WEEKDAY(A300-1)+4),1,3))+5)/7))</f>
        <v/>
      </c>
      <c r="D300" s="73">
        <f>IF(A300="","",MONTH(A300))</f>
        <v/>
      </c>
      <c r="E300" s="73">
        <f>IF(A300="","",WEEKDAY(A300,2))</f>
        <v/>
      </c>
      <c r="F300" s="73">
        <f>IF(A300="","",COUNTIF(ERFASSUNG!$A$6:$A$3005,A300))</f>
        <v/>
      </c>
      <c r="G300" s="73">
        <f>IF(A300="","",IF(F300&gt;0,1,0))</f>
        <v/>
      </c>
      <c r="H300" s="73">
        <f>IF(A300="","",SUMIFS(ERFASSUNG!$E$6:$E$3005,ERFASSUNG!$A$6:$A$3005,A300))</f>
        <v/>
      </c>
      <c r="I300" s="73">
        <f>IF(A300="","",SUMIFS(ERFASSUNG!$F$6:$F$3005,ERFASSUNG!$A$6:$A$3005,A300))</f>
        <v/>
      </c>
      <c r="J300" s="73">
        <f>IF(A300="","",SUMIFS(ERFASSUNG!$G$6:$G$3005,ERFASSUNG!$A$6:$A$3005,A300))</f>
        <v/>
      </c>
      <c r="K300" s="73">
        <f>IF(A300="","",SUMIFS(ERFASSUNG!$H$6:$H$3005,ERFASSUNG!$A$6:$A$3005,A300))</f>
        <v/>
      </c>
      <c r="L300" s="73">
        <f>IF(A300="","",SUMIFS(ERFASSUNG!$I$6:$I$3005,ERFASSUNG!$A$6:$A$3005,A300))</f>
        <v/>
      </c>
      <c r="M300" s="73">
        <f>IF(A300="","",SUMIFS(ERFASSUNG!$J$6:$J$3005,ERFASSUNG!$A$6:$A$3005,A300))</f>
        <v/>
      </c>
      <c r="N300" s="73">
        <f>IF(A300="","",SUMIFS(ERFASSUNG!$K$6:$K$3005,ERFASSUNG!$A$6:$A$3005,A300))</f>
        <v/>
      </c>
      <c r="O300" s="73">
        <f>IF(A300="","",SUMIFS(ERFASSUNG!$L$6:$L$3005,ERFASSUNG!$A$6:$A$3005,A300))</f>
        <v/>
      </c>
      <c r="P300" s="73">
        <f>IF(A300="","",SUMIFS(ERFASSUNG!$M$6:$M$3005,ERFASSUNG!$A$6:$A$3005,A300))</f>
        <v/>
      </c>
      <c r="Q300" s="73">
        <f>IF(A300="","",SUMIFS(ERFASSUNG!$N$6:$N$3005,ERFASSUNG!$A$6:$A$3005,A300))</f>
        <v/>
      </c>
    </row>
    <row r="301">
      <c r="A301" s="72">
        <f>IF(YEAR(DATE(LISTEN!$F$2,1,1)+296)=LISTEN!$F$2,DATE(LISTEN!$F$2,1,1)+296,"")</f>
        <v/>
      </c>
      <c r="B301" s="73">
        <f>IF(A301="","",CHOOSE(WEEKDAY(A301,2),"Mo","Di","Mi","Do","Fr","Sa","So"))</f>
        <v/>
      </c>
      <c r="C301" s="73">
        <f>IF(A301="","",INT((A301-DATE(YEAR(A301-WEEKDAY(A301-1)+4),1,3)+WEEKDAY(DATE(YEAR(A301-WEEKDAY(A301-1)+4),1,3))+5)/7))</f>
        <v/>
      </c>
      <c r="D301" s="73">
        <f>IF(A301="","",MONTH(A301))</f>
        <v/>
      </c>
      <c r="E301" s="73">
        <f>IF(A301="","",WEEKDAY(A301,2))</f>
        <v/>
      </c>
      <c r="F301" s="73">
        <f>IF(A301="","",COUNTIF(ERFASSUNG!$A$6:$A$3005,A301))</f>
        <v/>
      </c>
      <c r="G301" s="73">
        <f>IF(A301="","",IF(F301&gt;0,1,0))</f>
        <v/>
      </c>
      <c r="H301" s="73">
        <f>IF(A301="","",SUMIFS(ERFASSUNG!$E$6:$E$3005,ERFASSUNG!$A$6:$A$3005,A301))</f>
        <v/>
      </c>
      <c r="I301" s="73">
        <f>IF(A301="","",SUMIFS(ERFASSUNG!$F$6:$F$3005,ERFASSUNG!$A$6:$A$3005,A301))</f>
        <v/>
      </c>
      <c r="J301" s="73">
        <f>IF(A301="","",SUMIFS(ERFASSUNG!$G$6:$G$3005,ERFASSUNG!$A$6:$A$3005,A301))</f>
        <v/>
      </c>
      <c r="K301" s="73">
        <f>IF(A301="","",SUMIFS(ERFASSUNG!$H$6:$H$3005,ERFASSUNG!$A$6:$A$3005,A301))</f>
        <v/>
      </c>
      <c r="L301" s="73">
        <f>IF(A301="","",SUMIFS(ERFASSUNG!$I$6:$I$3005,ERFASSUNG!$A$6:$A$3005,A301))</f>
        <v/>
      </c>
      <c r="M301" s="73">
        <f>IF(A301="","",SUMIFS(ERFASSUNG!$J$6:$J$3005,ERFASSUNG!$A$6:$A$3005,A301))</f>
        <v/>
      </c>
      <c r="N301" s="73">
        <f>IF(A301="","",SUMIFS(ERFASSUNG!$K$6:$K$3005,ERFASSUNG!$A$6:$A$3005,A301))</f>
        <v/>
      </c>
      <c r="O301" s="73">
        <f>IF(A301="","",SUMIFS(ERFASSUNG!$L$6:$L$3005,ERFASSUNG!$A$6:$A$3005,A301))</f>
        <v/>
      </c>
      <c r="P301" s="73">
        <f>IF(A301="","",SUMIFS(ERFASSUNG!$M$6:$M$3005,ERFASSUNG!$A$6:$A$3005,A301))</f>
        <v/>
      </c>
      <c r="Q301" s="73">
        <f>IF(A301="","",SUMIFS(ERFASSUNG!$N$6:$N$3005,ERFASSUNG!$A$6:$A$3005,A301))</f>
        <v/>
      </c>
    </row>
    <row r="302">
      <c r="A302" s="72">
        <f>IF(YEAR(DATE(LISTEN!$F$2,1,1)+297)=LISTEN!$F$2,DATE(LISTEN!$F$2,1,1)+297,"")</f>
        <v/>
      </c>
      <c r="B302" s="73">
        <f>IF(A302="","",CHOOSE(WEEKDAY(A302,2),"Mo","Di","Mi","Do","Fr","Sa","So"))</f>
        <v/>
      </c>
      <c r="C302" s="73">
        <f>IF(A302="","",INT((A302-DATE(YEAR(A302-WEEKDAY(A302-1)+4),1,3)+WEEKDAY(DATE(YEAR(A302-WEEKDAY(A302-1)+4),1,3))+5)/7))</f>
        <v/>
      </c>
      <c r="D302" s="73">
        <f>IF(A302="","",MONTH(A302))</f>
        <v/>
      </c>
      <c r="E302" s="73">
        <f>IF(A302="","",WEEKDAY(A302,2))</f>
        <v/>
      </c>
      <c r="F302" s="73">
        <f>IF(A302="","",COUNTIF(ERFASSUNG!$A$6:$A$3005,A302))</f>
        <v/>
      </c>
      <c r="G302" s="73">
        <f>IF(A302="","",IF(F302&gt;0,1,0))</f>
        <v/>
      </c>
      <c r="H302" s="73">
        <f>IF(A302="","",SUMIFS(ERFASSUNG!$E$6:$E$3005,ERFASSUNG!$A$6:$A$3005,A302))</f>
        <v/>
      </c>
      <c r="I302" s="73">
        <f>IF(A302="","",SUMIFS(ERFASSUNG!$F$6:$F$3005,ERFASSUNG!$A$6:$A$3005,A302))</f>
        <v/>
      </c>
      <c r="J302" s="73">
        <f>IF(A302="","",SUMIFS(ERFASSUNG!$G$6:$G$3005,ERFASSUNG!$A$6:$A$3005,A302))</f>
        <v/>
      </c>
      <c r="K302" s="73">
        <f>IF(A302="","",SUMIFS(ERFASSUNG!$H$6:$H$3005,ERFASSUNG!$A$6:$A$3005,A302))</f>
        <v/>
      </c>
      <c r="L302" s="73">
        <f>IF(A302="","",SUMIFS(ERFASSUNG!$I$6:$I$3005,ERFASSUNG!$A$6:$A$3005,A302))</f>
        <v/>
      </c>
      <c r="M302" s="73">
        <f>IF(A302="","",SUMIFS(ERFASSUNG!$J$6:$J$3005,ERFASSUNG!$A$6:$A$3005,A302))</f>
        <v/>
      </c>
      <c r="N302" s="73">
        <f>IF(A302="","",SUMIFS(ERFASSUNG!$K$6:$K$3005,ERFASSUNG!$A$6:$A$3005,A302))</f>
        <v/>
      </c>
      <c r="O302" s="73">
        <f>IF(A302="","",SUMIFS(ERFASSUNG!$L$6:$L$3005,ERFASSUNG!$A$6:$A$3005,A302))</f>
        <v/>
      </c>
      <c r="P302" s="73">
        <f>IF(A302="","",SUMIFS(ERFASSUNG!$M$6:$M$3005,ERFASSUNG!$A$6:$A$3005,A302))</f>
        <v/>
      </c>
      <c r="Q302" s="73">
        <f>IF(A302="","",SUMIFS(ERFASSUNG!$N$6:$N$3005,ERFASSUNG!$A$6:$A$3005,A302))</f>
        <v/>
      </c>
    </row>
    <row r="303">
      <c r="A303" s="72">
        <f>IF(YEAR(DATE(LISTEN!$F$2,1,1)+298)=LISTEN!$F$2,DATE(LISTEN!$F$2,1,1)+298,"")</f>
        <v/>
      </c>
      <c r="B303" s="73">
        <f>IF(A303="","",CHOOSE(WEEKDAY(A303,2),"Mo","Di","Mi","Do","Fr","Sa","So"))</f>
        <v/>
      </c>
      <c r="C303" s="73">
        <f>IF(A303="","",INT((A303-DATE(YEAR(A303-WEEKDAY(A303-1)+4),1,3)+WEEKDAY(DATE(YEAR(A303-WEEKDAY(A303-1)+4),1,3))+5)/7))</f>
        <v/>
      </c>
      <c r="D303" s="73">
        <f>IF(A303="","",MONTH(A303))</f>
        <v/>
      </c>
      <c r="E303" s="73">
        <f>IF(A303="","",WEEKDAY(A303,2))</f>
        <v/>
      </c>
      <c r="F303" s="73">
        <f>IF(A303="","",COUNTIF(ERFASSUNG!$A$6:$A$3005,A303))</f>
        <v/>
      </c>
      <c r="G303" s="73">
        <f>IF(A303="","",IF(F303&gt;0,1,0))</f>
        <v/>
      </c>
      <c r="H303" s="73">
        <f>IF(A303="","",SUMIFS(ERFASSUNG!$E$6:$E$3005,ERFASSUNG!$A$6:$A$3005,A303))</f>
        <v/>
      </c>
      <c r="I303" s="73">
        <f>IF(A303="","",SUMIFS(ERFASSUNG!$F$6:$F$3005,ERFASSUNG!$A$6:$A$3005,A303))</f>
        <v/>
      </c>
      <c r="J303" s="73">
        <f>IF(A303="","",SUMIFS(ERFASSUNG!$G$6:$G$3005,ERFASSUNG!$A$6:$A$3005,A303))</f>
        <v/>
      </c>
      <c r="K303" s="73">
        <f>IF(A303="","",SUMIFS(ERFASSUNG!$H$6:$H$3005,ERFASSUNG!$A$6:$A$3005,A303))</f>
        <v/>
      </c>
      <c r="L303" s="73">
        <f>IF(A303="","",SUMIFS(ERFASSUNG!$I$6:$I$3005,ERFASSUNG!$A$6:$A$3005,A303))</f>
        <v/>
      </c>
      <c r="M303" s="73">
        <f>IF(A303="","",SUMIFS(ERFASSUNG!$J$6:$J$3005,ERFASSUNG!$A$6:$A$3005,A303))</f>
        <v/>
      </c>
      <c r="N303" s="73">
        <f>IF(A303="","",SUMIFS(ERFASSUNG!$K$6:$K$3005,ERFASSUNG!$A$6:$A$3005,A303))</f>
        <v/>
      </c>
      <c r="O303" s="73">
        <f>IF(A303="","",SUMIFS(ERFASSUNG!$L$6:$L$3005,ERFASSUNG!$A$6:$A$3005,A303))</f>
        <v/>
      </c>
      <c r="P303" s="73">
        <f>IF(A303="","",SUMIFS(ERFASSUNG!$M$6:$M$3005,ERFASSUNG!$A$6:$A$3005,A303))</f>
        <v/>
      </c>
      <c r="Q303" s="73">
        <f>IF(A303="","",SUMIFS(ERFASSUNG!$N$6:$N$3005,ERFASSUNG!$A$6:$A$3005,A303))</f>
        <v/>
      </c>
    </row>
    <row r="304">
      <c r="A304" s="72">
        <f>IF(YEAR(DATE(LISTEN!$F$2,1,1)+299)=LISTEN!$F$2,DATE(LISTEN!$F$2,1,1)+299,"")</f>
        <v/>
      </c>
      <c r="B304" s="73">
        <f>IF(A304="","",CHOOSE(WEEKDAY(A304,2),"Mo","Di","Mi","Do","Fr","Sa","So"))</f>
        <v/>
      </c>
      <c r="C304" s="73">
        <f>IF(A304="","",INT((A304-DATE(YEAR(A304-WEEKDAY(A304-1)+4),1,3)+WEEKDAY(DATE(YEAR(A304-WEEKDAY(A304-1)+4),1,3))+5)/7))</f>
        <v/>
      </c>
      <c r="D304" s="73">
        <f>IF(A304="","",MONTH(A304))</f>
        <v/>
      </c>
      <c r="E304" s="73">
        <f>IF(A304="","",WEEKDAY(A304,2))</f>
        <v/>
      </c>
      <c r="F304" s="73">
        <f>IF(A304="","",COUNTIF(ERFASSUNG!$A$6:$A$3005,A304))</f>
        <v/>
      </c>
      <c r="G304" s="73">
        <f>IF(A304="","",IF(F304&gt;0,1,0))</f>
        <v/>
      </c>
      <c r="H304" s="73">
        <f>IF(A304="","",SUMIFS(ERFASSUNG!$E$6:$E$3005,ERFASSUNG!$A$6:$A$3005,A304))</f>
        <v/>
      </c>
      <c r="I304" s="73">
        <f>IF(A304="","",SUMIFS(ERFASSUNG!$F$6:$F$3005,ERFASSUNG!$A$6:$A$3005,A304))</f>
        <v/>
      </c>
      <c r="J304" s="73">
        <f>IF(A304="","",SUMIFS(ERFASSUNG!$G$6:$G$3005,ERFASSUNG!$A$6:$A$3005,A304))</f>
        <v/>
      </c>
      <c r="K304" s="73">
        <f>IF(A304="","",SUMIFS(ERFASSUNG!$H$6:$H$3005,ERFASSUNG!$A$6:$A$3005,A304))</f>
        <v/>
      </c>
      <c r="L304" s="73">
        <f>IF(A304="","",SUMIFS(ERFASSUNG!$I$6:$I$3005,ERFASSUNG!$A$6:$A$3005,A304))</f>
        <v/>
      </c>
      <c r="M304" s="73">
        <f>IF(A304="","",SUMIFS(ERFASSUNG!$J$6:$J$3005,ERFASSUNG!$A$6:$A$3005,A304))</f>
        <v/>
      </c>
      <c r="N304" s="73">
        <f>IF(A304="","",SUMIFS(ERFASSUNG!$K$6:$K$3005,ERFASSUNG!$A$6:$A$3005,A304))</f>
        <v/>
      </c>
      <c r="O304" s="73">
        <f>IF(A304="","",SUMIFS(ERFASSUNG!$L$6:$L$3005,ERFASSUNG!$A$6:$A$3005,A304))</f>
        <v/>
      </c>
      <c r="P304" s="73">
        <f>IF(A304="","",SUMIFS(ERFASSUNG!$M$6:$M$3005,ERFASSUNG!$A$6:$A$3005,A304))</f>
        <v/>
      </c>
      <c r="Q304" s="73">
        <f>IF(A304="","",SUMIFS(ERFASSUNG!$N$6:$N$3005,ERFASSUNG!$A$6:$A$3005,A304))</f>
        <v/>
      </c>
    </row>
    <row r="305">
      <c r="A305" s="72">
        <f>IF(YEAR(DATE(LISTEN!$F$2,1,1)+300)=LISTEN!$F$2,DATE(LISTEN!$F$2,1,1)+300,"")</f>
        <v/>
      </c>
      <c r="B305" s="73">
        <f>IF(A305="","",CHOOSE(WEEKDAY(A305,2),"Mo","Di","Mi","Do","Fr","Sa","So"))</f>
        <v/>
      </c>
      <c r="C305" s="73">
        <f>IF(A305="","",INT((A305-DATE(YEAR(A305-WEEKDAY(A305-1)+4),1,3)+WEEKDAY(DATE(YEAR(A305-WEEKDAY(A305-1)+4),1,3))+5)/7))</f>
        <v/>
      </c>
      <c r="D305" s="73">
        <f>IF(A305="","",MONTH(A305))</f>
        <v/>
      </c>
      <c r="E305" s="73">
        <f>IF(A305="","",WEEKDAY(A305,2))</f>
        <v/>
      </c>
      <c r="F305" s="73">
        <f>IF(A305="","",COUNTIF(ERFASSUNG!$A$6:$A$3005,A305))</f>
        <v/>
      </c>
      <c r="G305" s="73">
        <f>IF(A305="","",IF(F305&gt;0,1,0))</f>
        <v/>
      </c>
      <c r="H305" s="73">
        <f>IF(A305="","",SUMIFS(ERFASSUNG!$E$6:$E$3005,ERFASSUNG!$A$6:$A$3005,A305))</f>
        <v/>
      </c>
      <c r="I305" s="73">
        <f>IF(A305="","",SUMIFS(ERFASSUNG!$F$6:$F$3005,ERFASSUNG!$A$6:$A$3005,A305))</f>
        <v/>
      </c>
      <c r="J305" s="73">
        <f>IF(A305="","",SUMIFS(ERFASSUNG!$G$6:$G$3005,ERFASSUNG!$A$6:$A$3005,A305))</f>
        <v/>
      </c>
      <c r="K305" s="73">
        <f>IF(A305="","",SUMIFS(ERFASSUNG!$H$6:$H$3005,ERFASSUNG!$A$6:$A$3005,A305))</f>
        <v/>
      </c>
      <c r="L305" s="73">
        <f>IF(A305="","",SUMIFS(ERFASSUNG!$I$6:$I$3005,ERFASSUNG!$A$6:$A$3005,A305))</f>
        <v/>
      </c>
      <c r="M305" s="73">
        <f>IF(A305="","",SUMIFS(ERFASSUNG!$J$6:$J$3005,ERFASSUNG!$A$6:$A$3005,A305))</f>
        <v/>
      </c>
      <c r="N305" s="73">
        <f>IF(A305="","",SUMIFS(ERFASSUNG!$K$6:$K$3005,ERFASSUNG!$A$6:$A$3005,A305))</f>
        <v/>
      </c>
      <c r="O305" s="73">
        <f>IF(A305="","",SUMIFS(ERFASSUNG!$L$6:$L$3005,ERFASSUNG!$A$6:$A$3005,A305))</f>
        <v/>
      </c>
      <c r="P305" s="73">
        <f>IF(A305="","",SUMIFS(ERFASSUNG!$M$6:$M$3005,ERFASSUNG!$A$6:$A$3005,A305))</f>
        <v/>
      </c>
      <c r="Q305" s="73">
        <f>IF(A305="","",SUMIFS(ERFASSUNG!$N$6:$N$3005,ERFASSUNG!$A$6:$A$3005,A305))</f>
        <v/>
      </c>
    </row>
    <row r="306">
      <c r="A306" s="72">
        <f>IF(YEAR(DATE(LISTEN!$F$2,1,1)+301)=LISTEN!$F$2,DATE(LISTEN!$F$2,1,1)+301,"")</f>
        <v/>
      </c>
      <c r="B306" s="73">
        <f>IF(A306="","",CHOOSE(WEEKDAY(A306,2),"Mo","Di","Mi","Do","Fr","Sa","So"))</f>
        <v/>
      </c>
      <c r="C306" s="73">
        <f>IF(A306="","",INT((A306-DATE(YEAR(A306-WEEKDAY(A306-1)+4),1,3)+WEEKDAY(DATE(YEAR(A306-WEEKDAY(A306-1)+4),1,3))+5)/7))</f>
        <v/>
      </c>
      <c r="D306" s="73">
        <f>IF(A306="","",MONTH(A306))</f>
        <v/>
      </c>
      <c r="E306" s="73">
        <f>IF(A306="","",WEEKDAY(A306,2))</f>
        <v/>
      </c>
      <c r="F306" s="73">
        <f>IF(A306="","",COUNTIF(ERFASSUNG!$A$6:$A$3005,A306))</f>
        <v/>
      </c>
      <c r="G306" s="73">
        <f>IF(A306="","",IF(F306&gt;0,1,0))</f>
        <v/>
      </c>
      <c r="H306" s="73">
        <f>IF(A306="","",SUMIFS(ERFASSUNG!$E$6:$E$3005,ERFASSUNG!$A$6:$A$3005,A306))</f>
        <v/>
      </c>
      <c r="I306" s="73">
        <f>IF(A306="","",SUMIFS(ERFASSUNG!$F$6:$F$3005,ERFASSUNG!$A$6:$A$3005,A306))</f>
        <v/>
      </c>
      <c r="J306" s="73">
        <f>IF(A306="","",SUMIFS(ERFASSUNG!$G$6:$G$3005,ERFASSUNG!$A$6:$A$3005,A306))</f>
        <v/>
      </c>
      <c r="K306" s="73">
        <f>IF(A306="","",SUMIFS(ERFASSUNG!$H$6:$H$3005,ERFASSUNG!$A$6:$A$3005,A306))</f>
        <v/>
      </c>
      <c r="L306" s="73">
        <f>IF(A306="","",SUMIFS(ERFASSUNG!$I$6:$I$3005,ERFASSUNG!$A$6:$A$3005,A306))</f>
        <v/>
      </c>
      <c r="M306" s="73">
        <f>IF(A306="","",SUMIFS(ERFASSUNG!$J$6:$J$3005,ERFASSUNG!$A$6:$A$3005,A306))</f>
        <v/>
      </c>
      <c r="N306" s="73">
        <f>IF(A306="","",SUMIFS(ERFASSUNG!$K$6:$K$3005,ERFASSUNG!$A$6:$A$3005,A306))</f>
        <v/>
      </c>
      <c r="O306" s="73">
        <f>IF(A306="","",SUMIFS(ERFASSUNG!$L$6:$L$3005,ERFASSUNG!$A$6:$A$3005,A306))</f>
        <v/>
      </c>
      <c r="P306" s="73">
        <f>IF(A306="","",SUMIFS(ERFASSUNG!$M$6:$M$3005,ERFASSUNG!$A$6:$A$3005,A306))</f>
        <v/>
      </c>
      <c r="Q306" s="73">
        <f>IF(A306="","",SUMIFS(ERFASSUNG!$N$6:$N$3005,ERFASSUNG!$A$6:$A$3005,A306))</f>
        <v/>
      </c>
    </row>
    <row r="307">
      <c r="A307" s="72">
        <f>IF(YEAR(DATE(LISTEN!$F$2,1,1)+302)=LISTEN!$F$2,DATE(LISTEN!$F$2,1,1)+302,"")</f>
        <v/>
      </c>
      <c r="B307" s="73">
        <f>IF(A307="","",CHOOSE(WEEKDAY(A307,2),"Mo","Di","Mi","Do","Fr","Sa","So"))</f>
        <v/>
      </c>
      <c r="C307" s="73">
        <f>IF(A307="","",INT((A307-DATE(YEAR(A307-WEEKDAY(A307-1)+4),1,3)+WEEKDAY(DATE(YEAR(A307-WEEKDAY(A307-1)+4),1,3))+5)/7))</f>
        <v/>
      </c>
      <c r="D307" s="73">
        <f>IF(A307="","",MONTH(A307))</f>
        <v/>
      </c>
      <c r="E307" s="73">
        <f>IF(A307="","",WEEKDAY(A307,2))</f>
        <v/>
      </c>
      <c r="F307" s="73">
        <f>IF(A307="","",COUNTIF(ERFASSUNG!$A$6:$A$3005,A307))</f>
        <v/>
      </c>
      <c r="G307" s="73">
        <f>IF(A307="","",IF(F307&gt;0,1,0))</f>
        <v/>
      </c>
      <c r="H307" s="73">
        <f>IF(A307="","",SUMIFS(ERFASSUNG!$E$6:$E$3005,ERFASSUNG!$A$6:$A$3005,A307))</f>
        <v/>
      </c>
      <c r="I307" s="73">
        <f>IF(A307="","",SUMIFS(ERFASSUNG!$F$6:$F$3005,ERFASSUNG!$A$6:$A$3005,A307))</f>
        <v/>
      </c>
      <c r="J307" s="73">
        <f>IF(A307="","",SUMIFS(ERFASSUNG!$G$6:$G$3005,ERFASSUNG!$A$6:$A$3005,A307))</f>
        <v/>
      </c>
      <c r="K307" s="73">
        <f>IF(A307="","",SUMIFS(ERFASSUNG!$H$6:$H$3005,ERFASSUNG!$A$6:$A$3005,A307))</f>
        <v/>
      </c>
      <c r="L307" s="73">
        <f>IF(A307="","",SUMIFS(ERFASSUNG!$I$6:$I$3005,ERFASSUNG!$A$6:$A$3005,A307))</f>
        <v/>
      </c>
      <c r="M307" s="73">
        <f>IF(A307="","",SUMIFS(ERFASSUNG!$J$6:$J$3005,ERFASSUNG!$A$6:$A$3005,A307))</f>
        <v/>
      </c>
      <c r="N307" s="73">
        <f>IF(A307="","",SUMIFS(ERFASSUNG!$K$6:$K$3005,ERFASSUNG!$A$6:$A$3005,A307))</f>
        <v/>
      </c>
      <c r="O307" s="73">
        <f>IF(A307="","",SUMIFS(ERFASSUNG!$L$6:$L$3005,ERFASSUNG!$A$6:$A$3005,A307))</f>
        <v/>
      </c>
      <c r="P307" s="73">
        <f>IF(A307="","",SUMIFS(ERFASSUNG!$M$6:$M$3005,ERFASSUNG!$A$6:$A$3005,A307))</f>
        <v/>
      </c>
      <c r="Q307" s="73">
        <f>IF(A307="","",SUMIFS(ERFASSUNG!$N$6:$N$3005,ERFASSUNG!$A$6:$A$3005,A307))</f>
        <v/>
      </c>
    </row>
    <row r="308">
      <c r="A308" s="72">
        <f>IF(YEAR(DATE(LISTEN!$F$2,1,1)+303)=LISTEN!$F$2,DATE(LISTEN!$F$2,1,1)+303,"")</f>
        <v/>
      </c>
      <c r="B308" s="73">
        <f>IF(A308="","",CHOOSE(WEEKDAY(A308,2),"Mo","Di","Mi","Do","Fr","Sa","So"))</f>
        <v/>
      </c>
      <c r="C308" s="73">
        <f>IF(A308="","",INT((A308-DATE(YEAR(A308-WEEKDAY(A308-1)+4),1,3)+WEEKDAY(DATE(YEAR(A308-WEEKDAY(A308-1)+4),1,3))+5)/7))</f>
        <v/>
      </c>
      <c r="D308" s="73">
        <f>IF(A308="","",MONTH(A308))</f>
        <v/>
      </c>
      <c r="E308" s="73">
        <f>IF(A308="","",WEEKDAY(A308,2))</f>
        <v/>
      </c>
      <c r="F308" s="73">
        <f>IF(A308="","",COUNTIF(ERFASSUNG!$A$6:$A$3005,A308))</f>
        <v/>
      </c>
      <c r="G308" s="73">
        <f>IF(A308="","",IF(F308&gt;0,1,0))</f>
        <v/>
      </c>
      <c r="H308" s="73">
        <f>IF(A308="","",SUMIFS(ERFASSUNG!$E$6:$E$3005,ERFASSUNG!$A$6:$A$3005,A308))</f>
        <v/>
      </c>
      <c r="I308" s="73">
        <f>IF(A308="","",SUMIFS(ERFASSUNG!$F$6:$F$3005,ERFASSUNG!$A$6:$A$3005,A308))</f>
        <v/>
      </c>
      <c r="J308" s="73">
        <f>IF(A308="","",SUMIFS(ERFASSUNG!$G$6:$G$3005,ERFASSUNG!$A$6:$A$3005,A308))</f>
        <v/>
      </c>
      <c r="K308" s="73">
        <f>IF(A308="","",SUMIFS(ERFASSUNG!$H$6:$H$3005,ERFASSUNG!$A$6:$A$3005,A308))</f>
        <v/>
      </c>
      <c r="L308" s="73">
        <f>IF(A308="","",SUMIFS(ERFASSUNG!$I$6:$I$3005,ERFASSUNG!$A$6:$A$3005,A308))</f>
        <v/>
      </c>
      <c r="M308" s="73">
        <f>IF(A308="","",SUMIFS(ERFASSUNG!$J$6:$J$3005,ERFASSUNG!$A$6:$A$3005,A308))</f>
        <v/>
      </c>
      <c r="N308" s="73">
        <f>IF(A308="","",SUMIFS(ERFASSUNG!$K$6:$K$3005,ERFASSUNG!$A$6:$A$3005,A308))</f>
        <v/>
      </c>
      <c r="O308" s="73">
        <f>IF(A308="","",SUMIFS(ERFASSUNG!$L$6:$L$3005,ERFASSUNG!$A$6:$A$3005,A308))</f>
        <v/>
      </c>
      <c r="P308" s="73">
        <f>IF(A308="","",SUMIFS(ERFASSUNG!$M$6:$M$3005,ERFASSUNG!$A$6:$A$3005,A308))</f>
        <v/>
      </c>
      <c r="Q308" s="73">
        <f>IF(A308="","",SUMIFS(ERFASSUNG!$N$6:$N$3005,ERFASSUNG!$A$6:$A$3005,A308))</f>
        <v/>
      </c>
    </row>
    <row r="309">
      <c r="A309" s="72">
        <f>IF(YEAR(DATE(LISTEN!$F$2,1,1)+304)=LISTEN!$F$2,DATE(LISTEN!$F$2,1,1)+304,"")</f>
        <v/>
      </c>
      <c r="B309" s="73">
        <f>IF(A309="","",CHOOSE(WEEKDAY(A309,2),"Mo","Di","Mi","Do","Fr","Sa","So"))</f>
        <v/>
      </c>
      <c r="C309" s="73">
        <f>IF(A309="","",INT((A309-DATE(YEAR(A309-WEEKDAY(A309-1)+4),1,3)+WEEKDAY(DATE(YEAR(A309-WEEKDAY(A309-1)+4),1,3))+5)/7))</f>
        <v/>
      </c>
      <c r="D309" s="73">
        <f>IF(A309="","",MONTH(A309))</f>
        <v/>
      </c>
      <c r="E309" s="73">
        <f>IF(A309="","",WEEKDAY(A309,2))</f>
        <v/>
      </c>
      <c r="F309" s="73">
        <f>IF(A309="","",COUNTIF(ERFASSUNG!$A$6:$A$3005,A309))</f>
        <v/>
      </c>
      <c r="G309" s="73">
        <f>IF(A309="","",IF(F309&gt;0,1,0))</f>
        <v/>
      </c>
      <c r="H309" s="73">
        <f>IF(A309="","",SUMIFS(ERFASSUNG!$E$6:$E$3005,ERFASSUNG!$A$6:$A$3005,A309))</f>
        <v/>
      </c>
      <c r="I309" s="73">
        <f>IF(A309="","",SUMIFS(ERFASSUNG!$F$6:$F$3005,ERFASSUNG!$A$6:$A$3005,A309))</f>
        <v/>
      </c>
      <c r="J309" s="73">
        <f>IF(A309="","",SUMIFS(ERFASSUNG!$G$6:$G$3005,ERFASSUNG!$A$6:$A$3005,A309))</f>
        <v/>
      </c>
      <c r="K309" s="73">
        <f>IF(A309="","",SUMIFS(ERFASSUNG!$H$6:$H$3005,ERFASSUNG!$A$6:$A$3005,A309))</f>
        <v/>
      </c>
      <c r="L309" s="73">
        <f>IF(A309="","",SUMIFS(ERFASSUNG!$I$6:$I$3005,ERFASSUNG!$A$6:$A$3005,A309))</f>
        <v/>
      </c>
      <c r="M309" s="73">
        <f>IF(A309="","",SUMIFS(ERFASSUNG!$J$6:$J$3005,ERFASSUNG!$A$6:$A$3005,A309))</f>
        <v/>
      </c>
      <c r="N309" s="73">
        <f>IF(A309="","",SUMIFS(ERFASSUNG!$K$6:$K$3005,ERFASSUNG!$A$6:$A$3005,A309))</f>
        <v/>
      </c>
      <c r="O309" s="73">
        <f>IF(A309="","",SUMIFS(ERFASSUNG!$L$6:$L$3005,ERFASSUNG!$A$6:$A$3005,A309))</f>
        <v/>
      </c>
      <c r="P309" s="73">
        <f>IF(A309="","",SUMIFS(ERFASSUNG!$M$6:$M$3005,ERFASSUNG!$A$6:$A$3005,A309))</f>
        <v/>
      </c>
      <c r="Q309" s="73">
        <f>IF(A309="","",SUMIFS(ERFASSUNG!$N$6:$N$3005,ERFASSUNG!$A$6:$A$3005,A309))</f>
        <v/>
      </c>
    </row>
    <row r="310">
      <c r="A310" s="72">
        <f>IF(YEAR(DATE(LISTEN!$F$2,1,1)+305)=LISTEN!$F$2,DATE(LISTEN!$F$2,1,1)+305,"")</f>
        <v/>
      </c>
      <c r="B310" s="73">
        <f>IF(A310="","",CHOOSE(WEEKDAY(A310,2),"Mo","Di","Mi","Do","Fr","Sa","So"))</f>
        <v/>
      </c>
      <c r="C310" s="73">
        <f>IF(A310="","",INT((A310-DATE(YEAR(A310-WEEKDAY(A310-1)+4),1,3)+WEEKDAY(DATE(YEAR(A310-WEEKDAY(A310-1)+4),1,3))+5)/7))</f>
        <v/>
      </c>
      <c r="D310" s="73">
        <f>IF(A310="","",MONTH(A310))</f>
        <v/>
      </c>
      <c r="E310" s="73">
        <f>IF(A310="","",WEEKDAY(A310,2))</f>
        <v/>
      </c>
      <c r="F310" s="73">
        <f>IF(A310="","",COUNTIF(ERFASSUNG!$A$6:$A$3005,A310))</f>
        <v/>
      </c>
      <c r="G310" s="73">
        <f>IF(A310="","",IF(F310&gt;0,1,0))</f>
        <v/>
      </c>
      <c r="H310" s="73">
        <f>IF(A310="","",SUMIFS(ERFASSUNG!$E$6:$E$3005,ERFASSUNG!$A$6:$A$3005,A310))</f>
        <v/>
      </c>
      <c r="I310" s="73">
        <f>IF(A310="","",SUMIFS(ERFASSUNG!$F$6:$F$3005,ERFASSUNG!$A$6:$A$3005,A310))</f>
        <v/>
      </c>
      <c r="J310" s="73">
        <f>IF(A310="","",SUMIFS(ERFASSUNG!$G$6:$G$3005,ERFASSUNG!$A$6:$A$3005,A310))</f>
        <v/>
      </c>
      <c r="K310" s="73">
        <f>IF(A310="","",SUMIFS(ERFASSUNG!$H$6:$H$3005,ERFASSUNG!$A$6:$A$3005,A310))</f>
        <v/>
      </c>
      <c r="L310" s="73">
        <f>IF(A310="","",SUMIFS(ERFASSUNG!$I$6:$I$3005,ERFASSUNG!$A$6:$A$3005,A310))</f>
        <v/>
      </c>
      <c r="M310" s="73">
        <f>IF(A310="","",SUMIFS(ERFASSUNG!$J$6:$J$3005,ERFASSUNG!$A$6:$A$3005,A310))</f>
        <v/>
      </c>
      <c r="N310" s="73">
        <f>IF(A310="","",SUMIFS(ERFASSUNG!$K$6:$K$3005,ERFASSUNG!$A$6:$A$3005,A310))</f>
        <v/>
      </c>
      <c r="O310" s="73">
        <f>IF(A310="","",SUMIFS(ERFASSUNG!$L$6:$L$3005,ERFASSUNG!$A$6:$A$3005,A310))</f>
        <v/>
      </c>
      <c r="P310" s="73">
        <f>IF(A310="","",SUMIFS(ERFASSUNG!$M$6:$M$3005,ERFASSUNG!$A$6:$A$3005,A310))</f>
        <v/>
      </c>
      <c r="Q310" s="73">
        <f>IF(A310="","",SUMIFS(ERFASSUNG!$N$6:$N$3005,ERFASSUNG!$A$6:$A$3005,A310))</f>
        <v/>
      </c>
    </row>
    <row r="311">
      <c r="A311" s="72">
        <f>IF(YEAR(DATE(LISTEN!$F$2,1,1)+306)=LISTEN!$F$2,DATE(LISTEN!$F$2,1,1)+306,"")</f>
        <v/>
      </c>
      <c r="B311" s="73">
        <f>IF(A311="","",CHOOSE(WEEKDAY(A311,2),"Mo","Di","Mi","Do","Fr","Sa","So"))</f>
        <v/>
      </c>
      <c r="C311" s="73">
        <f>IF(A311="","",INT((A311-DATE(YEAR(A311-WEEKDAY(A311-1)+4),1,3)+WEEKDAY(DATE(YEAR(A311-WEEKDAY(A311-1)+4),1,3))+5)/7))</f>
        <v/>
      </c>
      <c r="D311" s="73">
        <f>IF(A311="","",MONTH(A311))</f>
        <v/>
      </c>
      <c r="E311" s="73">
        <f>IF(A311="","",WEEKDAY(A311,2))</f>
        <v/>
      </c>
      <c r="F311" s="73">
        <f>IF(A311="","",COUNTIF(ERFASSUNG!$A$6:$A$3005,A311))</f>
        <v/>
      </c>
      <c r="G311" s="73">
        <f>IF(A311="","",IF(F311&gt;0,1,0))</f>
        <v/>
      </c>
      <c r="H311" s="73">
        <f>IF(A311="","",SUMIFS(ERFASSUNG!$E$6:$E$3005,ERFASSUNG!$A$6:$A$3005,A311))</f>
        <v/>
      </c>
      <c r="I311" s="73">
        <f>IF(A311="","",SUMIFS(ERFASSUNG!$F$6:$F$3005,ERFASSUNG!$A$6:$A$3005,A311))</f>
        <v/>
      </c>
      <c r="J311" s="73">
        <f>IF(A311="","",SUMIFS(ERFASSUNG!$G$6:$G$3005,ERFASSUNG!$A$6:$A$3005,A311))</f>
        <v/>
      </c>
      <c r="K311" s="73">
        <f>IF(A311="","",SUMIFS(ERFASSUNG!$H$6:$H$3005,ERFASSUNG!$A$6:$A$3005,A311))</f>
        <v/>
      </c>
      <c r="L311" s="73">
        <f>IF(A311="","",SUMIFS(ERFASSUNG!$I$6:$I$3005,ERFASSUNG!$A$6:$A$3005,A311))</f>
        <v/>
      </c>
      <c r="M311" s="73">
        <f>IF(A311="","",SUMIFS(ERFASSUNG!$J$6:$J$3005,ERFASSUNG!$A$6:$A$3005,A311))</f>
        <v/>
      </c>
      <c r="N311" s="73">
        <f>IF(A311="","",SUMIFS(ERFASSUNG!$K$6:$K$3005,ERFASSUNG!$A$6:$A$3005,A311))</f>
        <v/>
      </c>
      <c r="O311" s="73">
        <f>IF(A311="","",SUMIFS(ERFASSUNG!$L$6:$L$3005,ERFASSUNG!$A$6:$A$3005,A311))</f>
        <v/>
      </c>
      <c r="P311" s="73">
        <f>IF(A311="","",SUMIFS(ERFASSUNG!$M$6:$M$3005,ERFASSUNG!$A$6:$A$3005,A311))</f>
        <v/>
      </c>
      <c r="Q311" s="73">
        <f>IF(A311="","",SUMIFS(ERFASSUNG!$N$6:$N$3005,ERFASSUNG!$A$6:$A$3005,A311))</f>
        <v/>
      </c>
    </row>
    <row r="312">
      <c r="A312" s="72">
        <f>IF(YEAR(DATE(LISTEN!$F$2,1,1)+307)=LISTEN!$F$2,DATE(LISTEN!$F$2,1,1)+307,"")</f>
        <v/>
      </c>
      <c r="B312" s="73">
        <f>IF(A312="","",CHOOSE(WEEKDAY(A312,2),"Mo","Di","Mi","Do","Fr","Sa","So"))</f>
        <v/>
      </c>
      <c r="C312" s="73">
        <f>IF(A312="","",INT((A312-DATE(YEAR(A312-WEEKDAY(A312-1)+4),1,3)+WEEKDAY(DATE(YEAR(A312-WEEKDAY(A312-1)+4),1,3))+5)/7))</f>
        <v/>
      </c>
      <c r="D312" s="73">
        <f>IF(A312="","",MONTH(A312))</f>
        <v/>
      </c>
      <c r="E312" s="73">
        <f>IF(A312="","",WEEKDAY(A312,2))</f>
        <v/>
      </c>
      <c r="F312" s="73">
        <f>IF(A312="","",COUNTIF(ERFASSUNG!$A$6:$A$3005,A312))</f>
        <v/>
      </c>
      <c r="G312" s="73">
        <f>IF(A312="","",IF(F312&gt;0,1,0))</f>
        <v/>
      </c>
      <c r="H312" s="73">
        <f>IF(A312="","",SUMIFS(ERFASSUNG!$E$6:$E$3005,ERFASSUNG!$A$6:$A$3005,A312))</f>
        <v/>
      </c>
      <c r="I312" s="73">
        <f>IF(A312="","",SUMIFS(ERFASSUNG!$F$6:$F$3005,ERFASSUNG!$A$6:$A$3005,A312))</f>
        <v/>
      </c>
      <c r="J312" s="73">
        <f>IF(A312="","",SUMIFS(ERFASSUNG!$G$6:$G$3005,ERFASSUNG!$A$6:$A$3005,A312))</f>
        <v/>
      </c>
      <c r="K312" s="73">
        <f>IF(A312="","",SUMIFS(ERFASSUNG!$H$6:$H$3005,ERFASSUNG!$A$6:$A$3005,A312))</f>
        <v/>
      </c>
      <c r="L312" s="73">
        <f>IF(A312="","",SUMIFS(ERFASSUNG!$I$6:$I$3005,ERFASSUNG!$A$6:$A$3005,A312))</f>
        <v/>
      </c>
      <c r="M312" s="73">
        <f>IF(A312="","",SUMIFS(ERFASSUNG!$J$6:$J$3005,ERFASSUNG!$A$6:$A$3005,A312))</f>
        <v/>
      </c>
      <c r="N312" s="73">
        <f>IF(A312="","",SUMIFS(ERFASSUNG!$K$6:$K$3005,ERFASSUNG!$A$6:$A$3005,A312))</f>
        <v/>
      </c>
      <c r="O312" s="73">
        <f>IF(A312="","",SUMIFS(ERFASSUNG!$L$6:$L$3005,ERFASSUNG!$A$6:$A$3005,A312))</f>
        <v/>
      </c>
      <c r="P312" s="73">
        <f>IF(A312="","",SUMIFS(ERFASSUNG!$M$6:$M$3005,ERFASSUNG!$A$6:$A$3005,A312))</f>
        <v/>
      </c>
      <c r="Q312" s="73">
        <f>IF(A312="","",SUMIFS(ERFASSUNG!$N$6:$N$3005,ERFASSUNG!$A$6:$A$3005,A312))</f>
        <v/>
      </c>
    </row>
    <row r="313">
      <c r="A313" s="72">
        <f>IF(YEAR(DATE(LISTEN!$F$2,1,1)+308)=LISTEN!$F$2,DATE(LISTEN!$F$2,1,1)+308,"")</f>
        <v/>
      </c>
      <c r="B313" s="73">
        <f>IF(A313="","",CHOOSE(WEEKDAY(A313,2),"Mo","Di","Mi","Do","Fr","Sa","So"))</f>
        <v/>
      </c>
      <c r="C313" s="73">
        <f>IF(A313="","",INT((A313-DATE(YEAR(A313-WEEKDAY(A313-1)+4),1,3)+WEEKDAY(DATE(YEAR(A313-WEEKDAY(A313-1)+4),1,3))+5)/7))</f>
        <v/>
      </c>
      <c r="D313" s="73">
        <f>IF(A313="","",MONTH(A313))</f>
        <v/>
      </c>
      <c r="E313" s="73">
        <f>IF(A313="","",WEEKDAY(A313,2))</f>
        <v/>
      </c>
      <c r="F313" s="73">
        <f>IF(A313="","",COUNTIF(ERFASSUNG!$A$6:$A$3005,A313))</f>
        <v/>
      </c>
      <c r="G313" s="73">
        <f>IF(A313="","",IF(F313&gt;0,1,0))</f>
        <v/>
      </c>
      <c r="H313" s="73">
        <f>IF(A313="","",SUMIFS(ERFASSUNG!$E$6:$E$3005,ERFASSUNG!$A$6:$A$3005,A313))</f>
        <v/>
      </c>
      <c r="I313" s="73">
        <f>IF(A313="","",SUMIFS(ERFASSUNG!$F$6:$F$3005,ERFASSUNG!$A$6:$A$3005,A313))</f>
        <v/>
      </c>
      <c r="J313" s="73">
        <f>IF(A313="","",SUMIFS(ERFASSUNG!$G$6:$G$3005,ERFASSUNG!$A$6:$A$3005,A313))</f>
        <v/>
      </c>
      <c r="K313" s="73">
        <f>IF(A313="","",SUMIFS(ERFASSUNG!$H$6:$H$3005,ERFASSUNG!$A$6:$A$3005,A313))</f>
        <v/>
      </c>
      <c r="L313" s="73">
        <f>IF(A313="","",SUMIFS(ERFASSUNG!$I$6:$I$3005,ERFASSUNG!$A$6:$A$3005,A313))</f>
        <v/>
      </c>
      <c r="M313" s="73">
        <f>IF(A313="","",SUMIFS(ERFASSUNG!$J$6:$J$3005,ERFASSUNG!$A$6:$A$3005,A313))</f>
        <v/>
      </c>
      <c r="N313" s="73">
        <f>IF(A313="","",SUMIFS(ERFASSUNG!$K$6:$K$3005,ERFASSUNG!$A$6:$A$3005,A313))</f>
        <v/>
      </c>
      <c r="O313" s="73">
        <f>IF(A313="","",SUMIFS(ERFASSUNG!$L$6:$L$3005,ERFASSUNG!$A$6:$A$3005,A313))</f>
        <v/>
      </c>
      <c r="P313" s="73">
        <f>IF(A313="","",SUMIFS(ERFASSUNG!$M$6:$M$3005,ERFASSUNG!$A$6:$A$3005,A313))</f>
        <v/>
      </c>
      <c r="Q313" s="73">
        <f>IF(A313="","",SUMIFS(ERFASSUNG!$N$6:$N$3005,ERFASSUNG!$A$6:$A$3005,A313))</f>
        <v/>
      </c>
    </row>
    <row r="314">
      <c r="A314" s="72">
        <f>IF(YEAR(DATE(LISTEN!$F$2,1,1)+309)=LISTEN!$F$2,DATE(LISTEN!$F$2,1,1)+309,"")</f>
        <v/>
      </c>
      <c r="B314" s="73">
        <f>IF(A314="","",CHOOSE(WEEKDAY(A314,2),"Mo","Di","Mi","Do","Fr","Sa","So"))</f>
        <v/>
      </c>
      <c r="C314" s="73">
        <f>IF(A314="","",INT((A314-DATE(YEAR(A314-WEEKDAY(A314-1)+4),1,3)+WEEKDAY(DATE(YEAR(A314-WEEKDAY(A314-1)+4),1,3))+5)/7))</f>
        <v/>
      </c>
      <c r="D314" s="73">
        <f>IF(A314="","",MONTH(A314))</f>
        <v/>
      </c>
      <c r="E314" s="73">
        <f>IF(A314="","",WEEKDAY(A314,2))</f>
        <v/>
      </c>
      <c r="F314" s="73">
        <f>IF(A314="","",COUNTIF(ERFASSUNG!$A$6:$A$3005,A314))</f>
        <v/>
      </c>
      <c r="G314" s="73">
        <f>IF(A314="","",IF(F314&gt;0,1,0))</f>
        <v/>
      </c>
      <c r="H314" s="73">
        <f>IF(A314="","",SUMIFS(ERFASSUNG!$E$6:$E$3005,ERFASSUNG!$A$6:$A$3005,A314))</f>
        <v/>
      </c>
      <c r="I314" s="73">
        <f>IF(A314="","",SUMIFS(ERFASSUNG!$F$6:$F$3005,ERFASSUNG!$A$6:$A$3005,A314))</f>
        <v/>
      </c>
      <c r="J314" s="73">
        <f>IF(A314="","",SUMIFS(ERFASSUNG!$G$6:$G$3005,ERFASSUNG!$A$6:$A$3005,A314))</f>
        <v/>
      </c>
      <c r="K314" s="73">
        <f>IF(A314="","",SUMIFS(ERFASSUNG!$H$6:$H$3005,ERFASSUNG!$A$6:$A$3005,A314))</f>
        <v/>
      </c>
      <c r="L314" s="73">
        <f>IF(A314="","",SUMIFS(ERFASSUNG!$I$6:$I$3005,ERFASSUNG!$A$6:$A$3005,A314))</f>
        <v/>
      </c>
      <c r="M314" s="73">
        <f>IF(A314="","",SUMIFS(ERFASSUNG!$J$6:$J$3005,ERFASSUNG!$A$6:$A$3005,A314))</f>
        <v/>
      </c>
      <c r="N314" s="73">
        <f>IF(A314="","",SUMIFS(ERFASSUNG!$K$6:$K$3005,ERFASSUNG!$A$6:$A$3005,A314))</f>
        <v/>
      </c>
      <c r="O314" s="73">
        <f>IF(A314="","",SUMIFS(ERFASSUNG!$L$6:$L$3005,ERFASSUNG!$A$6:$A$3005,A314))</f>
        <v/>
      </c>
      <c r="P314" s="73">
        <f>IF(A314="","",SUMIFS(ERFASSUNG!$M$6:$M$3005,ERFASSUNG!$A$6:$A$3005,A314))</f>
        <v/>
      </c>
      <c r="Q314" s="73">
        <f>IF(A314="","",SUMIFS(ERFASSUNG!$N$6:$N$3005,ERFASSUNG!$A$6:$A$3005,A314))</f>
        <v/>
      </c>
    </row>
    <row r="315">
      <c r="A315" s="72">
        <f>IF(YEAR(DATE(LISTEN!$F$2,1,1)+310)=LISTEN!$F$2,DATE(LISTEN!$F$2,1,1)+310,"")</f>
        <v/>
      </c>
      <c r="B315" s="73">
        <f>IF(A315="","",CHOOSE(WEEKDAY(A315,2),"Mo","Di","Mi","Do","Fr","Sa","So"))</f>
        <v/>
      </c>
      <c r="C315" s="73">
        <f>IF(A315="","",INT((A315-DATE(YEAR(A315-WEEKDAY(A315-1)+4),1,3)+WEEKDAY(DATE(YEAR(A315-WEEKDAY(A315-1)+4),1,3))+5)/7))</f>
        <v/>
      </c>
      <c r="D315" s="73">
        <f>IF(A315="","",MONTH(A315))</f>
        <v/>
      </c>
      <c r="E315" s="73">
        <f>IF(A315="","",WEEKDAY(A315,2))</f>
        <v/>
      </c>
      <c r="F315" s="73">
        <f>IF(A315="","",COUNTIF(ERFASSUNG!$A$6:$A$3005,A315))</f>
        <v/>
      </c>
      <c r="G315" s="73">
        <f>IF(A315="","",IF(F315&gt;0,1,0))</f>
        <v/>
      </c>
      <c r="H315" s="73">
        <f>IF(A315="","",SUMIFS(ERFASSUNG!$E$6:$E$3005,ERFASSUNG!$A$6:$A$3005,A315))</f>
        <v/>
      </c>
      <c r="I315" s="73">
        <f>IF(A315="","",SUMIFS(ERFASSUNG!$F$6:$F$3005,ERFASSUNG!$A$6:$A$3005,A315))</f>
        <v/>
      </c>
      <c r="J315" s="73">
        <f>IF(A315="","",SUMIFS(ERFASSUNG!$G$6:$G$3005,ERFASSUNG!$A$6:$A$3005,A315))</f>
        <v/>
      </c>
      <c r="K315" s="73">
        <f>IF(A315="","",SUMIFS(ERFASSUNG!$H$6:$H$3005,ERFASSUNG!$A$6:$A$3005,A315))</f>
        <v/>
      </c>
      <c r="L315" s="73">
        <f>IF(A315="","",SUMIFS(ERFASSUNG!$I$6:$I$3005,ERFASSUNG!$A$6:$A$3005,A315))</f>
        <v/>
      </c>
      <c r="M315" s="73">
        <f>IF(A315="","",SUMIFS(ERFASSUNG!$J$6:$J$3005,ERFASSUNG!$A$6:$A$3005,A315))</f>
        <v/>
      </c>
      <c r="N315" s="73">
        <f>IF(A315="","",SUMIFS(ERFASSUNG!$K$6:$K$3005,ERFASSUNG!$A$6:$A$3005,A315))</f>
        <v/>
      </c>
      <c r="O315" s="73">
        <f>IF(A315="","",SUMIFS(ERFASSUNG!$L$6:$L$3005,ERFASSUNG!$A$6:$A$3005,A315))</f>
        <v/>
      </c>
      <c r="P315" s="73">
        <f>IF(A315="","",SUMIFS(ERFASSUNG!$M$6:$M$3005,ERFASSUNG!$A$6:$A$3005,A315))</f>
        <v/>
      </c>
      <c r="Q315" s="73">
        <f>IF(A315="","",SUMIFS(ERFASSUNG!$N$6:$N$3005,ERFASSUNG!$A$6:$A$3005,A315))</f>
        <v/>
      </c>
    </row>
    <row r="316">
      <c r="A316" s="72">
        <f>IF(YEAR(DATE(LISTEN!$F$2,1,1)+311)=LISTEN!$F$2,DATE(LISTEN!$F$2,1,1)+311,"")</f>
        <v/>
      </c>
      <c r="B316" s="73">
        <f>IF(A316="","",CHOOSE(WEEKDAY(A316,2),"Mo","Di","Mi","Do","Fr","Sa","So"))</f>
        <v/>
      </c>
      <c r="C316" s="73">
        <f>IF(A316="","",INT((A316-DATE(YEAR(A316-WEEKDAY(A316-1)+4),1,3)+WEEKDAY(DATE(YEAR(A316-WEEKDAY(A316-1)+4),1,3))+5)/7))</f>
        <v/>
      </c>
      <c r="D316" s="73">
        <f>IF(A316="","",MONTH(A316))</f>
        <v/>
      </c>
      <c r="E316" s="73">
        <f>IF(A316="","",WEEKDAY(A316,2))</f>
        <v/>
      </c>
      <c r="F316" s="73">
        <f>IF(A316="","",COUNTIF(ERFASSUNG!$A$6:$A$3005,A316))</f>
        <v/>
      </c>
      <c r="G316" s="73">
        <f>IF(A316="","",IF(F316&gt;0,1,0))</f>
        <v/>
      </c>
      <c r="H316" s="73">
        <f>IF(A316="","",SUMIFS(ERFASSUNG!$E$6:$E$3005,ERFASSUNG!$A$6:$A$3005,A316))</f>
        <v/>
      </c>
      <c r="I316" s="73">
        <f>IF(A316="","",SUMIFS(ERFASSUNG!$F$6:$F$3005,ERFASSUNG!$A$6:$A$3005,A316))</f>
        <v/>
      </c>
      <c r="J316" s="73">
        <f>IF(A316="","",SUMIFS(ERFASSUNG!$G$6:$G$3005,ERFASSUNG!$A$6:$A$3005,A316))</f>
        <v/>
      </c>
      <c r="K316" s="73">
        <f>IF(A316="","",SUMIFS(ERFASSUNG!$H$6:$H$3005,ERFASSUNG!$A$6:$A$3005,A316))</f>
        <v/>
      </c>
      <c r="L316" s="73">
        <f>IF(A316="","",SUMIFS(ERFASSUNG!$I$6:$I$3005,ERFASSUNG!$A$6:$A$3005,A316))</f>
        <v/>
      </c>
      <c r="M316" s="73">
        <f>IF(A316="","",SUMIFS(ERFASSUNG!$J$6:$J$3005,ERFASSUNG!$A$6:$A$3005,A316))</f>
        <v/>
      </c>
      <c r="N316" s="73">
        <f>IF(A316="","",SUMIFS(ERFASSUNG!$K$6:$K$3005,ERFASSUNG!$A$6:$A$3005,A316))</f>
        <v/>
      </c>
      <c r="O316" s="73">
        <f>IF(A316="","",SUMIFS(ERFASSUNG!$L$6:$L$3005,ERFASSUNG!$A$6:$A$3005,A316))</f>
        <v/>
      </c>
      <c r="P316" s="73">
        <f>IF(A316="","",SUMIFS(ERFASSUNG!$M$6:$M$3005,ERFASSUNG!$A$6:$A$3005,A316))</f>
        <v/>
      </c>
      <c r="Q316" s="73">
        <f>IF(A316="","",SUMIFS(ERFASSUNG!$N$6:$N$3005,ERFASSUNG!$A$6:$A$3005,A316))</f>
        <v/>
      </c>
    </row>
    <row r="317">
      <c r="A317" s="72">
        <f>IF(YEAR(DATE(LISTEN!$F$2,1,1)+312)=LISTEN!$F$2,DATE(LISTEN!$F$2,1,1)+312,"")</f>
        <v/>
      </c>
      <c r="B317" s="73">
        <f>IF(A317="","",CHOOSE(WEEKDAY(A317,2),"Mo","Di","Mi","Do","Fr","Sa","So"))</f>
        <v/>
      </c>
      <c r="C317" s="73">
        <f>IF(A317="","",INT((A317-DATE(YEAR(A317-WEEKDAY(A317-1)+4),1,3)+WEEKDAY(DATE(YEAR(A317-WEEKDAY(A317-1)+4),1,3))+5)/7))</f>
        <v/>
      </c>
      <c r="D317" s="73">
        <f>IF(A317="","",MONTH(A317))</f>
        <v/>
      </c>
      <c r="E317" s="73">
        <f>IF(A317="","",WEEKDAY(A317,2))</f>
        <v/>
      </c>
      <c r="F317" s="73">
        <f>IF(A317="","",COUNTIF(ERFASSUNG!$A$6:$A$3005,A317))</f>
        <v/>
      </c>
      <c r="G317" s="73">
        <f>IF(A317="","",IF(F317&gt;0,1,0))</f>
        <v/>
      </c>
      <c r="H317" s="73">
        <f>IF(A317="","",SUMIFS(ERFASSUNG!$E$6:$E$3005,ERFASSUNG!$A$6:$A$3005,A317))</f>
        <v/>
      </c>
      <c r="I317" s="73">
        <f>IF(A317="","",SUMIFS(ERFASSUNG!$F$6:$F$3005,ERFASSUNG!$A$6:$A$3005,A317))</f>
        <v/>
      </c>
      <c r="J317" s="73">
        <f>IF(A317="","",SUMIFS(ERFASSUNG!$G$6:$G$3005,ERFASSUNG!$A$6:$A$3005,A317))</f>
        <v/>
      </c>
      <c r="K317" s="73">
        <f>IF(A317="","",SUMIFS(ERFASSUNG!$H$6:$H$3005,ERFASSUNG!$A$6:$A$3005,A317))</f>
        <v/>
      </c>
      <c r="L317" s="73">
        <f>IF(A317="","",SUMIFS(ERFASSUNG!$I$6:$I$3005,ERFASSUNG!$A$6:$A$3005,A317))</f>
        <v/>
      </c>
      <c r="M317" s="73">
        <f>IF(A317="","",SUMIFS(ERFASSUNG!$J$6:$J$3005,ERFASSUNG!$A$6:$A$3005,A317))</f>
        <v/>
      </c>
      <c r="N317" s="73">
        <f>IF(A317="","",SUMIFS(ERFASSUNG!$K$6:$K$3005,ERFASSUNG!$A$6:$A$3005,A317))</f>
        <v/>
      </c>
      <c r="O317" s="73">
        <f>IF(A317="","",SUMIFS(ERFASSUNG!$L$6:$L$3005,ERFASSUNG!$A$6:$A$3005,A317))</f>
        <v/>
      </c>
      <c r="P317" s="73">
        <f>IF(A317="","",SUMIFS(ERFASSUNG!$M$6:$M$3005,ERFASSUNG!$A$6:$A$3005,A317))</f>
        <v/>
      </c>
      <c r="Q317" s="73">
        <f>IF(A317="","",SUMIFS(ERFASSUNG!$N$6:$N$3005,ERFASSUNG!$A$6:$A$3005,A317))</f>
        <v/>
      </c>
    </row>
    <row r="318">
      <c r="A318" s="72">
        <f>IF(YEAR(DATE(LISTEN!$F$2,1,1)+313)=LISTEN!$F$2,DATE(LISTEN!$F$2,1,1)+313,"")</f>
        <v/>
      </c>
      <c r="B318" s="73">
        <f>IF(A318="","",CHOOSE(WEEKDAY(A318,2),"Mo","Di","Mi","Do","Fr","Sa","So"))</f>
        <v/>
      </c>
      <c r="C318" s="73">
        <f>IF(A318="","",INT((A318-DATE(YEAR(A318-WEEKDAY(A318-1)+4),1,3)+WEEKDAY(DATE(YEAR(A318-WEEKDAY(A318-1)+4),1,3))+5)/7))</f>
        <v/>
      </c>
      <c r="D318" s="73">
        <f>IF(A318="","",MONTH(A318))</f>
        <v/>
      </c>
      <c r="E318" s="73">
        <f>IF(A318="","",WEEKDAY(A318,2))</f>
        <v/>
      </c>
      <c r="F318" s="73">
        <f>IF(A318="","",COUNTIF(ERFASSUNG!$A$6:$A$3005,A318))</f>
        <v/>
      </c>
      <c r="G318" s="73">
        <f>IF(A318="","",IF(F318&gt;0,1,0))</f>
        <v/>
      </c>
      <c r="H318" s="73">
        <f>IF(A318="","",SUMIFS(ERFASSUNG!$E$6:$E$3005,ERFASSUNG!$A$6:$A$3005,A318))</f>
        <v/>
      </c>
      <c r="I318" s="73">
        <f>IF(A318="","",SUMIFS(ERFASSUNG!$F$6:$F$3005,ERFASSUNG!$A$6:$A$3005,A318))</f>
        <v/>
      </c>
      <c r="J318" s="73">
        <f>IF(A318="","",SUMIFS(ERFASSUNG!$G$6:$G$3005,ERFASSUNG!$A$6:$A$3005,A318))</f>
        <v/>
      </c>
      <c r="K318" s="73">
        <f>IF(A318="","",SUMIFS(ERFASSUNG!$H$6:$H$3005,ERFASSUNG!$A$6:$A$3005,A318))</f>
        <v/>
      </c>
      <c r="L318" s="73">
        <f>IF(A318="","",SUMIFS(ERFASSUNG!$I$6:$I$3005,ERFASSUNG!$A$6:$A$3005,A318))</f>
        <v/>
      </c>
      <c r="M318" s="73">
        <f>IF(A318="","",SUMIFS(ERFASSUNG!$J$6:$J$3005,ERFASSUNG!$A$6:$A$3005,A318))</f>
        <v/>
      </c>
      <c r="N318" s="73">
        <f>IF(A318="","",SUMIFS(ERFASSUNG!$K$6:$K$3005,ERFASSUNG!$A$6:$A$3005,A318))</f>
        <v/>
      </c>
      <c r="O318" s="73">
        <f>IF(A318="","",SUMIFS(ERFASSUNG!$L$6:$L$3005,ERFASSUNG!$A$6:$A$3005,A318))</f>
        <v/>
      </c>
      <c r="P318" s="73">
        <f>IF(A318="","",SUMIFS(ERFASSUNG!$M$6:$M$3005,ERFASSUNG!$A$6:$A$3005,A318))</f>
        <v/>
      </c>
      <c r="Q318" s="73">
        <f>IF(A318="","",SUMIFS(ERFASSUNG!$N$6:$N$3005,ERFASSUNG!$A$6:$A$3005,A318))</f>
        <v/>
      </c>
    </row>
    <row r="319">
      <c r="A319" s="72">
        <f>IF(YEAR(DATE(LISTEN!$F$2,1,1)+314)=LISTEN!$F$2,DATE(LISTEN!$F$2,1,1)+314,"")</f>
        <v/>
      </c>
      <c r="B319" s="73">
        <f>IF(A319="","",CHOOSE(WEEKDAY(A319,2),"Mo","Di","Mi","Do","Fr","Sa","So"))</f>
        <v/>
      </c>
      <c r="C319" s="73">
        <f>IF(A319="","",INT((A319-DATE(YEAR(A319-WEEKDAY(A319-1)+4),1,3)+WEEKDAY(DATE(YEAR(A319-WEEKDAY(A319-1)+4),1,3))+5)/7))</f>
        <v/>
      </c>
      <c r="D319" s="73">
        <f>IF(A319="","",MONTH(A319))</f>
        <v/>
      </c>
      <c r="E319" s="73">
        <f>IF(A319="","",WEEKDAY(A319,2))</f>
        <v/>
      </c>
      <c r="F319" s="73">
        <f>IF(A319="","",COUNTIF(ERFASSUNG!$A$6:$A$3005,A319))</f>
        <v/>
      </c>
      <c r="G319" s="73">
        <f>IF(A319="","",IF(F319&gt;0,1,0))</f>
        <v/>
      </c>
      <c r="H319" s="73">
        <f>IF(A319="","",SUMIFS(ERFASSUNG!$E$6:$E$3005,ERFASSUNG!$A$6:$A$3005,A319))</f>
        <v/>
      </c>
      <c r="I319" s="73">
        <f>IF(A319="","",SUMIFS(ERFASSUNG!$F$6:$F$3005,ERFASSUNG!$A$6:$A$3005,A319))</f>
        <v/>
      </c>
      <c r="J319" s="73">
        <f>IF(A319="","",SUMIFS(ERFASSUNG!$G$6:$G$3005,ERFASSUNG!$A$6:$A$3005,A319))</f>
        <v/>
      </c>
      <c r="K319" s="73">
        <f>IF(A319="","",SUMIFS(ERFASSUNG!$H$6:$H$3005,ERFASSUNG!$A$6:$A$3005,A319))</f>
        <v/>
      </c>
      <c r="L319" s="73">
        <f>IF(A319="","",SUMIFS(ERFASSUNG!$I$6:$I$3005,ERFASSUNG!$A$6:$A$3005,A319))</f>
        <v/>
      </c>
      <c r="M319" s="73">
        <f>IF(A319="","",SUMIFS(ERFASSUNG!$J$6:$J$3005,ERFASSUNG!$A$6:$A$3005,A319))</f>
        <v/>
      </c>
      <c r="N319" s="73">
        <f>IF(A319="","",SUMIFS(ERFASSUNG!$K$6:$K$3005,ERFASSUNG!$A$6:$A$3005,A319))</f>
        <v/>
      </c>
      <c r="O319" s="73">
        <f>IF(A319="","",SUMIFS(ERFASSUNG!$L$6:$L$3005,ERFASSUNG!$A$6:$A$3005,A319))</f>
        <v/>
      </c>
      <c r="P319" s="73">
        <f>IF(A319="","",SUMIFS(ERFASSUNG!$M$6:$M$3005,ERFASSUNG!$A$6:$A$3005,A319))</f>
        <v/>
      </c>
      <c r="Q319" s="73">
        <f>IF(A319="","",SUMIFS(ERFASSUNG!$N$6:$N$3005,ERFASSUNG!$A$6:$A$3005,A319))</f>
        <v/>
      </c>
    </row>
    <row r="320">
      <c r="A320" s="72">
        <f>IF(YEAR(DATE(LISTEN!$F$2,1,1)+315)=LISTEN!$F$2,DATE(LISTEN!$F$2,1,1)+315,"")</f>
        <v/>
      </c>
      <c r="B320" s="73">
        <f>IF(A320="","",CHOOSE(WEEKDAY(A320,2),"Mo","Di","Mi","Do","Fr","Sa","So"))</f>
        <v/>
      </c>
      <c r="C320" s="73">
        <f>IF(A320="","",INT((A320-DATE(YEAR(A320-WEEKDAY(A320-1)+4),1,3)+WEEKDAY(DATE(YEAR(A320-WEEKDAY(A320-1)+4),1,3))+5)/7))</f>
        <v/>
      </c>
      <c r="D320" s="73">
        <f>IF(A320="","",MONTH(A320))</f>
        <v/>
      </c>
      <c r="E320" s="73">
        <f>IF(A320="","",WEEKDAY(A320,2))</f>
        <v/>
      </c>
      <c r="F320" s="73">
        <f>IF(A320="","",COUNTIF(ERFASSUNG!$A$6:$A$3005,A320))</f>
        <v/>
      </c>
      <c r="G320" s="73">
        <f>IF(A320="","",IF(F320&gt;0,1,0))</f>
        <v/>
      </c>
      <c r="H320" s="73">
        <f>IF(A320="","",SUMIFS(ERFASSUNG!$E$6:$E$3005,ERFASSUNG!$A$6:$A$3005,A320))</f>
        <v/>
      </c>
      <c r="I320" s="73">
        <f>IF(A320="","",SUMIFS(ERFASSUNG!$F$6:$F$3005,ERFASSUNG!$A$6:$A$3005,A320))</f>
        <v/>
      </c>
      <c r="J320" s="73">
        <f>IF(A320="","",SUMIFS(ERFASSUNG!$G$6:$G$3005,ERFASSUNG!$A$6:$A$3005,A320))</f>
        <v/>
      </c>
      <c r="K320" s="73">
        <f>IF(A320="","",SUMIFS(ERFASSUNG!$H$6:$H$3005,ERFASSUNG!$A$6:$A$3005,A320))</f>
        <v/>
      </c>
      <c r="L320" s="73">
        <f>IF(A320="","",SUMIFS(ERFASSUNG!$I$6:$I$3005,ERFASSUNG!$A$6:$A$3005,A320))</f>
        <v/>
      </c>
      <c r="M320" s="73">
        <f>IF(A320="","",SUMIFS(ERFASSUNG!$J$6:$J$3005,ERFASSUNG!$A$6:$A$3005,A320))</f>
        <v/>
      </c>
      <c r="N320" s="73">
        <f>IF(A320="","",SUMIFS(ERFASSUNG!$K$6:$K$3005,ERFASSUNG!$A$6:$A$3005,A320))</f>
        <v/>
      </c>
      <c r="O320" s="73">
        <f>IF(A320="","",SUMIFS(ERFASSUNG!$L$6:$L$3005,ERFASSUNG!$A$6:$A$3005,A320))</f>
        <v/>
      </c>
      <c r="P320" s="73">
        <f>IF(A320="","",SUMIFS(ERFASSUNG!$M$6:$M$3005,ERFASSUNG!$A$6:$A$3005,A320))</f>
        <v/>
      </c>
      <c r="Q320" s="73">
        <f>IF(A320="","",SUMIFS(ERFASSUNG!$N$6:$N$3005,ERFASSUNG!$A$6:$A$3005,A320))</f>
        <v/>
      </c>
    </row>
    <row r="321">
      <c r="A321" s="72">
        <f>IF(YEAR(DATE(LISTEN!$F$2,1,1)+316)=LISTEN!$F$2,DATE(LISTEN!$F$2,1,1)+316,"")</f>
        <v/>
      </c>
      <c r="B321" s="73">
        <f>IF(A321="","",CHOOSE(WEEKDAY(A321,2),"Mo","Di","Mi","Do","Fr","Sa","So"))</f>
        <v/>
      </c>
      <c r="C321" s="73">
        <f>IF(A321="","",INT((A321-DATE(YEAR(A321-WEEKDAY(A321-1)+4),1,3)+WEEKDAY(DATE(YEAR(A321-WEEKDAY(A321-1)+4),1,3))+5)/7))</f>
        <v/>
      </c>
      <c r="D321" s="73">
        <f>IF(A321="","",MONTH(A321))</f>
        <v/>
      </c>
      <c r="E321" s="73">
        <f>IF(A321="","",WEEKDAY(A321,2))</f>
        <v/>
      </c>
      <c r="F321" s="73">
        <f>IF(A321="","",COUNTIF(ERFASSUNG!$A$6:$A$3005,A321))</f>
        <v/>
      </c>
      <c r="G321" s="73">
        <f>IF(A321="","",IF(F321&gt;0,1,0))</f>
        <v/>
      </c>
      <c r="H321" s="73">
        <f>IF(A321="","",SUMIFS(ERFASSUNG!$E$6:$E$3005,ERFASSUNG!$A$6:$A$3005,A321))</f>
        <v/>
      </c>
      <c r="I321" s="73">
        <f>IF(A321="","",SUMIFS(ERFASSUNG!$F$6:$F$3005,ERFASSUNG!$A$6:$A$3005,A321))</f>
        <v/>
      </c>
      <c r="J321" s="73">
        <f>IF(A321="","",SUMIFS(ERFASSUNG!$G$6:$G$3005,ERFASSUNG!$A$6:$A$3005,A321))</f>
        <v/>
      </c>
      <c r="K321" s="73">
        <f>IF(A321="","",SUMIFS(ERFASSUNG!$H$6:$H$3005,ERFASSUNG!$A$6:$A$3005,A321))</f>
        <v/>
      </c>
      <c r="L321" s="73">
        <f>IF(A321="","",SUMIFS(ERFASSUNG!$I$6:$I$3005,ERFASSUNG!$A$6:$A$3005,A321))</f>
        <v/>
      </c>
      <c r="M321" s="73">
        <f>IF(A321="","",SUMIFS(ERFASSUNG!$J$6:$J$3005,ERFASSUNG!$A$6:$A$3005,A321))</f>
        <v/>
      </c>
      <c r="N321" s="73">
        <f>IF(A321="","",SUMIFS(ERFASSUNG!$K$6:$K$3005,ERFASSUNG!$A$6:$A$3005,A321))</f>
        <v/>
      </c>
      <c r="O321" s="73">
        <f>IF(A321="","",SUMIFS(ERFASSUNG!$L$6:$L$3005,ERFASSUNG!$A$6:$A$3005,A321))</f>
        <v/>
      </c>
      <c r="P321" s="73">
        <f>IF(A321="","",SUMIFS(ERFASSUNG!$M$6:$M$3005,ERFASSUNG!$A$6:$A$3005,A321))</f>
        <v/>
      </c>
      <c r="Q321" s="73">
        <f>IF(A321="","",SUMIFS(ERFASSUNG!$N$6:$N$3005,ERFASSUNG!$A$6:$A$3005,A321))</f>
        <v/>
      </c>
    </row>
    <row r="322">
      <c r="A322" s="72">
        <f>IF(YEAR(DATE(LISTEN!$F$2,1,1)+317)=LISTEN!$F$2,DATE(LISTEN!$F$2,1,1)+317,"")</f>
        <v/>
      </c>
      <c r="B322" s="73">
        <f>IF(A322="","",CHOOSE(WEEKDAY(A322,2),"Mo","Di","Mi","Do","Fr","Sa","So"))</f>
        <v/>
      </c>
      <c r="C322" s="73">
        <f>IF(A322="","",INT((A322-DATE(YEAR(A322-WEEKDAY(A322-1)+4),1,3)+WEEKDAY(DATE(YEAR(A322-WEEKDAY(A322-1)+4),1,3))+5)/7))</f>
        <v/>
      </c>
      <c r="D322" s="73">
        <f>IF(A322="","",MONTH(A322))</f>
        <v/>
      </c>
      <c r="E322" s="73">
        <f>IF(A322="","",WEEKDAY(A322,2))</f>
        <v/>
      </c>
      <c r="F322" s="73">
        <f>IF(A322="","",COUNTIF(ERFASSUNG!$A$6:$A$3005,A322))</f>
        <v/>
      </c>
      <c r="G322" s="73">
        <f>IF(A322="","",IF(F322&gt;0,1,0))</f>
        <v/>
      </c>
      <c r="H322" s="73">
        <f>IF(A322="","",SUMIFS(ERFASSUNG!$E$6:$E$3005,ERFASSUNG!$A$6:$A$3005,A322))</f>
        <v/>
      </c>
      <c r="I322" s="73">
        <f>IF(A322="","",SUMIFS(ERFASSUNG!$F$6:$F$3005,ERFASSUNG!$A$6:$A$3005,A322))</f>
        <v/>
      </c>
      <c r="J322" s="73">
        <f>IF(A322="","",SUMIFS(ERFASSUNG!$G$6:$G$3005,ERFASSUNG!$A$6:$A$3005,A322))</f>
        <v/>
      </c>
      <c r="K322" s="73">
        <f>IF(A322="","",SUMIFS(ERFASSUNG!$H$6:$H$3005,ERFASSUNG!$A$6:$A$3005,A322))</f>
        <v/>
      </c>
      <c r="L322" s="73">
        <f>IF(A322="","",SUMIFS(ERFASSUNG!$I$6:$I$3005,ERFASSUNG!$A$6:$A$3005,A322))</f>
        <v/>
      </c>
      <c r="M322" s="73">
        <f>IF(A322="","",SUMIFS(ERFASSUNG!$J$6:$J$3005,ERFASSUNG!$A$6:$A$3005,A322))</f>
        <v/>
      </c>
      <c r="N322" s="73">
        <f>IF(A322="","",SUMIFS(ERFASSUNG!$K$6:$K$3005,ERFASSUNG!$A$6:$A$3005,A322))</f>
        <v/>
      </c>
      <c r="O322" s="73">
        <f>IF(A322="","",SUMIFS(ERFASSUNG!$L$6:$L$3005,ERFASSUNG!$A$6:$A$3005,A322))</f>
        <v/>
      </c>
      <c r="P322" s="73">
        <f>IF(A322="","",SUMIFS(ERFASSUNG!$M$6:$M$3005,ERFASSUNG!$A$6:$A$3005,A322))</f>
        <v/>
      </c>
      <c r="Q322" s="73">
        <f>IF(A322="","",SUMIFS(ERFASSUNG!$N$6:$N$3005,ERFASSUNG!$A$6:$A$3005,A322))</f>
        <v/>
      </c>
    </row>
    <row r="323">
      <c r="A323" s="72">
        <f>IF(YEAR(DATE(LISTEN!$F$2,1,1)+318)=LISTEN!$F$2,DATE(LISTEN!$F$2,1,1)+318,"")</f>
        <v/>
      </c>
      <c r="B323" s="73">
        <f>IF(A323="","",CHOOSE(WEEKDAY(A323,2),"Mo","Di","Mi","Do","Fr","Sa","So"))</f>
        <v/>
      </c>
      <c r="C323" s="73">
        <f>IF(A323="","",INT((A323-DATE(YEAR(A323-WEEKDAY(A323-1)+4),1,3)+WEEKDAY(DATE(YEAR(A323-WEEKDAY(A323-1)+4),1,3))+5)/7))</f>
        <v/>
      </c>
      <c r="D323" s="73">
        <f>IF(A323="","",MONTH(A323))</f>
        <v/>
      </c>
      <c r="E323" s="73">
        <f>IF(A323="","",WEEKDAY(A323,2))</f>
        <v/>
      </c>
      <c r="F323" s="73">
        <f>IF(A323="","",COUNTIF(ERFASSUNG!$A$6:$A$3005,A323))</f>
        <v/>
      </c>
      <c r="G323" s="73">
        <f>IF(A323="","",IF(F323&gt;0,1,0))</f>
        <v/>
      </c>
      <c r="H323" s="73">
        <f>IF(A323="","",SUMIFS(ERFASSUNG!$E$6:$E$3005,ERFASSUNG!$A$6:$A$3005,A323))</f>
        <v/>
      </c>
      <c r="I323" s="73">
        <f>IF(A323="","",SUMIFS(ERFASSUNG!$F$6:$F$3005,ERFASSUNG!$A$6:$A$3005,A323))</f>
        <v/>
      </c>
      <c r="J323" s="73">
        <f>IF(A323="","",SUMIFS(ERFASSUNG!$G$6:$G$3005,ERFASSUNG!$A$6:$A$3005,A323))</f>
        <v/>
      </c>
      <c r="K323" s="73">
        <f>IF(A323="","",SUMIFS(ERFASSUNG!$H$6:$H$3005,ERFASSUNG!$A$6:$A$3005,A323))</f>
        <v/>
      </c>
      <c r="L323" s="73">
        <f>IF(A323="","",SUMIFS(ERFASSUNG!$I$6:$I$3005,ERFASSUNG!$A$6:$A$3005,A323))</f>
        <v/>
      </c>
      <c r="M323" s="73">
        <f>IF(A323="","",SUMIFS(ERFASSUNG!$J$6:$J$3005,ERFASSUNG!$A$6:$A$3005,A323))</f>
        <v/>
      </c>
      <c r="N323" s="73">
        <f>IF(A323="","",SUMIFS(ERFASSUNG!$K$6:$K$3005,ERFASSUNG!$A$6:$A$3005,A323))</f>
        <v/>
      </c>
      <c r="O323" s="73">
        <f>IF(A323="","",SUMIFS(ERFASSUNG!$L$6:$L$3005,ERFASSUNG!$A$6:$A$3005,A323))</f>
        <v/>
      </c>
      <c r="P323" s="73">
        <f>IF(A323="","",SUMIFS(ERFASSUNG!$M$6:$M$3005,ERFASSUNG!$A$6:$A$3005,A323))</f>
        <v/>
      </c>
      <c r="Q323" s="73">
        <f>IF(A323="","",SUMIFS(ERFASSUNG!$N$6:$N$3005,ERFASSUNG!$A$6:$A$3005,A323))</f>
        <v/>
      </c>
    </row>
    <row r="324">
      <c r="A324" s="72">
        <f>IF(YEAR(DATE(LISTEN!$F$2,1,1)+319)=LISTEN!$F$2,DATE(LISTEN!$F$2,1,1)+319,"")</f>
        <v/>
      </c>
      <c r="B324" s="73">
        <f>IF(A324="","",CHOOSE(WEEKDAY(A324,2),"Mo","Di","Mi","Do","Fr","Sa","So"))</f>
        <v/>
      </c>
      <c r="C324" s="73">
        <f>IF(A324="","",INT((A324-DATE(YEAR(A324-WEEKDAY(A324-1)+4),1,3)+WEEKDAY(DATE(YEAR(A324-WEEKDAY(A324-1)+4),1,3))+5)/7))</f>
        <v/>
      </c>
      <c r="D324" s="73">
        <f>IF(A324="","",MONTH(A324))</f>
        <v/>
      </c>
      <c r="E324" s="73">
        <f>IF(A324="","",WEEKDAY(A324,2))</f>
        <v/>
      </c>
      <c r="F324" s="73">
        <f>IF(A324="","",COUNTIF(ERFASSUNG!$A$6:$A$3005,A324))</f>
        <v/>
      </c>
      <c r="G324" s="73">
        <f>IF(A324="","",IF(F324&gt;0,1,0))</f>
        <v/>
      </c>
      <c r="H324" s="73">
        <f>IF(A324="","",SUMIFS(ERFASSUNG!$E$6:$E$3005,ERFASSUNG!$A$6:$A$3005,A324))</f>
        <v/>
      </c>
      <c r="I324" s="73">
        <f>IF(A324="","",SUMIFS(ERFASSUNG!$F$6:$F$3005,ERFASSUNG!$A$6:$A$3005,A324))</f>
        <v/>
      </c>
      <c r="J324" s="73">
        <f>IF(A324="","",SUMIFS(ERFASSUNG!$G$6:$G$3005,ERFASSUNG!$A$6:$A$3005,A324))</f>
        <v/>
      </c>
      <c r="K324" s="73">
        <f>IF(A324="","",SUMIFS(ERFASSUNG!$H$6:$H$3005,ERFASSUNG!$A$6:$A$3005,A324))</f>
        <v/>
      </c>
      <c r="L324" s="73">
        <f>IF(A324="","",SUMIFS(ERFASSUNG!$I$6:$I$3005,ERFASSUNG!$A$6:$A$3005,A324))</f>
        <v/>
      </c>
      <c r="M324" s="73">
        <f>IF(A324="","",SUMIFS(ERFASSUNG!$J$6:$J$3005,ERFASSUNG!$A$6:$A$3005,A324))</f>
        <v/>
      </c>
      <c r="N324" s="73">
        <f>IF(A324="","",SUMIFS(ERFASSUNG!$K$6:$K$3005,ERFASSUNG!$A$6:$A$3005,A324))</f>
        <v/>
      </c>
      <c r="O324" s="73">
        <f>IF(A324="","",SUMIFS(ERFASSUNG!$L$6:$L$3005,ERFASSUNG!$A$6:$A$3005,A324))</f>
        <v/>
      </c>
      <c r="P324" s="73">
        <f>IF(A324="","",SUMIFS(ERFASSUNG!$M$6:$M$3005,ERFASSUNG!$A$6:$A$3005,A324))</f>
        <v/>
      </c>
      <c r="Q324" s="73">
        <f>IF(A324="","",SUMIFS(ERFASSUNG!$N$6:$N$3005,ERFASSUNG!$A$6:$A$3005,A324))</f>
        <v/>
      </c>
    </row>
    <row r="325">
      <c r="A325" s="72">
        <f>IF(YEAR(DATE(LISTEN!$F$2,1,1)+320)=LISTEN!$F$2,DATE(LISTEN!$F$2,1,1)+320,"")</f>
        <v/>
      </c>
      <c r="B325" s="73">
        <f>IF(A325="","",CHOOSE(WEEKDAY(A325,2),"Mo","Di","Mi","Do","Fr","Sa","So"))</f>
        <v/>
      </c>
      <c r="C325" s="73">
        <f>IF(A325="","",INT((A325-DATE(YEAR(A325-WEEKDAY(A325-1)+4),1,3)+WEEKDAY(DATE(YEAR(A325-WEEKDAY(A325-1)+4),1,3))+5)/7))</f>
        <v/>
      </c>
      <c r="D325" s="73">
        <f>IF(A325="","",MONTH(A325))</f>
        <v/>
      </c>
      <c r="E325" s="73">
        <f>IF(A325="","",WEEKDAY(A325,2))</f>
        <v/>
      </c>
      <c r="F325" s="73">
        <f>IF(A325="","",COUNTIF(ERFASSUNG!$A$6:$A$3005,A325))</f>
        <v/>
      </c>
      <c r="G325" s="73">
        <f>IF(A325="","",IF(F325&gt;0,1,0))</f>
        <v/>
      </c>
      <c r="H325" s="73">
        <f>IF(A325="","",SUMIFS(ERFASSUNG!$E$6:$E$3005,ERFASSUNG!$A$6:$A$3005,A325))</f>
        <v/>
      </c>
      <c r="I325" s="73">
        <f>IF(A325="","",SUMIFS(ERFASSUNG!$F$6:$F$3005,ERFASSUNG!$A$6:$A$3005,A325))</f>
        <v/>
      </c>
      <c r="J325" s="73">
        <f>IF(A325="","",SUMIFS(ERFASSUNG!$G$6:$G$3005,ERFASSUNG!$A$6:$A$3005,A325))</f>
        <v/>
      </c>
      <c r="K325" s="73">
        <f>IF(A325="","",SUMIFS(ERFASSUNG!$H$6:$H$3005,ERFASSUNG!$A$6:$A$3005,A325))</f>
        <v/>
      </c>
      <c r="L325" s="73">
        <f>IF(A325="","",SUMIFS(ERFASSUNG!$I$6:$I$3005,ERFASSUNG!$A$6:$A$3005,A325))</f>
        <v/>
      </c>
      <c r="M325" s="73">
        <f>IF(A325="","",SUMIFS(ERFASSUNG!$J$6:$J$3005,ERFASSUNG!$A$6:$A$3005,A325))</f>
        <v/>
      </c>
      <c r="N325" s="73">
        <f>IF(A325="","",SUMIFS(ERFASSUNG!$K$6:$K$3005,ERFASSUNG!$A$6:$A$3005,A325))</f>
        <v/>
      </c>
      <c r="O325" s="73">
        <f>IF(A325="","",SUMIFS(ERFASSUNG!$L$6:$L$3005,ERFASSUNG!$A$6:$A$3005,A325))</f>
        <v/>
      </c>
      <c r="P325" s="73">
        <f>IF(A325="","",SUMIFS(ERFASSUNG!$M$6:$M$3005,ERFASSUNG!$A$6:$A$3005,A325))</f>
        <v/>
      </c>
      <c r="Q325" s="73">
        <f>IF(A325="","",SUMIFS(ERFASSUNG!$N$6:$N$3005,ERFASSUNG!$A$6:$A$3005,A325))</f>
        <v/>
      </c>
    </row>
    <row r="326">
      <c r="A326" s="72">
        <f>IF(YEAR(DATE(LISTEN!$F$2,1,1)+321)=LISTEN!$F$2,DATE(LISTEN!$F$2,1,1)+321,"")</f>
        <v/>
      </c>
      <c r="B326" s="73">
        <f>IF(A326="","",CHOOSE(WEEKDAY(A326,2),"Mo","Di","Mi","Do","Fr","Sa","So"))</f>
        <v/>
      </c>
      <c r="C326" s="73">
        <f>IF(A326="","",INT((A326-DATE(YEAR(A326-WEEKDAY(A326-1)+4),1,3)+WEEKDAY(DATE(YEAR(A326-WEEKDAY(A326-1)+4),1,3))+5)/7))</f>
        <v/>
      </c>
      <c r="D326" s="73">
        <f>IF(A326="","",MONTH(A326))</f>
        <v/>
      </c>
      <c r="E326" s="73">
        <f>IF(A326="","",WEEKDAY(A326,2))</f>
        <v/>
      </c>
      <c r="F326" s="73">
        <f>IF(A326="","",COUNTIF(ERFASSUNG!$A$6:$A$3005,A326))</f>
        <v/>
      </c>
      <c r="G326" s="73">
        <f>IF(A326="","",IF(F326&gt;0,1,0))</f>
        <v/>
      </c>
      <c r="H326" s="73">
        <f>IF(A326="","",SUMIFS(ERFASSUNG!$E$6:$E$3005,ERFASSUNG!$A$6:$A$3005,A326))</f>
        <v/>
      </c>
      <c r="I326" s="73">
        <f>IF(A326="","",SUMIFS(ERFASSUNG!$F$6:$F$3005,ERFASSUNG!$A$6:$A$3005,A326))</f>
        <v/>
      </c>
      <c r="J326" s="73">
        <f>IF(A326="","",SUMIFS(ERFASSUNG!$G$6:$G$3005,ERFASSUNG!$A$6:$A$3005,A326))</f>
        <v/>
      </c>
      <c r="K326" s="73">
        <f>IF(A326="","",SUMIFS(ERFASSUNG!$H$6:$H$3005,ERFASSUNG!$A$6:$A$3005,A326))</f>
        <v/>
      </c>
      <c r="L326" s="73">
        <f>IF(A326="","",SUMIFS(ERFASSUNG!$I$6:$I$3005,ERFASSUNG!$A$6:$A$3005,A326))</f>
        <v/>
      </c>
      <c r="M326" s="73">
        <f>IF(A326="","",SUMIFS(ERFASSUNG!$J$6:$J$3005,ERFASSUNG!$A$6:$A$3005,A326))</f>
        <v/>
      </c>
      <c r="N326" s="73">
        <f>IF(A326="","",SUMIFS(ERFASSUNG!$K$6:$K$3005,ERFASSUNG!$A$6:$A$3005,A326))</f>
        <v/>
      </c>
      <c r="O326" s="73">
        <f>IF(A326="","",SUMIFS(ERFASSUNG!$L$6:$L$3005,ERFASSUNG!$A$6:$A$3005,A326))</f>
        <v/>
      </c>
      <c r="P326" s="73">
        <f>IF(A326="","",SUMIFS(ERFASSUNG!$M$6:$M$3005,ERFASSUNG!$A$6:$A$3005,A326))</f>
        <v/>
      </c>
      <c r="Q326" s="73">
        <f>IF(A326="","",SUMIFS(ERFASSUNG!$N$6:$N$3005,ERFASSUNG!$A$6:$A$3005,A326))</f>
        <v/>
      </c>
    </row>
    <row r="327">
      <c r="A327" s="72">
        <f>IF(YEAR(DATE(LISTEN!$F$2,1,1)+322)=LISTEN!$F$2,DATE(LISTEN!$F$2,1,1)+322,"")</f>
        <v/>
      </c>
      <c r="B327" s="73">
        <f>IF(A327="","",CHOOSE(WEEKDAY(A327,2),"Mo","Di","Mi","Do","Fr","Sa","So"))</f>
        <v/>
      </c>
      <c r="C327" s="73">
        <f>IF(A327="","",INT((A327-DATE(YEAR(A327-WEEKDAY(A327-1)+4),1,3)+WEEKDAY(DATE(YEAR(A327-WEEKDAY(A327-1)+4),1,3))+5)/7))</f>
        <v/>
      </c>
      <c r="D327" s="73">
        <f>IF(A327="","",MONTH(A327))</f>
        <v/>
      </c>
      <c r="E327" s="73">
        <f>IF(A327="","",WEEKDAY(A327,2))</f>
        <v/>
      </c>
      <c r="F327" s="73">
        <f>IF(A327="","",COUNTIF(ERFASSUNG!$A$6:$A$3005,A327))</f>
        <v/>
      </c>
      <c r="G327" s="73">
        <f>IF(A327="","",IF(F327&gt;0,1,0))</f>
        <v/>
      </c>
      <c r="H327" s="73">
        <f>IF(A327="","",SUMIFS(ERFASSUNG!$E$6:$E$3005,ERFASSUNG!$A$6:$A$3005,A327))</f>
        <v/>
      </c>
      <c r="I327" s="73">
        <f>IF(A327="","",SUMIFS(ERFASSUNG!$F$6:$F$3005,ERFASSUNG!$A$6:$A$3005,A327))</f>
        <v/>
      </c>
      <c r="J327" s="73">
        <f>IF(A327="","",SUMIFS(ERFASSUNG!$G$6:$G$3005,ERFASSUNG!$A$6:$A$3005,A327))</f>
        <v/>
      </c>
      <c r="K327" s="73">
        <f>IF(A327="","",SUMIFS(ERFASSUNG!$H$6:$H$3005,ERFASSUNG!$A$6:$A$3005,A327))</f>
        <v/>
      </c>
      <c r="L327" s="73">
        <f>IF(A327="","",SUMIFS(ERFASSUNG!$I$6:$I$3005,ERFASSUNG!$A$6:$A$3005,A327))</f>
        <v/>
      </c>
      <c r="M327" s="73">
        <f>IF(A327="","",SUMIFS(ERFASSUNG!$J$6:$J$3005,ERFASSUNG!$A$6:$A$3005,A327))</f>
        <v/>
      </c>
      <c r="N327" s="73">
        <f>IF(A327="","",SUMIFS(ERFASSUNG!$K$6:$K$3005,ERFASSUNG!$A$6:$A$3005,A327))</f>
        <v/>
      </c>
      <c r="O327" s="73">
        <f>IF(A327="","",SUMIFS(ERFASSUNG!$L$6:$L$3005,ERFASSUNG!$A$6:$A$3005,A327))</f>
        <v/>
      </c>
      <c r="P327" s="73">
        <f>IF(A327="","",SUMIFS(ERFASSUNG!$M$6:$M$3005,ERFASSUNG!$A$6:$A$3005,A327))</f>
        <v/>
      </c>
      <c r="Q327" s="73">
        <f>IF(A327="","",SUMIFS(ERFASSUNG!$N$6:$N$3005,ERFASSUNG!$A$6:$A$3005,A327))</f>
        <v/>
      </c>
    </row>
    <row r="328">
      <c r="A328" s="72">
        <f>IF(YEAR(DATE(LISTEN!$F$2,1,1)+323)=LISTEN!$F$2,DATE(LISTEN!$F$2,1,1)+323,"")</f>
        <v/>
      </c>
      <c r="B328" s="73">
        <f>IF(A328="","",CHOOSE(WEEKDAY(A328,2),"Mo","Di","Mi","Do","Fr","Sa","So"))</f>
        <v/>
      </c>
      <c r="C328" s="73">
        <f>IF(A328="","",INT((A328-DATE(YEAR(A328-WEEKDAY(A328-1)+4),1,3)+WEEKDAY(DATE(YEAR(A328-WEEKDAY(A328-1)+4),1,3))+5)/7))</f>
        <v/>
      </c>
      <c r="D328" s="73">
        <f>IF(A328="","",MONTH(A328))</f>
        <v/>
      </c>
      <c r="E328" s="73">
        <f>IF(A328="","",WEEKDAY(A328,2))</f>
        <v/>
      </c>
      <c r="F328" s="73">
        <f>IF(A328="","",COUNTIF(ERFASSUNG!$A$6:$A$3005,A328))</f>
        <v/>
      </c>
      <c r="G328" s="73">
        <f>IF(A328="","",IF(F328&gt;0,1,0))</f>
        <v/>
      </c>
      <c r="H328" s="73">
        <f>IF(A328="","",SUMIFS(ERFASSUNG!$E$6:$E$3005,ERFASSUNG!$A$6:$A$3005,A328))</f>
        <v/>
      </c>
      <c r="I328" s="73">
        <f>IF(A328="","",SUMIFS(ERFASSUNG!$F$6:$F$3005,ERFASSUNG!$A$6:$A$3005,A328))</f>
        <v/>
      </c>
      <c r="J328" s="73">
        <f>IF(A328="","",SUMIFS(ERFASSUNG!$G$6:$G$3005,ERFASSUNG!$A$6:$A$3005,A328))</f>
        <v/>
      </c>
      <c r="K328" s="73">
        <f>IF(A328="","",SUMIFS(ERFASSUNG!$H$6:$H$3005,ERFASSUNG!$A$6:$A$3005,A328))</f>
        <v/>
      </c>
      <c r="L328" s="73">
        <f>IF(A328="","",SUMIFS(ERFASSUNG!$I$6:$I$3005,ERFASSUNG!$A$6:$A$3005,A328))</f>
        <v/>
      </c>
      <c r="M328" s="73">
        <f>IF(A328="","",SUMIFS(ERFASSUNG!$J$6:$J$3005,ERFASSUNG!$A$6:$A$3005,A328))</f>
        <v/>
      </c>
      <c r="N328" s="73">
        <f>IF(A328="","",SUMIFS(ERFASSUNG!$K$6:$K$3005,ERFASSUNG!$A$6:$A$3005,A328))</f>
        <v/>
      </c>
      <c r="O328" s="73">
        <f>IF(A328="","",SUMIFS(ERFASSUNG!$L$6:$L$3005,ERFASSUNG!$A$6:$A$3005,A328))</f>
        <v/>
      </c>
      <c r="P328" s="73">
        <f>IF(A328="","",SUMIFS(ERFASSUNG!$M$6:$M$3005,ERFASSUNG!$A$6:$A$3005,A328))</f>
        <v/>
      </c>
      <c r="Q328" s="73">
        <f>IF(A328="","",SUMIFS(ERFASSUNG!$N$6:$N$3005,ERFASSUNG!$A$6:$A$3005,A328))</f>
        <v/>
      </c>
    </row>
    <row r="329">
      <c r="A329" s="72">
        <f>IF(YEAR(DATE(LISTEN!$F$2,1,1)+324)=LISTEN!$F$2,DATE(LISTEN!$F$2,1,1)+324,"")</f>
        <v/>
      </c>
      <c r="B329" s="73">
        <f>IF(A329="","",CHOOSE(WEEKDAY(A329,2),"Mo","Di","Mi","Do","Fr","Sa","So"))</f>
        <v/>
      </c>
      <c r="C329" s="73">
        <f>IF(A329="","",INT((A329-DATE(YEAR(A329-WEEKDAY(A329-1)+4),1,3)+WEEKDAY(DATE(YEAR(A329-WEEKDAY(A329-1)+4),1,3))+5)/7))</f>
        <v/>
      </c>
      <c r="D329" s="73">
        <f>IF(A329="","",MONTH(A329))</f>
        <v/>
      </c>
      <c r="E329" s="73">
        <f>IF(A329="","",WEEKDAY(A329,2))</f>
        <v/>
      </c>
      <c r="F329" s="73">
        <f>IF(A329="","",COUNTIF(ERFASSUNG!$A$6:$A$3005,A329))</f>
        <v/>
      </c>
      <c r="G329" s="73">
        <f>IF(A329="","",IF(F329&gt;0,1,0))</f>
        <v/>
      </c>
      <c r="H329" s="73">
        <f>IF(A329="","",SUMIFS(ERFASSUNG!$E$6:$E$3005,ERFASSUNG!$A$6:$A$3005,A329))</f>
        <v/>
      </c>
      <c r="I329" s="73">
        <f>IF(A329="","",SUMIFS(ERFASSUNG!$F$6:$F$3005,ERFASSUNG!$A$6:$A$3005,A329))</f>
        <v/>
      </c>
      <c r="J329" s="73">
        <f>IF(A329="","",SUMIFS(ERFASSUNG!$G$6:$G$3005,ERFASSUNG!$A$6:$A$3005,A329))</f>
        <v/>
      </c>
      <c r="K329" s="73">
        <f>IF(A329="","",SUMIFS(ERFASSUNG!$H$6:$H$3005,ERFASSUNG!$A$6:$A$3005,A329))</f>
        <v/>
      </c>
      <c r="L329" s="73">
        <f>IF(A329="","",SUMIFS(ERFASSUNG!$I$6:$I$3005,ERFASSUNG!$A$6:$A$3005,A329))</f>
        <v/>
      </c>
      <c r="M329" s="73">
        <f>IF(A329="","",SUMIFS(ERFASSUNG!$J$6:$J$3005,ERFASSUNG!$A$6:$A$3005,A329))</f>
        <v/>
      </c>
      <c r="N329" s="73">
        <f>IF(A329="","",SUMIFS(ERFASSUNG!$K$6:$K$3005,ERFASSUNG!$A$6:$A$3005,A329))</f>
        <v/>
      </c>
      <c r="O329" s="73">
        <f>IF(A329="","",SUMIFS(ERFASSUNG!$L$6:$L$3005,ERFASSUNG!$A$6:$A$3005,A329))</f>
        <v/>
      </c>
      <c r="P329" s="73">
        <f>IF(A329="","",SUMIFS(ERFASSUNG!$M$6:$M$3005,ERFASSUNG!$A$6:$A$3005,A329))</f>
        <v/>
      </c>
      <c r="Q329" s="73">
        <f>IF(A329="","",SUMIFS(ERFASSUNG!$N$6:$N$3005,ERFASSUNG!$A$6:$A$3005,A329))</f>
        <v/>
      </c>
    </row>
    <row r="330">
      <c r="A330" s="72">
        <f>IF(YEAR(DATE(LISTEN!$F$2,1,1)+325)=LISTEN!$F$2,DATE(LISTEN!$F$2,1,1)+325,"")</f>
        <v/>
      </c>
      <c r="B330" s="73">
        <f>IF(A330="","",CHOOSE(WEEKDAY(A330,2),"Mo","Di","Mi","Do","Fr","Sa","So"))</f>
        <v/>
      </c>
      <c r="C330" s="73">
        <f>IF(A330="","",INT((A330-DATE(YEAR(A330-WEEKDAY(A330-1)+4),1,3)+WEEKDAY(DATE(YEAR(A330-WEEKDAY(A330-1)+4),1,3))+5)/7))</f>
        <v/>
      </c>
      <c r="D330" s="73">
        <f>IF(A330="","",MONTH(A330))</f>
        <v/>
      </c>
      <c r="E330" s="73">
        <f>IF(A330="","",WEEKDAY(A330,2))</f>
        <v/>
      </c>
      <c r="F330" s="73">
        <f>IF(A330="","",COUNTIF(ERFASSUNG!$A$6:$A$3005,A330))</f>
        <v/>
      </c>
      <c r="G330" s="73">
        <f>IF(A330="","",IF(F330&gt;0,1,0))</f>
        <v/>
      </c>
      <c r="H330" s="73">
        <f>IF(A330="","",SUMIFS(ERFASSUNG!$E$6:$E$3005,ERFASSUNG!$A$6:$A$3005,A330))</f>
        <v/>
      </c>
      <c r="I330" s="73">
        <f>IF(A330="","",SUMIFS(ERFASSUNG!$F$6:$F$3005,ERFASSUNG!$A$6:$A$3005,A330))</f>
        <v/>
      </c>
      <c r="J330" s="73">
        <f>IF(A330="","",SUMIFS(ERFASSUNG!$G$6:$G$3005,ERFASSUNG!$A$6:$A$3005,A330))</f>
        <v/>
      </c>
      <c r="K330" s="73">
        <f>IF(A330="","",SUMIFS(ERFASSUNG!$H$6:$H$3005,ERFASSUNG!$A$6:$A$3005,A330))</f>
        <v/>
      </c>
      <c r="L330" s="73">
        <f>IF(A330="","",SUMIFS(ERFASSUNG!$I$6:$I$3005,ERFASSUNG!$A$6:$A$3005,A330))</f>
        <v/>
      </c>
      <c r="M330" s="73">
        <f>IF(A330="","",SUMIFS(ERFASSUNG!$J$6:$J$3005,ERFASSUNG!$A$6:$A$3005,A330))</f>
        <v/>
      </c>
      <c r="N330" s="73">
        <f>IF(A330="","",SUMIFS(ERFASSUNG!$K$6:$K$3005,ERFASSUNG!$A$6:$A$3005,A330))</f>
        <v/>
      </c>
      <c r="O330" s="73">
        <f>IF(A330="","",SUMIFS(ERFASSUNG!$L$6:$L$3005,ERFASSUNG!$A$6:$A$3005,A330))</f>
        <v/>
      </c>
      <c r="P330" s="73">
        <f>IF(A330="","",SUMIFS(ERFASSUNG!$M$6:$M$3005,ERFASSUNG!$A$6:$A$3005,A330))</f>
        <v/>
      </c>
      <c r="Q330" s="73">
        <f>IF(A330="","",SUMIFS(ERFASSUNG!$N$6:$N$3005,ERFASSUNG!$A$6:$A$3005,A330))</f>
        <v/>
      </c>
    </row>
    <row r="331">
      <c r="A331" s="72">
        <f>IF(YEAR(DATE(LISTEN!$F$2,1,1)+326)=LISTEN!$F$2,DATE(LISTEN!$F$2,1,1)+326,"")</f>
        <v/>
      </c>
      <c r="B331" s="73">
        <f>IF(A331="","",CHOOSE(WEEKDAY(A331,2),"Mo","Di","Mi","Do","Fr","Sa","So"))</f>
        <v/>
      </c>
      <c r="C331" s="73">
        <f>IF(A331="","",INT((A331-DATE(YEAR(A331-WEEKDAY(A331-1)+4),1,3)+WEEKDAY(DATE(YEAR(A331-WEEKDAY(A331-1)+4),1,3))+5)/7))</f>
        <v/>
      </c>
      <c r="D331" s="73">
        <f>IF(A331="","",MONTH(A331))</f>
        <v/>
      </c>
      <c r="E331" s="73">
        <f>IF(A331="","",WEEKDAY(A331,2))</f>
        <v/>
      </c>
      <c r="F331" s="73">
        <f>IF(A331="","",COUNTIF(ERFASSUNG!$A$6:$A$3005,A331))</f>
        <v/>
      </c>
      <c r="G331" s="73">
        <f>IF(A331="","",IF(F331&gt;0,1,0))</f>
        <v/>
      </c>
      <c r="H331" s="73">
        <f>IF(A331="","",SUMIFS(ERFASSUNG!$E$6:$E$3005,ERFASSUNG!$A$6:$A$3005,A331))</f>
        <v/>
      </c>
      <c r="I331" s="73">
        <f>IF(A331="","",SUMIFS(ERFASSUNG!$F$6:$F$3005,ERFASSUNG!$A$6:$A$3005,A331))</f>
        <v/>
      </c>
      <c r="J331" s="73">
        <f>IF(A331="","",SUMIFS(ERFASSUNG!$G$6:$G$3005,ERFASSUNG!$A$6:$A$3005,A331))</f>
        <v/>
      </c>
      <c r="K331" s="73">
        <f>IF(A331="","",SUMIFS(ERFASSUNG!$H$6:$H$3005,ERFASSUNG!$A$6:$A$3005,A331))</f>
        <v/>
      </c>
      <c r="L331" s="73">
        <f>IF(A331="","",SUMIFS(ERFASSUNG!$I$6:$I$3005,ERFASSUNG!$A$6:$A$3005,A331))</f>
        <v/>
      </c>
      <c r="M331" s="73">
        <f>IF(A331="","",SUMIFS(ERFASSUNG!$J$6:$J$3005,ERFASSUNG!$A$6:$A$3005,A331))</f>
        <v/>
      </c>
      <c r="N331" s="73">
        <f>IF(A331="","",SUMIFS(ERFASSUNG!$K$6:$K$3005,ERFASSUNG!$A$6:$A$3005,A331))</f>
        <v/>
      </c>
      <c r="O331" s="73">
        <f>IF(A331="","",SUMIFS(ERFASSUNG!$L$6:$L$3005,ERFASSUNG!$A$6:$A$3005,A331))</f>
        <v/>
      </c>
      <c r="P331" s="73">
        <f>IF(A331="","",SUMIFS(ERFASSUNG!$M$6:$M$3005,ERFASSUNG!$A$6:$A$3005,A331))</f>
        <v/>
      </c>
      <c r="Q331" s="73">
        <f>IF(A331="","",SUMIFS(ERFASSUNG!$N$6:$N$3005,ERFASSUNG!$A$6:$A$3005,A331))</f>
        <v/>
      </c>
    </row>
    <row r="332">
      <c r="A332" s="72">
        <f>IF(YEAR(DATE(LISTEN!$F$2,1,1)+327)=LISTEN!$F$2,DATE(LISTEN!$F$2,1,1)+327,"")</f>
        <v/>
      </c>
      <c r="B332" s="73">
        <f>IF(A332="","",CHOOSE(WEEKDAY(A332,2),"Mo","Di","Mi","Do","Fr","Sa","So"))</f>
        <v/>
      </c>
      <c r="C332" s="73">
        <f>IF(A332="","",INT((A332-DATE(YEAR(A332-WEEKDAY(A332-1)+4),1,3)+WEEKDAY(DATE(YEAR(A332-WEEKDAY(A332-1)+4),1,3))+5)/7))</f>
        <v/>
      </c>
      <c r="D332" s="73">
        <f>IF(A332="","",MONTH(A332))</f>
        <v/>
      </c>
      <c r="E332" s="73">
        <f>IF(A332="","",WEEKDAY(A332,2))</f>
        <v/>
      </c>
      <c r="F332" s="73">
        <f>IF(A332="","",COUNTIF(ERFASSUNG!$A$6:$A$3005,A332))</f>
        <v/>
      </c>
      <c r="G332" s="73">
        <f>IF(A332="","",IF(F332&gt;0,1,0))</f>
        <v/>
      </c>
      <c r="H332" s="73">
        <f>IF(A332="","",SUMIFS(ERFASSUNG!$E$6:$E$3005,ERFASSUNG!$A$6:$A$3005,A332))</f>
        <v/>
      </c>
      <c r="I332" s="73">
        <f>IF(A332="","",SUMIFS(ERFASSUNG!$F$6:$F$3005,ERFASSUNG!$A$6:$A$3005,A332))</f>
        <v/>
      </c>
      <c r="J332" s="73">
        <f>IF(A332="","",SUMIFS(ERFASSUNG!$G$6:$G$3005,ERFASSUNG!$A$6:$A$3005,A332))</f>
        <v/>
      </c>
      <c r="K332" s="73">
        <f>IF(A332="","",SUMIFS(ERFASSUNG!$H$6:$H$3005,ERFASSUNG!$A$6:$A$3005,A332))</f>
        <v/>
      </c>
      <c r="L332" s="73">
        <f>IF(A332="","",SUMIFS(ERFASSUNG!$I$6:$I$3005,ERFASSUNG!$A$6:$A$3005,A332))</f>
        <v/>
      </c>
      <c r="M332" s="73">
        <f>IF(A332="","",SUMIFS(ERFASSUNG!$J$6:$J$3005,ERFASSUNG!$A$6:$A$3005,A332))</f>
        <v/>
      </c>
      <c r="N332" s="73">
        <f>IF(A332="","",SUMIFS(ERFASSUNG!$K$6:$K$3005,ERFASSUNG!$A$6:$A$3005,A332))</f>
        <v/>
      </c>
      <c r="O332" s="73">
        <f>IF(A332="","",SUMIFS(ERFASSUNG!$L$6:$L$3005,ERFASSUNG!$A$6:$A$3005,A332))</f>
        <v/>
      </c>
      <c r="P332" s="73">
        <f>IF(A332="","",SUMIFS(ERFASSUNG!$M$6:$M$3005,ERFASSUNG!$A$6:$A$3005,A332))</f>
        <v/>
      </c>
      <c r="Q332" s="73">
        <f>IF(A332="","",SUMIFS(ERFASSUNG!$N$6:$N$3005,ERFASSUNG!$A$6:$A$3005,A332))</f>
        <v/>
      </c>
    </row>
    <row r="333">
      <c r="A333" s="72">
        <f>IF(YEAR(DATE(LISTEN!$F$2,1,1)+328)=LISTEN!$F$2,DATE(LISTEN!$F$2,1,1)+328,"")</f>
        <v/>
      </c>
      <c r="B333" s="73">
        <f>IF(A333="","",CHOOSE(WEEKDAY(A333,2),"Mo","Di","Mi","Do","Fr","Sa","So"))</f>
        <v/>
      </c>
      <c r="C333" s="73">
        <f>IF(A333="","",INT((A333-DATE(YEAR(A333-WEEKDAY(A333-1)+4),1,3)+WEEKDAY(DATE(YEAR(A333-WEEKDAY(A333-1)+4),1,3))+5)/7))</f>
        <v/>
      </c>
      <c r="D333" s="73">
        <f>IF(A333="","",MONTH(A333))</f>
        <v/>
      </c>
      <c r="E333" s="73">
        <f>IF(A333="","",WEEKDAY(A333,2))</f>
        <v/>
      </c>
      <c r="F333" s="73">
        <f>IF(A333="","",COUNTIF(ERFASSUNG!$A$6:$A$3005,A333))</f>
        <v/>
      </c>
      <c r="G333" s="73">
        <f>IF(A333="","",IF(F333&gt;0,1,0))</f>
        <v/>
      </c>
      <c r="H333" s="73">
        <f>IF(A333="","",SUMIFS(ERFASSUNG!$E$6:$E$3005,ERFASSUNG!$A$6:$A$3005,A333))</f>
        <v/>
      </c>
      <c r="I333" s="73">
        <f>IF(A333="","",SUMIFS(ERFASSUNG!$F$6:$F$3005,ERFASSUNG!$A$6:$A$3005,A333))</f>
        <v/>
      </c>
      <c r="J333" s="73">
        <f>IF(A333="","",SUMIFS(ERFASSUNG!$G$6:$G$3005,ERFASSUNG!$A$6:$A$3005,A333))</f>
        <v/>
      </c>
      <c r="K333" s="73">
        <f>IF(A333="","",SUMIFS(ERFASSUNG!$H$6:$H$3005,ERFASSUNG!$A$6:$A$3005,A333))</f>
        <v/>
      </c>
      <c r="L333" s="73">
        <f>IF(A333="","",SUMIFS(ERFASSUNG!$I$6:$I$3005,ERFASSUNG!$A$6:$A$3005,A333))</f>
        <v/>
      </c>
      <c r="M333" s="73">
        <f>IF(A333="","",SUMIFS(ERFASSUNG!$J$6:$J$3005,ERFASSUNG!$A$6:$A$3005,A333))</f>
        <v/>
      </c>
      <c r="N333" s="73">
        <f>IF(A333="","",SUMIFS(ERFASSUNG!$K$6:$K$3005,ERFASSUNG!$A$6:$A$3005,A333))</f>
        <v/>
      </c>
      <c r="O333" s="73">
        <f>IF(A333="","",SUMIFS(ERFASSUNG!$L$6:$L$3005,ERFASSUNG!$A$6:$A$3005,A333))</f>
        <v/>
      </c>
      <c r="P333" s="73">
        <f>IF(A333="","",SUMIFS(ERFASSUNG!$M$6:$M$3005,ERFASSUNG!$A$6:$A$3005,A333))</f>
        <v/>
      </c>
      <c r="Q333" s="73">
        <f>IF(A333="","",SUMIFS(ERFASSUNG!$N$6:$N$3005,ERFASSUNG!$A$6:$A$3005,A333))</f>
        <v/>
      </c>
    </row>
    <row r="334">
      <c r="A334" s="72">
        <f>IF(YEAR(DATE(LISTEN!$F$2,1,1)+329)=LISTEN!$F$2,DATE(LISTEN!$F$2,1,1)+329,"")</f>
        <v/>
      </c>
      <c r="B334" s="73">
        <f>IF(A334="","",CHOOSE(WEEKDAY(A334,2),"Mo","Di","Mi","Do","Fr","Sa","So"))</f>
        <v/>
      </c>
      <c r="C334" s="73">
        <f>IF(A334="","",INT((A334-DATE(YEAR(A334-WEEKDAY(A334-1)+4),1,3)+WEEKDAY(DATE(YEAR(A334-WEEKDAY(A334-1)+4),1,3))+5)/7))</f>
        <v/>
      </c>
      <c r="D334" s="73">
        <f>IF(A334="","",MONTH(A334))</f>
        <v/>
      </c>
      <c r="E334" s="73">
        <f>IF(A334="","",WEEKDAY(A334,2))</f>
        <v/>
      </c>
      <c r="F334" s="73">
        <f>IF(A334="","",COUNTIF(ERFASSUNG!$A$6:$A$3005,A334))</f>
        <v/>
      </c>
      <c r="G334" s="73">
        <f>IF(A334="","",IF(F334&gt;0,1,0))</f>
        <v/>
      </c>
      <c r="H334" s="73">
        <f>IF(A334="","",SUMIFS(ERFASSUNG!$E$6:$E$3005,ERFASSUNG!$A$6:$A$3005,A334))</f>
        <v/>
      </c>
      <c r="I334" s="73">
        <f>IF(A334="","",SUMIFS(ERFASSUNG!$F$6:$F$3005,ERFASSUNG!$A$6:$A$3005,A334))</f>
        <v/>
      </c>
      <c r="J334" s="73">
        <f>IF(A334="","",SUMIFS(ERFASSUNG!$G$6:$G$3005,ERFASSUNG!$A$6:$A$3005,A334))</f>
        <v/>
      </c>
      <c r="K334" s="73">
        <f>IF(A334="","",SUMIFS(ERFASSUNG!$H$6:$H$3005,ERFASSUNG!$A$6:$A$3005,A334))</f>
        <v/>
      </c>
      <c r="L334" s="73">
        <f>IF(A334="","",SUMIFS(ERFASSUNG!$I$6:$I$3005,ERFASSUNG!$A$6:$A$3005,A334))</f>
        <v/>
      </c>
      <c r="M334" s="73">
        <f>IF(A334="","",SUMIFS(ERFASSUNG!$J$6:$J$3005,ERFASSUNG!$A$6:$A$3005,A334))</f>
        <v/>
      </c>
      <c r="N334" s="73">
        <f>IF(A334="","",SUMIFS(ERFASSUNG!$K$6:$K$3005,ERFASSUNG!$A$6:$A$3005,A334))</f>
        <v/>
      </c>
      <c r="O334" s="73">
        <f>IF(A334="","",SUMIFS(ERFASSUNG!$L$6:$L$3005,ERFASSUNG!$A$6:$A$3005,A334))</f>
        <v/>
      </c>
      <c r="P334" s="73">
        <f>IF(A334="","",SUMIFS(ERFASSUNG!$M$6:$M$3005,ERFASSUNG!$A$6:$A$3005,A334))</f>
        <v/>
      </c>
      <c r="Q334" s="73">
        <f>IF(A334="","",SUMIFS(ERFASSUNG!$N$6:$N$3005,ERFASSUNG!$A$6:$A$3005,A334))</f>
        <v/>
      </c>
    </row>
    <row r="335">
      <c r="A335" s="72">
        <f>IF(YEAR(DATE(LISTEN!$F$2,1,1)+330)=LISTEN!$F$2,DATE(LISTEN!$F$2,1,1)+330,"")</f>
        <v/>
      </c>
      <c r="B335" s="73">
        <f>IF(A335="","",CHOOSE(WEEKDAY(A335,2),"Mo","Di","Mi","Do","Fr","Sa","So"))</f>
        <v/>
      </c>
      <c r="C335" s="73">
        <f>IF(A335="","",INT((A335-DATE(YEAR(A335-WEEKDAY(A335-1)+4),1,3)+WEEKDAY(DATE(YEAR(A335-WEEKDAY(A335-1)+4),1,3))+5)/7))</f>
        <v/>
      </c>
      <c r="D335" s="73">
        <f>IF(A335="","",MONTH(A335))</f>
        <v/>
      </c>
      <c r="E335" s="73">
        <f>IF(A335="","",WEEKDAY(A335,2))</f>
        <v/>
      </c>
      <c r="F335" s="73">
        <f>IF(A335="","",COUNTIF(ERFASSUNG!$A$6:$A$3005,A335))</f>
        <v/>
      </c>
      <c r="G335" s="73">
        <f>IF(A335="","",IF(F335&gt;0,1,0))</f>
        <v/>
      </c>
      <c r="H335" s="73">
        <f>IF(A335="","",SUMIFS(ERFASSUNG!$E$6:$E$3005,ERFASSUNG!$A$6:$A$3005,A335))</f>
        <v/>
      </c>
      <c r="I335" s="73">
        <f>IF(A335="","",SUMIFS(ERFASSUNG!$F$6:$F$3005,ERFASSUNG!$A$6:$A$3005,A335))</f>
        <v/>
      </c>
      <c r="J335" s="73">
        <f>IF(A335="","",SUMIFS(ERFASSUNG!$G$6:$G$3005,ERFASSUNG!$A$6:$A$3005,A335))</f>
        <v/>
      </c>
      <c r="K335" s="73">
        <f>IF(A335="","",SUMIFS(ERFASSUNG!$H$6:$H$3005,ERFASSUNG!$A$6:$A$3005,A335))</f>
        <v/>
      </c>
      <c r="L335" s="73">
        <f>IF(A335="","",SUMIFS(ERFASSUNG!$I$6:$I$3005,ERFASSUNG!$A$6:$A$3005,A335))</f>
        <v/>
      </c>
      <c r="M335" s="73">
        <f>IF(A335="","",SUMIFS(ERFASSUNG!$J$6:$J$3005,ERFASSUNG!$A$6:$A$3005,A335))</f>
        <v/>
      </c>
      <c r="N335" s="73">
        <f>IF(A335="","",SUMIFS(ERFASSUNG!$K$6:$K$3005,ERFASSUNG!$A$6:$A$3005,A335))</f>
        <v/>
      </c>
      <c r="O335" s="73">
        <f>IF(A335="","",SUMIFS(ERFASSUNG!$L$6:$L$3005,ERFASSUNG!$A$6:$A$3005,A335))</f>
        <v/>
      </c>
      <c r="P335" s="73">
        <f>IF(A335="","",SUMIFS(ERFASSUNG!$M$6:$M$3005,ERFASSUNG!$A$6:$A$3005,A335))</f>
        <v/>
      </c>
      <c r="Q335" s="73">
        <f>IF(A335="","",SUMIFS(ERFASSUNG!$N$6:$N$3005,ERFASSUNG!$A$6:$A$3005,A335))</f>
        <v/>
      </c>
    </row>
    <row r="336">
      <c r="A336" s="72">
        <f>IF(YEAR(DATE(LISTEN!$F$2,1,1)+331)=LISTEN!$F$2,DATE(LISTEN!$F$2,1,1)+331,"")</f>
        <v/>
      </c>
      <c r="B336" s="73">
        <f>IF(A336="","",CHOOSE(WEEKDAY(A336,2),"Mo","Di","Mi","Do","Fr","Sa","So"))</f>
        <v/>
      </c>
      <c r="C336" s="73">
        <f>IF(A336="","",INT((A336-DATE(YEAR(A336-WEEKDAY(A336-1)+4),1,3)+WEEKDAY(DATE(YEAR(A336-WEEKDAY(A336-1)+4),1,3))+5)/7))</f>
        <v/>
      </c>
      <c r="D336" s="73">
        <f>IF(A336="","",MONTH(A336))</f>
        <v/>
      </c>
      <c r="E336" s="73">
        <f>IF(A336="","",WEEKDAY(A336,2))</f>
        <v/>
      </c>
      <c r="F336" s="73">
        <f>IF(A336="","",COUNTIF(ERFASSUNG!$A$6:$A$3005,A336))</f>
        <v/>
      </c>
      <c r="G336" s="73">
        <f>IF(A336="","",IF(F336&gt;0,1,0))</f>
        <v/>
      </c>
      <c r="H336" s="73">
        <f>IF(A336="","",SUMIFS(ERFASSUNG!$E$6:$E$3005,ERFASSUNG!$A$6:$A$3005,A336))</f>
        <v/>
      </c>
      <c r="I336" s="73">
        <f>IF(A336="","",SUMIFS(ERFASSUNG!$F$6:$F$3005,ERFASSUNG!$A$6:$A$3005,A336))</f>
        <v/>
      </c>
      <c r="J336" s="73">
        <f>IF(A336="","",SUMIFS(ERFASSUNG!$G$6:$G$3005,ERFASSUNG!$A$6:$A$3005,A336))</f>
        <v/>
      </c>
      <c r="K336" s="73">
        <f>IF(A336="","",SUMIFS(ERFASSUNG!$H$6:$H$3005,ERFASSUNG!$A$6:$A$3005,A336))</f>
        <v/>
      </c>
      <c r="L336" s="73">
        <f>IF(A336="","",SUMIFS(ERFASSUNG!$I$6:$I$3005,ERFASSUNG!$A$6:$A$3005,A336))</f>
        <v/>
      </c>
      <c r="M336" s="73">
        <f>IF(A336="","",SUMIFS(ERFASSUNG!$J$6:$J$3005,ERFASSUNG!$A$6:$A$3005,A336))</f>
        <v/>
      </c>
      <c r="N336" s="73">
        <f>IF(A336="","",SUMIFS(ERFASSUNG!$K$6:$K$3005,ERFASSUNG!$A$6:$A$3005,A336))</f>
        <v/>
      </c>
      <c r="O336" s="73">
        <f>IF(A336="","",SUMIFS(ERFASSUNG!$L$6:$L$3005,ERFASSUNG!$A$6:$A$3005,A336))</f>
        <v/>
      </c>
      <c r="P336" s="73">
        <f>IF(A336="","",SUMIFS(ERFASSUNG!$M$6:$M$3005,ERFASSUNG!$A$6:$A$3005,A336))</f>
        <v/>
      </c>
      <c r="Q336" s="73">
        <f>IF(A336="","",SUMIFS(ERFASSUNG!$N$6:$N$3005,ERFASSUNG!$A$6:$A$3005,A336))</f>
        <v/>
      </c>
    </row>
    <row r="337">
      <c r="A337" s="72">
        <f>IF(YEAR(DATE(LISTEN!$F$2,1,1)+332)=LISTEN!$F$2,DATE(LISTEN!$F$2,1,1)+332,"")</f>
        <v/>
      </c>
      <c r="B337" s="73">
        <f>IF(A337="","",CHOOSE(WEEKDAY(A337,2),"Mo","Di","Mi","Do","Fr","Sa","So"))</f>
        <v/>
      </c>
      <c r="C337" s="73">
        <f>IF(A337="","",INT((A337-DATE(YEAR(A337-WEEKDAY(A337-1)+4),1,3)+WEEKDAY(DATE(YEAR(A337-WEEKDAY(A337-1)+4),1,3))+5)/7))</f>
        <v/>
      </c>
      <c r="D337" s="73">
        <f>IF(A337="","",MONTH(A337))</f>
        <v/>
      </c>
      <c r="E337" s="73">
        <f>IF(A337="","",WEEKDAY(A337,2))</f>
        <v/>
      </c>
      <c r="F337" s="73">
        <f>IF(A337="","",COUNTIF(ERFASSUNG!$A$6:$A$3005,A337))</f>
        <v/>
      </c>
      <c r="G337" s="73">
        <f>IF(A337="","",IF(F337&gt;0,1,0))</f>
        <v/>
      </c>
      <c r="H337" s="73">
        <f>IF(A337="","",SUMIFS(ERFASSUNG!$E$6:$E$3005,ERFASSUNG!$A$6:$A$3005,A337))</f>
        <v/>
      </c>
      <c r="I337" s="73">
        <f>IF(A337="","",SUMIFS(ERFASSUNG!$F$6:$F$3005,ERFASSUNG!$A$6:$A$3005,A337))</f>
        <v/>
      </c>
      <c r="J337" s="73">
        <f>IF(A337="","",SUMIFS(ERFASSUNG!$G$6:$G$3005,ERFASSUNG!$A$6:$A$3005,A337))</f>
        <v/>
      </c>
      <c r="K337" s="73">
        <f>IF(A337="","",SUMIFS(ERFASSUNG!$H$6:$H$3005,ERFASSUNG!$A$6:$A$3005,A337))</f>
        <v/>
      </c>
      <c r="L337" s="73">
        <f>IF(A337="","",SUMIFS(ERFASSUNG!$I$6:$I$3005,ERFASSUNG!$A$6:$A$3005,A337))</f>
        <v/>
      </c>
      <c r="M337" s="73">
        <f>IF(A337="","",SUMIFS(ERFASSUNG!$J$6:$J$3005,ERFASSUNG!$A$6:$A$3005,A337))</f>
        <v/>
      </c>
      <c r="N337" s="73">
        <f>IF(A337="","",SUMIFS(ERFASSUNG!$K$6:$K$3005,ERFASSUNG!$A$6:$A$3005,A337))</f>
        <v/>
      </c>
      <c r="O337" s="73">
        <f>IF(A337="","",SUMIFS(ERFASSUNG!$L$6:$L$3005,ERFASSUNG!$A$6:$A$3005,A337))</f>
        <v/>
      </c>
      <c r="P337" s="73">
        <f>IF(A337="","",SUMIFS(ERFASSUNG!$M$6:$M$3005,ERFASSUNG!$A$6:$A$3005,A337))</f>
        <v/>
      </c>
      <c r="Q337" s="73">
        <f>IF(A337="","",SUMIFS(ERFASSUNG!$N$6:$N$3005,ERFASSUNG!$A$6:$A$3005,A337))</f>
        <v/>
      </c>
    </row>
    <row r="338">
      <c r="A338" s="72">
        <f>IF(YEAR(DATE(LISTEN!$F$2,1,1)+333)=LISTEN!$F$2,DATE(LISTEN!$F$2,1,1)+333,"")</f>
        <v/>
      </c>
      <c r="B338" s="73">
        <f>IF(A338="","",CHOOSE(WEEKDAY(A338,2),"Mo","Di","Mi","Do","Fr","Sa","So"))</f>
        <v/>
      </c>
      <c r="C338" s="73">
        <f>IF(A338="","",INT((A338-DATE(YEAR(A338-WEEKDAY(A338-1)+4),1,3)+WEEKDAY(DATE(YEAR(A338-WEEKDAY(A338-1)+4),1,3))+5)/7))</f>
        <v/>
      </c>
      <c r="D338" s="73">
        <f>IF(A338="","",MONTH(A338))</f>
        <v/>
      </c>
      <c r="E338" s="73">
        <f>IF(A338="","",WEEKDAY(A338,2))</f>
        <v/>
      </c>
      <c r="F338" s="73">
        <f>IF(A338="","",COUNTIF(ERFASSUNG!$A$6:$A$3005,A338))</f>
        <v/>
      </c>
      <c r="G338" s="73">
        <f>IF(A338="","",IF(F338&gt;0,1,0))</f>
        <v/>
      </c>
      <c r="H338" s="73">
        <f>IF(A338="","",SUMIFS(ERFASSUNG!$E$6:$E$3005,ERFASSUNG!$A$6:$A$3005,A338))</f>
        <v/>
      </c>
      <c r="I338" s="73">
        <f>IF(A338="","",SUMIFS(ERFASSUNG!$F$6:$F$3005,ERFASSUNG!$A$6:$A$3005,A338))</f>
        <v/>
      </c>
      <c r="J338" s="73">
        <f>IF(A338="","",SUMIFS(ERFASSUNG!$G$6:$G$3005,ERFASSUNG!$A$6:$A$3005,A338))</f>
        <v/>
      </c>
      <c r="K338" s="73">
        <f>IF(A338="","",SUMIFS(ERFASSUNG!$H$6:$H$3005,ERFASSUNG!$A$6:$A$3005,A338))</f>
        <v/>
      </c>
      <c r="L338" s="73">
        <f>IF(A338="","",SUMIFS(ERFASSUNG!$I$6:$I$3005,ERFASSUNG!$A$6:$A$3005,A338))</f>
        <v/>
      </c>
      <c r="M338" s="73">
        <f>IF(A338="","",SUMIFS(ERFASSUNG!$J$6:$J$3005,ERFASSUNG!$A$6:$A$3005,A338))</f>
        <v/>
      </c>
      <c r="N338" s="73">
        <f>IF(A338="","",SUMIFS(ERFASSUNG!$K$6:$K$3005,ERFASSUNG!$A$6:$A$3005,A338))</f>
        <v/>
      </c>
      <c r="O338" s="73">
        <f>IF(A338="","",SUMIFS(ERFASSUNG!$L$6:$L$3005,ERFASSUNG!$A$6:$A$3005,A338))</f>
        <v/>
      </c>
      <c r="P338" s="73">
        <f>IF(A338="","",SUMIFS(ERFASSUNG!$M$6:$M$3005,ERFASSUNG!$A$6:$A$3005,A338))</f>
        <v/>
      </c>
      <c r="Q338" s="73">
        <f>IF(A338="","",SUMIFS(ERFASSUNG!$N$6:$N$3005,ERFASSUNG!$A$6:$A$3005,A338))</f>
        <v/>
      </c>
    </row>
    <row r="339">
      <c r="A339" s="72">
        <f>IF(YEAR(DATE(LISTEN!$F$2,1,1)+334)=LISTEN!$F$2,DATE(LISTEN!$F$2,1,1)+334,"")</f>
        <v/>
      </c>
      <c r="B339" s="73">
        <f>IF(A339="","",CHOOSE(WEEKDAY(A339,2),"Mo","Di","Mi","Do","Fr","Sa","So"))</f>
        <v/>
      </c>
      <c r="C339" s="73">
        <f>IF(A339="","",INT((A339-DATE(YEAR(A339-WEEKDAY(A339-1)+4),1,3)+WEEKDAY(DATE(YEAR(A339-WEEKDAY(A339-1)+4),1,3))+5)/7))</f>
        <v/>
      </c>
      <c r="D339" s="73">
        <f>IF(A339="","",MONTH(A339))</f>
        <v/>
      </c>
      <c r="E339" s="73">
        <f>IF(A339="","",WEEKDAY(A339,2))</f>
        <v/>
      </c>
      <c r="F339" s="73">
        <f>IF(A339="","",COUNTIF(ERFASSUNG!$A$6:$A$3005,A339))</f>
        <v/>
      </c>
      <c r="G339" s="73">
        <f>IF(A339="","",IF(F339&gt;0,1,0))</f>
        <v/>
      </c>
      <c r="H339" s="73">
        <f>IF(A339="","",SUMIFS(ERFASSUNG!$E$6:$E$3005,ERFASSUNG!$A$6:$A$3005,A339))</f>
        <v/>
      </c>
      <c r="I339" s="73">
        <f>IF(A339="","",SUMIFS(ERFASSUNG!$F$6:$F$3005,ERFASSUNG!$A$6:$A$3005,A339))</f>
        <v/>
      </c>
      <c r="J339" s="73">
        <f>IF(A339="","",SUMIFS(ERFASSUNG!$G$6:$G$3005,ERFASSUNG!$A$6:$A$3005,A339))</f>
        <v/>
      </c>
      <c r="K339" s="73">
        <f>IF(A339="","",SUMIFS(ERFASSUNG!$H$6:$H$3005,ERFASSUNG!$A$6:$A$3005,A339))</f>
        <v/>
      </c>
      <c r="L339" s="73">
        <f>IF(A339="","",SUMIFS(ERFASSUNG!$I$6:$I$3005,ERFASSUNG!$A$6:$A$3005,A339))</f>
        <v/>
      </c>
      <c r="M339" s="73">
        <f>IF(A339="","",SUMIFS(ERFASSUNG!$J$6:$J$3005,ERFASSUNG!$A$6:$A$3005,A339))</f>
        <v/>
      </c>
      <c r="N339" s="73">
        <f>IF(A339="","",SUMIFS(ERFASSUNG!$K$6:$K$3005,ERFASSUNG!$A$6:$A$3005,A339))</f>
        <v/>
      </c>
      <c r="O339" s="73">
        <f>IF(A339="","",SUMIFS(ERFASSUNG!$L$6:$L$3005,ERFASSUNG!$A$6:$A$3005,A339))</f>
        <v/>
      </c>
      <c r="P339" s="73">
        <f>IF(A339="","",SUMIFS(ERFASSUNG!$M$6:$M$3005,ERFASSUNG!$A$6:$A$3005,A339))</f>
        <v/>
      </c>
      <c r="Q339" s="73">
        <f>IF(A339="","",SUMIFS(ERFASSUNG!$N$6:$N$3005,ERFASSUNG!$A$6:$A$3005,A339))</f>
        <v/>
      </c>
    </row>
    <row r="340">
      <c r="A340" s="72">
        <f>IF(YEAR(DATE(LISTEN!$F$2,1,1)+335)=LISTEN!$F$2,DATE(LISTEN!$F$2,1,1)+335,"")</f>
        <v/>
      </c>
      <c r="B340" s="73">
        <f>IF(A340="","",CHOOSE(WEEKDAY(A340,2),"Mo","Di","Mi","Do","Fr","Sa","So"))</f>
        <v/>
      </c>
      <c r="C340" s="73">
        <f>IF(A340="","",INT((A340-DATE(YEAR(A340-WEEKDAY(A340-1)+4),1,3)+WEEKDAY(DATE(YEAR(A340-WEEKDAY(A340-1)+4),1,3))+5)/7))</f>
        <v/>
      </c>
      <c r="D340" s="73">
        <f>IF(A340="","",MONTH(A340))</f>
        <v/>
      </c>
      <c r="E340" s="73">
        <f>IF(A340="","",WEEKDAY(A340,2))</f>
        <v/>
      </c>
      <c r="F340" s="73">
        <f>IF(A340="","",COUNTIF(ERFASSUNG!$A$6:$A$3005,A340))</f>
        <v/>
      </c>
      <c r="G340" s="73">
        <f>IF(A340="","",IF(F340&gt;0,1,0))</f>
        <v/>
      </c>
      <c r="H340" s="73">
        <f>IF(A340="","",SUMIFS(ERFASSUNG!$E$6:$E$3005,ERFASSUNG!$A$6:$A$3005,A340))</f>
        <v/>
      </c>
      <c r="I340" s="73">
        <f>IF(A340="","",SUMIFS(ERFASSUNG!$F$6:$F$3005,ERFASSUNG!$A$6:$A$3005,A340))</f>
        <v/>
      </c>
      <c r="J340" s="73">
        <f>IF(A340="","",SUMIFS(ERFASSUNG!$G$6:$G$3005,ERFASSUNG!$A$6:$A$3005,A340))</f>
        <v/>
      </c>
      <c r="K340" s="73">
        <f>IF(A340="","",SUMIFS(ERFASSUNG!$H$6:$H$3005,ERFASSUNG!$A$6:$A$3005,A340))</f>
        <v/>
      </c>
      <c r="L340" s="73">
        <f>IF(A340="","",SUMIFS(ERFASSUNG!$I$6:$I$3005,ERFASSUNG!$A$6:$A$3005,A340))</f>
        <v/>
      </c>
      <c r="M340" s="73">
        <f>IF(A340="","",SUMIFS(ERFASSUNG!$J$6:$J$3005,ERFASSUNG!$A$6:$A$3005,A340))</f>
        <v/>
      </c>
      <c r="N340" s="73">
        <f>IF(A340="","",SUMIFS(ERFASSUNG!$K$6:$K$3005,ERFASSUNG!$A$6:$A$3005,A340))</f>
        <v/>
      </c>
      <c r="O340" s="73">
        <f>IF(A340="","",SUMIFS(ERFASSUNG!$L$6:$L$3005,ERFASSUNG!$A$6:$A$3005,A340))</f>
        <v/>
      </c>
      <c r="P340" s="73">
        <f>IF(A340="","",SUMIFS(ERFASSUNG!$M$6:$M$3005,ERFASSUNG!$A$6:$A$3005,A340))</f>
        <v/>
      </c>
      <c r="Q340" s="73">
        <f>IF(A340="","",SUMIFS(ERFASSUNG!$N$6:$N$3005,ERFASSUNG!$A$6:$A$3005,A340))</f>
        <v/>
      </c>
    </row>
    <row r="341">
      <c r="A341" s="72">
        <f>IF(YEAR(DATE(LISTEN!$F$2,1,1)+336)=LISTEN!$F$2,DATE(LISTEN!$F$2,1,1)+336,"")</f>
        <v/>
      </c>
      <c r="B341" s="73">
        <f>IF(A341="","",CHOOSE(WEEKDAY(A341,2),"Mo","Di","Mi","Do","Fr","Sa","So"))</f>
        <v/>
      </c>
      <c r="C341" s="73">
        <f>IF(A341="","",INT((A341-DATE(YEAR(A341-WEEKDAY(A341-1)+4),1,3)+WEEKDAY(DATE(YEAR(A341-WEEKDAY(A341-1)+4),1,3))+5)/7))</f>
        <v/>
      </c>
      <c r="D341" s="73">
        <f>IF(A341="","",MONTH(A341))</f>
        <v/>
      </c>
      <c r="E341" s="73">
        <f>IF(A341="","",WEEKDAY(A341,2))</f>
        <v/>
      </c>
      <c r="F341" s="73">
        <f>IF(A341="","",COUNTIF(ERFASSUNG!$A$6:$A$3005,A341))</f>
        <v/>
      </c>
      <c r="G341" s="73">
        <f>IF(A341="","",IF(F341&gt;0,1,0))</f>
        <v/>
      </c>
      <c r="H341" s="73">
        <f>IF(A341="","",SUMIFS(ERFASSUNG!$E$6:$E$3005,ERFASSUNG!$A$6:$A$3005,A341))</f>
        <v/>
      </c>
      <c r="I341" s="73">
        <f>IF(A341="","",SUMIFS(ERFASSUNG!$F$6:$F$3005,ERFASSUNG!$A$6:$A$3005,A341))</f>
        <v/>
      </c>
      <c r="J341" s="73">
        <f>IF(A341="","",SUMIFS(ERFASSUNG!$G$6:$G$3005,ERFASSUNG!$A$6:$A$3005,A341))</f>
        <v/>
      </c>
      <c r="K341" s="73">
        <f>IF(A341="","",SUMIFS(ERFASSUNG!$H$6:$H$3005,ERFASSUNG!$A$6:$A$3005,A341))</f>
        <v/>
      </c>
      <c r="L341" s="73">
        <f>IF(A341="","",SUMIFS(ERFASSUNG!$I$6:$I$3005,ERFASSUNG!$A$6:$A$3005,A341))</f>
        <v/>
      </c>
      <c r="M341" s="73">
        <f>IF(A341="","",SUMIFS(ERFASSUNG!$J$6:$J$3005,ERFASSUNG!$A$6:$A$3005,A341))</f>
        <v/>
      </c>
      <c r="N341" s="73">
        <f>IF(A341="","",SUMIFS(ERFASSUNG!$K$6:$K$3005,ERFASSUNG!$A$6:$A$3005,A341))</f>
        <v/>
      </c>
      <c r="O341" s="73">
        <f>IF(A341="","",SUMIFS(ERFASSUNG!$L$6:$L$3005,ERFASSUNG!$A$6:$A$3005,A341))</f>
        <v/>
      </c>
      <c r="P341" s="73">
        <f>IF(A341="","",SUMIFS(ERFASSUNG!$M$6:$M$3005,ERFASSUNG!$A$6:$A$3005,A341))</f>
        <v/>
      </c>
      <c r="Q341" s="73">
        <f>IF(A341="","",SUMIFS(ERFASSUNG!$N$6:$N$3005,ERFASSUNG!$A$6:$A$3005,A341))</f>
        <v/>
      </c>
    </row>
    <row r="342">
      <c r="A342" s="72">
        <f>IF(YEAR(DATE(LISTEN!$F$2,1,1)+337)=LISTEN!$F$2,DATE(LISTEN!$F$2,1,1)+337,"")</f>
        <v/>
      </c>
      <c r="B342" s="73">
        <f>IF(A342="","",CHOOSE(WEEKDAY(A342,2),"Mo","Di","Mi","Do","Fr","Sa","So"))</f>
        <v/>
      </c>
      <c r="C342" s="73">
        <f>IF(A342="","",INT((A342-DATE(YEAR(A342-WEEKDAY(A342-1)+4),1,3)+WEEKDAY(DATE(YEAR(A342-WEEKDAY(A342-1)+4),1,3))+5)/7))</f>
        <v/>
      </c>
      <c r="D342" s="73">
        <f>IF(A342="","",MONTH(A342))</f>
        <v/>
      </c>
      <c r="E342" s="73">
        <f>IF(A342="","",WEEKDAY(A342,2))</f>
        <v/>
      </c>
      <c r="F342" s="73">
        <f>IF(A342="","",COUNTIF(ERFASSUNG!$A$6:$A$3005,A342))</f>
        <v/>
      </c>
      <c r="G342" s="73">
        <f>IF(A342="","",IF(F342&gt;0,1,0))</f>
        <v/>
      </c>
      <c r="H342" s="73">
        <f>IF(A342="","",SUMIFS(ERFASSUNG!$E$6:$E$3005,ERFASSUNG!$A$6:$A$3005,A342))</f>
        <v/>
      </c>
      <c r="I342" s="73">
        <f>IF(A342="","",SUMIFS(ERFASSUNG!$F$6:$F$3005,ERFASSUNG!$A$6:$A$3005,A342))</f>
        <v/>
      </c>
      <c r="J342" s="73">
        <f>IF(A342="","",SUMIFS(ERFASSUNG!$G$6:$G$3005,ERFASSUNG!$A$6:$A$3005,A342))</f>
        <v/>
      </c>
      <c r="K342" s="73">
        <f>IF(A342="","",SUMIFS(ERFASSUNG!$H$6:$H$3005,ERFASSUNG!$A$6:$A$3005,A342))</f>
        <v/>
      </c>
      <c r="L342" s="73">
        <f>IF(A342="","",SUMIFS(ERFASSUNG!$I$6:$I$3005,ERFASSUNG!$A$6:$A$3005,A342))</f>
        <v/>
      </c>
      <c r="M342" s="73">
        <f>IF(A342="","",SUMIFS(ERFASSUNG!$J$6:$J$3005,ERFASSUNG!$A$6:$A$3005,A342))</f>
        <v/>
      </c>
      <c r="N342" s="73">
        <f>IF(A342="","",SUMIFS(ERFASSUNG!$K$6:$K$3005,ERFASSUNG!$A$6:$A$3005,A342))</f>
        <v/>
      </c>
      <c r="O342" s="73">
        <f>IF(A342="","",SUMIFS(ERFASSUNG!$L$6:$L$3005,ERFASSUNG!$A$6:$A$3005,A342))</f>
        <v/>
      </c>
      <c r="P342" s="73">
        <f>IF(A342="","",SUMIFS(ERFASSUNG!$M$6:$M$3005,ERFASSUNG!$A$6:$A$3005,A342))</f>
        <v/>
      </c>
      <c r="Q342" s="73">
        <f>IF(A342="","",SUMIFS(ERFASSUNG!$N$6:$N$3005,ERFASSUNG!$A$6:$A$3005,A342))</f>
        <v/>
      </c>
    </row>
    <row r="343">
      <c r="A343" s="72">
        <f>IF(YEAR(DATE(LISTEN!$F$2,1,1)+338)=LISTEN!$F$2,DATE(LISTEN!$F$2,1,1)+338,"")</f>
        <v/>
      </c>
      <c r="B343" s="73">
        <f>IF(A343="","",CHOOSE(WEEKDAY(A343,2),"Mo","Di","Mi","Do","Fr","Sa","So"))</f>
        <v/>
      </c>
      <c r="C343" s="73">
        <f>IF(A343="","",INT((A343-DATE(YEAR(A343-WEEKDAY(A343-1)+4),1,3)+WEEKDAY(DATE(YEAR(A343-WEEKDAY(A343-1)+4),1,3))+5)/7))</f>
        <v/>
      </c>
      <c r="D343" s="73">
        <f>IF(A343="","",MONTH(A343))</f>
        <v/>
      </c>
      <c r="E343" s="73">
        <f>IF(A343="","",WEEKDAY(A343,2))</f>
        <v/>
      </c>
      <c r="F343" s="73">
        <f>IF(A343="","",COUNTIF(ERFASSUNG!$A$6:$A$3005,A343))</f>
        <v/>
      </c>
      <c r="G343" s="73">
        <f>IF(A343="","",IF(F343&gt;0,1,0))</f>
        <v/>
      </c>
      <c r="H343" s="73">
        <f>IF(A343="","",SUMIFS(ERFASSUNG!$E$6:$E$3005,ERFASSUNG!$A$6:$A$3005,A343))</f>
        <v/>
      </c>
      <c r="I343" s="73">
        <f>IF(A343="","",SUMIFS(ERFASSUNG!$F$6:$F$3005,ERFASSUNG!$A$6:$A$3005,A343))</f>
        <v/>
      </c>
      <c r="J343" s="73">
        <f>IF(A343="","",SUMIFS(ERFASSUNG!$G$6:$G$3005,ERFASSUNG!$A$6:$A$3005,A343))</f>
        <v/>
      </c>
      <c r="K343" s="73">
        <f>IF(A343="","",SUMIFS(ERFASSUNG!$H$6:$H$3005,ERFASSUNG!$A$6:$A$3005,A343))</f>
        <v/>
      </c>
      <c r="L343" s="73">
        <f>IF(A343="","",SUMIFS(ERFASSUNG!$I$6:$I$3005,ERFASSUNG!$A$6:$A$3005,A343))</f>
        <v/>
      </c>
      <c r="M343" s="73">
        <f>IF(A343="","",SUMIFS(ERFASSUNG!$J$6:$J$3005,ERFASSUNG!$A$6:$A$3005,A343))</f>
        <v/>
      </c>
      <c r="N343" s="73">
        <f>IF(A343="","",SUMIFS(ERFASSUNG!$K$6:$K$3005,ERFASSUNG!$A$6:$A$3005,A343))</f>
        <v/>
      </c>
      <c r="O343" s="73">
        <f>IF(A343="","",SUMIFS(ERFASSUNG!$L$6:$L$3005,ERFASSUNG!$A$6:$A$3005,A343))</f>
        <v/>
      </c>
      <c r="P343" s="73">
        <f>IF(A343="","",SUMIFS(ERFASSUNG!$M$6:$M$3005,ERFASSUNG!$A$6:$A$3005,A343))</f>
        <v/>
      </c>
      <c r="Q343" s="73">
        <f>IF(A343="","",SUMIFS(ERFASSUNG!$N$6:$N$3005,ERFASSUNG!$A$6:$A$3005,A343))</f>
        <v/>
      </c>
    </row>
    <row r="344">
      <c r="A344" s="72">
        <f>IF(YEAR(DATE(LISTEN!$F$2,1,1)+339)=LISTEN!$F$2,DATE(LISTEN!$F$2,1,1)+339,"")</f>
        <v/>
      </c>
      <c r="B344" s="73">
        <f>IF(A344="","",CHOOSE(WEEKDAY(A344,2),"Mo","Di","Mi","Do","Fr","Sa","So"))</f>
        <v/>
      </c>
      <c r="C344" s="73">
        <f>IF(A344="","",INT((A344-DATE(YEAR(A344-WEEKDAY(A344-1)+4),1,3)+WEEKDAY(DATE(YEAR(A344-WEEKDAY(A344-1)+4),1,3))+5)/7))</f>
        <v/>
      </c>
      <c r="D344" s="73">
        <f>IF(A344="","",MONTH(A344))</f>
        <v/>
      </c>
      <c r="E344" s="73">
        <f>IF(A344="","",WEEKDAY(A344,2))</f>
        <v/>
      </c>
      <c r="F344" s="73">
        <f>IF(A344="","",COUNTIF(ERFASSUNG!$A$6:$A$3005,A344))</f>
        <v/>
      </c>
      <c r="G344" s="73">
        <f>IF(A344="","",IF(F344&gt;0,1,0))</f>
        <v/>
      </c>
      <c r="H344" s="73">
        <f>IF(A344="","",SUMIFS(ERFASSUNG!$E$6:$E$3005,ERFASSUNG!$A$6:$A$3005,A344))</f>
        <v/>
      </c>
      <c r="I344" s="73">
        <f>IF(A344="","",SUMIFS(ERFASSUNG!$F$6:$F$3005,ERFASSUNG!$A$6:$A$3005,A344))</f>
        <v/>
      </c>
      <c r="J344" s="73">
        <f>IF(A344="","",SUMIFS(ERFASSUNG!$G$6:$G$3005,ERFASSUNG!$A$6:$A$3005,A344))</f>
        <v/>
      </c>
      <c r="K344" s="73">
        <f>IF(A344="","",SUMIFS(ERFASSUNG!$H$6:$H$3005,ERFASSUNG!$A$6:$A$3005,A344))</f>
        <v/>
      </c>
      <c r="L344" s="73">
        <f>IF(A344="","",SUMIFS(ERFASSUNG!$I$6:$I$3005,ERFASSUNG!$A$6:$A$3005,A344))</f>
        <v/>
      </c>
      <c r="M344" s="73">
        <f>IF(A344="","",SUMIFS(ERFASSUNG!$J$6:$J$3005,ERFASSUNG!$A$6:$A$3005,A344))</f>
        <v/>
      </c>
      <c r="N344" s="73">
        <f>IF(A344="","",SUMIFS(ERFASSUNG!$K$6:$K$3005,ERFASSUNG!$A$6:$A$3005,A344))</f>
        <v/>
      </c>
      <c r="O344" s="73">
        <f>IF(A344="","",SUMIFS(ERFASSUNG!$L$6:$L$3005,ERFASSUNG!$A$6:$A$3005,A344))</f>
        <v/>
      </c>
      <c r="P344" s="73">
        <f>IF(A344="","",SUMIFS(ERFASSUNG!$M$6:$M$3005,ERFASSUNG!$A$6:$A$3005,A344))</f>
        <v/>
      </c>
      <c r="Q344" s="73">
        <f>IF(A344="","",SUMIFS(ERFASSUNG!$N$6:$N$3005,ERFASSUNG!$A$6:$A$3005,A344))</f>
        <v/>
      </c>
    </row>
    <row r="345">
      <c r="A345" s="72">
        <f>IF(YEAR(DATE(LISTEN!$F$2,1,1)+340)=LISTEN!$F$2,DATE(LISTEN!$F$2,1,1)+340,"")</f>
        <v/>
      </c>
      <c r="B345" s="73">
        <f>IF(A345="","",CHOOSE(WEEKDAY(A345,2),"Mo","Di","Mi","Do","Fr","Sa","So"))</f>
        <v/>
      </c>
      <c r="C345" s="73">
        <f>IF(A345="","",INT((A345-DATE(YEAR(A345-WEEKDAY(A345-1)+4),1,3)+WEEKDAY(DATE(YEAR(A345-WEEKDAY(A345-1)+4),1,3))+5)/7))</f>
        <v/>
      </c>
      <c r="D345" s="73">
        <f>IF(A345="","",MONTH(A345))</f>
        <v/>
      </c>
      <c r="E345" s="73">
        <f>IF(A345="","",WEEKDAY(A345,2))</f>
        <v/>
      </c>
      <c r="F345" s="73">
        <f>IF(A345="","",COUNTIF(ERFASSUNG!$A$6:$A$3005,A345))</f>
        <v/>
      </c>
      <c r="G345" s="73">
        <f>IF(A345="","",IF(F345&gt;0,1,0))</f>
        <v/>
      </c>
      <c r="H345" s="73">
        <f>IF(A345="","",SUMIFS(ERFASSUNG!$E$6:$E$3005,ERFASSUNG!$A$6:$A$3005,A345))</f>
        <v/>
      </c>
      <c r="I345" s="73">
        <f>IF(A345="","",SUMIFS(ERFASSUNG!$F$6:$F$3005,ERFASSUNG!$A$6:$A$3005,A345))</f>
        <v/>
      </c>
      <c r="J345" s="73">
        <f>IF(A345="","",SUMIFS(ERFASSUNG!$G$6:$G$3005,ERFASSUNG!$A$6:$A$3005,A345))</f>
        <v/>
      </c>
      <c r="K345" s="73">
        <f>IF(A345="","",SUMIFS(ERFASSUNG!$H$6:$H$3005,ERFASSUNG!$A$6:$A$3005,A345))</f>
        <v/>
      </c>
      <c r="L345" s="73">
        <f>IF(A345="","",SUMIFS(ERFASSUNG!$I$6:$I$3005,ERFASSUNG!$A$6:$A$3005,A345))</f>
        <v/>
      </c>
      <c r="M345" s="73">
        <f>IF(A345="","",SUMIFS(ERFASSUNG!$J$6:$J$3005,ERFASSUNG!$A$6:$A$3005,A345))</f>
        <v/>
      </c>
      <c r="N345" s="73">
        <f>IF(A345="","",SUMIFS(ERFASSUNG!$K$6:$K$3005,ERFASSUNG!$A$6:$A$3005,A345))</f>
        <v/>
      </c>
      <c r="O345" s="73">
        <f>IF(A345="","",SUMIFS(ERFASSUNG!$L$6:$L$3005,ERFASSUNG!$A$6:$A$3005,A345))</f>
        <v/>
      </c>
      <c r="P345" s="73">
        <f>IF(A345="","",SUMIFS(ERFASSUNG!$M$6:$M$3005,ERFASSUNG!$A$6:$A$3005,A345))</f>
        <v/>
      </c>
      <c r="Q345" s="73">
        <f>IF(A345="","",SUMIFS(ERFASSUNG!$N$6:$N$3005,ERFASSUNG!$A$6:$A$3005,A345))</f>
        <v/>
      </c>
    </row>
    <row r="346">
      <c r="A346" s="72">
        <f>IF(YEAR(DATE(LISTEN!$F$2,1,1)+341)=LISTEN!$F$2,DATE(LISTEN!$F$2,1,1)+341,"")</f>
        <v/>
      </c>
      <c r="B346" s="73">
        <f>IF(A346="","",CHOOSE(WEEKDAY(A346,2),"Mo","Di","Mi","Do","Fr","Sa","So"))</f>
        <v/>
      </c>
      <c r="C346" s="73">
        <f>IF(A346="","",INT((A346-DATE(YEAR(A346-WEEKDAY(A346-1)+4),1,3)+WEEKDAY(DATE(YEAR(A346-WEEKDAY(A346-1)+4),1,3))+5)/7))</f>
        <v/>
      </c>
      <c r="D346" s="73">
        <f>IF(A346="","",MONTH(A346))</f>
        <v/>
      </c>
      <c r="E346" s="73">
        <f>IF(A346="","",WEEKDAY(A346,2))</f>
        <v/>
      </c>
      <c r="F346" s="73">
        <f>IF(A346="","",COUNTIF(ERFASSUNG!$A$6:$A$3005,A346))</f>
        <v/>
      </c>
      <c r="G346" s="73">
        <f>IF(A346="","",IF(F346&gt;0,1,0))</f>
        <v/>
      </c>
      <c r="H346" s="73">
        <f>IF(A346="","",SUMIFS(ERFASSUNG!$E$6:$E$3005,ERFASSUNG!$A$6:$A$3005,A346))</f>
        <v/>
      </c>
      <c r="I346" s="73">
        <f>IF(A346="","",SUMIFS(ERFASSUNG!$F$6:$F$3005,ERFASSUNG!$A$6:$A$3005,A346))</f>
        <v/>
      </c>
      <c r="J346" s="73">
        <f>IF(A346="","",SUMIFS(ERFASSUNG!$G$6:$G$3005,ERFASSUNG!$A$6:$A$3005,A346))</f>
        <v/>
      </c>
      <c r="K346" s="73">
        <f>IF(A346="","",SUMIFS(ERFASSUNG!$H$6:$H$3005,ERFASSUNG!$A$6:$A$3005,A346))</f>
        <v/>
      </c>
      <c r="L346" s="73">
        <f>IF(A346="","",SUMIFS(ERFASSUNG!$I$6:$I$3005,ERFASSUNG!$A$6:$A$3005,A346))</f>
        <v/>
      </c>
      <c r="M346" s="73">
        <f>IF(A346="","",SUMIFS(ERFASSUNG!$J$6:$J$3005,ERFASSUNG!$A$6:$A$3005,A346))</f>
        <v/>
      </c>
      <c r="N346" s="73">
        <f>IF(A346="","",SUMIFS(ERFASSUNG!$K$6:$K$3005,ERFASSUNG!$A$6:$A$3005,A346))</f>
        <v/>
      </c>
      <c r="O346" s="73">
        <f>IF(A346="","",SUMIFS(ERFASSUNG!$L$6:$L$3005,ERFASSUNG!$A$6:$A$3005,A346))</f>
        <v/>
      </c>
      <c r="P346" s="73">
        <f>IF(A346="","",SUMIFS(ERFASSUNG!$M$6:$M$3005,ERFASSUNG!$A$6:$A$3005,A346))</f>
        <v/>
      </c>
      <c r="Q346" s="73">
        <f>IF(A346="","",SUMIFS(ERFASSUNG!$N$6:$N$3005,ERFASSUNG!$A$6:$A$3005,A346))</f>
        <v/>
      </c>
    </row>
    <row r="347">
      <c r="A347" s="72">
        <f>IF(YEAR(DATE(LISTEN!$F$2,1,1)+342)=LISTEN!$F$2,DATE(LISTEN!$F$2,1,1)+342,"")</f>
        <v/>
      </c>
      <c r="B347" s="73">
        <f>IF(A347="","",CHOOSE(WEEKDAY(A347,2),"Mo","Di","Mi","Do","Fr","Sa","So"))</f>
        <v/>
      </c>
      <c r="C347" s="73">
        <f>IF(A347="","",INT((A347-DATE(YEAR(A347-WEEKDAY(A347-1)+4),1,3)+WEEKDAY(DATE(YEAR(A347-WEEKDAY(A347-1)+4),1,3))+5)/7))</f>
        <v/>
      </c>
      <c r="D347" s="73">
        <f>IF(A347="","",MONTH(A347))</f>
        <v/>
      </c>
      <c r="E347" s="73">
        <f>IF(A347="","",WEEKDAY(A347,2))</f>
        <v/>
      </c>
      <c r="F347" s="73">
        <f>IF(A347="","",COUNTIF(ERFASSUNG!$A$6:$A$3005,A347))</f>
        <v/>
      </c>
      <c r="G347" s="73">
        <f>IF(A347="","",IF(F347&gt;0,1,0))</f>
        <v/>
      </c>
      <c r="H347" s="73">
        <f>IF(A347="","",SUMIFS(ERFASSUNG!$E$6:$E$3005,ERFASSUNG!$A$6:$A$3005,A347))</f>
        <v/>
      </c>
      <c r="I347" s="73">
        <f>IF(A347="","",SUMIFS(ERFASSUNG!$F$6:$F$3005,ERFASSUNG!$A$6:$A$3005,A347))</f>
        <v/>
      </c>
      <c r="J347" s="73">
        <f>IF(A347="","",SUMIFS(ERFASSUNG!$G$6:$G$3005,ERFASSUNG!$A$6:$A$3005,A347))</f>
        <v/>
      </c>
      <c r="K347" s="73">
        <f>IF(A347="","",SUMIFS(ERFASSUNG!$H$6:$H$3005,ERFASSUNG!$A$6:$A$3005,A347))</f>
        <v/>
      </c>
      <c r="L347" s="73">
        <f>IF(A347="","",SUMIFS(ERFASSUNG!$I$6:$I$3005,ERFASSUNG!$A$6:$A$3005,A347))</f>
        <v/>
      </c>
      <c r="M347" s="73">
        <f>IF(A347="","",SUMIFS(ERFASSUNG!$J$6:$J$3005,ERFASSUNG!$A$6:$A$3005,A347))</f>
        <v/>
      </c>
      <c r="N347" s="73">
        <f>IF(A347="","",SUMIFS(ERFASSUNG!$K$6:$K$3005,ERFASSUNG!$A$6:$A$3005,A347))</f>
        <v/>
      </c>
      <c r="O347" s="73">
        <f>IF(A347="","",SUMIFS(ERFASSUNG!$L$6:$L$3005,ERFASSUNG!$A$6:$A$3005,A347))</f>
        <v/>
      </c>
      <c r="P347" s="73">
        <f>IF(A347="","",SUMIFS(ERFASSUNG!$M$6:$M$3005,ERFASSUNG!$A$6:$A$3005,A347))</f>
        <v/>
      </c>
      <c r="Q347" s="73">
        <f>IF(A347="","",SUMIFS(ERFASSUNG!$N$6:$N$3005,ERFASSUNG!$A$6:$A$3005,A347))</f>
        <v/>
      </c>
    </row>
    <row r="348">
      <c r="A348" s="72">
        <f>IF(YEAR(DATE(LISTEN!$F$2,1,1)+343)=LISTEN!$F$2,DATE(LISTEN!$F$2,1,1)+343,"")</f>
        <v/>
      </c>
      <c r="B348" s="73">
        <f>IF(A348="","",CHOOSE(WEEKDAY(A348,2),"Mo","Di","Mi","Do","Fr","Sa","So"))</f>
        <v/>
      </c>
      <c r="C348" s="73">
        <f>IF(A348="","",INT((A348-DATE(YEAR(A348-WEEKDAY(A348-1)+4),1,3)+WEEKDAY(DATE(YEAR(A348-WEEKDAY(A348-1)+4),1,3))+5)/7))</f>
        <v/>
      </c>
      <c r="D348" s="73">
        <f>IF(A348="","",MONTH(A348))</f>
        <v/>
      </c>
      <c r="E348" s="73">
        <f>IF(A348="","",WEEKDAY(A348,2))</f>
        <v/>
      </c>
      <c r="F348" s="73">
        <f>IF(A348="","",COUNTIF(ERFASSUNG!$A$6:$A$3005,A348))</f>
        <v/>
      </c>
      <c r="G348" s="73">
        <f>IF(A348="","",IF(F348&gt;0,1,0))</f>
        <v/>
      </c>
      <c r="H348" s="73">
        <f>IF(A348="","",SUMIFS(ERFASSUNG!$E$6:$E$3005,ERFASSUNG!$A$6:$A$3005,A348))</f>
        <v/>
      </c>
      <c r="I348" s="73">
        <f>IF(A348="","",SUMIFS(ERFASSUNG!$F$6:$F$3005,ERFASSUNG!$A$6:$A$3005,A348))</f>
        <v/>
      </c>
      <c r="J348" s="73">
        <f>IF(A348="","",SUMIFS(ERFASSUNG!$G$6:$G$3005,ERFASSUNG!$A$6:$A$3005,A348))</f>
        <v/>
      </c>
      <c r="K348" s="73">
        <f>IF(A348="","",SUMIFS(ERFASSUNG!$H$6:$H$3005,ERFASSUNG!$A$6:$A$3005,A348))</f>
        <v/>
      </c>
      <c r="L348" s="73">
        <f>IF(A348="","",SUMIFS(ERFASSUNG!$I$6:$I$3005,ERFASSUNG!$A$6:$A$3005,A348))</f>
        <v/>
      </c>
      <c r="M348" s="73">
        <f>IF(A348="","",SUMIFS(ERFASSUNG!$J$6:$J$3005,ERFASSUNG!$A$6:$A$3005,A348))</f>
        <v/>
      </c>
      <c r="N348" s="73">
        <f>IF(A348="","",SUMIFS(ERFASSUNG!$K$6:$K$3005,ERFASSUNG!$A$6:$A$3005,A348))</f>
        <v/>
      </c>
      <c r="O348" s="73">
        <f>IF(A348="","",SUMIFS(ERFASSUNG!$L$6:$L$3005,ERFASSUNG!$A$6:$A$3005,A348))</f>
        <v/>
      </c>
      <c r="P348" s="73">
        <f>IF(A348="","",SUMIFS(ERFASSUNG!$M$6:$M$3005,ERFASSUNG!$A$6:$A$3005,A348))</f>
        <v/>
      </c>
      <c r="Q348" s="73">
        <f>IF(A348="","",SUMIFS(ERFASSUNG!$N$6:$N$3005,ERFASSUNG!$A$6:$A$3005,A348))</f>
        <v/>
      </c>
    </row>
    <row r="349">
      <c r="A349" s="72">
        <f>IF(YEAR(DATE(LISTEN!$F$2,1,1)+344)=LISTEN!$F$2,DATE(LISTEN!$F$2,1,1)+344,"")</f>
        <v/>
      </c>
      <c r="B349" s="73">
        <f>IF(A349="","",CHOOSE(WEEKDAY(A349,2),"Mo","Di","Mi","Do","Fr","Sa","So"))</f>
        <v/>
      </c>
      <c r="C349" s="73">
        <f>IF(A349="","",INT((A349-DATE(YEAR(A349-WEEKDAY(A349-1)+4),1,3)+WEEKDAY(DATE(YEAR(A349-WEEKDAY(A349-1)+4),1,3))+5)/7))</f>
        <v/>
      </c>
      <c r="D349" s="73">
        <f>IF(A349="","",MONTH(A349))</f>
        <v/>
      </c>
      <c r="E349" s="73">
        <f>IF(A349="","",WEEKDAY(A349,2))</f>
        <v/>
      </c>
      <c r="F349" s="73">
        <f>IF(A349="","",COUNTIF(ERFASSUNG!$A$6:$A$3005,A349))</f>
        <v/>
      </c>
      <c r="G349" s="73">
        <f>IF(A349="","",IF(F349&gt;0,1,0))</f>
        <v/>
      </c>
      <c r="H349" s="73">
        <f>IF(A349="","",SUMIFS(ERFASSUNG!$E$6:$E$3005,ERFASSUNG!$A$6:$A$3005,A349))</f>
        <v/>
      </c>
      <c r="I349" s="73">
        <f>IF(A349="","",SUMIFS(ERFASSUNG!$F$6:$F$3005,ERFASSUNG!$A$6:$A$3005,A349))</f>
        <v/>
      </c>
      <c r="J349" s="73">
        <f>IF(A349="","",SUMIFS(ERFASSUNG!$G$6:$G$3005,ERFASSUNG!$A$6:$A$3005,A349))</f>
        <v/>
      </c>
      <c r="K349" s="73">
        <f>IF(A349="","",SUMIFS(ERFASSUNG!$H$6:$H$3005,ERFASSUNG!$A$6:$A$3005,A349))</f>
        <v/>
      </c>
      <c r="L349" s="73">
        <f>IF(A349="","",SUMIFS(ERFASSUNG!$I$6:$I$3005,ERFASSUNG!$A$6:$A$3005,A349))</f>
        <v/>
      </c>
      <c r="M349" s="73">
        <f>IF(A349="","",SUMIFS(ERFASSUNG!$J$6:$J$3005,ERFASSUNG!$A$6:$A$3005,A349))</f>
        <v/>
      </c>
      <c r="N349" s="73">
        <f>IF(A349="","",SUMIFS(ERFASSUNG!$K$6:$K$3005,ERFASSUNG!$A$6:$A$3005,A349))</f>
        <v/>
      </c>
      <c r="O349" s="73">
        <f>IF(A349="","",SUMIFS(ERFASSUNG!$L$6:$L$3005,ERFASSUNG!$A$6:$A$3005,A349))</f>
        <v/>
      </c>
      <c r="P349" s="73">
        <f>IF(A349="","",SUMIFS(ERFASSUNG!$M$6:$M$3005,ERFASSUNG!$A$6:$A$3005,A349))</f>
        <v/>
      </c>
      <c r="Q349" s="73">
        <f>IF(A349="","",SUMIFS(ERFASSUNG!$N$6:$N$3005,ERFASSUNG!$A$6:$A$3005,A349))</f>
        <v/>
      </c>
    </row>
    <row r="350">
      <c r="A350" s="72">
        <f>IF(YEAR(DATE(LISTEN!$F$2,1,1)+345)=LISTEN!$F$2,DATE(LISTEN!$F$2,1,1)+345,"")</f>
        <v/>
      </c>
      <c r="B350" s="73">
        <f>IF(A350="","",CHOOSE(WEEKDAY(A350,2),"Mo","Di","Mi","Do","Fr","Sa","So"))</f>
        <v/>
      </c>
      <c r="C350" s="73">
        <f>IF(A350="","",INT((A350-DATE(YEAR(A350-WEEKDAY(A350-1)+4),1,3)+WEEKDAY(DATE(YEAR(A350-WEEKDAY(A350-1)+4),1,3))+5)/7))</f>
        <v/>
      </c>
      <c r="D350" s="73">
        <f>IF(A350="","",MONTH(A350))</f>
        <v/>
      </c>
      <c r="E350" s="73">
        <f>IF(A350="","",WEEKDAY(A350,2))</f>
        <v/>
      </c>
      <c r="F350" s="73">
        <f>IF(A350="","",COUNTIF(ERFASSUNG!$A$6:$A$3005,A350))</f>
        <v/>
      </c>
      <c r="G350" s="73">
        <f>IF(A350="","",IF(F350&gt;0,1,0))</f>
        <v/>
      </c>
      <c r="H350" s="73">
        <f>IF(A350="","",SUMIFS(ERFASSUNG!$E$6:$E$3005,ERFASSUNG!$A$6:$A$3005,A350))</f>
        <v/>
      </c>
      <c r="I350" s="73">
        <f>IF(A350="","",SUMIFS(ERFASSUNG!$F$6:$F$3005,ERFASSUNG!$A$6:$A$3005,A350))</f>
        <v/>
      </c>
      <c r="J350" s="73">
        <f>IF(A350="","",SUMIFS(ERFASSUNG!$G$6:$G$3005,ERFASSUNG!$A$6:$A$3005,A350))</f>
        <v/>
      </c>
      <c r="K350" s="73">
        <f>IF(A350="","",SUMIFS(ERFASSUNG!$H$6:$H$3005,ERFASSUNG!$A$6:$A$3005,A350))</f>
        <v/>
      </c>
      <c r="L350" s="73">
        <f>IF(A350="","",SUMIFS(ERFASSUNG!$I$6:$I$3005,ERFASSUNG!$A$6:$A$3005,A350))</f>
        <v/>
      </c>
      <c r="M350" s="73">
        <f>IF(A350="","",SUMIFS(ERFASSUNG!$J$6:$J$3005,ERFASSUNG!$A$6:$A$3005,A350))</f>
        <v/>
      </c>
      <c r="N350" s="73">
        <f>IF(A350="","",SUMIFS(ERFASSUNG!$K$6:$K$3005,ERFASSUNG!$A$6:$A$3005,A350))</f>
        <v/>
      </c>
      <c r="O350" s="73">
        <f>IF(A350="","",SUMIFS(ERFASSUNG!$L$6:$L$3005,ERFASSUNG!$A$6:$A$3005,A350))</f>
        <v/>
      </c>
      <c r="P350" s="73">
        <f>IF(A350="","",SUMIFS(ERFASSUNG!$M$6:$M$3005,ERFASSUNG!$A$6:$A$3005,A350))</f>
        <v/>
      </c>
      <c r="Q350" s="73">
        <f>IF(A350="","",SUMIFS(ERFASSUNG!$N$6:$N$3005,ERFASSUNG!$A$6:$A$3005,A350))</f>
        <v/>
      </c>
    </row>
    <row r="351">
      <c r="A351" s="72">
        <f>IF(YEAR(DATE(LISTEN!$F$2,1,1)+346)=LISTEN!$F$2,DATE(LISTEN!$F$2,1,1)+346,"")</f>
        <v/>
      </c>
      <c r="B351" s="73">
        <f>IF(A351="","",CHOOSE(WEEKDAY(A351,2),"Mo","Di","Mi","Do","Fr","Sa","So"))</f>
        <v/>
      </c>
      <c r="C351" s="73">
        <f>IF(A351="","",INT((A351-DATE(YEAR(A351-WEEKDAY(A351-1)+4),1,3)+WEEKDAY(DATE(YEAR(A351-WEEKDAY(A351-1)+4),1,3))+5)/7))</f>
        <v/>
      </c>
      <c r="D351" s="73">
        <f>IF(A351="","",MONTH(A351))</f>
        <v/>
      </c>
      <c r="E351" s="73">
        <f>IF(A351="","",WEEKDAY(A351,2))</f>
        <v/>
      </c>
      <c r="F351" s="73">
        <f>IF(A351="","",COUNTIF(ERFASSUNG!$A$6:$A$3005,A351))</f>
        <v/>
      </c>
      <c r="G351" s="73">
        <f>IF(A351="","",IF(F351&gt;0,1,0))</f>
        <v/>
      </c>
      <c r="H351" s="73">
        <f>IF(A351="","",SUMIFS(ERFASSUNG!$E$6:$E$3005,ERFASSUNG!$A$6:$A$3005,A351))</f>
        <v/>
      </c>
      <c r="I351" s="73">
        <f>IF(A351="","",SUMIFS(ERFASSUNG!$F$6:$F$3005,ERFASSUNG!$A$6:$A$3005,A351))</f>
        <v/>
      </c>
      <c r="J351" s="73">
        <f>IF(A351="","",SUMIFS(ERFASSUNG!$G$6:$G$3005,ERFASSUNG!$A$6:$A$3005,A351))</f>
        <v/>
      </c>
      <c r="K351" s="73">
        <f>IF(A351="","",SUMIFS(ERFASSUNG!$H$6:$H$3005,ERFASSUNG!$A$6:$A$3005,A351))</f>
        <v/>
      </c>
      <c r="L351" s="73">
        <f>IF(A351="","",SUMIFS(ERFASSUNG!$I$6:$I$3005,ERFASSUNG!$A$6:$A$3005,A351))</f>
        <v/>
      </c>
      <c r="M351" s="73">
        <f>IF(A351="","",SUMIFS(ERFASSUNG!$J$6:$J$3005,ERFASSUNG!$A$6:$A$3005,A351))</f>
        <v/>
      </c>
      <c r="N351" s="73">
        <f>IF(A351="","",SUMIFS(ERFASSUNG!$K$6:$K$3005,ERFASSUNG!$A$6:$A$3005,A351))</f>
        <v/>
      </c>
      <c r="O351" s="73">
        <f>IF(A351="","",SUMIFS(ERFASSUNG!$L$6:$L$3005,ERFASSUNG!$A$6:$A$3005,A351))</f>
        <v/>
      </c>
      <c r="P351" s="73">
        <f>IF(A351="","",SUMIFS(ERFASSUNG!$M$6:$M$3005,ERFASSUNG!$A$6:$A$3005,A351))</f>
        <v/>
      </c>
      <c r="Q351" s="73">
        <f>IF(A351="","",SUMIFS(ERFASSUNG!$N$6:$N$3005,ERFASSUNG!$A$6:$A$3005,A351))</f>
        <v/>
      </c>
    </row>
    <row r="352">
      <c r="A352" s="72">
        <f>IF(YEAR(DATE(LISTEN!$F$2,1,1)+347)=LISTEN!$F$2,DATE(LISTEN!$F$2,1,1)+347,"")</f>
        <v/>
      </c>
      <c r="B352" s="73">
        <f>IF(A352="","",CHOOSE(WEEKDAY(A352,2),"Mo","Di","Mi","Do","Fr","Sa","So"))</f>
        <v/>
      </c>
      <c r="C352" s="73">
        <f>IF(A352="","",INT((A352-DATE(YEAR(A352-WEEKDAY(A352-1)+4),1,3)+WEEKDAY(DATE(YEAR(A352-WEEKDAY(A352-1)+4),1,3))+5)/7))</f>
        <v/>
      </c>
      <c r="D352" s="73">
        <f>IF(A352="","",MONTH(A352))</f>
        <v/>
      </c>
      <c r="E352" s="73">
        <f>IF(A352="","",WEEKDAY(A352,2))</f>
        <v/>
      </c>
      <c r="F352" s="73">
        <f>IF(A352="","",COUNTIF(ERFASSUNG!$A$6:$A$3005,A352))</f>
        <v/>
      </c>
      <c r="G352" s="73">
        <f>IF(A352="","",IF(F352&gt;0,1,0))</f>
        <v/>
      </c>
      <c r="H352" s="73">
        <f>IF(A352="","",SUMIFS(ERFASSUNG!$E$6:$E$3005,ERFASSUNG!$A$6:$A$3005,A352))</f>
        <v/>
      </c>
      <c r="I352" s="73">
        <f>IF(A352="","",SUMIFS(ERFASSUNG!$F$6:$F$3005,ERFASSUNG!$A$6:$A$3005,A352))</f>
        <v/>
      </c>
      <c r="J352" s="73">
        <f>IF(A352="","",SUMIFS(ERFASSUNG!$G$6:$G$3005,ERFASSUNG!$A$6:$A$3005,A352))</f>
        <v/>
      </c>
      <c r="K352" s="73">
        <f>IF(A352="","",SUMIFS(ERFASSUNG!$H$6:$H$3005,ERFASSUNG!$A$6:$A$3005,A352))</f>
        <v/>
      </c>
      <c r="L352" s="73">
        <f>IF(A352="","",SUMIFS(ERFASSUNG!$I$6:$I$3005,ERFASSUNG!$A$6:$A$3005,A352))</f>
        <v/>
      </c>
      <c r="M352" s="73">
        <f>IF(A352="","",SUMIFS(ERFASSUNG!$J$6:$J$3005,ERFASSUNG!$A$6:$A$3005,A352))</f>
        <v/>
      </c>
      <c r="N352" s="73">
        <f>IF(A352="","",SUMIFS(ERFASSUNG!$K$6:$K$3005,ERFASSUNG!$A$6:$A$3005,A352))</f>
        <v/>
      </c>
      <c r="O352" s="73">
        <f>IF(A352="","",SUMIFS(ERFASSUNG!$L$6:$L$3005,ERFASSUNG!$A$6:$A$3005,A352))</f>
        <v/>
      </c>
      <c r="P352" s="73">
        <f>IF(A352="","",SUMIFS(ERFASSUNG!$M$6:$M$3005,ERFASSUNG!$A$6:$A$3005,A352))</f>
        <v/>
      </c>
      <c r="Q352" s="73">
        <f>IF(A352="","",SUMIFS(ERFASSUNG!$N$6:$N$3005,ERFASSUNG!$A$6:$A$3005,A352))</f>
        <v/>
      </c>
    </row>
    <row r="353">
      <c r="A353" s="72">
        <f>IF(YEAR(DATE(LISTEN!$F$2,1,1)+348)=LISTEN!$F$2,DATE(LISTEN!$F$2,1,1)+348,"")</f>
        <v/>
      </c>
      <c r="B353" s="73">
        <f>IF(A353="","",CHOOSE(WEEKDAY(A353,2),"Mo","Di","Mi","Do","Fr","Sa","So"))</f>
        <v/>
      </c>
      <c r="C353" s="73">
        <f>IF(A353="","",INT((A353-DATE(YEAR(A353-WEEKDAY(A353-1)+4),1,3)+WEEKDAY(DATE(YEAR(A353-WEEKDAY(A353-1)+4),1,3))+5)/7))</f>
        <v/>
      </c>
      <c r="D353" s="73">
        <f>IF(A353="","",MONTH(A353))</f>
        <v/>
      </c>
      <c r="E353" s="73">
        <f>IF(A353="","",WEEKDAY(A353,2))</f>
        <v/>
      </c>
      <c r="F353" s="73">
        <f>IF(A353="","",COUNTIF(ERFASSUNG!$A$6:$A$3005,A353))</f>
        <v/>
      </c>
      <c r="G353" s="73">
        <f>IF(A353="","",IF(F353&gt;0,1,0))</f>
        <v/>
      </c>
      <c r="H353" s="73">
        <f>IF(A353="","",SUMIFS(ERFASSUNG!$E$6:$E$3005,ERFASSUNG!$A$6:$A$3005,A353))</f>
        <v/>
      </c>
      <c r="I353" s="73">
        <f>IF(A353="","",SUMIFS(ERFASSUNG!$F$6:$F$3005,ERFASSUNG!$A$6:$A$3005,A353))</f>
        <v/>
      </c>
      <c r="J353" s="73">
        <f>IF(A353="","",SUMIFS(ERFASSUNG!$G$6:$G$3005,ERFASSUNG!$A$6:$A$3005,A353))</f>
        <v/>
      </c>
      <c r="K353" s="73">
        <f>IF(A353="","",SUMIFS(ERFASSUNG!$H$6:$H$3005,ERFASSUNG!$A$6:$A$3005,A353))</f>
        <v/>
      </c>
      <c r="L353" s="73">
        <f>IF(A353="","",SUMIFS(ERFASSUNG!$I$6:$I$3005,ERFASSUNG!$A$6:$A$3005,A353))</f>
        <v/>
      </c>
      <c r="M353" s="73">
        <f>IF(A353="","",SUMIFS(ERFASSUNG!$J$6:$J$3005,ERFASSUNG!$A$6:$A$3005,A353))</f>
        <v/>
      </c>
      <c r="N353" s="73">
        <f>IF(A353="","",SUMIFS(ERFASSUNG!$K$6:$K$3005,ERFASSUNG!$A$6:$A$3005,A353))</f>
        <v/>
      </c>
      <c r="O353" s="73">
        <f>IF(A353="","",SUMIFS(ERFASSUNG!$L$6:$L$3005,ERFASSUNG!$A$6:$A$3005,A353))</f>
        <v/>
      </c>
      <c r="P353" s="73">
        <f>IF(A353="","",SUMIFS(ERFASSUNG!$M$6:$M$3005,ERFASSUNG!$A$6:$A$3005,A353))</f>
        <v/>
      </c>
      <c r="Q353" s="73">
        <f>IF(A353="","",SUMIFS(ERFASSUNG!$N$6:$N$3005,ERFASSUNG!$A$6:$A$3005,A353))</f>
        <v/>
      </c>
    </row>
    <row r="354">
      <c r="A354" s="72">
        <f>IF(YEAR(DATE(LISTEN!$F$2,1,1)+349)=LISTEN!$F$2,DATE(LISTEN!$F$2,1,1)+349,"")</f>
        <v/>
      </c>
      <c r="B354" s="73">
        <f>IF(A354="","",CHOOSE(WEEKDAY(A354,2),"Mo","Di","Mi","Do","Fr","Sa","So"))</f>
        <v/>
      </c>
      <c r="C354" s="73">
        <f>IF(A354="","",INT((A354-DATE(YEAR(A354-WEEKDAY(A354-1)+4),1,3)+WEEKDAY(DATE(YEAR(A354-WEEKDAY(A354-1)+4),1,3))+5)/7))</f>
        <v/>
      </c>
      <c r="D354" s="73">
        <f>IF(A354="","",MONTH(A354))</f>
        <v/>
      </c>
      <c r="E354" s="73">
        <f>IF(A354="","",WEEKDAY(A354,2))</f>
        <v/>
      </c>
      <c r="F354" s="73">
        <f>IF(A354="","",COUNTIF(ERFASSUNG!$A$6:$A$3005,A354))</f>
        <v/>
      </c>
      <c r="G354" s="73">
        <f>IF(A354="","",IF(F354&gt;0,1,0))</f>
        <v/>
      </c>
      <c r="H354" s="73">
        <f>IF(A354="","",SUMIFS(ERFASSUNG!$E$6:$E$3005,ERFASSUNG!$A$6:$A$3005,A354))</f>
        <v/>
      </c>
      <c r="I354" s="73">
        <f>IF(A354="","",SUMIFS(ERFASSUNG!$F$6:$F$3005,ERFASSUNG!$A$6:$A$3005,A354))</f>
        <v/>
      </c>
      <c r="J354" s="73">
        <f>IF(A354="","",SUMIFS(ERFASSUNG!$G$6:$G$3005,ERFASSUNG!$A$6:$A$3005,A354))</f>
        <v/>
      </c>
      <c r="K354" s="73">
        <f>IF(A354="","",SUMIFS(ERFASSUNG!$H$6:$H$3005,ERFASSUNG!$A$6:$A$3005,A354))</f>
        <v/>
      </c>
      <c r="L354" s="73">
        <f>IF(A354="","",SUMIFS(ERFASSUNG!$I$6:$I$3005,ERFASSUNG!$A$6:$A$3005,A354))</f>
        <v/>
      </c>
      <c r="M354" s="73">
        <f>IF(A354="","",SUMIFS(ERFASSUNG!$J$6:$J$3005,ERFASSUNG!$A$6:$A$3005,A354))</f>
        <v/>
      </c>
      <c r="N354" s="73">
        <f>IF(A354="","",SUMIFS(ERFASSUNG!$K$6:$K$3005,ERFASSUNG!$A$6:$A$3005,A354))</f>
        <v/>
      </c>
      <c r="O354" s="73">
        <f>IF(A354="","",SUMIFS(ERFASSUNG!$L$6:$L$3005,ERFASSUNG!$A$6:$A$3005,A354))</f>
        <v/>
      </c>
      <c r="P354" s="73">
        <f>IF(A354="","",SUMIFS(ERFASSUNG!$M$6:$M$3005,ERFASSUNG!$A$6:$A$3005,A354))</f>
        <v/>
      </c>
      <c r="Q354" s="73">
        <f>IF(A354="","",SUMIFS(ERFASSUNG!$N$6:$N$3005,ERFASSUNG!$A$6:$A$3005,A354))</f>
        <v/>
      </c>
    </row>
    <row r="355">
      <c r="A355" s="72">
        <f>IF(YEAR(DATE(LISTEN!$F$2,1,1)+350)=LISTEN!$F$2,DATE(LISTEN!$F$2,1,1)+350,"")</f>
        <v/>
      </c>
      <c r="B355" s="73">
        <f>IF(A355="","",CHOOSE(WEEKDAY(A355,2),"Mo","Di","Mi","Do","Fr","Sa","So"))</f>
        <v/>
      </c>
      <c r="C355" s="73">
        <f>IF(A355="","",INT((A355-DATE(YEAR(A355-WEEKDAY(A355-1)+4),1,3)+WEEKDAY(DATE(YEAR(A355-WEEKDAY(A355-1)+4),1,3))+5)/7))</f>
        <v/>
      </c>
      <c r="D355" s="73">
        <f>IF(A355="","",MONTH(A355))</f>
        <v/>
      </c>
      <c r="E355" s="73">
        <f>IF(A355="","",WEEKDAY(A355,2))</f>
        <v/>
      </c>
      <c r="F355" s="73">
        <f>IF(A355="","",COUNTIF(ERFASSUNG!$A$6:$A$3005,A355))</f>
        <v/>
      </c>
      <c r="G355" s="73">
        <f>IF(A355="","",IF(F355&gt;0,1,0))</f>
        <v/>
      </c>
      <c r="H355" s="73">
        <f>IF(A355="","",SUMIFS(ERFASSUNG!$E$6:$E$3005,ERFASSUNG!$A$6:$A$3005,A355))</f>
        <v/>
      </c>
      <c r="I355" s="73">
        <f>IF(A355="","",SUMIFS(ERFASSUNG!$F$6:$F$3005,ERFASSUNG!$A$6:$A$3005,A355))</f>
        <v/>
      </c>
      <c r="J355" s="73">
        <f>IF(A355="","",SUMIFS(ERFASSUNG!$G$6:$G$3005,ERFASSUNG!$A$6:$A$3005,A355))</f>
        <v/>
      </c>
      <c r="K355" s="73">
        <f>IF(A355="","",SUMIFS(ERFASSUNG!$H$6:$H$3005,ERFASSUNG!$A$6:$A$3005,A355))</f>
        <v/>
      </c>
      <c r="L355" s="73">
        <f>IF(A355="","",SUMIFS(ERFASSUNG!$I$6:$I$3005,ERFASSUNG!$A$6:$A$3005,A355))</f>
        <v/>
      </c>
      <c r="M355" s="73">
        <f>IF(A355="","",SUMIFS(ERFASSUNG!$J$6:$J$3005,ERFASSUNG!$A$6:$A$3005,A355))</f>
        <v/>
      </c>
      <c r="N355" s="73">
        <f>IF(A355="","",SUMIFS(ERFASSUNG!$K$6:$K$3005,ERFASSUNG!$A$6:$A$3005,A355))</f>
        <v/>
      </c>
      <c r="O355" s="73">
        <f>IF(A355="","",SUMIFS(ERFASSUNG!$L$6:$L$3005,ERFASSUNG!$A$6:$A$3005,A355))</f>
        <v/>
      </c>
      <c r="P355" s="73">
        <f>IF(A355="","",SUMIFS(ERFASSUNG!$M$6:$M$3005,ERFASSUNG!$A$6:$A$3005,A355))</f>
        <v/>
      </c>
      <c r="Q355" s="73">
        <f>IF(A355="","",SUMIFS(ERFASSUNG!$N$6:$N$3005,ERFASSUNG!$A$6:$A$3005,A355))</f>
        <v/>
      </c>
    </row>
    <row r="356">
      <c r="A356" s="72">
        <f>IF(YEAR(DATE(LISTEN!$F$2,1,1)+351)=LISTEN!$F$2,DATE(LISTEN!$F$2,1,1)+351,"")</f>
        <v/>
      </c>
      <c r="B356" s="73">
        <f>IF(A356="","",CHOOSE(WEEKDAY(A356,2),"Mo","Di","Mi","Do","Fr","Sa","So"))</f>
        <v/>
      </c>
      <c r="C356" s="73">
        <f>IF(A356="","",INT((A356-DATE(YEAR(A356-WEEKDAY(A356-1)+4),1,3)+WEEKDAY(DATE(YEAR(A356-WEEKDAY(A356-1)+4),1,3))+5)/7))</f>
        <v/>
      </c>
      <c r="D356" s="73">
        <f>IF(A356="","",MONTH(A356))</f>
        <v/>
      </c>
      <c r="E356" s="73">
        <f>IF(A356="","",WEEKDAY(A356,2))</f>
        <v/>
      </c>
      <c r="F356" s="73">
        <f>IF(A356="","",COUNTIF(ERFASSUNG!$A$6:$A$3005,A356))</f>
        <v/>
      </c>
      <c r="G356" s="73">
        <f>IF(A356="","",IF(F356&gt;0,1,0))</f>
        <v/>
      </c>
      <c r="H356" s="73">
        <f>IF(A356="","",SUMIFS(ERFASSUNG!$E$6:$E$3005,ERFASSUNG!$A$6:$A$3005,A356))</f>
        <v/>
      </c>
      <c r="I356" s="73">
        <f>IF(A356="","",SUMIFS(ERFASSUNG!$F$6:$F$3005,ERFASSUNG!$A$6:$A$3005,A356))</f>
        <v/>
      </c>
      <c r="J356" s="73">
        <f>IF(A356="","",SUMIFS(ERFASSUNG!$G$6:$G$3005,ERFASSUNG!$A$6:$A$3005,A356))</f>
        <v/>
      </c>
      <c r="K356" s="73">
        <f>IF(A356="","",SUMIFS(ERFASSUNG!$H$6:$H$3005,ERFASSUNG!$A$6:$A$3005,A356))</f>
        <v/>
      </c>
      <c r="L356" s="73">
        <f>IF(A356="","",SUMIFS(ERFASSUNG!$I$6:$I$3005,ERFASSUNG!$A$6:$A$3005,A356))</f>
        <v/>
      </c>
      <c r="M356" s="73">
        <f>IF(A356="","",SUMIFS(ERFASSUNG!$J$6:$J$3005,ERFASSUNG!$A$6:$A$3005,A356))</f>
        <v/>
      </c>
      <c r="N356" s="73">
        <f>IF(A356="","",SUMIFS(ERFASSUNG!$K$6:$K$3005,ERFASSUNG!$A$6:$A$3005,A356))</f>
        <v/>
      </c>
      <c r="O356" s="73">
        <f>IF(A356="","",SUMIFS(ERFASSUNG!$L$6:$L$3005,ERFASSUNG!$A$6:$A$3005,A356))</f>
        <v/>
      </c>
      <c r="P356" s="73">
        <f>IF(A356="","",SUMIFS(ERFASSUNG!$M$6:$M$3005,ERFASSUNG!$A$6:$A$3005,A356))</f>
        <v/>
      </c>
      <c r="Q356" s="73">
        <f>IF(A356="","",SUMIFS(ERFASSUNG!$N$6:$N$3005,ERFASSUNG!$A$6:$A$3005,A356))</f>
        <v/>
      </c>
    </row>
    <row r="357">
      <c r="A357" s="72">
        <f>IF(YEAR(DATE(LISTEN!$F$2,1,1)+352)=LISTEN!$F$2,DATE(LISTEN!$F$2,1,1)+352,"")</f>
        <v/>
      </c>
      <c r="B357" s="73">
        <f>IF(A357="","",CHOOSE(WEEKDAY(A357,2),"Mo","Di","Mi","Do","Fr","Sa","So"))</f>
        <v/>
      </c>
      <c r="C357" s="73">
        <f>IF(A357="","",INT((A357-DATE(YEAR(A357-WEEKDAY(A357-1)+4),1,3)+WEEKDAY(DATE(YEAR(A357-WEEKDAY(A357-1)+4),1,3))+5)/7))</f>
        <v/>
      </c>
      <c r="D357" s="73">
        <f>IF(A357="","",MONTH(A357))</f>
        <v/>
      </c>
      <c r="E357" s="73">
        <f>IF(A357="","",WEEKDAY(A357,2))</f>
        <v/>
      </c>
      <c r="F357" s="73">
        <f>IF(A357="","",COUNTIF(ERFASSUNG!$A$6:$A$3005,A357))</f>
        <v/>
      </c>
      <c r="G357" s="73">
        <f>IF(A357="","",IF(F357&gt;0,1,0))</f>
        <v/>
      </c>
      <c r="H357" s="73">
        <f>IF(A357="","",SUMIFS(ERFASSUNG!$E$6:$E$3005,ERFASSUNG!$A$6:$A$3005,A357))</f>
        <v/>
      </c>
      <c r="I357" s="73">
        <f>IF(A357="","",SUMIFS(ERFASSUNG!$F$6:$F$3005,ERFASSUNG!$A$6:$A$3005,A357))</f>
        <v/>
      </c>
      <c r="J357" s="73">
        <f>IF(A357="","",SUMIFS(ERFASSUNG!$G$6:$G$3005,ERFASSUNG!$A$6:$A$3005,A357))</f>
        <v/>
      </c>
      <c r="K357" s="73">
        <f>IF(A357="","",SUMIFS(ERFASSUNG!$H$6:$H$3005,ERFASSUNG!$A$6:$A$3005,A357))</f>
        <v/>
      </c>
      <c r="L357" s="73">
        <f>IF(A357="","",SUMIFS(ERFASSUNG!$I$6:$I$3005,ERFASSUNG!$A$6:$A$3005,A357))</f>
        <v/>
      </c>
      <c r="M357" s="73">
        <f>IF(A357="","",SUMIFS(ERFASSUNG!$J$6:$J$3005,ERFASSUNG!$A$6:$A$3005,A357))</f>
        <v/>
      </c>
      <c r="N357" s="73">
        <f>IF(A357="","",SUMIFS(ERFASSUNG!$K$6:$K$3005,ERFASSUNG!$A$6:$A$3005,A357))</f>
        <v/>
      </c>
      <c r="O357" s="73">
        <f>IF(A357="","",SUMIFS(ERFASSUNG!$L$6:$L$3005,ERFASSUNG!$A$6:$A$3005,A357))</f>
        <v/>
      </c>
      <c r="P357" s="73">
        <f>IF(A357="","",SUMIFS(ERFASSUNG!$M$6:$M$3005,ERFASSUNG!$A$6:$A$3005,A357))</f>
        <v/>
      </c>
      <c r="Q357" s="73">
        <f>IF(A357="","",SUMIFS(ERFASSUNG!$N$6:$N$3005,ERFASSUNG!$A$6:$A$3005,A357))</f>
        <v/>
      </c>
    </row>
    <row r="358">
      <c r="A358" s="72">
        <f>IF(YEAR(DATE(LISTEN!$F$2,1,1)+353)=LISTEN!$F$2,DATE(LISTEN!$F$2,1,1)+353,"")</f>
        <v/>
      </c>
      <c r="B358" s="73">
        <f>IF(A358="","",CHOOSE(WEEKDAY(A358,2),"Mo","Di","Mi","Do","Fr","Sa","So"))</f>
        <v/>
      </c>
      <c r="C358" s="73">
        <f>IF(A358="","",INT((A358-DATE(YEAR(A358-WEEKDAY(A358-1)+4),1,3)+WEEKDAY(DATE(YEAR(A358-WEEKDAY(A358-1)+4),1,3))+5)/7))</f>
        <v/>
      </c>
      <c r="D358" s="73">
        <f>IF(A358="","",MONTH(A358))</f>
        <v/>
      </c>
      <c r="E358" s="73">
        <f>IF(A358="","",WEEKDAY(A358,2))</f>
        <v/>
      </c>
      <c r="F358" s="73">
        <f>IF(A358="","",COUNTIF(ERFASSUNG!$A$6:$A$3005,A358))</f>
        <v/>
      </c>
      <c r="G358" s="73">
        <f>IF(A358="","",IF(F358&gt;0,1,0))</f>
        <v/>
      </c>
      <c r="H358" s="73">
        <f>IF(A358="","",SUMIFS(ERFASSUNG!$E$6:$E$3005,ERFASSUNG!$A$6:$A$3005,A358))</f>
        <v/>
      </c>
      <c r="I358" s="73">
        <f>IF(A358="","",SUMIFS(ERFASSUNG!$F$6:$F$3005,ERFASSUNG!$A$6:$A$3005,A358))</f>
        <v/>
      </c>
      <c r="J358" s="73">
        <f>IF(A358="","",SUMIFS(ERFASSUNG!$G$6:$G$3005,ERFASSUNG!$A$6:$A$3005,A358))</f>
        <v/>
      </c>
      <c r="K358" s="73">
        <f>IF(A358="","",SUMIFS(ERFASSUNG!$H$6:$H$3005,ERFASSUNG!$A$6:$A$3005,A358))</f>
        <v/>
      </c>
      <c r="L358" s="73">
        <f>IF(A358="","",SUMIFS(ERFASSUNG!$I$6:$I$3005,ERFASSUNG!$A$6:$A$3005,A358))</f>
        <v/>
      </c>
      <c r="M358" s="73">
        <f>IF(A358="","",SUMIFS(ERFASSUNG!$J$6:$J$3005,ERFASSUNG!$A$6:$A$3005,A358))</f>
        <v/>
      </c>
      <c r="N358" s="73">
        <f>IF(A358="","",SUMIFS(ERFASSUNG!$K$6:$K$3005,ERFASSUNG!$A$6:$A$3005,A358))</f>
        <v/>
      </c>
      <c r="O358" s="73">
        <f>IF(A358="","",SUMIFS(ERFASSUNG!$L$6:$L$3005,ERFASSUNG!$A$6:$A$3005,A358))</f>
        <v/>
      </c>
      <c r="P358" s="73">
        <f>IF(A358="","",SUMIFS(ERFASSUNG!$M$6:$M$3005,ERFASSUNG!$A$6:$A$3005,A358))</f>
        <v/>
      </c>
      <c r="Q358" s="73">
        <f>IF(A358="","",SUMIFS(ERFASSUNG!$N$6:$N$3005,ERFASSUNG!$A$6:$A$3005,A358))</f>
        <v/>
      </c>
    </row>
    <row r="359">
      <c r="A359" s="72">
        <f>IF(YEAR(DATE(LISTEN!$F$2,1,1)+354)=LISTEN!$F$2,DATE(LISTEN!$F$2,1,1)+354,"")</f>
        <v/>
      </c>
      <c r="B359" s="73">
        <f>IF(A359="","",CHOOSE(WEEKDAY(A359,2),"Mo","Di","Mi","Do","Fr","Sa","So"))</f>
        <v/>
      </c>
      <c r="C359" s="73">
        <f>IF(A359="","",INT((A359-DATE(YEAR(A359-WEEKDAY(A359-1)+4),1,3)+WEEKDAY(DATE(YEAR(A359-WEEKDAY(A359-1)+4),1,3))+5)/7))</f>
        <v/>
      </c>
      <c r="D359" s="73">
        <f>IF(A359="","",MONTH(A359))</f>
        <v/>
      </c>
      <c r="E359" s="73">
        <f>IF(A359="","",WEEKDAY(A359,2))</f>
        <v/>
      </c>
      <c r="F359" s="73">
        <f>IF(A359="","",COUNTIF(ERFASSUNG!$A$6:$A$3005,A359))</f>
        <v/>
      </c>
      <c r="G359" s="73">
        <f>IF(A359="","",IF(F359&gt;0,1,0))</f>
        <v/>
      </c>
      <c r="H359" s="73">
        <f>IF(A359="","",SUMIFS(ERFASSUNG!$E$6:$E$3005,ERFASSUNG!$A$6:$A$3005,A359))</f>
        <v/>
      </c>
      <c r="I359" s="73">
        <f>IF(A359="","",SUMIFS(ERFASSUNG!$F$6:$F$3005,ERFASSUNG!$A$6:$A$3005,A359))</f>
        <v/>
      </c>
      <c r="J359" s="73">
        <f>IF(A359="","",SUMIFS(ERFASSUNG!$G$6:$G$3005,ERFASSUNG!$A$6:$A$3005,A359))</f>
        <v/>
      </c>
      <c r="K359" s="73">
        <f>IF(A359="","",SUMIFS(ERFASSUNG!$H$6:$H$3005,ERFASSUNG!$A$6:$A$3005,A359))</f>
        <v/>
      </c>
      <c r="L359" s="73">
        <f>IF(A359="","",SUMIFS(ERFASSUNG!$I$6:$I$3005,ERFASSUNG!$A$6:$A$3005,A359))</f>
        <v/>
      </c>
      <c r="M359" s="73">
        <f>IF(A359="","",SUMIFS(ERFASSUNG!$J$6:$J$3005,ERFASSUNG!$A$6:$A$3005,A359))</f>
        <v/>
      </c>
      <c r="N359" s="73">
        <f>IF(A359="","",SUMIFS(ERFASSUNG!$K$6:$K$3005,ERFASSUNG!$A$6:$A$3005,A359))</f>
        <v/>
      </c>
      <c r="O359" s="73">
        <f>IF(A359="","",SUMIFS(ERFASSUNG!$L$6:$L$3005,ERFASSUNG!$A$6:$A$3005,A359))</f>
        <v/>
      </c>
      <c r="P359" s="73">
        <f>IF(A359="","",SUMIFS(ERFASSUNG!$M$6:$M$3005,ERFASSUNG!$A$6:$A$3005,A359))</f>
        <v/>
      </c>
      <c r="Q359" s="73">
        <f>IF(A359="","",SUMIFS(ERFASSUNG!$N$6:$N$3005,ERFASSUNG!$A$6:$A$3005,A359))</f>
        <v/>
      </c>
    </row>
    <row r="360">
      <c r="A360" s="72">
        <f>IF(YEAR(DATE(LISTEN!$F$2,1,1)+355)=LISTEN!$F$2,DATE(LISTEN!$F$2,1,1)+355,"")</f>
        <v/>
      </c>
      <c r="B360" s="73">
        <f>IF(A360="","",CHOOSE(WEEKDAY(A360,2),"Mo","Di","Mi","Do","Fr","Sa","So"))</f>
        <v/>
      </c>
      <c r="C360" s="73">
        <f>IF(A360="","",INT((A360-DATE(YEAR(A360-WEEKDAY(A360-1)+4),1,3)+WEEKDAY(DATE(YEAR(A360-WEEKDAY(A360-1)+4),1,3))+5)/7))</f>
        <v/>
      </c>
      <c r="D360" s="73">
        <f>IF(A360="","",MONTH(A360))</f>
        <v/>
      </c>
      <c r="E360" s="73">
        <f>IF(A360="","",WEEKDAY(A360,2))</f>
        <v/>
      </c>
      <c r="F360" s="73">
        <f>IF(A360="","",COUNTIF(ERFASSUNG!$A$6:$A$3005,A360))</f>
        <v/>
      </c>
      <c r="G360" s="73">
        <f>IF(A360="","",IF(F360&gt;0,1,0))</f>
        <v/>
      </c>
      <c r="H360" s="73">
        <f>IF(A360="","",SUMIFS(ERFASSUNG!$E$6:$E$3005,ERFASSUNG!$A$6:$A$3005,A360))</f>
        <v/>
      </c>
      <c r="I360" s="73">
        <f>IF(A360="","",SUMIFS(ERFASSUNG!$F$6:$F$3005,ERFASSUNG!$A$6:$A$3005,A360))</f>
        <v/>
      </c>
      <c r="J360" s="73">
        <f>IF(A360="","",SUMIFS(ERFASSUNG!$G$6:$G$3005,ERFASSUNG!$A$6:$A$3005,A360))</f>
        <v/>
      </c>
      <c r="K360" s="73">
        <f>IF(A360="","",SUMIFS(ERFASSUNG!$H$6:$H$3005,ERFASSUNG!$A$6:$A$3005,A360))</f>
        <v/>
      </c>
      <c r="L360" s="73">
        <f>IF(A360="","",SUMIFS(ERFASSUNG!$I$6:$I$3005,ERFASSUNG!$A$6:$A$3005,A360))</f>
        <v/>
      </c>
      <c r="M360" s="73">
        <f>IF(A360="","",SUMIFS(ERFASSUNG!$J$6:$J$3005,ERFASSUNG!$A$6:$A$3005,A360))</f>
        <v/>
      </c>
      <c r="N360" s="73">
        <f>IF(A360="","",SUMIFS(ERFASSUNG!$K$6:$K$3005,ERFASSUNG!$A$6:$A$3005,A360))</f>
        <v/>
      </c>
      <c r="O360" s="73">
        <f>IF(A360="","",SUMIFS(ERFASSUNG!$L$6:$L$3005,ERFASSUNG!$A$6:$A$3005,A360))</f>
        <v/>
      </c>
      <c r="P360" s="73">
        <f>IF(A360="","",SUMIFS(ERFASSUNG!$M$6:$M$3005,ERFASSUNG!$A$6:$A$3005,A360))</f>
        <v/>
      </c>
      <c r="Q360" s="73">
        <f>IF(A360="","",SUMIFS(ERFASSUNG!$N$6:$N$3005,ERFASSUNG!$A$6:$A$3005,A360))</f>
        <v/>
      </c>
    </row>
    <row r="361">
      <c r="A361" s="72">
        <f>IF(YEAR(DATE(LISTEN!$F$2,1,1)+356)=LISTEN!$F$2,DATE(LISTEN!$F$2,1,1)+356,"")</f>
        <v/>
      </c>
      <c r="B361" s="73">
        <f>IF(A361="","",CHOOSE(WEEKDAY(A361,2),"Mo","Di","Mi","Do","Fr","Sa","So"))</f>
        <v/>
      </c>
      <c r="C361" s="73">
        <f>IF(A361="","",INT((A361-DATE(YEAR(A361-WEEKDAY(A361-1)+4),1,3)+WEEKDAY(DATE(YEAR(A361-WEEKDAY(A361-1)+4),1,3))+5)/7))</f>
        <v/>
      </c>
      <c r="D361" s="73">
        <f>IF(A361="","",MONTH(A361))</f>
        <v/>
      </c>
      <c r="E361" s="73">
        <f>IF(A361="","",WEEKDAY(A361,2))</f>
        <v/>
      </c>
      <c r="F361" s="73">
        <f>IF(A361="","",COUNTIF(ERFASSUNG!$A$6:$A$3005,A361))</f>
        <v/>
      </c>
      <c r="G361" s="73">
        <f>IF(A361="","",IF(F361&gt;0,1,0))</f>
        <v/>
      </c>
      <c r="H361" s="73">
        <f>IF(A361="","",SUMIFS(ERFASSUNG!$E$6:$E$3005,ERFASSUNG!$A$6:$A$3005,A361))</f>
        <v/>
      </c>
      <c r="I361" s="73">
        <f>IF(A361="","",SUMIFS(ERFASSUNG!$F$6:$F$3005,ERFASSUNG!$A$6:$A$3005,A361))</f>
        <v/>
      </c>
      <c r="J361" s="73">
        <f>IF(A361="","",SUMIFS(ERFASSUNG!$G$6:$G$3005,ERFASSUNG!$A$6:$A$3005,A361))</f>
        <v/>
      </c>
      <c r="K361" s="73">
        <f>IF(A361="","",SUMIFS(ERFASSUNG!$H$6:$H$3005,ERFASSUNG!$A$6:$A$3005,A361))</f>
        <v/>
      </c>
      <c r="L361" s="73">
        <f>IF(A361="","",SUMIFS(ERFASSUNG!$I$6:$I$3005,ERFASSUNG!$A$6:$A$3005,A361))</f>
        <v/>
      </c>
      <c r="M361" s="73">
        <f>IF(A361="","",SUMIFS(ERFASSUNG!$J$6:$J$3005,ERFASSUNG!$A$6:$A$3005,A361))</f>
        <v/>
      </c>
      <c r="N361" s="73">
        <f>IF(A361="","",SUMIFS(ERFASSUNG!$K$6:$K$3005,ERFASSUNG!$A$6:$A$3005,A361))</f>
        <v/>
      </c>
      <c r="O361" s="73">
        <f>IF(A361="","",SUMIFS(ERFASSUNG!$L$6:$L$3005,ERFASSUNG!$A$6:$A$3005,A361))</f>
        <v/>
      </c>
      <c r="P361" s="73">
        <f>IF(A361="","",SUMIFS(ERFASSUNG!$M$6:$M$3005,ERFASSUNG!$A$6:$A$3005,A361))</f>
        <v/>
      </c>
      <c r="Q361" s="73">
        <f>IF(A361="","",SUMIFS(ERFASSUNG!$N$6:$N$3005,ERFASSUNG!$A$6:$A$3005,A361))</f>
        <v/>
      </c>
    </row>
    <row r="362">
      <c r="A362" s="72">
        <f>IF(YEAR(DATE(LISTEN!$F$2,1,1)+357)=LISTEN!$F$2,DATE(LISTEN!$F$2,1,1)+357,"")</f>
        <v/>
      </c>
      <c r="B362" s="73">
        <f>IF(A362="","",CHOOSE(WEEKDAY(A362,2),"Mo","Di","Mi","Do","Fr","Sa","So"))</f>
        <v/>
      </c>
      <c r="C362" s="73">
        <f>IF(A362="","",INT((A362-DATE(YEAR(A362-WEEKDAY(A362-1)+4),1,3)+WEEKDAY(DATE(YEAR(A362-WEEKDAY(A362-1)+4),1,3))+5)/7))</f>
        <v/>
      </c>
      <c r="D362" s="73">
        <f>IF(A362="","",MONTH(A362))</f>
        <v/>
      </c>
      <c r="E362" s="73">
        <f>IF(A362="","",WEEKDAY(A362,2))</f>
        <v/>
      </c>
      <c r="F362" s="73">
        <f>IF(A362="","",COUNTIF(ERFASSUNG!$A$6:$A$3005,A362))</f>
        <v/>
      </c>
      <c r="G362" s="73">
        <f>IF(A362="","",IF(F362&gt;0,1,0))</f>
        <v/>
      </c>
      <c r="H362" s="73">
        <f>IF(A362="","",SUMIFS(ERFASSUNG!$E$6:$E$3005,ERFASSUNG!$A$6:$A$3005,A362))</f>
        <v/>
      </c>
      <c r="I362" s="73">
        <f>IF(A362="","",SUMIFS(ERFASSUNG!$F$6:$F$3005,ERFASSUNG!$A$6:$A$3005,A362))</f>
        <v/>
      </c>
      <c r="J362" s="73">
        <f>IF(A362="","",SUMIFS(ERFASSUNG!$G$6:$G$3005,ERFASSUNG!$A$6:$A$3005,A362))</f>
        <v/>
      </c>
      <c r="K362" s="73">
        <f>IF(A362="","",SUMIFS(ERFASSUNG!$H$6:$H$3005,ERFASSUNG!$A$6:$A$3005,A362))</f>
        <v/>
      </c>
      <c r="L362" s="73">
        <f>IF(A362="","",SUMIFS(ERFASSUNG!$I$6:$I$3005,ERFASSUNG!$A$6:$A$3005,A362))</f>
        <v/>
      </c>
      <c r="M362" s="73">
        <f>IF(A362="","",SUMIFS(ERFASSUNG!$J$6:$J$3005,ERFASSUNG!$A$6:$A$3005,A362))</f>
        <v/>
      </c>
      <c r="N362" s="73">
        <f>IF(A362="","",SUMIFS(ERFASSUNG!$K$6:$K$3005,ERFASSUNG!$A$6:$A$3005,A362))</f>
        <v/>
      </c>
      <c r="O362" s="73">
        <f>IF(A362="","",SUMIFS(ERFASSUNG!$L$6:$L$3005,ERFASSUNG!$A$6:$A$3005,A362))</f>
        <v/>
      </c>
      <c r="P362" s="73">
        <f>IF(A362="","",SUMIFS(ERFASSUNG!$M$6:$M$3005,ERFASSUNG!$A$6:$A$3005,A362))</f>
        <v/>
      </c>
      <c r="Q362" s="73">
        <f>IF(A362="","",SUMIFS(ERFASSUNG!$N$6:$N$3005,ERFASSUNG!$A$6:$A$3005,A362))</f>
        <v/>
      </c>
    </row>
    <row r="363">
      <c r="A363" s="72">
        <f>IF(YEAR(DATE(LISTEN!$F$2,1,1)+358)=LISTEN!$F$2,DATE(LISTEN!$F$2,1,1)+358,"")</f>
        <v/>
      </c>
      <c r="B363" s="73">
        <f>IF(A363="","",CHOOSE(WEEKDAY(A363,2),"Mo","Di","Mi","Do","Fr","Sa","So"))</f>
        <v/>
      </c>
      <c r="C363" s="73">
        <f>IF(A363="","",INT((A363-DATE(YEAR(A363-WEEKDAY(A363-1)+4),1,3)+WEEKDAY(DATE(YEAR(A363-WEEKDAY(A363-1)+4),1,3))+5)/7))</f>
        <v/>
      </c>
      <c r="D363" s="73">
        <f>IF(A363="","",MONTH(A363))</f>
        <v/>
      </c>
      <c r="E363" s="73">
        <f>IF(A363="","",WEEKDAY(A363,2))</f>
        <v/>
      </c>
      <c r="F363" s="73">
        <f>IF(A363="","",COUNTIF(ERFASSUNG!$A$6:$A$3005,A363))</f>
        <v/>
      </c>
      <c r="G363" s="73">
        <f>IF(A363="","",IF(F363&gt;0,1,0))</f>
        <v/>
      </c>
      <c r="H363" s="73">
        <f>IF(A363="","",SUMIFS(ERFASSUNG!$E$6:$E$3005,ERFASSUNG!$A$6:$A$3005,A363))</f>
        <v/>
      </c>
      <c r="I363" s="73">
        <f>IF(A363="","",SUMIFS(ERFASSUNG!$F$6:$F$3005,ERFASSUNG!$A$6:$A$3005,A363))</f>
        <v/>
      </c>
      <c r="J363" s="73">
        <f>IF(A363="","",SUMIFS(ERFASSUNG!$G$6:$G$3005,ERFASSUNG!$A$6:$A$3005,A363))</f>
        <v/>
      </c>
      <c r="K363" s="73">
        <f>IF(A363="","",SUMIFS(ERFASSUNG!$H$6:$H$3005,ERFASSUNG!$A$6:$A$3005,A363))</f>
        <v/>
      </c>
      <c r="L363" s="73">
        <f>IF(A363="","",SUMIFS(ERFASSUNG!$I$6:$I$3005,ERFASSUNG!$A$6:$A$3005,A363))</f>
        <v/>
      </c>
      <c r="M363" s="73">
        <f>IF(A363="","",SUMIFS(ERFASSUNG!$J$6:$J$3005,ERFASSUNG!$A$6:$A$3005,A363))</f>
        <v/>
      </c>
      <c r="N363" s="73">
        <f>IF(A363="","",SUMIFS(ERFASSUNG!$K$6:$K$3005,ERFASSUNG!$A$6:$A$3005,A363))</f>
        <v/>
      </c>
      <c r="O363" s="73">
        <f>IF(A363="","",SUMIFS(ERFASSUNG!$L$6:$L$3005,ERFASSUNG!$A$6:$A$3005,A363))</f>
        <v/>
      </c>
      <c r="P363" s="73">
        <f>IF(A363="","",SUMIFS(ERFASSUNG!$M$6:$M$3005,ERFASSUNG!$A$6:$A$3005,A363))</f>
        <v/>
      </c>
      <c r="Q363" s="73">
        <f>IF(A363="","",SUMIFS(ERFASSUNG!$N$6:$N$3005,ERFASSUNG!$A$6:$A$3005,A363))</f>
        <v/>
      </c>
    </row>
    <row r="364">
      <c r="A364" s="72">
        <f>IF(YEAR(DATE(LISTEN!$F$2,1,1)+359)=LISTEN!$F$2,DATE(LISTEN!$F$2,1,1)+359,"")</f>
        <v/>
      </c>
      <c r="B364" s="73">
        <f>IF(A364="","",CHOOSE(WEEKDAY(A364,2),"Mo","Di","Mi","Do","Fr","Sa","So"))</f>
        <v/>
      </c>
      <c r="C364" s="73">
        <f>IF(A364="","",INT((A364-DATE(YEAR(A364-WEEKDAY(A364-1)+4),1,3)+WEEKDAY(DATE(YEAR(A364-WEEKDAY(A364-1)+4),1,3))+5)/7))</f>
        <v/>
      </c>
      <c r="D364" s="73">
        <f>IF(A364="","",MONTH(A364))</f>
        <v/>
      </c>
      <c r="E364" s="73">
        <f>IF(A364="","",WEEKDAY(A364,2))</f>
        <v/>
      </c>
      <c r="F364" s="73">
        <f>IF(A364="","",COUNTIF(ERFASSUNG!$A$6:$A$3005,A364))</f>
        <v/>
      </c>
      <c r="G364" s="73">
        <f>IF(A364="","",IF(F364&gt;0,1,0))</f>
        <v/>
      </c>
      <c r="H364" s="73">
        <f>IF(A364="","",SUMIFS(ERFASSUNG!$E$6:$E$3005,ERFASSUNG!$A$6:$A$3005,A364))</f>
        <v/>
      </c>
      <c r="I364" s="73">
        <f>IF(A364="","",SUMIFS(ERFASSUNG!$F$6:$F$3005,ERFASSUNG!$A$6:$A$3005,A364))</f>
        <v/>
      </c>
      <c r="J364" s="73">
        <f>IF(A364="","",SUMIFS(ERFASSUNG!$G$6:$G$3005,ERFASSUNG!$A$6:$A$3005,A364))</f>
        <v/>
      </c>
      <c r="K364" s="73">
        <f>IF(A364="","",SUMIFS(ERFASSUNG!$H$6:$H$3005,ERFASSUNG!$A$6:$A$3005,A364))</f>
        <v/>
      </c>
      <c r="L364" s="73">
        <f>IF(A364="","",SUMIFS(ERFASSUNG!$I$6:$I$3005,ERFASSUNG!$A$6:$A$3005,A364))</f>
        <v/>
      </c>
      <c r="M364" s="73">
        <f>IF(A364="","",SUMIFS(ERFASSUNG!$J$6:$J$3005,ERFASSUNG!$A$6:$A$3005,A364))</f>
        <v/>
      </c>
      <c r="N364" s="73">
        <f>IF(A364="","",SUMIFS(ERFASSUNG!$K$6:$K$3005,ERFASSUNG!$A$6:$A$3005,A364))</f>
        <v/>
      </c>
      <c r="O364" s="73">
        <f>IF(A364="","",SUMIFS(ERFASSUNG!$L$6:$L$3005,ERFASSUNG!$A$6:$A$3005,A364))</f>
        <v/>
      </c>
      <c r="P364" s="73">
        <f>IF(A364="","",SUMIFS(ERFASSUNG!$M$6:$M$3005,ERFASSUNG!$A$6:$A$3005,A364))</f>
        <v/>
      </c>
      <c r="Q364" s="73">
        <f>IF(A364="","",SUMIFS(ERFASSUNG!$N$6:$N$3005,ERFASSUNG!$A$6:$A$3005,A364))</f>
        <v/>
      </c>
    </row>
    <row r="365">
      <c r="A365" s="72">
        <f>IF(YEAR(DATE(LISTEN!$F$2,1,1)+360)=LISTEN!$F$2,DATE(LISTEN!$F$2,1,1)+360,"")</f>
        <v/>
      </c>
      <c r="B365" s="73">
        <f>IF(A365="","",CHOOSE(WEEKDAY(A365,2),"Mo","Di","Mi","Do","Fr","Sa","So"))</f>
        <v/>
      </c>
      <c r="C365" s="73">
        <f>IF(A365="","",INT((A365-DATE(YEAR(A365-WEEKDAY(A365-1)+4),1,3)+WEEKDAY(DATE(YEAR(A365-WEEKDAY(A365-1)+4),1,3))+5)/7))</f>
        <v/>
      </c>
      <c r="D365" s="73">
        <f>IF(A365="","",MONTH(A365))</f>
        <v/>
      </c>
      <c r="E365" s="73">
        <f>IF(A365="","",WEEKDAY(A365,2))</f>
        <v/>
      </c>
      <c r="F365" s="73">
        <f>IF(A365="","",COUNTIF(ERFASSUNG!$A$6:$A$3005,A365))</f>
        <v/>
      </c>
      <c r="G365" s="73">
        <f>IF(A365="","",IF(F365&gt;0,1,0))</f>
        <v/>
      </c>
      <c r="H365" s="73">
        <f>IF(A365="","",SUMIFS(ERFASSUNG!$E$6:$E$3005,ERFASSUNG!$A$6:$A$3005,A365))</f>
        <v/>
      </c>
      <c r="I365" s="73">
        <f>IF(A365="","",SUMIFS(ERFASSUNG!$F$6:$F$3005,ERFASSUNG!$A$6:$A$3005,A365))</f>
        <v/>
      </c>
      <c r="J365" s="73">
        <f>IF(A365="","",SUMIFS(ERFASSUNG!$G$6:$G$3005,ERFASSUNG!$A$6:$A$3005,A365))</f>
        <v/>
      </c>
      <c r="K365" s="73">
        <f>IF(A365="","",SUMIFS(ERFASSUNG!$H$6:$H$3005,ERFASSUNG!$A$6:$A$3005,A365))</f>
        <v/>
      </c>
      <c r="L365" s="73">
        <f>IF(A365="","",SUMIFS(ERFASSUNG!$I$6:$I$3005,ERFASSUNG!$A$6:$A$3005,A365))</f>
        <v/>
      </c>
      <c r="M365" s="73">
        <f>IF(A365="","",SUMIFS(ERFASSUNG!$J$6:$J$3005,ERFASSUNG!$A$6:$A$3005,A365))</f>
        <v/>
      </c>
      <c r="N365" s="73">
        <f>IF(A365="","",SUMIFS(ERFASSUNG!$K$6:$K$3005,ERFASSUNG!$A$6:$A$3005,A365))</f>
        <v/>
      </c>
      <c r="O365" s="73">
        <f>IF(A365="","",SUMIFS(ERFASSUNG!$L$6:$L$3005,ERFASSUNG!$A$6:$A$3005,A365))</f>
        <v/>
      </c>
      <c r="P365" s="73">
        <f>IF(A365="","",SUMIFS(ERFASSUNG!$M$6:$M$3005,ERFASSUNG!$A$6:$A$3005,A365))</f>
        <v/>
      </c>
      <c r="Q365" s="73">
        <f>IF(A365="","",SUMIFS(ERFASSUNG!$N$6:$N$3005,ERFASSUNG!$A$6:$A$3005,A365))</f>
        <v/>
      </c>
    </row>
    <row r="366">
      <c r="A366" s="72">
        <f>IF(YEAR(DATE(LISTEN!$F$2,1,1)+361)=LISTEN!$F$2,DATE(LISTEN!$F$2,1,1)+361,"")</f>
        <v/>
      </c>
      <c r="B366" s="73">
        <f>IF(A366="","",CHOOSE(WEEKDAY(A366,2),"Mo","Di","Mi","Do","Fr","Sa","So"))</f>
        <v/>
      </c>
      <c r="C366" s="73">
        <f>IF(A366="","",INT((A366-DATE(YEAR(A366-WEEKDAY(A366-1)+4),1,3)+WEEKDAY(DATE(YEAR(A366-WEEKDAY(A366-1)+4),1,3))+5)/7))</f>
        <v/>
      </c>
      <c r="D366" s="73">
        <f>IF(A366="","",MONTH(A366))</f>
        <v/>
      </c>
      <c r="E366" s="73">
        <f>IF(A366="","",WEEKDAY(A366,2))</f>
        <v/>
      </c>
      <c r="F366" s="73">
        <f>IF(A366="","",COUNTIF(ERFASSUNG!$A$6:$A$3005,A366))</f>
        <v/>
      </c>
      <c r="G366" s="73">
        <f>IF(A366="","",IF(F366&gt;0,1,0))</f>
        <v/>
      </c>
      <c r="H366" s="73">
        <f>IF(A366="","",SUMIFS(ERFASSUNG!$E$6:$E$3005,ERFASSUNG!$A$6:$A$3005,A366))</f>
        <v/>
      </c>
      <c r="I366" s="73">
        <f>IF(A366="","",SUMIFS(ERFASSUNG!$F$6:$F$3005,ERFASSUNG!$A$6:$A$3005,A366))</f>
        <v/>
      </c>
      <c r="J366" s="73">
        <f>IF(A366="","",SUMIFS(ERFASSUNG!$G$6:$G$3005,ERFASSUNG!$A$6:$A$3005,A366))</f>
        <v/>
      </c>
      <c r="K366" s="73">
        <f>IF(A366="","",SUMIFS(ERFASSUNG!$H$6:$H$3005,ERFASSUNG!$A$6:$A$3005,A366))</f>
        <v/>
      </c>
      <c r="L366" s="73">
        <f>IF(A366="","",SUMIFS(ERFASSUNG!$I$6:$I$3005,ERFASSUNG!$A$6:$A$3005,A366))</f>
        <v/>
      </c>
      <c r="M366" s="73">
        <f>IF(A366="","",SUMIFS(ERFASSUNG!$J$6:$J$3005,ERFASSUNG!$A$6:$A$3005,A366))</f>
        <v/>
      </c>
      <c r="N366" s="73">
        <f>IF(A366="","",SUMIFS(ERFASSUNG!$K$6:$K$3005,ERFASSUNG!$A$6:$A$3005,A366))</f>
        <v/>
      </c>
      <c r="O366" s="73">
        <f>IF(A366="","",SUMIFS(ERFASSUNG!$L$6:$L$3005,ERFASSUNG!$A$6:$A$3005,A366))</f>
        <v/>
      </c>
      <c r="P366" s="73">
        <f>IF(A366="","",SUMIFS(ERFASSUNG!$M$6:$M$3005,ERFASSUNG!$A$6:$A$3005,A366))</f>
        <v/>
      </c>
      <c r="Q366" s="73">
        <f>IF(A366="","",SUMIFS(ERFASSUNG!$N$6:$N$3005,ERFASSUNG!$A$6:$A$3005,A366))</f>
        <v/>
      </c>
    </row>
    <row r="367">
      <c r="A367" s="72">
        <f>IF(YEAR(DATE(LISTEN!$F$2,1,1)+362)=LISTEN!$F$2,DATE(LISTEN!$F$2,1,1)+362,"")</f>
        <v/>
      </c>
      <c r="B367" s="73">
        <f>IF(A367="","",CHOOSE(WEEKDAY(A367,2),"Mo","Di","Mi","Do","Fr","Sa","So"))</f>
        <v/>
      </c>
      <c r="C367" s="73">
        <f>IF(A367="","",INT((A367-DATE(YEAR(A367-WEEKDAY(A367-1)+4),1,3)+WEEKDAY(DATE(YEAR(A367-WEEKDAY(A367-1)+4),1,3))+5)/7))</f>
        <v/>
      </c>
      <c r="D367" s="73">
        <f>IF(A367="","",MONTH(A367))</f>
        <v/>
      </c>
      <c r="E367" s="73">
        <f>IF(A367="","",WEEKDAY(A367,2))</f>
        <v/>
      </c>
      <c r="F367" s="73">
        <f>IF(A367="","",COUNTIF(ERFASSUNG!$A$6:$A$3005,A367))</f>
        <v/>
      </c>
      <c r="G367" s="73">
        <f>IF(A367="","",IF(F367&gt;0,1,0))</f>
        <v/>
      </c>
      <c r="H367" s="73">
        <f>IF(A367="","",SUMIFS(ERFASSUNG!$E$6:$E$3005,ERFASSUNG!$A$6:$A$3005,A367))</f>
        <v/>
      </c>
      <c r="I367" s="73">
        <f>IF(A367="","",SUMIFS(ERFASSUNG!$F$6:$F$3005,ERFASSUNG!$A$6:$A$3005,A367))</f>
        <v/>
      </c>
      <c r="J367" s="73">
        <f>IF(A367="","",SUMIFS(ERFASSUNG!$G$6:$G$3005,ERFASSUNG!$A$6:$A$3005,A367))</f>
        <v/>
      </c>
      <c r="K367" s="73">
        <f>IF(A367="","",SUMIFS(ERFASSUNG!$H$6:$H$3005,ERFASSUNG!$A$6:$A$3005,A367))</f>
        <v/>
      </c>
      <c r="L367" s="73">
        <f>IF(A367="","",SUMIFS(ERFASSUNG!$I$6:$I$3005,ERFASSUNG!$A$6:$A$3005,A367))</f>
        <v/>
      </c>
      <c r="M367" s="73">
        <f>IF(A367="","",SUMIFS(ERFASSUNG!$J$6:$J$3005,ERFASSUNG!$A$6:$A$3005,A367))</f>
        <v/>
      </c>
      <c r="N367" s="73">
        <f>IF(A367="","",SUMIFS(ERFASSUNG!$K$6:$K$3005,ERFASSUNG!$A$6:$A$3005,A367))</f>
        <v/>
      </c>
      <c r="O367" s="73">
        <f>IF(A367="","",SUMIFS(ERFASSUNG!$L$6:$L$3005,ERFASSUNG!$A$6:$A$3005,A367))</f>
        <v/>
      </c>
      <c r="P367" s="73">
        <f>IF(A367="","",SUMIFS(ERFASSUNG!$M$6:$M$3005,ERFASSUNG!$A$6:$A$3005,A367))</f>
        <v/>
      </c>
      <c r="Q367" s="73">
        <f>IF(A367="","",SUMIFS(ERFASSUNG!$N$6:$N$3005,ERFASSUNG!$A$6:$A$3005,A367))</f>
        <v/>
      </c>
    </row>
    <row r="368">
      <c r="A368" s="72">
        <f>IF(YEAR(DATE(LISTEN!$F$2,1,1)+363)=LISTEN!$F$2,DATE(LISTEN!$F$2,1,1)+363,"")</f>
        <v/>
      </c>
      <c r="B368" s="73">
        <f>IF(A368="","",CHOOSE(WEEKDAY(A368,2),"Mo","Di","Mi","Do","Fr","Sa","So"))</f>
        <v/>
      </c>
      <c r="C368" s="73">
        <f>IF(A368="","",INT((A368-DATE(YEAR(A368-WEEKDAY(A368-1)+4),1,3)+WEEKDAY(DATE(YEAR(A368-WEEKDAY(A368-1)+4),1,3))+5)/7))</f>
        <v/>
      </c>
      <c r="D368" s="73">
        <f>IF(A368="","",MONTH(A368))</f>
        <v/>
      </c>
      <c r="E368" s="73">
        <f>IF(A368="","",WEEKDAY(A368,2))</f>
        <v/>
      </c>
      <c r="F368" s="73">
        <f>IF(A368="","",COUNTIF(ERFASSUNG!$A$6:$A$3005,A368))</f>
        <v/>
      </c>
      <c r="G368" s="73">
        <f>IF(A368="","",IF(F368&gt;0,1,0))</f>
        <v/>
      </c>
      <c r="H368" s="73">
        <f>IF(A368="","",SUMIFS(ERFASSUNG!$E$6:$E$3005,ERFASSUNG!$A$6:$A$3005,A368))</f>
        <v/>
      </c>
      <c r="I368" s="73">
        <f>IF(A368="","",SUMIFS(ERFASSUNG!$F$6:$F$3005,ERFASSUNG!$A$6:$A$3005,A368))</f>
        <v/>
      </c>
      <c r="J368" s="73">
        <f>IF(A368="","",SUMIFS(ERFASSUNG!$G$6:$G$3005,ERFASSUNG!$A$6:$A$3005,A368))</f>
        <v/>
      </c>
      <c r="K368" s="73">
        <f>IF(A368="","",SUMIFS(ERFASSUNG!$H$6:$H$3005,ERFASSUNG!$A$6:$A$3005,A368))</f>
        <v/>
      </c>
      <c r="L368" s="73">
        <f>IF(A368="","",SUMIFS(ERFASSUNG!$I$6:$I$3005,ERFASSUNG!$A$6:$A$3005,A368))</f>
        <v/>
      </c>
      <c r="M368" s="73">
        <f>IF(A368="","",SUMIFS(ERFASSUNG!$J$6:$J$3005,ERFASSUNG!$A$6:$A$3005,A368))</f>
        <v/>
      </c>
      <c r="N368" s="73">
        <f>IF(A368="","",SUMIFS(ERFASSUNG!$K$6:$K$3005,ERFASSUNG!$A$6:$A$3005,A368))</f>
        <v/>
      </c>
      <c r="O368" s="73">
        <f>IF(A368="","",SUMIFS(ERFASSUNG!$L$6:$L$3005,ERFASSUNG!$A$6:$A$3005,A368))</f>
        <v/>
      </c>
      <c r="P368" s="73">
        <f>IF(A368="","",SUMIFS(ERFASSUNG!$M$6:$M$3005,ERFASSUNG!$A$6:$A$3005,A368))</f>
        <v/>
      </c>
      <c r="Q368" s="73">
        <f>IF(A368="","",SUMIFS(ERFASSUNG!$N$6:$N$3005,ERFASSUNG!$A$6:$A$3005,A368))</f>
        <v/>
      </c>
    </row>
    <row r="369">
      <c r="A369" s="72">
        <f>IF(YEAR(DATE(LISTEN!$F$2,1,1)+364)=LISTEN!$F$2,DATE(LISTEN!$F$2,1,1)+364,"")</f>
        <v/>
      </c>
      <c r="B369" s="73">
        <f>IF(A369="","",CHOOSE(WEEKDAY(A369,2),"Mo","Di","Mi","Do","Fr","Sa","So"))</f>
        <v/>
      </c>
      <c r="C369" s="73">
        <f>IF(A369="","",INT((A369-DATE(YEAR(A369-WEEKDAY(A369-1)+4),1,3)+WEEKDAY(DATE(YEAR(A369-WEEKDAY(A369-1)+4),1,3))+5)/7))</f>
        <v/>
      </c>
      <c r="D369" s="73">
        <f>IF(A369="","",MONTH(A369))</f>
        <v/>
      </c>
      <c r="E369" s="73">
        <f>IF(A369="","",WEEKDAY(A369,2))</f>
        <v/>
      </c>
      <c r="F369" s="73">
        <f>IF(A369="","",COUNTIF(ERFASSUNG!$A$6:$A$3005,A369))</f>
        <v/>
      </c>
      <c r="G369" s="73">
        <f>IF(A369="","",IF(F369&gt;0,1,0))</f>
        <v/>
      </c>
      <c r="H369" s="73">
        <f>IF(A369="","",SUMIFS(ERFASSUNG!$E$6:$E$3005,ERFASSUNG!$A$6:$A$3005,A369))</f>
        <v/>
      </c>
      <c r="I369" s="73">
        <f>IF(A369="","",SUMIFS(ERFASSUNG!$F$6:$F$3005,ERFASSUNG!$A$6:$A$3005,A369))</f>
        <v/>
      </c>
      <c r="J369" s="73">
        <f>IF(A369="","",SUMIFS(ERFASSUNG!$G$6:$G$3005,ERFASSUNG!$A$6:$A$3005,A369))</f>
        <v/>
      </c>
      <c r="K369" s="73">
        <f>IF(A369="","",SUMIFS(ERFASSUNG!$H$6:$H$3005,ERFASSUNG!$A$6:$A$3005,A369))</f>
        <v/>
      </c>
      <c r="L369" s="73">
        <f>IF(A369="","",SUMIFS(ERFASSUNG!$I$6:$I$3005,ERFASSUNG!$A$6:$A$3005,A369))</f>
        <v/>
      </c>
      <c r="M369" s="73">
        <f>IF(A369="","",SUMIFS(ERFASSUNG!$J$6:$J$3005,ERFASSUNG!$A$6:$A$3005,A369))</f>
        <v/>
      </c>
      <c r="N369" s="73">
        <f>IF(A369="","",SUMIFS(ERFASSUNG!$K$6:$K$3005,ERFASSUNG!$A$6:$A$3005,A369))</f>
        <v/>
      </c>
      <c r="O369" s="73">
        <f>IF(A369="","",SUMIFS(ERFASSUNG!$L$6:$L$3005,ERFASSUNG!$A$6:$A$3005,A369))</f>
        <v/>
      </c>
      <c r="P369" s="73">
        <f>IF(A369="","",SUMIFS(ERFASSUNG!$M$6:$M$3005,ERFASSUNG!$A$6:$A$3005,A369))</f>
        <v/>
      </c>
      <c r="Q369" s="73">
        <f>IF(A369="","",SUMIFS(ERFASSUNG!$N$6:$N$3005,ERFASSUNG!$A$6:$A$3005,A369))</f>
        <v/>
      </c>
    </row>
    <row r="370">
      <c r="A370" s="72">
        <f>IF(YEAR(DATE(LISTEN!$F$2,1,1)+365)=LISTEN!$F$2,DATE(LISTEN!$F$2,1,1)+365,"")</f>
        <v/>
      </c>
      <c r="B370" s="73">
        <f>IF(A370="","",CHOOSE(WEEKDAY(A370,2),"Mo","Di","Mi","Do","Fr","Sa","So"))</f>
        <v/>
      </c>
      <c r="C370" s="73">
        <f>IF(A370="","",INT((A370-DATE(YEAR(A370-WEEKDAY(A370-1)+4),1,3)+WEEKDAY(DATE(YEAR(A370-WEEKDAY(A370-1)+4),1,3))+5)/7))</f>
        <v/>
      </c>
      <c r="D370" s="73">
        <f>IF(A370="","",MONTH(A370))</f>
        <v/>
      </c>
      <c r="E370" s="73">
        <f>IF(A370="","",WEEKDAY(A370,2))</f>
        <v/>
      </c>
      <c r="F370" s="73">
        <f>IF(A370="","",COUNTIF(ERFASSUNG!$A$6:$A$3005,A370))</f>
        <v/>
      </c>
      <c r="G370" s="73">
        <f>IF(A370="","",IF(F370&gt;0,1,0))</f>
        <v/>
      </c>
      <c r="H370" s="73">
        <f>IF(A370="","",SUMIFS(ERFASSUNG!$E$6:$E$3005,ERFASSUNG!$A$6:$A$3005,A370))</f>
        <v/>
      </c>
      <c r="I370" s="73">
        <f>IF(A370="","",SUMIFS(ERFASSUNG!$F$6:$F$3005,ERFASSUNG!$A$6:$A$3005,A370))</f>
        <v/>
      </c>
      <c r="J370" s="73">
        <f>IF(A370="","",SUMIFS(ERFASSUNG!$G$6:$G$3005,ERFASSUNG!$A$6:$A$3005,A370))</f>
        <v/>
      </c>
      <c r="K370" s="73">
        <f>IF(A370="","",SUMIFS(ERFASSUNG!$H$6:$H$3005,ERFASSUNG!$A$6:$A$3005,A370))</f>
        <v/>
      </c>
      <c r="L370" s="73">
        <f>IF(A370="","",SUMIFS(ERFASSUNG!$I$6:$I$3005,ERFASSUNG!$A$6:$A$3005,A370))</f>
        <v/>
      </c>
      <c r="M370" s="73">
        <f>IF(A370="","",SUMIFS(ERFASSUNG!$J$6:$J$3005,ERFASSUNG!$A$6:$A$3005,A370))</f>
        <v/>
      </c>
      <c r="N370" s="73">
        <f>IF(A370="","",SUMIFS(ERFASSUNG!$K$6:$K$3005,ERFASSUNG!$A$6:$A$3005,A370))</f>
        <v/>
      </c>
      <c r="O370" s="73">
        <f>IF(A370="","",SUMIFS(ERFASSUNG!$L$6:$L$3005,ERFASSUNG!$A$6:$A$3005,A370))</f>
        <v/>
      </c>
      <c r="P370" s="73">
        <f>IF(A370="","",SUMIFS(ERFASSUNG!$M$6:$M$3005,ERFASSUNG!$A$6:$A$3005,A370))</f>
        <v/>
      </c>
      <c r="Q370" s="73">
        <f>IF(A370="","",SUMIFS(ERFASSUNG!$N$6:$N$3005,ERFASSUNG!$A$6:$A$3005,A370))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2026-09-25T10:46:28Z</dcterms:created>
  <dcterms:modified xsi:type="dcterms:W3CDTF">2026-09-25T10:46:34Z</dcterms:modified>
</cp:coreProperties>
</file>