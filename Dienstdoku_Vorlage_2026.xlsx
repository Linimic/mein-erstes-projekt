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NLEITUNG" sheetId="1" state="visible" r:id="rId1"/>
    <sheet name="JAHRESAUSWERTUNG" sheetId="2" state="visible" r:id="rId2"/>
    <sheet name="JANUAR" sheetId="3" state="visible" r:id="rId3"/>
    <sheet name="FEBRUAR" sheetId="4" state="visible" r:id="rId4"/>
    <sheet name="MÄRZ" sheetId="5" state="visible" r:id="rId5"/>
    <sheet name="APRIL" sheetId="6" state="visible" r:id="rId6"/>
    <sheet name="MAI" sheetId="7" state="visible" r:id="rId7"/>
    <sheet name="JUNI" sheetId="8" state="visible" r:id="rId8"/>
    <sheet name="JULI" sheetId="9" state="visible" r:id="rId9"/>
    <sheet name="AUGUST" sheetId="10" state="visible" r:id="rId10"/>
    <sheet name="SEPTEMBER" sheetId="11" state="visible" r:id="rId11"/>
    <sheet name="OKTOBER" sheetId="12" state="visible" r:id="rId12"/>
    <sheet name="NOVEMBER" sheetId="13" state="visible" r:id="rId13"/>
    <sheet name="DEZEMBER" sheetId="14" state="visible" r:id="rId14"/>
    <sheet name="LISTEN" sheetId="15" state="visible" r:id="rId15"/>
  </sheets>
  <definedNames>
    <definedName name="_xlnm._FilterDatabase" localSheetId="2" hidden="1">'JANUAR'!$A$5:$P$405</definedName>
    <definedName name="_xlnm._FilterDatabase" localSheetId="3" hidden="1">'FEBRUAR'!$A$5:$P$405</definedName>
    <definedName name="_xlnm._FilterDatabase" localSheetId="4" hidden="1">'MÄRZ'!$A$5:$P$405</definedName>
    <definedName name="_xlnm._FilterDatabase" localSheetId="5" hidden="1">'APRIL'!$A$5:$P$405</definedName>
    <definedName name="_xlnm._FilterDatabase" localSheetId="6" hidden="1">'MAI'!$A$5:$P$405</definedName>
    <definedName name="_xlnm._FilterDatabase" localSheetId="7" hidden="1">'JUNI'!$A$5:$P$405</definedName>
    <definedName name="_xlnm._FilterDatabase" localSheetId="8" hidden="1">'JULI'!$A$5:$P$405</definedName>
    <definedName name="_xlnm._FilterDatabase" localSheetId="9" hidden="1">'AUGUST'!$A$5:$P$405</definedName>
    <definedName name="_xlnm._FilterDatabase" localSheetId="10" hidden="1">'SEPTEMBER'!$A$5:$P$405</definedName>
    <definedName name="_xlnm._FilterDatabase" localSheetId="11" hidden="1">'OKTOBER'!$A$5:$P$405</definedName>
    <definedName name="_xlnm._FilterDatabase" localSheetId="12" hidden="1">'NOVEMBER'!$A$5:$P$405</definedName>
    <definedName name="_xlnm._FilterDatabase" localSheetId="13" hidden="1">'DEZEMBER'!$A$5:$P$405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#"/>
    <numFmt numFmtId="166" formatCode="0.0"/>
    <numFmt numFmtId="167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color rgb="00000000"/>
      <sz val="10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1F3864"/>
      <sz val="14"/>
    </font>
    <font>
      <name val="Arial"/>
      <sz val="9"/>
    </font>
    <font>
      <name val="Arial"/>
      <b val="1"/>
      <sz val="9"/>
    </font>
    <font>
      <name val="Arial"/>
      <b val="1"/>
      <color rgb="001F3864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8" fillId="0" borderId="1" pivotButton="0" quotePrefix="0" xfId="0"/>
    <xf numFmtId="0" fontId="7" fillId="0" borderId="1" applyAlignment="1" pivotButton="0" quotePrefix="0" xfId="0">
      <alignment horizontal="center"/>
    </xf>
    <xf numFmtId="0" fontId="11" fillId="0" borderId="0" pivotButton="0" quotePrefix="0" xfId="0"/>
    <xf numFmtId="166" fontId="8" fillId="0" borderId="1" pivotButton="0" quotePrefix="0" xfId="0"/>
    <xf numFmtId="167" fontId="8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4" fillId="6" borderId="1" pivotButton="0" quotePrefix="0" xfId="0"/>
    <xf numFmtId="167" fontId="4" fillId="6" borderId="1" applyAlignment="1" pivotButton="0" quotePrefix="0" xfId="0">
      <alignment horizontal="center"/>
    </xf>
    <xf numFmtId="0" fontId="14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11" fillId="5" borderId="1" pivotButton="0" quotePrefix="0" xfId="0"/>
    <xf numFmtId="0" fontId="11" fillId="5" borderId="1" applyAlignment="1" pivotButton="0" quotePrefix="0" xfId="0">
      <alignment horizontal="center"/>
    </xf>
    <xf numFmtId="0" fontId="12" fillId="4" borderId="1" pivotButton="0" quotePrefix="0" xfId="0"/>
    <xf numFmtId="0" fontId="12" fillId="4" borderId="1" applyAlignment="1" pivotButton="0" quotePrefix="0" xfId="0">
      <alignment horizontal="center"/>
    </xf>
    <xf numFmtId="0" fontId="13" fillId="0" borderId="0" pivotButton="0" quotePrefix="0" xfId="0"/>
    <xf numFmtId="1" fontId="12" fillId="5" borderId="1" applyAlignment="1" pivotButton="0" quotePrefix="0" xfId="0">
      <alignment horizontal="center"/>
    </xf>
    <xf numFmtId="166" fontId="12" fillId="5" borderId="1" applyAlignment="1" pivotButton="0" quotePrefix="0" xfId="0">
      <alignment horizontal="center"/>
    </xf>
    <xf numFmtId="167" fontId="12" fillId="5" borderId="1" applyAlignment="1" pivotButton="0" quotePrefix="0" xfId="0">
      <alignment horizontal="center"/>
    </xf>
    <xf numFmtId="0" fontId="7" fillId="3" borderId="1" pivotButton="0" quotePrefix="0" xfId="0"/>
    <xf numFmtId="0" fontId="8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Monat nach Geschlecht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'JAHRESAUSWERTUNG'!C5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'JAHRESAUSWERTUNG'!$A$6:$A$17</f>
            </numRef>
          </cat>
          <val>
            <numRef>
              <f>'JAHRESAUSWERTUNG'!$C$6:$C$17</f>
            </numRef>
          </val>
        </ser>
        <ser>
          <idx val="1"/>
          <order val="1"/>
          <tx>
            <strRef>
              <f>'JAHRESAUSWERTUNG'!D5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'JAHRESAUSWERTUNG'!$A$6:$A$17</f>
            </numRef>
          </cat>
          <val>
            <numRef>
              <f>'JAHRESAUSWERTUNG'!$D$6:$D$17</f>
            </numRef>
          </val>
        </ser>
        <ser>
          <idx val="2"/>
          <order val="2"/>
          <tx>
            <strRef>
              <f>'JAHRESAUSWERTUNG'!E5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'JAHRESAUSWERTUNG'!$A$6:$A$17</f>
            </numRef>
          </cat>
          <val>
            <numRef>
              <f>'JAHRESAUSWERTUNG'!$E$6:$E$17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Jahr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'JAHRESAUSWERTUNG'!$B$21:$D$21</f>
            </numRef>
          </cat>
          <val>
            <numRef>
              <f>'JAHRESAUSWERTUNG'!$B$22:$D$22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Jahr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'JAHRESAUSWERTUNG'!$E$21:$H$21</f>
            </numRef>
          </cat>
          <val>
            <numRef>
              <f>'JAHRESAUSWERTUNG'!$E$22:$H$22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im Verlauf</a:t>
            </a:r>
          </a:p>
        </rich>
      </tx>
    </title>
    <plotArea>
      <lineChart>
        <grouping val="standard"/>
        <ser>
          <idx val="0"/>
          <order val="0"/>
          <tx>
            <strRef>
              <f>'JAHRESAUSWERTUNG'!G5</f>
            </strRef>
          </tx>
          <spPr>
            <a:solidFill>
              <a:srgbClr val="9CC3E6"/>
            </a:solidFill>
            <a:ln>
              <a:solidFill>
                <a:srgbClr val="9CC3E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'JAHRESAUSWERTUNG'!$A$6:$A$17</f>
            </numRef>
          </cat>
          <val>
            <numRef>
              <f>'JAHRESAUSWERTUNG'!$G$6:$G$17</f>
            </numRef>
          </val>
          <smooth val="0"/>
        </ser>
        <ser>
          <idx val="1"/>
          <order val="1"/>
          <tx>
            <strRef>
              <f>'JAHRESAUSWERTUNG'!H5</f>
            </strRef>
          </tx>
          <spPr>
            <a:solidFill>
              <a:srgbClr val="5B9BD5"/>
            </a:solidFill>
            <a:ln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'JAHRESAUSWERTUNG'!$A$6:$A$17</f>
            </numRef>
          </cat>
          <val>
            <numRef>
              <f>'JAHRESAUSWERTUNG'!$H$6:$H$17</f>
            </numRef>
          </val>
          <smooth val="0"/>
        </ser>
        <ser>
          <idx val="2"/>
          <order val="2"/>
          <tx>
            <strRef>
              <f>'JAHRESAUSWERTUNG'!I5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'JAHRESAUSWERTUNG'!$A$6:$A$17</f>
            </numRef>
          </cat>
          <val>
            <numRef>
              <f>'JAHRESAUSWERTUNG'!$I$6:$I$17</f>
            </numRef>
          </val>
          <smooth val="0"/>
        </ser>
        <ser>
          <idx val="3"/>
          <order val="3"/>
          <tx>
            <strRef>
              <f>'JAHRESAUSWERTUNG'!J5</f>
            </strRef>
          </tx>
          <spPr>
            <a:solidFill>
              <a:srgbClr val="1F4E79"/>
            </a:solidFill>
            <a:ln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'JAHRESAUSWERTUNG'!$A$6:$A$17</f>
            </numRef>
          </cat>
          <val>
            <numRef>
              <f>'JAHRESAUSWERTUNG'!$J$6:$J$17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Jahr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'JAHRESAUSWERTUNG'!C26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'JAHRESAUSWERTUNG'!$A$27:$A$56</f>
            </numRef>
          </cat>
          <val>
            <numRef>
              <f>'JAHRESAUSWERTUNG'!$C$27:$C$56</f>
            </numRef>
          </val>
        </ser>
        <ser>
          <idx val="1"/>
          <order val="1"/>
          <tx>
            <strRef>
              <f>'JAHRESAUSWERTUNG'!D26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'JAHRESAUSWERTUNG'!$A$27:$A$56</f>
            </numRef>
          </cat>
          <val>
            <numRef>
              <f>'JAHRESAUSWERTUNG'!$D$27:$D$56</f>
            </numRef>
          </val>
        </ser>
        <ser>
          <idx val="2"/>
          <order val="2"/>
          <tx>
            <strRef>
              <f>'JAHRESAUSWERTUNG'!E26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'JAHRESAUSWERTUNG'!$A$27:$A$56</f>
            </numRef>
          </cat>
          <val>
            <numRef>
              <f>'JAHRESAUSWERTUNG'!$E$27:$E$56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Stunden pro Angebot – Jahr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'JAHRESAUSWERTUNG'!B26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'JAHRESAUSWERTUNG'!$A$27:$A$56</f>
            </numRef>
          </cat>
          <val>
            <numRef>
              <f>'JAHRESAUSWERTUNG'!$B$27:$B$56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Januar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'JANUAR'!$T$5:$V$5</f>
            </numRef>
          </cat>
          <val>
            <numRef>
              <f>'JANUAR'!$T$36:$V$36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Januar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'JANUAR'!$X$5:$AA$5</f>
            </numRef>
          </cat>
          <val>
            <numRef>
              <f>'JANUAR'!$X$36:$AA$36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Januar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'JANUAR'!T5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'JANUAR'!$R$6:$R$35</f>
            </numRef>
          </cat>
          <val>
            <numRef>
              <f>'JANUAR'!$T$6:$T$35</f>
            </numRef>
          </val>
        </ser>
        <ser>
          <idx val="1"/>
          <order val="1"/>
          <tx>
            <strRef>
              <f>'JANUAR'!U5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'JANUAR'!$R$6:$R$35</f>
            </numRef>
          </cat>
          <val>
            <numRef>
              <f>'JANUAR'!$U$6:$U$35</f>
            </numRef>
          </val>
        </ser>
        <ser>
          <idx val="2"/>
          <order val="2"/>
          <tx>
            <strRef>
              <f>'JANUAR'!V5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'JANUAR'!$R$6:$R$35</f>
            </numRef>
          </cat>
          <val>
            <numRef>
              <f>'JANUAR'!$V$6:$V$35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Februar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'FEBRUAR'!$T$5:$V$5</f>
            </numRef>
          </cat>
          <val>
            <numRef>
              <f>'FEBRUAR'!$T$36:$V$36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Februar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'FEBRUAR'!$X$5:$AA$5</f>
            </numRef>
          </cat>
          <val>
            <numRef>
              <f>'FEBRUAR'!$X$36:$AA$36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Februar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'FEBRUAR'!T5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'FEBRUAR'!$R$6:$R$35</f>
            </numRef>
          </cat>
          <val>
            <numRef>
              <f>'FEBRUAR'!$T$6:$T$35</f>
            </numRef>
          </val>
        </ser>
        <ser>
          <idx val="1"/>
          <order val="1"/>
          <tx>
            <strRef>
              <f>'FEBRUAR'!U5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'FEBRUAR'!$R$6:$R$35</f>
            </numRef>
          </cat>
          <val>
            <numRef>
              <f>'FEBRUAR'!$U$6:$U$35</f>
            </numRef>
          </val>
        </ser>
        <ser>
          <idx val="2"/>
          <order val="2"/>
          <tx>
            <strRef>
              <f>'FEBRUAR'!V5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'FEBRUAR'!$R$6:$R$35</f>
            </numRef>
          </cat>
          <val>
            <numRef>
              <f>'FEBRUAR'!$V$6:$V$35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März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'MÄRZ'!$T$5:$V$5</f>
            </numRef>
          </cat>
          <val>
            <numRef>
              <f>'MÄRZ'!$T$36:$V$36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März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'MÄRZ'!$X$5:$AA$5</f>
            </numRef>
          </cat>
          <val>
            <numRef>
              <f>'MÄRZ'!$X$36:$AA$36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März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'MÄRZ'!T5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'MÄRZ'!$R$6:$R$35</f>
            </numRef>
          </cat>
          <val>
            <numRef>
              <f>'MÄRZ'!$T$6:$T$35</f>
            </numRef>
          </val>
        </ser>
        <ser>
          <idx val="1"/>
          <order val="1"/>
          <tx>
            <strRef>
              <f>'MÄRZ'!U5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'MÄRZ'!$R$6:$R$35</f>
            </numRef>
          </cat>
          <val>
            <numRef>
              <f>'MÄRZ'!$U$6:$U$35</f>
            </numRef>
          </val>
        </ser>
        <ser>
          <idx val="2"/>
          <order val="2"/>
          <tx>
            <strRef>
              <f>'MÄRZ'!V5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'MÄRZ'!$R$6:$R$35</f>
            </numRef>
          </cat>
          <val>
            <numRef>
              <f>'MÄRZ'!$V$6:$V$35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April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'APRIL'!$T$5:$V$5</f>
            </numRef>
          </cat>
          <val>
            <numRef>
              <f>'APRIL'!$T$36:$V$36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April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'APRIL'!$X$5:$AA$5</f>
            </numRef>
          </cat>
          <val>
            <numRef>
              <f>'APRIL'!$X$36:$AA$36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April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'APRIL'!T5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'APRIL'!$R$6:$R$35</f>
            </numRef>
          </cat>
          <val>
            <numRef>
              <f>'APRIL'!$T$6:$T$35</f>
            </numRef>
          </val>
        </ser>
        <ser>
          <idx val="1"/>
          <order val="1"/>
          <tx>
            <strRef>
              <f>'APRIL'!U5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'APRIL'!$R$6:$R$35</f>
            </numRef>
          </cat>
          <val>
            <numRef>
              <f>'APRIL'!$U$6:$U$35</f>
            </numRef>
          </val>
        </ser>
        <ser>
          <idx val="2"/>
          <order val="2"/>
          <tx>
            <strRef>
              <f>'APRIL'!V5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'APRIL'!$R$6:$R$35</f>
            </numRef>
          </cat>
          <val>
            <numRef>
              <f>'APRIL'!$V$6:$V$35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Mai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'MAI'!$T$5:$V$5</f>
            </numRef>
          </cat>
          <val>
            <numRef>
              <f>'MAI'!$T$36:$V$36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Mai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'MAI'!$X$5:$AA$5</f>
            </numRef>
          </cat>
          <val>
            <numRef>
              <f>'MAI'!$X$36:$AA$36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Mai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'MAI'!T5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'MAI'!$R$6:$R$35</f>
            </numRef>
          </cat>
          <val>
            <numRef>
              <f>'MAI'!$T$6:$T$35</f>
            </numRef>
          </val>
        </ser>
        <ser>
          <idx val="1"/>
          <order val="1"/>
          <tx>
            <strRef>
              <f>'MAI'!U5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'MAI'!$R$6:$R$35</f>
            </numRef>
          </cat>
          <val>
            <numRef>
              <f>'MAI'!$U$6:$U$35</f>
            </numRef>
          </val>
        </ser>
        <ser>
          <idx val="2"/>
          <order val="2"/>
          <tx>
            <strRef>
              <f>'MAI'!V5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'MAI'!$R$6:$R$35</f>
            </numRef>
          </cat>
          <val>
            <numRef>
              <f>'MAI'!$V$6:$V$35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Juni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'JUNI'!$T$5:$V$5</f>
            </numRef>
          </cat>
          <val>
            <numRef>
              <f>'JUNI'!$T$36:$V$36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Juni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'JUNI'!$X$5:$AA$5</f>
            </numRef>
          </cat>
          <val>
            <numRef>
              <f>'JUNI'!$X$36:$AA$36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Juni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'JUNI'!T5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'JUNI'!$R$6:$R$35</f>
            </numRef>
          </cat>
          <val>
            <numRef>
              <f>'JUNI'!$T$6:$T$35</f>
            </numRef>
          </val>
        </ser>
        <ser>
          <idx val="1"/>
          <order val="1"/>
          <tx>
            <strRef>
              <f>'JUNI'!U5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'JUNI'!$R$6:$R$35</f>
            </numRef>
          </cat>
          <val>
            <numRef>
              <f>'JUNI'!$U$6:$U$35</f>
            </numRef>
          </val>
        </ser>
        <ser>
          <idx val="2"/>
          <order val="2"/>
          <tx>
            <strRef>
              <f>'JUNI'!V5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'JUNI'!$R$6:$R$35</f>
            </numRef>
          </cat>
          <val>
            <numRef>
              <f>'JUNI'!$V$6:$V$35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Juli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'JULI'!$T$5:$V$5</f>
            </numRef>
          </cat>
          <val>
            <numRef>
              <f>'JULI'!$T$36:$V$36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Juli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'JULI'!$X$5:$AA$5</f>
            </numRef>
          </cat>
          <val>
            <numRef>
              <f>'JULI'!$X$36:$AA$36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Juli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'JULI'!T5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'JULI'!$R$6:$R$35</f>
            </numRef>
          </cat>
          <val>
            <numRef>
              <f>'JULI'!$T$6:$T$35</f>
            </numRef>
          </val>
        </ser>
        <ser>
          <idx val="1"/>
          <order val="1"/>
          <tx>
            <strRef>
              <f>'JULI'!U5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'JULI'!$R$6:$R$35</f>
            </numRef>
          </cat>
          <val>
            <numRef>
              <f>'JULI'!$U$6:$U$35</f>
            </numRef>
          </val>
        </ser>
        <ser>
          <idx val="2"/>
          <order val="2"/>
          <tx>
            <strRef>
              <f>'JULI'!V5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'JULI'!$R$6:$R$35</f>
            </numRef>
          </cat>
          <val>
            <numRef>
              <f>'JULI'!$V$6:$V$35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August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'AUGUST'!$T$5:$V$5</f>
            </numRef>
          </cat>
          <val>
            <numRef>
              <f>'AUGUST'!$T$36:$V$36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August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'AUGUST'!$X$5:$AA$5</f>
            </numRef>
          </cat>
          <val>
            <numRef>
              <f>'AUGUST'!$X$36:$AA$36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August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'AUGUST'!T5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'AUGUST'!$R$6:$R$35</f>
            </numRef>
          </cat>
          <val>
            <numRef>
              <f>'AUGUST'!$T$6:$T$35</f>
            </numRef>
          </val>
        </ser>
        <ser>
          <idx val="1"/>
          <order val="1"/>
          <tx>
            <strRef>
              <f>'AUGUST'!U5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'AUGUST'!$R$6:$R$35</f>
            </numRef>
          </cat>
          <val>
            <numRef>
              <f>'AUGUST'!$U$6:$U$35</f>
            </numRef>
          </val>
        </ser>
        <ser>
          <idx val="2"/>
          <order val="2"/>
          <tx>
            <strRef>
              <f>'AUGUST'!V5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'AUGUST'!$R$6:$R$35</f>
            </numRef>
          </cat>
          <val>
            <numRef>
              <f>'AUGUST'!$V$6:$V$35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September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'SEPTEMBER'!$T$5:$V$5</f>
            </numRef>
          </cat>
          <val>
            <numRef>
              <f>'SEPTEMBER'!$T$36:$V$36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September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'SEPTEMBER'!$X$5:$AA$5</f>
            </numRef>
          </cat>
          <val>
            <numRef>
              <f>'SEPTEMBER'!$X$36:$AA$36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September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'SEPTEMBER'!T5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'SEPTEMBER'!$R$6:$R$35</f>
            </numRef>
          </cat>
          <val>
            <numRef>
              <f>'SEPTEMBER'!$T$6:$T$35</f>
            </numRef>
          </val>
        </ser>
        <ser>
          <idx val="1"/>
          <order val="1"/>
          <tx>
            <strRef>
              <f>'SEPTEMBER'!U5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'SEPTEMBER'!$R$6:$R$35</f>
            </numRef>
          </cat>
          <val>
            <numRef>
              <f>'SEPTEMBER'!$U$6:$U$35</f>
            </numRef>
          </val>
        </ser>
        <ser>
          <idx val="2"/>
          <order val="2"/>
          <tx>
            <strRef>
              <f>'SEPTEMBER'!V5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'SEPTEMBER'!$R$6:$R$35</f>
            </numRef>
          </cat>
          <val>
            <numRef>
              <f>'SEPTEMBER'!$V$6:$V$35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Oktober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'OKTOBER'!$T$5:$V$5</f>
            </numRef>
          </cat>
          <val>
            <numRef>
              <f>'OKTOBER'!$T$36:$V$36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Oktober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'OKTOBER'!$X$5:$AA$5</f>
            </numRef>
          </cat>
          <val>
            <numRef>
              <f>'OKTOBER'!$X$36:$AA$36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Oktober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'OKTOBER'!T5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'OKTOBER'!$R$6:$R$35</f>
            </numRef>
          </cat>
          <val>
            <numRef>
              <f>'OKTOBER'!$T$6:$T$35</f>
            </numRef>
          </val>
        </ser>
        <ser>
          <idx val="1"/>
          <order val="1"/>
          <tx>
            <strRef>
              <f>'OKTOBER'!U5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'OKTOBER'!$R$6:$R$35</f>
            </numRef>
          </cat>
          <val>
            <numRef>
              <f>'OKTOBER'!$U$6:$U$35</f>
            </numRef>
          </val>
        </ser>
        <ser>
          <idx val="2"/>
          <order val="2"/>
          <tx>
            <strRef>
              <f>'OKTOBER'!V5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'OKTOBER'!$R$6:$R$35</f>
            </numRef>
          </cat>
          <val>
            <numRef>
              <f>'OKTOBER'!$V$6:$V$35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November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'NOVEMBER'!$T$5:$V$5</f>
            </numRef>
          </cat>
          <val>
            <numRef>
              <f>'NOVEMBER'!$T$36:$V$36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November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'NOVEMBER'!$X$5:$AA$5</f>
            </numRef>
          </cat>
          <val>
            <numRef>
              <f>'NOVEMBER'!$X$36:$AA$36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November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'NOVEMBER'!T5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'NOVEMBER'!$R$6:$R$35</f>
            </numRef>
          </cat>
          <val>
            <numRef>
              <f>'NOVEMBER'!$T$6:$T$35</f>
            </numRef>
          </val>
        </ser>
        <ser>
          <idx val="1"/>
          <order val="1"/>
          <tx>
            <strRef>
              <f>'NOVEMBER'!U5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'NOVEMBER'!$R$6:$R$35</f>
            </numRef>
          </cat>
          <val>
            <numRef>
              <f>'NOVEMBER'!$U$6:$U$35</f>
            </numRef>
          </val>
        </ser>
        <ser>
          <idx val="2"/>
          <order val="2"/>
          <tx>
            <strRef>
              <f>'NOVEMBER'!V5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'NOVEMBER'!$R$6:$R$35</f>
            </numRef>
          </cat>
          <val>
            <numRef>
              <f>'NOVEMBER'!$V$6:$V$35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Geschlecht – Dezember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8E6CC4"/>
              </a:solidFill>
              <a:ln>
                <a:prstDash val="solid"/>
              </a:ln>
            </spPr>
          </dPt>
          <dPt>
            <idx val="1"/>
            <spPr>
              <a:solidFill>
                <a:srgbClr val="F2A541"/>
              </a:solidFill>
              <a:ln>
                <a:prstDash val="solid"/>
              </a:ln>
            </spPr>
          </dPt>
          <dPt>
            <idx val="2"/>
            <spPr>
              <a:solidFill>
                <a:srgbClr val="3E8EC2"/>
              </a:solidFill>
              <a:ln>
                <a:prstDash val="solid"/>
              </a:ln>
            </spPr>
          </dPt>
          <cat>
            <numRef>
              <f>'DEZEMBER'!$T$5:$V$5</f>
            </numRef>
          </cat>
          <val>
            <numRef>
              <f>'DEZEMBER'!$T$36:$V$36</f>
            </numRef>
          </val>
        </ser>
        <dLbls>
          <showLegendKey val="0"/>
          <showVal val="0"/>
          <showCatName val="0"/>
          <showSerName val="0"/>
          <showPercent val="1"/>
          <showLeaderLines val="0"/>
        </dLbls>
        <firstSliceAng val="0"/>
      </pieChart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Altersgruppen – Dezember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CC3E6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BD5"/>
              </a:solidFill>
              <a:ln>
                <a:prstDash val="solid"/>
              </a:ln>
            </spPr>
          </dPt>
          <dPt>
            <idx val="2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3"/>
            <spPr>
              <a:solidFill>
                <a:srgbClr val="1F4E79"/>
              </a:solidFill>
              <a:ln>
                <a:prstDash val="solid"/>
              </a:ln>
            </spPr>
          </dPt>
          <cat>
            <numRef>
              <f>'DEZEMBER'!$X$5:$AA$5</f>
            </numRef>
          </cat>
          <val>
            <numRef>
              <f>'DEZEMBER'!$X$36:$AA$36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Besucher:innen pro Angebot – Dezember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'DEZEMBER'!T5</f>
            </strRef>
          </tx>
          <spPr>
            <a:solidFill>
              <a:srgbClr val="8E6CC4"/>
            </a:solidFill>
            <a:ln>
              <a:solidFill>
                <a:srgbClr val="8E6CC4"/>
              </a:solidFill>
              <a:prstDash val="solid"/>
            </a:ln>
          </spPr>
          <cat>
            <numRef>
              <f>'DEZEMBER'!$R$6:$R$35</f>
            </numRef>
          </cat>
          <val>
            <numRef>
              <f>'DEZEMBER'!$T$6:$T$35</f>
            </numRef>
          </val>
        </ser>
        <ser>
          <idx val="1"/>
          <order val="1"/>
          <tx>
            <strRef>
              <f>'DEZEMBER'!U5</f>
            </strRef>
          </tx>
          <spPr>
            <a:solidFill>
              <a:srgbClr val="F2A541"/>
            </a:solidFill>
            <a:ln>
              <a:solidFill>
                <a:srgbClr val="F2A541"/>
              </a:solidFill>
              <a:prstDash val="solid"/>
            </a:ln>
          </spPr>
          <cat>
            <numRef>
              <f>'DEZEMBER'!$R$6:$R$35</f>
            </numRef>
          </cat>
          <val>
            <numRef>
              <f>'DEZEMBER'!$U$6:$U$35</f>
            </numRef>
          </val>
        </ser>
        <ser>
          <idx val="2"/>
          <order val="2"/>
          <tx>
            <strRef>
              <f>'DEZEMBER'!V5</f>
            </strRef>
          </tx>
          <spPr>
            <a:solidFill>
              <a:srgbClr val="3E8EC2"/>
            </a:solidFill>
            <a:ln>
              <a:solidFill>
                <a:srgbClr val="3E8EC2"/>
              </a:solidFill>
              <a:prstDash val="solid"/>
            </a:ln>
          </spPr>
          <cat>
            <numRef>
              <f>'DEZEMBER'!$R$6:$R$35</f>
            </numRef>
          </cat>
          <val>
            <numRef>
              <f>'DEZEMBER'!$V$6:$V$35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 /><Relationship Type="http://schemas.openxmlformats.org/officeDocument/2006/relationships/chart" Target="/xl/charts/chart20.xml" Id="rId2" /><Relationship Type="http://schemas.openxmlformats.org/officeDocument/2006/relationships/chart" Target="/xl/charts/chart21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0.xml" Id="rId1" /><Relationship Type="http://schemas.openxmlformats.org/officeDocument/2006/relationships/chart" Target="/xl/charts/chart41.xml" Id="rId2" /><Relationship Type="http://schemas.openxmlformats.org/officeDocument/2006/relationships/chart" Target="/xl/charts/chart42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20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21</col>
      <colOff>0</colOff>
      <row>20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37</row>
      <rowOff>0</rowOff>
    </from>
    <ext cx="72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54</row>
      <rowOff>0</rowOff>
    </from>
    <ext cx="7200000" cy="64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61</row>
      <rowOff>0</rowOff>
    </from>
    <ext cx="7200000" cy="64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45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45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17</col>
      <colOff>0</colOff>
      <row>60</row>
      <rowOff>0</rowOff>
    </from>
    <ext cx="720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2">
      <c r="B2" s="1" t="inlineStr">
        <is>
          <t>Dienstdokumentation – Anleitung</t>
        </is>
      </c>
    </row>
    <row r="4">
      <c r="B4" s="2" t="inlineStr">
        <is>
          <t>So funktioniert's</t>
        </is>
      </c>
    </row>
    <row r="5">
      <c r="B5" s="3" t="inlineStr">
        <is>
          <t>1.</t>
        </is>
      </c>
      <c r="C5" s="4" t="inlineStr">
        <is>
          <t>Im Blatt LISTEN das Jahr eintragen und bei Bedarf Angebote / Diensthabende anpassen (gelbe Zellen).</t>
        </is>
      </c>
    </row>
    <row r="6">
      <c r="B6" s="3" t="inlineStr">
        <is>
          <t>2.</t>
        </is>
      </c>
      <c r="C6" s="4" t="inlineStr">
        <is>
          <t>Pro Monat gibt es EIN Blatt. Pro Angebot und Tag wird EINE Zeile ausgefüllt – nur die Angebote, die wirklich stattgefunden haben.</t>
        </is>
      </c>
    </row>
    <row r="7">
      <c r="B7" s="3" t="inlineStr">
        <is>
          <t>3.</t>
        </is>
      </c>
      <c r="C7" s="4" t="inlineStr">
        <is>
          <t>Weiße Zellen = Eingabe. Graue Zellen = rechnen automatisch (nicht überschreiben).</t>
        </is>
      </c>
    </row>
    <row r="8">
      <c r="B8" s="3" t="inlineStr">
        <is>
          <t>4.</t>
        </is>
      </c>
      <c r="C8" s="4" t="inlineStr">
        <is>
          <t>Angebot und Diensthabende über das Dropdown wählen (Diensthabende kann auch frei getippt werden).</t>
        </is>
      </c>
    </row>
    <row r="9">
      <c r="B9" s="3" t="inlineStr">
        <is>
          <t>5.</t>
        </is>
      </c>
      <c r="C9" s="4" t="inlineStr">
        <is>
          <t>Rechts neben der Tabelle steht sofort die Monatsauswertung mit Diagrammen (Geschlecht, Alter, Angebote).</t>
        </is>
      </c>
    </row>
    <row r="10">
      <c r="B10" s="3" t="inlineStr">
        <is>
          <t>6.</t>
        </is>
      </c>
      <c r="C10" s="4" t="inlineStr">
        <is>
          <t>Das Blatt JAHRESAUSWERTUNG fasst alle Monate automatisch zusammen – inkl. Verlauf und Diagrammen.</t>
        </is>
      </c>
    </row>
    <row r="11">
      <c r="B11" s="3" t="inlineStr">
        <is>
          <t>7.</t>
        </is>
      </c>
      <c r="C11" s="4" t="inlineStr">
        <is>
          <t>Orange markiert: 'gesamt Alter' weicht von 'gesamt' ab → Zahlen prüfen. Wochenenden sind grau hinterlegt.</t>
        </is>
      </c>
    </row>
    <row r="12">
      <c r="B12" s="3" t="inlineStr">
        <is>
          <t>8.</t>
        </is>
      </c>
      <c r="C12" s="4" t="inlineStr">
        <is>
          <t>Mit dem Filter-Pfeil in der Kopfzeile lässt sich z.B. nach Angebot filtern – die Summenzeile oben rechnet dann nur die gefilterten Zeilen.</t>
        </is>
      </c>
    </row>
    <row r="14">
      <c r="B14" s="2" t="inlineStr">
        <is>
          <t>Beispielzeile (so sieht ein Eintrag aus)</t>
        </is>
      </c>
    </row>
    <row r="15">
      <c r="B15" s="5" t="inlineStr">
        <is>
          <t>Datum</t>
        </is>
      </c>
      <c r="C15" s="5" t="inlineStr">
        <is>
          <t>Tag</t>
        </is>
      </c>
      <c r="D15" s="5" t="inlineStr">
        <is>
          <t>Angebot</t>
        </is>
      </c>
      <c r="E15" s="5" t="inlineStr">
        <is>
          <t>Stunden</t>
        </is>
      </c>
      <c r="F15" s="5" t="inlineStr">
        <is>
          <t>w</t>
        </is>
      </c>
      <c r="G15" s="5" t="inlineStr">
        <is>
          <t>d</t>
        </is>
      </c>
      <c r="H15" s="5" t="inlineStr">
        <is>
          <t>m</t>
        </is>
      </c>
      <c r="I15" s="5" t="inlineStr">
        <is>
          <t>gesamt</t>
        </is>
      </c>
      <c r="J15" s="5" t="inlineStr">
        <is>
          <t>ab 10</t>
        </is>
      </c>
      <c r="K15" s="5" t="inlineStr">
        <is>
          <t>ab 14</t>
        </is>
      </c>
      <c r="L15" s="5" t="inlineStr">
        <is>
          <t>ab 16</t>
        </is>
      </c>
      <c r="M15" s="5" t="inlineStr">
        <is>
          <t>ab 18</t>
        </is>
      </c>
      <c r="N15" s="5" t="inlineStr">
        <is>
          <t>gesamt Alter</t>
        </is>
      </c>
      <c r="O15" s="5" t="inlineStr">
        <is>
          <t>Diensthabende</t>
        </is>
      </c>
      <c r="P15" s="5" t="inlineStr">
        <is>
          <t>Beschreibung</t>
        </is>
      </c>
      <c r="Q15" s="5" t="inlineStr">
        <is>
          <t>Wichtig</t>
        </is>
      </c>
    </row>
    <row r="16">
      <c r="B16" s="6" t="inlineStr">
        <is>
          <t>06.01.2026</t>
        </is>
      </c>
      <c r="C16" s="6" t="inlineStr">
        <is>
          <t>Di</t>
        </is>
      </c>
      <c r="D16" s="6" t="inlineStr">
        <is>
          <t>JUGENDCAFE</t>
        </is>
      </c>
      <c r="E16" s="6" t="n">
        <v>4</v>
      </c>
      <c r="F16" s="6" t="n">
        <v>7</v>
      </c>
      <c r="G16" s="6" t="n">
        <v>1</v>
      </c>
      <c r="H16" s="6" t="n">
        <v>12</v>
      </c>
      <c r="I16" s="6" t="n">
        <v>20</v>
      </c>
      <c r="J16" s="6" t="n">
        <v>5</v>
      </c>
      <c r="K16" s="6" t="n">
        <v>9</v>
      </c>
      <c r="L16" s="6" t="n">
        <v>4</v>
      </c>
      <c r="M16" s="6" t="n">
        <v>2</v>
      </c>
      <c r="N16" s="6" t="n">
        <v>20</v>
      </c>
      <c r="O16" s="6" t="inlineStr">
        <is>
          <t>Anna, Max</t>
        </is>
      </c>
      <c r="P16" s="6" t="inlineStr">
        <is>
          <t>Billard-Turnier</t>
        </is>
      </c>
      <c r="Q16" s="6" t="inlineStr">
        <is>
          <t>Fenster WC defekt</t>
        </is>
      </c>
    </row>
    <row r="18">
      <c r="B18" s="2" t="inlineStr">
        <is>
          <t>Spaltenbedeutung</t>
        </is>
      </c>
    </row>
    <row r="19">
      <c r="B19" s="7" t="inlineStr">
        <is>
          <t>w / d / m</t>
        </is>
      </c>
      <c r="C19" s="4" t="inlineStr">
        <is>
          <t>Anzahl Besucher:innen weiblich / divers / männlich</t>
        </is>
      </c>
    </row>
    <row r="20">
      <c r="B20" s="7" t="inlineStr">
        <is>
          <t>ab 10 … ab 18</t>
        </is>
      </c>
      <c r="C20" s="4" t="inlineStr">
        <is>
          <t>Anzahl nach Altersgruppe (10–13, 14–15, 16–17, 18+)</t>
        </is>
      </c>
    </row>
    <row r="21">
      <c r="B21" s="7" t="inlineStr">
        <is>
          <t>gesamt Alter</t>
        </is>
      </c>
      <c r="C21" s="4" t="inlineStr">
        <is>
          <t>Summe der Altersgruppen (Kontrolle zu 'gesamt')</t>
        </is>
      </c>
    </row>
    <row r="22">
      <c r="B22" s="7" t="inlineStr">
        <is>
          <t>Einträge</t>
        </is>
      </c>
      <c r="C22" s="4" t="inlineStr">
        <is>
          <t>Wie oft das Angebot im Zeitraum stattgefunden 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>
        <f>"JAHRESAUSWERTUNG "&amp;LISTEN!$E$2</f>
        <v/>
      </c>
    </row>
    <row r="2">
      <c r="A2" s="8" t="inlineStr">
        <is>
          <t>rechnet automatisch aus allen Monatsblättern – nichts eintragen</t>
        </is>
      </c>
    </row>
    <row r="4">
      <c r="A4" s="2" t="inlineStr">
        <is>
          <t>Verlauf nach Monaten</t>
        </is>
      </c>
    </row>
    <row r="5">
      <c r="A5" s="5" t="inlineStr">
        <is>
          <t>Monat</t>
        </is>
      </c>
      <c r="B5" s="5" t="inlineStr">
        <is>
          <t>Stunden</t>
        </is>
      </c>
      <c r="C5" s="5" t="inlineStr">
        <is>
          <t>w</t>
        </is>
      </c>
      <c r="D5" s="5" t="inlineStr">
        <is>
          <t>d</t>
        </is>
      </c>
      <c r="E5" s="5" t="inlineStr">
        <is>
          <t>m</t>
        </is>
      </c>
      <c r="F5" s="5" t="inlineStr">
        <is>
          <t>gesamt</t>
        </is>
      </c>
      <c r="G5" s="5" t="inlineStr">
        <is>
          <t>ab 10</t>
        </is>
      </c>
      <c r="H5" s="5" t="inlineStr">
        <is>
          <t>ab 14</t>
        </is>
      </c>
      <c r="I5" s="5" t="inlineStr">
        <is>
          <t>ab 16</t>
        </is>
      </c>
      <c r="J5" s="5" t="inlineStr">
        <is>
          <t>ab 18</t>
        </is>
      </c>
      <c r="K5" s="5" t="inlineStr">
        <is>
          <t>Einträge</t>
        </is>
      </c>
      <c r="L5" s="5" t="inlineStr">
        <is>
          <t>Öffnungstage</t>
        </is>
      </c>
    </row>
    <row r="6">
      <c r="A6" s="6" t="inlineStr">
        <is>
          <t>Januar</t>
        </is>
      </c>
      <c r="B6" s="9">
        <f>'JANUAR'!S36</f>
        <v/>
      </c>
      <c r="C6" s="9">
        <f>'JANUAR'!T36</f>
        <v/>
      </c>
      <c r="D6" s="9">
        <f>'JANUAR'!U36</f>
        <v/>
      </c>
      <c r="E6" s="9">
        <f>'JANUAR'!V36</f>
        <v/>
      </c>
      <c r="F6" s="9">
        <f>'JANUAR'!W36</f>
        <v/>
      </c>
      <c r="G6" s="9">
        <f>'JANUAR'!X36</f>
        <v/>
      </c>
      <c r="H6" s="9">
        <f>'JANUAR'!Y36</f>
        <v/>
      </c>
      <c r="I6" s="9">
        <f>'JANUAR'!Z36</f>
        <v/>
      </c>
      <c r="J6" s="9">
        <f>'JANUAR'!AA36</f>
        <v/>
      </c>
      <c r="K6" s="9">
        <f>'JANUAR'!AB36</f>
        <v/>
      </c>
      <c r="L6" s="9">
        <f>'JANUAR'!V39</f>
        <v/>
      </c>
    </row>
    <row r="7">
      <c r="A7" s="6" t="inlineStr">
        <is>
          <t>Februar</t>
        </is>
      </c>
      <c r="B7" s="10">
        <f>'FEBRUAR'!S36</f>
        <v/>
      </c>
      <c r="C7" s="10">
        <f>'FEBRUAR'!T36</f>
        <v/>
      </c>
      <c r="D7" s="10">
        <f>'FEBRUAR'!U36</f>
        <v/>
      </c>
      <c r="E7" s="10">
        <f>'FEBRUAR'!V36</f>
        <v/>
      </c>
      <c r="F7" s="10">
        <f>'FEBRUAR'!W36</f>
        <v/>
      </c>
      <c r="G7" s="10">
        <f>'FEBRUAR'!X36</f>
        <v/>
      </c>
      <c r="H7" s="10">
        <f>'FEBRUAR'!Y36</f>
        <v/>
      </c>
      <c r="I7" s="10">
        <f>'FEBRUAR'!Z36</f>
        <v/>
      </c>
      <c r="J7" s="10">
        <f>'FEBRUAR'!AA36</f>
        <v/>
      </c>
      <c r="K7" s="10">
        <f>'FEBRUAR'!AB36</f>
        <v/>
      </c>
      <c r="L7" s="10">
        <f>'FEBRUAR'!V39</f>
        <v/>
      </c>
    </row>
    <row r="8">
      <c r="A8" s="6" t="inlineStr">
        <is>
          <t>März</t>
        </is>
      </c>
      <c r="B8" s="9">
        <f>'MÄRZ'!S36</f>
        <v/>
      </c>
      <c r="C8" s="9">
        <f>'MÄRZ'!T36</f>
        <v/>
      </c>
      <c r="D8" s="9">
        <f>'MÄRZ'!U36</f>
        <v/>
      </c>
      <c r="E8" s="9">
        <f>'MÄRZ'!V36</f>
        <v/>
      </c>
      <c r="F8" s="9">
        <f>'MÄRZ'!W36</f>
        <v/>
      </c>
      <c r="G8" s="9">
        <f>'MÄRZ'!X36</f>
        <v/>
      </c>
      <c r="H8" s="9">
        <f>'MÄRZ'!Y36</f>
        <v/>
      </c>
      <c r="I8" s="9">
        <f>'MÄRZ'!Z36</f>
        <v/>
      </c>
      <c r="J8" s="9">
        <f>'MÄRZ'!AA36</f>
        <v/>
      </c>
      <c r="K8" s="9">
        <f>'MÄRZ'!AB36</f>
        <v/>
      </c>
      <c r="L8" s="9">
        <f>'MÄRZ'!V39</f>
        <v/>
      </c>
    </row>
    <row r="9">
      <c r="A9" s="6" t="inlineStr">
        <is>
          <t>April</t>
        </is>
      </c>
      <c r="B9" s="10">
        <f>'APRIL'!S36</f>
        <v/>
      </c>
      <c r="C9" s="10">
        <f>'APRIL'!T36</f>
        <v/>
      </c>
      <c r="D9" s="10">
        <f>'APRIL'!U36</f>
        <v/>
      </c>
      <c r="E9" s="10">
        <f>'APRIL'!V36</f>
        <v/>
      </c>
      <c r="F9" s="10">
        <f>'APRIL'!W36</f>
        <v/>
      </c>
      <c r="G9" s="10">
        <f>'APRIL'!X36</f>
        <v/>
      </c>
      <c r="H9" s="10">
        <f>'APRIL'!Y36</f>
        <v/>
      </c>
      <c r="I9" s="10">
        <f>'APRIL'!Z36</f>
        <v/>
      </c>
      <c r="J9" s="10">
        <f>'APRIL'!AA36</f>
        <v/>
      </c>
      <c r="K9" s="10">
        <f>'APRIL'!AB36</f>
        <v/>
      </c>
      <c r="L9" s="10">
        <f>'APRIL'!V39</f>
        <v/>
      </c>
    </row>
    <row r="10">
      <c r="A10" s="6" t="inlineStr">
        <is>
          <t>Mai</t>
        </is>
      </c>
      <c r="B10" s="9">
        <f>'MAI'!S36</f>
        <v/>
      </c>
      <c r="C10" s="9">
        <f>'MAI'!T36</f>
        <v/>
      </c>
      <c r="D10" s="9">
        <f>'MAI'!U36</f>
        <v/>
      </c>
      <c r="E10" s="9">
        <f>'MAI'!V36</f>
        <v/>
      </c>
      <c r="F10" s="9">
        <f>'MAI'!W36</f>
        <v/>
      </c>
      <c r="G10" s="9">
        <f>'MAI'!X36</f>
        <v/>
      </c>
      <c r="H10" s="9">
        <f>'MAI'!Y36</f>
        <v/>
      </c>
      <c r="I10" s="9">
        <f>'MAI'!Z36</f>
        <v/>
      </c>
      <c r="J10" s="9">
        <f>'MAI'!AA36</f>
        <v/>
      </c>
      <c r="K10" s="9">
        <f>'MAI'!AB36</f>
        <v/>
      </c>
      <c r="L10" s="9">
        <f>'MAI'!V39</f>
        <v/>
      </c>
    </row>
    <row r="11">
      <c r="A11" s="6" t="inlineStr">
        <is>
          <t>Juni</t>
        </is>
      </c>
      <c r="B11" s="10">
        <f>'JUNI'!S36</f>
        <v/>
      </c>
      <c r="C11" s="10">
        <f>'JUNI'!T36</f>
        <v/>
      </c>
      <c r="D11" s="10">
        <f>'JUNI'!U36</f>
        <v/>
      </c>
      <c r="E11" s="10">
        <f>'JUNI'!V36</f>
        <v/>
      </c>
      <c r="F11" s="10">
        <f>'JUNI'!W36</f>
        <v/>
      </c>
      <c r="G11" s="10">
        <f>'JUNI'!X36</f>
        <v/>
      </c>
      <c r="H11" s="10">
        <f>'JUNI'!Y36</f>
        <v/>
      </c>
      <c r="I11" s="10">
        <f>'JUNI'!Z36</f>
        <v/>
      </c>
      <c r="J11" s="10">
        <f>'JUNI'!AA36</f>
        <v/>
      </c>
      <c r="K11" s="10">
        <f>'JUNI'!AB36</f>
        <v/>
      </c>
      <c r="L11" s="10">
        <f>'JUNI'!V39</f>
        <v/>
      </c>
    </row>
    <row r="12">
      <c r="A12" s="6" t="inlineStr">
        <is>
          <t>Juli</t>
        </is>
      </c>
      <c r="B12" s="9">
        <f>'JULI'!S36</f>
        <v/>
      </c>
      <c r="C12" s="9">
        <f>'JULI'!T36</f>
        <v/>
      </c>
      <c r="D12" s="9">
        <f>'JULI'!U36</f>
        <v/>
      </c>
      <c r="E12" s="9">
        <f>'JULI'!V36</f>
        <v/>
      </c>
      <c r="F12" s="9">
        <f>'JULI'!W36</f>
        <v/>
      </c>
      <c r="G12" s="9">
        <f>'JULI'!X36</f>
        <v/>
      </c>
      <c r="H12" s="9">
        <f>'JULI'!Y36</f>
        <v/>
      </c>
      <c r="I12" s="9">
        <f>'JULI'!Z36</f>
        <v/>
      </c>
      <c r="J12" s="9">
        <f>'JULI'!AA36</f>
        <v/>
      </c>
      <c r="K12" s="9">
        <f>'JULI'!AB36</f>
        <v/>
      </c>
      <c r="L12" s="9">
        <f>'JULI'!V39</f>
        <v/>
      </c>
    </row>
    <row r="13">
      <c r="A13" s="6" t="inlineStr">
        <is>
          <t>August</t>
        </is>
      </c>
      <c r="B13" s="10">
        <f>'AUGUST'!S36</f>
        <v/>
      </c>
      <c r="C13" s="10">
        <f>'AUGUST'!T36</f>
        <v/>
      </c>
      <c r="D13" s="10">
        <f>'AUGUST'!U36</f>
        <v/>
      </c>
      <c r="E13" s="10">
        <f>'AUGUST'!V36</f>
        <v/>
      </c>
      <c r="F13" s="10">
        <f>'AUGUST'!W36</f>
        <v/>
      </c>
      <c r="G13" s="10">
        <f>'AUGUST'!X36</f>
        <v/>
      </c>
      <c r="H13" s="10">
        <f>'AUGUST'!Y36</f>
        <v/>
      </c>
      <c r="I13" s="10">
        <f>'AUGUST'!Z36</f>
        <v/>
      </c>
      <c r="J13" s="10">
        <f>'AUGUST'!AA36</f>
        <v/>
      </c>
      <c r="K13" s="10">
        <f>'AUGUST'!AB36</f>
        <v/>
      </c>
      <c r="L13" s="10">
        <f>'AUGUST'!V39</f>
        <v/>
      </c>
    </row>
    <row r="14">
      <c r="A14" s="6" t="inlineStr">
        <is>
          <t>September</t>
        </is>
      </c>
      <c r="B14" s="9">
        <f>'SEPTEMBER'!S36</f>
        <v/>
      </c>
      <c r="C14" s="9">
        <f>'SEPTEMBER'!T36</f>
        <v/>
      </c>
      <c r="D14" s="9">
        <f>'SEPTEMBER'!U36</f>
        <v/>
      </c>
      <c r="E14" s="9">
        <f>'SEPTEMBER'!V36</f>
        <v/>
      </c>
      <c r="F14" s="9">
        <f>'SEPTEMBER'!W36</f>
        <v/>
      </c>
      <c r="G14" s="9">
        <f>'SEPTEMBER'!X36</f>
        <v/>
      </c>
      <c r="H14" s="9">
        <f>'SEPTEMBER'!Y36</f>
        <v/>
      </c>
      <c r="I14" s="9">
        <f>'SEPTEMBER'!Z36</f>
        <v/>
      </c>
      <c r="J14" s="9">
        <f>'SEPTEMBER'!AA36</f>
        <v/>
      </c>
      <c r="K14" s="9">
        <f>'SEPTEMBER'!AB36</f>
        <v/>
      </c>
      <c r="L14" s="9">
        <f>'SEPTEMBER'!V39</f>
        <v/>
      </c>
    </row>
    <row r="15">
      <c r="A15" s="6" t="inlineStr">
        <is>
          <t>Oktober</t>
        </is>
      </c>
      <c r="B15" s="10">
        <f>'OKTOBER'!S36</f>
        <v/>
      </c>
      <c r="C15" s="10">
        <f>'OKTOBER'!T36</f>
        <v/>
      </c>
      <c r="D15" s="10">
        <f>'OKTOBER'!U36</f>
        <v/>
      </c>
      <c r="E15" s="10">
        <f>'OKTOBER'!V36</f>
        <v/>
      </c>
      <c r="F15" s="10">
        <f>'OKTOBER'!W36</f>
        <v/>
      </c>
      <c r="G15" s="10">
        <f>'OKTOBER'!X36</f>
        <v/>
      </c>
      <c r="H15" s="10">
        <f>'OKTOBER'!Y36</f>
        <v/>
      </c>
      <c r="I15" s="10">
        <f>'OKTOBER'!Z36</f>
        <v/>
      </c>
      <c r="J15" s="10">
        <f>'OKTOBER'!AA36</f>
        <v/>
      </c>
      <c r="K15" s="10">
        <f>'OKTOBER'!AB36</f>
        <v/>
      </c>
      <c r="L15" s="10">
        <f>'OKTOBER'!V39</f>
        <v/>
      </c>
    </row>
    <row r="16">
      <c r="A16" s="6" t="inlineStr">
        <is>
          <t>November</t>
        </is>
      </c>
      <c r="B16" s="9">
        <f>'NOVEMBER'!S36</f>
        <v/>
      </c>
      <c r="C16" s="9">
        <f>'NOVEMBER'!T36</f>
        <v/>
      </c>
      <c r="D16" s="9">
        <f>'NOVEMBER'!U36</f>
        <v/>
      </c>
      <c r="E16" s="9">
        <f>'NOVEMBER'!V36</f>
        <v/>
      </c>
      <c r="F16" s="9">
        <f>'NOVEMBER'!W36</f>
        <v/>
      </c>
      <c r="G16" s="9">
        <f>'NOVEMBER'!X36</f>
        <v/>
      </c>
      <c r="H16" s="9">
        <f>'NOVEMBER'!Y36</f>
        <v/>
      </c>
      <c r="I16" s="9">
        <f>'NOVEMBER'!Z36</f>
        <v/>
      </c>
      <c r="J16" s="9">
        <f>'NOVEMBER'!AA36</f>
        <v/>
      </c>
      <c r="K16" s="9">
        <f>'NOVEMBER'!AB36</f>
        <v/>
      </c>
      <c r="L16" s="9">
        <f>'NOVEMBER'!V39</f>
        <v/>
      </c>
    </row>
    <row r="17">
      <c r="A17" s="6" t="inlineStr">
        <is>
          <t>Dezember</t>
        </is>
      </c>
      <c r="B17" s="10">
        <f>'DEZEMBER'!S36</f>
        <v/>
      </c>
      <c r="C17" s="10">
        <f>'DEZEMBER'!T36</f>
        <v/>
      </c>
      <c r="D17" s="10">
        <f>'DEZEMBER'!U36</f>
        <v/>
      </c>
      <c r="E17" s="10">
        <f>'DEZEMBER'!V36</f>
        <v/>
      </c>
      <c r="F17" s="10">
        <f>'DEZEMBER'!W36</f>
        <v/>
      </c>
      <c r="G17" s="10">
        <f>'DEZEMBER'!X36</f>
        <v/>
      </c>
      <c r="H17" s="10">
        <f>'DEZEMBER'!Y36</f>
        <v/>
      </c>
      <c r="I17" s="10">
        <f>'DEZEMBER'!Z36</f>
        <v/>
      </c>
      <c r="J17" s="10">
        <f>'DEZEMBER'!AA36</f>
        <v/>
      </c>
      <c r="K17" s="10">
        <f>'DEZEMBER'!AB36</f>
        <v/>
      </c>
      <c r="L17" s="10">
        <f>'DEZEMBER'!V39</f>
        <v/>
      </c>
    </row>
    <row r="18">
      <c r="A18" s="11" t="inlineStr">
        <is>
          <t>JAHR</t>
        </is>
      </c>
      <c r="B18" s="12">
        <f>SUM(B6:B17)</f>
        <v/>
      </c>
      <c r="C18" s="12">
        <f>SUM(C6:C17)</f>
        <v/>
      </c>
      <c r="D18" s="12">
        <f>SUM(D6:D17)</f>
        <v/>
      </c>
      <c r="E18" s="12">
        <f>SUM(E6:E17)</f>
        <v/>
      </c>
      <c r="F18" s="12">
        <f>SUM(F6:F17)</f>
        <v/>
      </c>
      <c r="G18" s="12">
        <f>SUM(G6:G17)</f>
        <v/>
      </c>
      <c r="H18" s="12">
        <f>SUM(H6:H17)</f>
        <v/>
      </c>
      <c r="I18" s="12">
        <f>SUM(I6:I17)</f>
        <v/>
      </c>
      <c r="J18" s="12">
        <f>SUM(J6:J17)</f>
        <v/>
      </c>
      <c r="K18" s="12">
        <f>SUM(K6:K17)</f>
        <v/>
      </c>
      <c r="L18" s="12">
        <f>SUM(L6:L17)</f>
        <v/>
      </c>
    </row>
    <row r="20">
      <c r="A20" s="2" t="inlineStr">
        <is>
          <t>Anteile Jahr</t>
        </is>
      </c>
    </row>
    <row r="21">
      <c r="A21" s="5" t="inlineStr">
        <is>
          <t>Merkmal</t>
        </is>
      </c>
      <c r="B21" s="5" t="inlineStr">
        <is>
          <t>weiblich</t>
        </is>
      </c>
      <c r="C21" s="5" t="inlineStr">
        <is>
          <t>divers</t>
        </is>
      </c>
      <c r="D21" s="5" t="inlineStr">
        <is>
          <t>männlich</t>
        </is>
      </c>
      <c r="E21" s="5" t="inlineStr">
        <is>
          <t>ab 10</t>
        </is>
      </c>
      <c r="F21" s="5" t="inlineStr">
        <is>
          <t>ab 14</t>
        </is>
      </c>
      <c r="G21" s="5" t="inlineStr">
        <is>
          <t>ab 16</t>
        </is>
      </c>
      <c r="H21" s="5" t="inlineStr">
        <is>
          <t>ab 18</t>
        </is>
      </c>
    </row>
    <row r="22">
      <c r="A22" s="13" t="inlineStr">
        <is>
          <t>Anzahl</t>
        </is>
      </c>
      <c r="B22" s="14">
        <f>C18</f>
        <v/>
      </c>
      <c r="C22" s="14">
        <f>D18</f>
        <v/>
      </c>
      <c r="D22" s="14">
        <f>E18</f>
        <v/>
      </c>
      <c r="E22" s="14">
        <f>G18</f>
        <v/>
      </c>
      <c r="F22" s="14">
        <f>H18</f>
        <v/>
      </c>
      <c r="G22" s="14">
        <f>I18</f>
        <v/>
      </c>
      <c r="H22" s="14">
        <f>J18</f>
        <v/>
      </c>
      <c r="J22" s="15" t="inlineStr">
        <is>
          <t>Ø Besucher:innen / Öffnungstag</t>
        </is>
      </c>
      <c r="M22" s="16">
        <f>IF(L18=0,0,F18/L18)</f>
        <v/>
      </c>
    </row>
    <row r="23">
      <c r="A23" s="13" t="inlineStr">
        <is>
          <t>Anteil</t>
        </is>
      </c>
      <c r="B23" s="17">
        <f>IF($F$18=0,0,C18/$F$18)</f>
        <v/>
      </c>
      <c r="C23" s="17">
        <f>IF($F$18=0,0,D18/$F$18)</f>
        <v/>
      </c>
      <c r="D23" s="17">
        <f>IF($F$18=0,0,E18/$F$18)</f>
        <v/>
      </c>
      <c r="E23" s="17">
        <f>IF(SUM($G$18:$J$18)=0,0,G18/SUM($G$18:$J$18))</f>
        <v/>
      </c>
      <c r="F23" s="17">
        <f>IF(SUM($G$18:$J$18)=0,0,H18/SUM($G$18:$J$18))</f>
        <v/>
      </c>
      <c r="G23" s="17">
        <f>IF(SUM($G$18:$J$18)=0,0,I18/SUM($G$18:$J$18))</f>
        <v/>
      </c>
      <c r="H23" s="17">
        <f>IF(SUM($G$18:$J$18)=0,0,J18/SUM($G$18:$J$18))</f>
        <v/>
      </c>
    </row>
    <row r="25">
      <c r="A25" s="2" t="inlineStr">
        <is>
          <t>Angebote im Jahr</t>
        </is>
      </c>
    </row>
    <row r="26">
      <c r="A26" s="5" t="inlineStr">
        <is>
          <t>Angebot</t>
        </is>
      </c>
      <c r="B26" s="5" t="inlineStr">
        <is>
          <t>Stunden</t>
        </is>
      </c>
      <c r="C26" s="5" t="inlineStr">
        <is>
          <t>w</t>
        </is>
      </c>
      <c r="D26" s="5" t="inlineStr">
        <is>
          <t>d</t>
        </is>
      </c>
      <c r="E26" s="5" t="inlineStr">
        <is>
          <t>m</t>
        </is>
      </c>
      <c r="F26" s="5" t="inlineStr">
        <is>
          <t>gesamt</t>
        </is>
      </c>
      <c r="G26" s="5" t="inlineStr">
        <is>
          <t>ab 10</t>
        </is>
      </c>
      <c r="H26" s="5" t="inlineStr">
        <is>
          <t>ab 14</t>
        </is>
      </c>
      <c r="I26" s="5" t="inlineStr">
        <is>
          <t>ab 16</t>
        </is>
      </c>
      <c r="J26" s="5" t="inlineStr">
        <is>
          <t>ab 18</t>
        </is>
      </c>
      <c r="K26" s="5" t="inlineStr">
        <is>
          <t>Einträge</t>
        </is>
      </c>
      <c r="L26" s="5" t="inlineStr">
        <is>
          <t>Anteil Besuche</t>
        </is>
      </c>
    </row>
    <row r="27">
      <c r="A27" s="6">
        <f>IF(LISTEN!$A$2="","",LISTEN!$A$2)</f>
        <v/>
      </c>
      <c r="B27" s="9">
        <f>IF($A27="","",N('JANUAR'!S6)+N('FEBRUAR'!S6)+N('MÄRZ'!S6)+N('APRIL'!S6)+N('MAI'!S6)+N('JUNI'!S6)+N('JULI'!S6)+N('AUGUST'!S6)+N('SEPTEMBER'!S6)+N('OKTOBER'!S6)+N('NOVEMBER'!S6)+N('DEZEMBER'!S6))</f>
        <v/>
      </c>
      <c r="C27" s="9">
        <f>IF($A27="","",N('JANUAR'!T6)+N('FEBRUAR'!T6)+N('MÄRZ'!T6)+N('APRIL'!T6)+N('MAI'!T6)+N('JUNI'!T6)+N('JULI'!T6)+N('AUGUST'!T6)+N('SEPTEMBER'!T6)+N('OKTOBER'!T6)+N('NOVEMBER'!T6)+N('DEZEMBER'!T6))</f>
        <v/>
      </c>
      <c r="D27" s="9">
        <f>IF($A27="","",N('JANUAR'!U6)+N('FEBRUAR'!U6)+N('MÄRZ'!U6)+N('APRIL'!U6)+N('MAI'!U6)+N('JUNI'!U6)+N('JULI'!U6)+N('AUGUST'!U6)+N('SEPTEMBER'!U6)+N('OKTOBER'!U6)+N('NOVEMBER'!U6)+N('DEZEMBER'!U6))</f>
        <v/>
      </c>
      <c r="E27" s="9">
        <f>IF($A27="","",N('JANUAR'!V6)+N('FEBRUAR'!V6)+N('MÄRZ'!V6)+N('APRIL'!V6)+N('MAI'!V6)+N('JUNI'!V6)+N('JULI'!V6)+N('AUGUST'!V6)+N('SEPTEMBER'!V6)+N('OKTOBER'!V6)+N('NOVEMBER'!V6)+N('DEZEMBER'!V6))</f>
        <v/>
      </c>
      <c r="F27" s="9">
        <f>IF($A27="","",N('JANUAR'!W6)+N('FEBRUAR'!W6)+N('MÄRZ'!W6)+N('APRIL'!W6)+N('MAI'!W6)+N('JUNI'!W6)+N('JULI'!W6)+N('AUGUST'!W6)+N('SEPTEMBER'!W6)+N('OKTOBER'!W6)+N('NOVEMBER'!W6)+N('DEZEMBER'!W6))</f>
        <v/>
      </c>
      <c r="G27" s="9">
        <f>IF($A27="","",N('JANUAR'!X6)+N('FEBRUAR'!X6)+N('MÄRZ'!X6)+N('APRIL'!X6)+N('MAI'!X6)+N('JUNI'!X6)+N('JULI'!X6)+N('AUGUST'!X6)+N('SEPTEMBER'!X6)+N('OKTOBER'!X6)+N('NOVEMBER'!X6)+N('DEZEMBER'!X6))</f>
        <v/>
      </c>
      <c r="H27" s="9">
        <f>IF($A27="","",N('JANUAR'!Y6)+N('FEBRUAR'!Y6)+N('MÄRZ'!Y6)+N('APRIL'!Y6)+N('MAI'!Y6)+N('JUNI'!Y6)+N('JULI'!Y6)+N('AUGUST'!Y6)+N('SEPTEMBER'!Y6)+N('OKTOBER'!Y6)+N('NOVEMBER'!Y6)+N('DEZEMBER'!Y6))</f>
        <v/>
      </c>
      <c r="I27" s="9">
        <f>IF($A27="","",N('JANUAR'!Z6)+N('FEBRUAR'!Z6)+N('MÄRZ'!Z6)+N('APRIL'!Z6)+N('MAI'!Z6)+N('JUNI'!Z6)+N('JULI'!Z6)+N('AUGUST'!Z6)+N('SEPTEMBER'!Z6)+N('OKTOBER'!Z6)+N('NOVEMBER'!Z6)+N('DEZEMBER'!Z6))</f>
        <v/>
      </c>
      <c r="J27" s="9">
        <f>IF($A27="","",N('JANUAR'!AA6)+N('FEBRUAR'!AA6)+N('MÄRZ'!AA6)+N('APRIL'!AA6)+N('MAI'!AA6)+N('JUNI'!AA6)+N('JULI'!AA6)+N('AUGUST'!AA6)+N('SEPTEMBER'!AA6)+N('OKTOBER'!AA6)+N('NOVEMBER'!AA6)+N('DEZEMBER'!AA6))</f>
        <v/>
      </c>
      <c r="K27" s="9">
        <f>IF($A27="","",N('JANUAR'!AB6)+N('FEBRUAR'!AB6)+N('MÄRZ'!AB6)+N('APRIL'!AB6)+N('MAI'!AB6)+N('JUNI'!AB6)+N('JULI'!AB6)+N('AUGUST'!AB6)+N('SEPTEMBER'!AB6)+N('OKTOBER'!AB6)+N('NOVEMBER'!AB6)+N('DEZEMBER'!AB6))</f>
        <v/>
      </c>
      <c r="L27" s="18">
        <f>IF(OR($A27="",$F$57=0),"",F27/$F$57)</f>
        <v/>
      </c>
    </row>
    <row r="28">
      <c r="A28" s="19">
        <f>IF(LISTEN!$A$3="","",LISTEN!$A$3)</f>
        <v/>
      </c>
      <c r="B28" s="10">
        <f>IF($A28="","",N('JANUAR'!S7)+N('FEBRUAR'!S7)+N('MÄRZ'!S7)+N('APRIL'!S7)+N('MAI'!S7)+N('JUNI'!S7)+N('JULI'!S7)+N('AUGUST'!S7)+N('SEPTEMBER'!S7)+N('OKTOBER'!S7)+N('NOVEMBER'!S7)+N('DEZEMBER'!S7))</f>
        <v/>
      </c>
      <c r="C28" s="10">
        <f>IF($A28="","",N('JANUAR'!T7)+N('FEBRUAR'!T7)+N('MÄRZ'!T7)+N('APRIL'!T7)+N('MAI'!T7)+N('JUNI'!T7)+N('JULI'!T7)+N('AUGUST'!T7)+N('SEPTEMBER'!T7)+N('OKTOBER'!T7)+N('NOVEMBER'!T7)+N('DEZEMBER'!T7))</f>
        <v/>
      </c>
      <c r="D28" s="10">
        <f>IF($A28="","",N('JANUAR'!U7)+N('FEBRUAR'!U7)+N('MÄRZ'!U7)+N('APRIL'!U7)+N('MAI'!U7)+N('JUNI'!U7)+N('JULI'!U7)+N('AUGUST'!U7)+N('SEPTEMBER'!U7)+N('OKTOBER'!U7)+N('NOVEMBER'!U7)+N('DEZEMBER'!U7))</f>
        <v/>
      </c>
      <c r="E28" s="10">
        <f>IF($A28="","",N('JANUAR'!V7)+N('FEBRUAR'!V7)+N('MÄRZ'!V7)+N('APRIL'!V7)+N('MAI'!V7)+N('JUNI'!V7)+N('JULI'!V7)+N('AUGUST'!V7)+N('SEPTEMBER'!V7)+N('OKTOBER'!V7)+N('NOVEMBER'!V7)+N('DEZEMBER'!V7))</f>
        <v/>
      </c>
      <c r="F28" s="10">
        <f>IF($A28="","",N('JANUAR'!W7)+N('FEBRUAR'!W7)+N('MÄRZ'!W7)+N('APRIL'!W7)+N('MAI'!W7)+N('JUNI'!W7)+N('JULI'!W7)+N('AUGUST'!W7)+N('SEPTEMBER'!W7)+N('OKTOBER'!W7)+N('NOVEMBER'!W7)+N('DEZEMBER'!W7))</f>
        <v/>
      </c>
      <c r="G28" s="10">
        <f>IF($A28="","",N('JANUAR'!X7)+N('FEBRUAR'!X7)+N('MÄRZ'!X7)+N('APRIL'!X7)+N('MAI'!X7)+N('JUNI'!X7)+N('JULI'!X7)+N('AUGUST'!X7)+N('SEPTEMBER'!X7)+N('OKTOBER'!X7)+N('NOVEMBER'!X7)+N('DEZEMBER'!X7))</f>
        <v/>
      </c>
      <c r="H28" s="10">
        <f>IF($A28="","",N('JANUAR'!Y7)+N('FEBRUAR'!Y7)+N('MÄRZ'!Y7)+N('APRIL'!Y7)+N('MAI'!Y7)+N('JUNI'!Y7)+N('JULI'!Y7)+N('AUGUST'!Y7)+N('SEPTEMBER'!Y7)+N('OKTOBER'!Y7)+N('NOVEMBER'!Y7)+N('DEZEMBER'!Y7))</f>
        <v/>
      </c>
      <c r="I28" s="10">
        <f>IF($A28="","",N('JANUAR'!Z7)+N('FEBRUAR'!Z7)+N('MÄRZ'!Z7)+N('APRIL'!Z7)+N('MAI'!Z7)+N('JUNI'!Z7)+N('JULI'!Z7)+N('AUGUST'!Z7)+N('SEPTEMBER'!Z7)+N('OKTOBER'!Z7)+N('NOVEMBER'!Z7)+N('DEZEMBER'!Z7))</f>
        <v/>
      </c>
      <c r="J28" s="10">
        <f>IF($A28="","",N('JANUAR'!AA7)+N('FEBRUAR'!AA7)+N('MÄRZ'!AA7)+N('APRIL'!AA7)+N('MAI'!AA7)+N('JUNI'!AA7)+N('JULI'!AA7)+N('AUGUST'!AA7)+N('SEPTEMBER'!AA7)+N('OKTOBER'!AA7)+N('NOVEMBER'!AA7)+N('DEZEMBER'!AA7))</f>
        <v/>
      </c>
      <c r="K28" s="10">
        <f>IF($A28="","",N('JANUAR'!AB7)+N('FEBRUAR'!AB7)+N('MÄRZ'!AB7)+N('APRIL'!AB7)+N('MAI'!AB7)+N('JUNI'!AB7)+N('JULI'!AB7)+N('AUGUST'!AB7)+N('SEPTEMBER'!AB7)+N('OKTOBER'!AB7)+N('NOVEMBER'!AB7)+N('DEZEMBER'!AB7))</f>
        <v/>
      </c>
      <c r="L28" s="20">
        <f>IF(OR($A28="",$F$57=0),"",F28/$F$57)</f>
        <v/>
      </c>
    </row>
    <row r="29">
      <c r="A29" s="6">
        <f>IF(LISTEN!$A$4="","",LISTEN!$A$4)</f>
        <v/>
      </c>
      <c r="B29" s="9">
        <f>IF($A29="","",N('JANUAR'!S8)+N('FEBRUAR'!S8)+N('MÄRZ'!S8)+N('APRIL'!S8)+N('MAI'!S8)+N('JUNI'!S8)+N('JULI'!S8)+N('AUGUST'!S8)+N('SEPTEMBER'!S8)+N('OKTOBER'!S8)+N('NOVEMBER'!S8)+N('DEZEMBER'!S8))</f>
        <v/>
      </c>
      <c r="C29" s="9">
        <f>IF($A29="","",N('JANUAR'!T8)+N('FEBRUAR'!T8)+N('MÄRZ'!T8)+N('APRIL'!T8)+N('MAI'!T8)+N('JUNI'!T8)+N('JULI'!T8)+N('AUGUST'!T8)+N('SEPTEMBER'!T8)+N('OKTOBER'!T8)+N('NOVEMBER'!T8)+N('DEZEMBER'!T8))</f>
        <v/>
      </c>
      <c r="D29" s="9">
        <f>IF($A29="","",N('JANUAR'!U8)+N('FEBRUAR'!U8)+N('MÄRZ'!U8)+N('APRIL'!U8)+N('MAI'!U8)+N('JUNI'!U8)+N('JULI'!U8)+N('AUGUST'!U8)+N('SEPTEMBER'!U8)+N('OKTOBER'!U8)+N('NOVEMBER'!U8)+N('DEZEMBER'!U8))</f>
        <v/>
      </c>
      <c r="E29" s="9">
        <f>IF($A29="","",N('JANUAR'!V8)+N('FEBRUAR'!V8)+N('MÄRZ'!V8)+N('APRIL'!V8)+N('MAI'!V8)+N('JUNI'!V8)+N('JULI'!V8)+N('AUGUST'!V8)+N('SEPTEMBER'!V8)+N('OKTOBER'!V8)+N('NOVEMBER'!V8)+N('DEZEMBER'!V8))</f>
        <v/>
      </c>
      <c r="F29" s="9">
        <f>IF($A29="","",N('JANUAR'!W8)+N('FEBRUAR'!W8)+N('MÄRZ'!W8)+N('APRIL'!W8)+N('MAI'!W8)+N('JUNI'!W8)+N('JULI'!W8)+N('AUGUST'!W8)+N('SEPTEMBER'!W8)+N('OKTOBER'!W8)+N('NOVEMBER'!W8)+N('DEZEMBER'!W8))</f>
        <v/>
      </c>
      <c r="G29" s="9">
        <f>IF($A29="","",N('JANUAR'!X8)+N('FEBRUAR'!X8)+N('MÄRZ'!X8)+N('APRIL'!X8)+N('MAI'!X8)+N('JUNI'!X8)+N('JULI'!X8)+N('AUGUST'!X8)+N('SEPTEMBER'!X8)+N('OKTOBER'!X8)+N('NOVEMBER'!X8)+N('DEZEMBER'!X8))</f>
        <v/>
      </c>
      <c r="H29" s="9">
        <f>IF($A29="","",N('JANUAR'!Y8)+N('FEBRUAR'!Y8)+N('MÄRZ'!Y8)+N('APRIL'!Y8)+N('MAI'!Y8)+N('JUNI'!Y8)+N('JULI'!Y8)+N('AUGUST'!Y8)+N('SEPTEMBER'!Y8)+N('OKTOBER'!Y8)+N('NOVEMBER'!Y8)+N('DEZEMBER'!Y8))</f>
        <v/>
      </c>
      <c r="I29" s="9">
        <f>IF($A29="","",N('JANUAR'!Z8)+N('FEBRUAR'!Z8)+N('MÄRZ'!Z8)+N('APRIL'!Z8)+N('MAI'!Z8)+N('JUNI'!Z8)+N('JULI'!Z8)+N('AUGUST'!Z8)+N('SEPTEMBER'!Z8)+N('OKTOBER'!Z8)+N('NOVEMBER'!Z8)+N('DEZEMBER'!Z8))</f>
        <v/>
      </c>
      <c r="J29" s="9">
        <f>IF($A29="","",N('JANUAR'!AA8)+N('FEBRUAR'!AA8)+N('MÄRZ'!AA8)+N('APRIL'!AA8)+N('MAI'!AA8)+N('JUNI'!AA8)+N('JULI'!AA8)+N('AUGUST'!AA8)+N('SEPTEMBER'!AA8)+N('OKTOBER'!AA8)+N('NOVEMBER'!AA8)+N('DEZEMBER'!AA8))</f>
        <v/>
      </c>
      <c r="K29" s="9">
        <f>IF($A29="","",N('JANUAR'!AB8)+N('FEBRUAR'!AB8)+N('MÄRZ'!AB8)+N('APRIL'!AB8)+N('MAI'!AB8)+N('JUNI'!AB8)+N('JULI'!AB8)+N('AUGUST'!AB8)+N('SEPTEMBER'!AB8)+N('OKTOBER'!AB8)+N('NOVEMBER'!AB8)+N('DEZEMBER'!AB8))</f>
        <v/>
      </c>
      <c r="L29" s="18">
        <f>IF(OR($A29="",$F$57=0),"",F29/$F$57)</f>
        <v/>
      </c>
    </row>
    <row r="30">
      <c r="A30" s="19">
        <f>IF(LISTEN!$A$5="","",LISTEN!$A$5)</f>
        <v/>
      </c>
      <c r="B30" s="10">
        <f>IF($A30="","",N('JANUAR'!S9)+N('FEBRUAR'!S9)+N('MÄRZ'!S9)+N('APRIL'!S9)+N('MAI'!S9)+N('JUNI'!S9)+N('JULI'!S9)+N('AUGUST'!S9)+N('SEPTEMBER'!S9)+N('OKTOBER'!S9)+N('NOVEMBER'!S9)+N('DEZEMBER'!S9))</f>
        <v/>
      </c>
      <c r="C30" s="10">
        <f>IF($A30="","",N('JANUAR'!T9)+N('FEBRUAR'!T9)+N('MÄRZ'!T9)+N('APRIL'!T9)+N('MAI'!T9)+N('JUNI'!T9)+N('JULI'!T9)+N('AUGUST'!T9)+N('SEPTEMBER'!T9)+N('OKTOBER'!T9)+N('NOVEMBER'!T9)+N('DEZEMBER'!T9))</f>
        <v/>
      </c>
      <c r="D30" s="10">
        <f>IF($A30="","",N('JANUAR'!U9)+N('FEBRUAR'!U9)+N('MÄRZ'!U9)+N('APRIL'!U9)+N('MAI'!U9)+N('JUNI'!U9)+N('JULI'!U9)+N('AUGUST'!U9)+N('SEPTEMBER'!U9)+N('OKTOBER'!U9)+N('NOVEMBER'!U9)+N('DEZEMBER'!U9))</f>
        <v/>
      </c>
      <c r="E30" s="10">
        <f>IF($A30="","",N('JANUAR'!V9)+N('FEBRUAR'!V9)+N('MÄRZ'!V9)+N('APRIL'!V9)+N('MAI'!V9)+N('JUNI'!V9)+N('JULI'!V9)+N('AUGUST'!V9)+N('SEPTEMBER'!V9)+N('OKTOBER'!V9)+N('NOVEMBER'!V9)+N('DEZEMBER'!V9))</f>
        <v/>
      </c>
      <c r="F30" s="10">
        <f>IF($A30="","",N('JANUAR'!W9)+N('FEBRUAR'!W9)+N('MÄRZ'!W9)+N('APRIL'!W9)+N('MAI'!W9)+N('JUNI'!W9)+N('JULI'!W9)+N('AUGUST'!W9)+N('SEPTEMBER'!W9)+N('OKTOBER'!W9)+N('NOVEMBER'!W9)+N('DEZEMBER'!W9))</f>
        <v/>
      </c>
      <c r="G30" s="10">
        <f>IF($A30="","",N('JANUAR'!X9)+N('FEBRUAR'!X9)+N('MÄRZ'!X9)+N('APRIL'!X9)+N('MAI'!X9)+N('JUNI'!X9)+N('JULI'!X9)+N('AUGUST'!X9)+N('SEPTEMBER'!X9)+N('OKTOBER'!X9)+N('NOVEMBER'!X9)+N('DEZEMBER'!X9))</f>
        <v/>
      </c>
      <c r="H30" s="10">
        <f>IF($A30="","",N('JANUAR'!Y9)+N('FEBRUAR'!Y9)+N('MÄRZ'!Y9)+N('APRIL'!Y9)+N('MAI'!Y9)+N('JUNI'!Y9)+N('JULI'!Y9)+N('AUGUST'!Y9)+N('SEPTEMBER'!Y9)+N('OKTOBER'!Y9)+N('NOVEMBER'!Y9)+N('DEZEMBER'!Y9))</f>
        <v/>
      </c>
      <c r="I30" s="10">
        <f>IF($A30="","",N('JANUAR'!Z9)+N('FEBRUAR'!Z9)+N('MÄRZ'!Z9)+N('APRIL'!Z9)+N('MAI'!Z9)+N('JUNI'!Z9)+N('JULI'!Z9)+N('AUGUST'!Z9)+N('SEPTEMBER'!Z9)+N('OKTOBER'!Z9)+N('NOVEMBER'!Z9)+N('DEZEMBER'!Z9))</f>
        <v/>
      </c>
      <c r="J30" s="10">
        <f>IF($A30="","",N('JANUAR'!AA9)+N('FEBRUAR'!AA9)+N('MÄRZ'!AA9)+N('APRIL'!AA9)+N('MAI'!AA9)+N('JUNI'!AA9)+N('JULI'!AA9)+N('AUGUST'!AA9)+N('SEPTEMBER'!AA9)+N('OKTOBER'!AA9)+N('NOVEMBER'!AA9)+N('DEZEMBER'!AA9))</f>
        <v/>
      </c>
      <c r="K30" s="10">
        <f>IF($A30="","",N('JANUAR'!AB9)+N('FEBRUAR'!AB9)+N('MÄRZ'!AB9)+N('APRIL'!AB9)+N('MAI'!AB9)+N('JUNI'!AB9)+N('JULI'!AB9)+N('AUGUST'!AB9)+N('SEPTEMBER'!AB9)+N('OKTOBER'!AB9)+N('NOVEMBER'!AB9)+N('DEZEMBER'!AB9))</f>
        <v/>
      </c>
      <c r="L30" s="20">
        <f>IF(OR($A30="",$F$57=0),"",F30/$F$57)</f>
        <v/>
      </c>
    </row>
    <row r="31">
      <c r="A31" s="6">
        <f>IF(LISTEN!$A$6="","",LISTEN!$A$6)</f>
        <v/>
      </c>
      <c r="B31" s="9">
        <f>IF($A31="","",N('JANUAR'!S10)+N('FEBRUAR'!S10)+N('MÄRZ'!S10)+N('APRIL'!S10)+N('MAI'!S10)+N('JUNI'!S10)+N('JULI'!S10)+N('AUGUST'!S10)+N('SEPTEMBER'!S10)+N('OKTOBER'!S10)+N('NOVEMBER'!S10)+N('DEZEMBER'!S10))</f>
        <v/>
      </c>
      <c r="C31" s="9">
        <f>IF($A31="","",N('JANUAR'!T10)+N('FEBRUAR'!T10)+N('MÄRZ'!T10)+N('APRIL'!T10)+N('MAI'!T10)+N('JUNI'!T10)+N('JULI'!T10)+N('AUGUST'!T10)+N('SEPTEMBER'!T10)+N('OKTOBER'!T10)+N('NOVEMBER'!T10)+N('DEZEMBER'!T10))</f>
        <v/>
      </c>
      <c r="D31" s="9">
        <f>IF($A31="","",N('JANUAR'!U10)+N('FEBRUAR'!U10)+N('MÄRZ'!U10)+N('APRIL'!U10)+N('MAI'!U10)+N('JUNI'!U10)+N('JULI'!U10)+N('AUGUST'!U10)+N('SEPTEMBER'!U10)+N('OKTOBER'!U10)+N('NOVEMBER'!U10)+N('DEZEMBER'!U10))</f>
        <v/>
      </c>
      <c r="E31" s="9">
        <f>IF($A31="","",N('JANUAR'!V10)+N('FEBRUAR'!V10)+N('MÄRZ'!V10)+N('APRIL'!V10)+N('MAI'!V10)+N('JUNI'!V10)+N('JULI'!V10)+N('AUGUST'!V10)+N('SEPTEMBER'!V10)+N('OKTOBER'!V10)+N('NOVEMBER'!V10)+N('DEZEMBER'!V10))</f>
        <v/>
      </c>
      <c r="F31" s="9">
        <f>IF($A31="","",N('JANUAR'!W10)+N('FEBRUAR'!W10)+N('MÄRZ'!W10)+N('APRIL'!W10)+N('MAI'!W10)+N('JUNI'!W10)+N('JULI'!W10)+N('AUGUST'!W10)+N('SEPTEMBER'!W10)+N('OKTOBER'!W10)+N('NOVEMBER'!W10)+N('DEZEMBER'!W10))</f>
        <v/>
      </c>
      <c r="G31" s="9">
        <f>IF($A31="","",N('JANUAR'!X10)+N('FEBRUAR'!X10)+N('MÄRZ'!X10)+N('APRIL'!X10)+N('MAI'!X10)+N('JUNI'!X10)+N('JULI'!X10)+N('AUGUST'!X10)+N('SEPTEMBER'!X10)+N('OKTOBER'!X10)+N('NOVEMBER'!X10)+N('DEZEMBER'!X10))</f>
        <v/>
      </c>
      <c r="H31" s="9">
        <f>IF($A31="","",N('JANUAR'!Y10)+N('FEBRUAR'!Y10)+N('MÄRZ'!Y10)+N('APRIL'!Y10)+N('MAI'!Y10)+N('JUNI'!Y10)+N('JULI'!Y10)+N('AUGUST'!Y10)+N('SEPTEMBER'!Y10)+N('OKTOBER'!Y10)+N('NOVEMBER'!Y10)+N('DEZEMBER'!Y10))</f>
        <v/>
      </c>
      <c r="I31" s="9">
        <f>IF($A31="","",N('JANUAR'!Z10)+N('FEBRUAR'!Z10)+N('MÄRZ'!Z10)+N('APRIL'!Z10)+N('MAI'!Z10)+N('JUNI'!Z10)+N('JULI'!Z10)+N('AUGUST'!Z10)+N('SEPTEMBER'!Z10)+N('OKTOBER'!Z10)+N('NOVEMBER'!Z10)+N('DEZEMBER'!Z10))</f>
        <v/>
      </c>
      <c r="J31" s="9">
        <f>IF($A31="","",N('JANUAR'!AA10)+N('FEBRUAR'!AA10)+N('MÄRZ'!AA10)+N('APRIL'!AA10)+N('MAI'!AA10)+N('JUNI'!AA10)+N('JULI'!AA10)+N('AUGUST'!AA10)+N('SEPTEMBER'!AA10)+N('OKTOBER'!AA10)+N('NOVEMBER'!AA10)+N('DEZEMBER'!AA10))</f>
        <v/>
      </c>
      <c r="K31" s="9">
        <f>IF($A31="","",N('JANUAR'!AB10)+N('FEBRUAR'!AB10)+N('MÄRZ'!AB10)+N('APRIL'!AB10)+N('MAI'!AB10)+N('JUNI'!AB10)+N('JULI'!AB10)+N('AUGUST'!AB10)+N('SEPTEMBER'!AB10)+N('OKTOBER'!AB10)+N('NOVEMBER'!AB10)+N('DEZEMBER'!AB10))</f>
        <v/>
      </c>
      <c r="L31" s="18">
        <f>IF(OR($A31="",$F$57=0),"",F31/$F$57)</f>
        <v/>
      </c>
    </row>
    <row r="32">
      <c r="A32" s="19">
        <f>IF(LISTEN!$A$7="","",LISTEN!$A$7)</f>
        <v/>
      </c>
      <c r="B32" s="10">
        <f>IF($A32="","",N('JANUAR'!S11)+N('FEBRUAR'!S11)+N('MÄRZ'!S11)+N('APRIL'!S11)+N('MAI'!S11)+N('JUNI'!S11)+N('JULI'!S11)+N('AUGUST'!S11)+N('SEPTEMBER'!S11)+N('OKTOBER'!S11)+N('NOVEMBER'!S11)+N('DEZEMBER'!S11))</f>
        <v/>
      </c>
      <c r="C32" s="10">
        <f>IF($A32="","",N('JANUAR'!T11)+N('FEBRUAR'!T11)+N('MÄRZ'!T11)+N('APRIL'!T11)+N('MAI'!T11)+N('JUNI'!T11)+N('JULI'!T11)+N('AUGUST'!T11)+N('SEPTEMBER'!T11)+N('OKTOBER'!T11)+N('NOVEMBER'!T11)+N('DEZEMBER'!T11))</f>
        <v/>
      </c>
      <c r="D32" s="10">
        <f>IF($A32="","",N('JANUAR'!U11)+N('FEBRUAR'!U11)+N('MÄRZ'!U11)+N('APRIL'!U11)+N('MAI'!U11)+N('JUNI'!U11)+N('JULI'!U11)+N('AUGUST'!U11)+N('SEPTEMBER'!U11)+N('OKTOBER'!U11)+N('NOVEMBER'!U11)+N('DEZEMBER'!U11))</f>
        <v/>
      </c>
      <c r="E32" s="10">
        <f>IF($A32="","",N('JANUAR'!V11)+N('FEBRUAR'!V11)+N('MÄRZ'!V11)+N('APRIL'!V11)+N('MAI'!V11)+N('JUNI'!V11)+N('JULI'!V11)+N('AUGUST'!V11)+N('SEPTEMBER'!V11)+N('OKTOBER'!V11)+N('NOVEMBER'!V11)+N('DEZEMBER'!V11))</f>
        <v/>
      </c>
      <c r="F32" s="10">
        <f>IF($A32="","",N('JANUAR'!W11)+N('FEBRUAR'!W11)+N('MÄRZ'!W11)+N('APRIL'!W11)+N('MAI'!W11)+N('JUNI'!W11)+N('JULI'!W11)+N('AUGUST'!W11)+N('SEPTEMBER'!W11)+N('OKTOBER'!W11)+N('NOVEMBER'!W11)+N('DEZEMBER'!W11))</f>
        <v/>
      </c>
      <c r="G32" s="10">
        <f>IF($A32="","",N('JANUAR'!X11)+N('FEBRUAR'!X11)+N('MÄRZ'!X11)+N('APRIL'!X11)+N('MAI'!X11)+N('JUNI'!X11)+N('JULI'!X11)+N('AUGUST'!X11)+N('SEPTEMBER'!X11)+N('OKTOBER'!X11)+N('NOVEMBER'!X11)+N('DEZEMBER'!X11))</f>
        <v/>
      </c>
      <c r="H32" s="10">
        <f>IF($A32="","",N('JANUAR'!Y11)+N('FEBRUAR'!Y11)+N('MÄRZ'!Y11)+N('APRIL'!Y11)+N('MAI'!Y11)+N('JUNI'!Y11)+N('JULI'!Y11)+N('AUGUST'!Y11)+N('SEPTEMBER'!Y11)+N('OKTOBER'!Y11)+N('NOVEMBER'!Y11)+N('DEZEMBER'!Y11))</f>
        <v/>
      </c>
      <c r="I32" s="10">
        <f>IF($A32="","",N('JANUAR'!Z11)+N('FEBRUAR'!Z11)+N('MÄRZ'!Z11)+N('APRIL'!Z11)+N('MAI'!Z11)+N('JUNI'!Z11)+N('JULI'!Z11)+N('AUGUST'!Z11)+N('SEPTEMBER'!Z11)+N('OKTOBER'!Z11)+N('NOVEMBER'!Z11)+N('DEZEMBER'!Z11))</f>
        <v/>
      </c>
      <c r="J32" s="10">
        <f>IF($A32="","",N('JANUAR'!AA11)+N('FEBRUAR'!AA11)+N('MÄRZ'!AA11)+N('APRIL'!AA11)+N('MAI'!AA11)+N('JUNI'!AA11)+N('JULI'!AA11)+N('AUGUST'!AA11)+N('SEPTEMBER'!AA11)+N('OKTOBER'!AA11)+N('NOVEMBER'!AA11)+N('DEZEMBER'!AA11))</f>
        <v/>
      </c>
      <c r="K32" s="10">
        <f>IF($A32="","",N('JANUAR'!AB11)+N('FEBRUAR'!AB11)+N('MÄRZ'!AB11)+N('APRIL'!AB11)+N('MAI'!AB11)+N('JUNI'!AB11)+N('JULI'!AB11)+N('AUGUST'!AB11)+N('SEPTEMBER'!AB11)+N('OKTOBER'!AB11)+N('NOVEMBER'!AB11)+N('DEZEMBER'!AB11))</f>
        <v/>
      </c>
      <c r="L32" s="20">
        <f>IF(OR($A32="",$F$57=0),"",F32/$F$57)</f>
        <v/>
      </c>
    </row>
    <row r="33">
      <c r="A33" s="6">
        <f>IF(LISTEN!$A$8="","",LISTEN!$A$8)</f>
        <v/>
      </c>
      <c r="B33" s="9">
        <f>IF($A33="","",N('JANUAR'!S12)+N('FEBRUAR'!S12)+N('MÄRZ'!S12)+N('APRIL'!S12)+N('MAI'!S12)+N('JUNI'!S12)+N('JULI'!S12)+N('AUGUST'!S12)+N('SEPTEMBER'!S12)+N('OKTOBER'!S12)+N('NOVEMBER'!S12)+N('DEZEMBER'!S12))</f>
        <v/>
      </c>
      <c r="C33" s="9">
        <f>IF($A33="","",N('JANUAR'!T12)+N('FEBRUAR'!T12)+N('MÄRZ'!T12)+N('APRIL'!T12)+N('MAI'!T12)+N('JUNI'!T12)+N('JULI'!T12)+N('AUGUST'!T12)+N('SEPTEMBER'!T12)+N('OKTOBER'!T12)+N('NOVEMBER'!T12)+N('DEZEMBER'!T12))</f>
        <v/>
      </c>
      <c r="D33" s="9">
        <f>IF($A33="","",N('JANUAR'!U12)+N('FEBRUAR'!U12)+N('MÄRZ'!U12)+N('APRIL'!U12)+N('MAI'!U12)+N('JUNI'!U12)+N('JULI'!U12)+N('AUGUST'!U12)+N('SEPTEMBER'!U12)+N('OKTOBER'!U12)+N('NOVEMBER'!U12)+N('DEZEMBER'!U12))</f>
        <v/>
      </c>
      <c r="E33" s="9">
        <f>IF($A33="","",N('JANUAR'!V12)+N('FEBRUAR'!V12)+N('MÄRZ'!V12)+N('APRIL'!V12)+N('MAI'!V12)+N('JUNI'!V12)+N('JULI'!V12)+N('AUGUST'!V12)+N('SEPTEMBER'!V12)+N('OKTOBER'!V12)+N('NOVEMBER'!V12)+N('DEZEMBER'!V12))</f>
        <v/>
      </c>
      <c r="F33" s="9">
        <f>IF($A33="","",N('JANUAR'!W12)+N('FEBRUAR'!W12)+N('MÄRZ'!W12)+N('APRIL'!W12)+N('MAI'!W12)+N('JUNI'!W12)+N('JULI'!W12)+N('AUGUST'!W12)+N('SEPTEMBER'!W12)+N('OKTOBER'!W12)+N('NOVEMBER'!W12)+N('DEZEMBER'!W12))</f>
        <v/>
      </c>
      <c r="G33" s="9">
        <f>IF($A33="","",N('JANUAR'!X12)+N('FEBRUAR'!X12)+N('MÄRZ'!X12)+N('APRIL'!X12)+N('MAI'!X12)+N('JUNI'!X12)+N('JULI'!X12)+N('AUGUST'!X12)+N('SEPTEMBER'!X12)+N('OKTOBER'!X12)+N('NOVEMBER'!X12)+N('DEZEMBER'!X12))</f>
        <v/>
      </c>
      <c r="H33" s="9">
        <f>IF($A33="","",N('JANUAR'!Y12)+N('FEBRUAR'!Y12)+N('MÄRZ'!Y12)+N('APRIL'!Y12)+N('MAI'!Y12)+N('JUNI'!Y12)+N('JULI'!Y12)+N('AUGUST'!Y12)+N('SEPTEMBER'!Y12)+N('OKTOBER'!Y12)+N('NOVEMBER'!Y12)+N('DEZEMBER'!Y12))</f>
        <v/>
      </c>
      <c r="I33" s="9">
        <f>IF($A33="","",N('JANUAR'!Z12)+N('FEBRUAR'!Z12)+N('MÄRZ'!Z12)+N('APRIL'!Z12)+N('MAI'!Z12)+N('JUNI'!Z12)+N('JULI'!Z12)+N('AUGUST'!Z12)+N('SEPTEMBER'!Z12)+N('OKTOBER'!Z12)+N('NOVEMBER'!Z12)+N('DEZEMBER'!Z12))</f>
        <v/>
      </c>
      <c r="J33" s="9">
        <f>IF($A33="","",N('JANUAR'!AA12)+N('FEBRUAR'!AA12)+N('MÄRZ'!AA12)+N('APRIL'!AA12)+N('MAI'!AA12)+N('JUNI'!AA12)+N('JULI'!AA12)+N('AUGUST'!AA12)+N('SEPTEMBER'!AA12)+N('OKTOBER'!AA12)+N('NOVEMBER'!AA12)+N('DEZEMBER'!AA12))</f>
        <v/>
      </c>
      <c r="K33" s="9">
        <f>IF($A33="","",N('JANUAR'!AB12)+N('FEBRUAR'!AB12)+N('MÄRZ'!AB12)+N('APRIL'!AB12)+N('MAI'!AB12)+N('JUNI'!AB12)+N('JULI'!AB12)+N('AUGUST'!AB12)+N('SEPTEMBER'!AB12)+N('OKTOBER'!AB12)+N('NOVEMBER'!AB12)+N('DEZEMBER'!AB12))</f>
        <v/>
      </c>
      <c r="L33" s="18">
        <f>IF(OR($A33="",$F$57=0),"",F33/$F$57)</f>
        <v/>
      </c>
    </row>
    <row r="34">
      <c r="A34" s="19">
        <f>IF(LISTEN!$A$9="","",LISTEN!$A$9)</f>
        <v/>
      </c>
      <c r="B34" s="10">
        <f>IF($A34="","",N('JANUAR'!S13)+N('FEBRUAR'!S13)+N('MÄRZ'!S13)+N('APRIL'!S13)+N('MAI'!S13)+N('JUNI'!S13)+N('JULI'!S13)+N('AUGUST'!S13)+N('SEPTEMBER'!S13)+N('OKTOBER'!S13)+N('NOVEMBER'!S13)+N('DEZEMBER'!S13))</f>
        <v/>
      </c>
      <c r="C34" s="10">
        <f>IF($A34="","",N('JANUAR'!T13)+N('FEBRUAR'!T13)+N('MÄRZ'!T13)+N('APRIL'!T13)+N('MAI'!T13)+N('JUNI'!T13)+N('JULI'!T13)+N('AUGUST'!T13)+N('SEPTEMBER'!T13)+N('OKTOBER'!T13)+N('NOVEMBER'!T13)+N('DEZEMBER'!T13))</f>
        <v/>
      </c>
      <c r="D34" s="10">
        <f>IF($A34="","",N('JANUAR'!U13)+N('FEBRUAR'!U13)+N('MÄRZ'!U13)+N('APRIL'!U13)+N('MAI'!U13)+N('JUNI'!U13)+N('JULI'!U13)+N('AUGUST'!U13)+N('SEPTEMBER'!U13)+N('OKTOBER'!U13)+N('NOVEMBER'!U13)+N('DEZEMBER'!U13))</f>
        <v/>
      </c>
      <c r="E34" s="10">
        <f>IF($A34="","",N('JANUAR'!V13)+N('FEBRUAR'!V13)+N('MÄRZ'!V13)+N('APRIL'!V13)+N('MAI'!V13)+N('JUNI'!V13)+N('JULI'!V13)+N('AUGUST'!V13)+N('SEPTEMBER'!V13)+N('OKTOBER'!V13)+N('NOVEMBER'!V13)+N('DEZEMBER'!V13))</f>
        <v/>
      </c>
      <c r="F34" s="10">
        <f>IF($A34="","",N('JANUAR'!W13)+N('FEBRUAR'!W13)+N('MÄRZ'!W13)+N('APRIL'!W13)+N('MAI'!W13)+N('JUNI'!W13)+N('JULI'!W13)+N('AUGUST'!W13)+N('SEPTEMBER'!W13)+N('OKTOBER'!W13)+N('NOVEMBER'!W13)+N('DEZEMBER'!W13))</f>
        <v/>
      </c>
      <c r="G34" s="10">
        <f>IF($A34="","",N('JANUAR'!X13)+N('FEBRUAR'!X13)+N('MÄRZ'!X13)+N('APRIL'!X13)+N('MAI'!X13)+N('JUNI'!X13)+N('JULI'!X13)+N('AUGUST'!X13)+N('SEPTEMBER'!X13)+N('OKTOBER'!X13)+N('NOVEMBER'!X13)+N('DEZEMBER'!X13))</f>
        <v/>
      </c>
      <c r="H34" s="10">
        <f>IF($A34="","",N('JANUAR'!Y13)+N('FEBRUAR'!Y13)+N('MÄRZ'!Y13)+N('APRIL'!Y13)+N('MAI'!Y13)+N('JUNI'!Y13)+N('JULI'!Y13)+N('AUGUST'!Y13)+N('SEPTEMBER'!Y13)+N('OKTOBER'!Y13)+N('NOVEMBER'!Y13)+N('DEZEMBER'!Y13))</f>
        <v/>
      </c>
      <c r="I34" s="10">
        <f>IF($A34="","",N('JANUAR'!Z13)+N('FEBRUAR'!Z13)+N('MÄRZ'!Z13)+N('APRIL'!Z13)+N('MAI'!Z13)+N('JUNI'!Z13)+N('JULI'!Z13)+N('AUGUST'!Z13)+N('SEPTEMBER'!Z13)+N('OKTOBER'!Z13)+N('NOVEMBER'!Z13)+N('DEZEMBER'!Z13))</f>
        <v/>
      </c>
      <c r="J34" s="10">
        <f>IF($A34="","",N('JANUAR'!AA13)+N('FEBRUAR'!AA13)+N('MÄRZ'!AA13)+N('APRIL'!AA13)+N('MAI'!AA13)+N('JUNI'!AA13)+N('JULI'!AA13)+N('AUGUST'!AA13)+N('SEPTEMBER'!AA13)+N('OKTOBER'!AA13)+N('NOVEMBER'!AA13)+N('DEZEMBER'!AA13))</f>
        <v/>
      </c>
      <c r="K34" s="10">
        <f>IF($A34="","",N('JANUAR'!AB13)+N('FEBRUAR'!AB13)+N('MÄRZ'!AB13)+N('APRIL'!AB13)+N('MAI'!AB13)+N('JUNI'!AB13)+N('JULI'!AB13)+N('AUGUST'!AB13)+N('SEPTEMBER'!AB13)+N('OKTOBER'!AB13)+N('NOVEMBER'!AB13)+N('DEZEMBER'!AB13))</f>
        <v/>
      </c>
      <c r="L34" s="20">
        <f>IF(OR($A34="",$F$57=0),"",F34/$F$57)</f>
        <v/>
      </c>
    </row>
    <row r="35">
      <c r="A35" s="6">
        <f>IF(LISTEN!$A$10="","",LISTEN!$A$10)</f>
        <v/>
      </c>
      <c r="B35" s="9">
        <f>IF($A35="","",N('JANUAR'!S14)+N('FEBRUAR'!S14)+N('MÄRZ'!S14)+N('APRIL'!S14)+N('MAI'!S14)+N('JUNI'!S14)+N('JULI'!S14)+N('AUGUST'!S14)+N('SEPTEMBER'!S14)+N('OKTOBER'!S14)+N('NOVEMBER'!S14)+N('DEZEMBER'!S14))</f>
        <v/>
      </c>
      <c r="C35" s="9">
        <f>IF($A35="","",N('JANUAR'!T14)+N('FEBRUAR'!T14)+N('MÄRZ'!T14)+N('APRIL'!T14)+N('MAI'!T14)+N('JUNI'!T14)+N('JULI'!T14)+N('AUGUST'!T14)+N('SEPTEMBER'!T14)+N('OKTOBER'!T14)+N('NOVEMBER'!T14)+N('DEZEMBER'!T14))</f>
        <v/>
      </c>
      <c r="D35" s="9">
        <f>IF($A35="","",N('JANUAR'!U14)+N('FEBRUAR'!U14)+N('MÄRZ'!U14)+N('APRIL'!U14)+N('MAI'!U14)+N('JUNI'!U14)+N('JULI'!U14)+N('AUGUST'!U14)+N('SEPTEMBER'!U14)+N('OKTOBER'!U14)+N('NOVEMBER'!U14)+N('DEZEMBER'!U14))</f>
        <v/>
      </c>
      <c r="E35" s="9">
        <f>IF($A35="","",N('JANUAR'!V14)+N('FEBRUAR'!V14)+N('MÄRZ'!V14)+N('APRIL'!V14)+N('MAI'!V14)+N('JUNI'!V14)+N('JULI'!V14)+N('AUGUST'!V14)+N('SEPTEMBER'!V14)+N('OKTOBER'!V14)+N('NOVEMBER'!V14)+N('DEZEMBER'!V14))</f>
        <v/>
      </c>
      <c r="F35" s="9">
        <f>IF($A35="","",N('JANUAR'!W14)+N('FEBRUAR'!W14)+N('MÄRZ'!W14)+N('APRIL'!W14)+N('MAI'!W14)+N('JUNI'!W14)+N('JULI'!W14)+N('AUGUST'!W14)+N('SEPTEMBER'!W14)+N('OKTOBER'!W14)+N('NOVEMBER'!W14)+N('DEZEMBER'!W14))</f>
        <v/>
      </c>
      <c r="G35" s="9">
        <f>IF($A35="","",N('JANUAR'!X14)+N('FEBRUAR'!X14)+N('MÄRZ'!X14)+N('APRIL'!X14)+N('MAI'!X14)+N('JUNI'!X14)+N('JULI'!X14)+N('AUGUST'!X14)+N('SEPTEMBER'!X14)+N('OKTOBER'!X14)+N('NOVEMBER'!X14)+N('DEZEMBER'!X14))</f>
        <v/>
      </c>
      <c r="H35" s="9">
        <f>IF($A35="","",N('JANUAR'!Y14)+N('FEBRUAR'!Y14)+N('MÄRZ'!Y14)+N('APRIL'!Y14)+N('MAI'!Y14)+N('JUNI'!Y14)+N('JULI'!Y14)+N('AUGUST'!Y14)+N('SEPTEMBER'!Y14)+N('OKTOBER'!Y14)+N('NOVEMBER'!Y14)+N('DEZEMBER'!Y14))</f>
        <v/>
      </c>
      <c r="I35" s="9">
        <f>IF($A35="","",N('JANUAR'!Z14)+N('FEBRUAR'!Z14)+N('MÄRZ'!Z14)+N('APRIL'!Z14)+N('MAI'!Z14)+N('JUNI'!Z14)+N('JULI'!Z14)+N('AUGUST'!Z14)+N('SEPTEMBER'!Z14)+N('OKTOBER'!Z14)+N('NOVEMBER'!Z14)+N('DEZEMBER'!Z14))</f>
        <v/>
      </c>
      <c r="J35" s="9">
        <f>IF($A35="","",N('JANUAR'!AA14)+N('FEBRUAR'!AA14)+N('MÄRZ'!AA14)+N('APRIL'!AA14)+N('MAI'!AA14)+N('JUNI'!AA14)+N('JULI'!AA14)+N('AUGUST'!AA14)+N('SEPTEMBER'!AA14)+N('OKTOBER'!AA14)+N('NOVEMBER'!AA14)+N('DEZEMBER'!AA14))</f>
        <v/>
      </c>
      <c r="K35" s="9">
        <f>IF($A35="","",N('JANUAR'!AB14)+N('FEBRUAR'!AB14)+N('MÄRZ'!AB14)+N('APRIL'!AB14)+N('MAI'!AB14)+N('JUNI'!AB14)+N('JULI'!AB14)+N('AUGUST'!AB14)+N('SEPTEMBER'!AB14)+N('OKTOBER'!AB14)+N('NOVEMBER'!AB14)+N('DEZEMBER'!AB14))</f>
        <v/>
      </c>
      <c r="L35" s="18">
        <f>IF(OR($A35="",$F$57=0),"",F35/$F$57)</f>
        <v/>
      </c>
    </row>
    <row r="36">
      <c r="A36" s="19">
        <f>IF(LISTEN!$A$11="","",LISTEN!$A$11)</f>
        <v/>
      </c>
      <c r="B36" s="10">
        <f>IF($A36="","",N('JANUAR'!S15)+N('FEBRUAR'!S15)+N('MÄRZ'!S15)+N('APRIL'!S15)+N('MAI'!S15)+N('JUNI'!S15)+N('JULI'!S15)+N('AUGUST'!S15)+N('SEPTEMBER'!S15)+N('OKTOBER'!S15)+N('NOVEMBER'!S15)+N('DEZEMBER'!S15))</f>
        <v/>
      </c>
      <c r="C36" s="10">
        <f>IF($A36="","",N('JANUAR'!T15)+N('FEBRUAR'!T15)+N('MÄRZ'!T15)+N('APRIL'!T15)+N('MAI'!T15)+N('JUNI'!T15)+N('JULI'!T15)+N('AUGUST'!T15)+N('SEPTEMBER'!T15)+N('OKTOBER'!T15)+N('NOVEMBER'!T15)+N('DEZEMBER'!T15))</f>
        <v/>
      </c>
      <c r="D36" s="10">
        <f>IF($A36="","",N('JANUAR'!U15)+N('FEBRUAR'!U15)+N('MÄRZ'!U15)+N('APRIL'!U15)+N('MAI'!U15)+N('JUNI'!U15)+N('JULI'!U15)+N('AUGUST'!U15)+N('SEPTEMBER'!U15)+N('OKTOBER'!U15)+N('NOVEMBER'!U15)+N('DEZEMBER'!U15))</f>
        <v/>
      </c>
      <c r="E36" s="10">
        <f>IF($A36="","",N('JANUAR'!V15)+N('FEBRUAR'!V15)+N('MÄRZ'!V15)+N('APRIL'!V15)+N('MAI'!V15)+N('JUNI'!V15)+N('JULI'!V15)+N('AUGUST'!V15)+N('SEPTEMBER'!V15)+N('OKTOBER'!V15)+N('NOVEMBER'!V15)+N('DEZEMBER'!V15))</f>
        <v/>
      </c>
      <c r="F36" s="10">
        <f>IF($A36="","",N('JANUAR'!W15)+N('FEBRUAR'!W15)+N('MÄRZ'!W15)+N('APRIL'!W15)+N('MAI'!W15)+N('JUNI'!W15)+N('JULI'!W15)+N('AUGUST'!W15)+N('SEPTEMBER'!W15)+N('OKTOBER'!W15)+N('NOVEMBER'!W15)+N('DEZEMBER'!W15))</f>
        <v/>
      </c>
      <c r="G36" s="10">
        <f>IF($A36="","",N('JANUAR'!X15)+N('FEBRUAR'!X15)+N('MÄRZ'!X15)+N('APRIL'!X15)+N('MAI'!X15)+N('JUNI'!X15)+N('JULI'!X15)+N('AUGUST'!X15)+N('SEPTEMBER'!X15)+N('OKTOBER'!X15)+N('NOVEMBER'!X15)+N('DEZEMBER'!X15))</f>
        <v/>
      </c>
      <c r="H36" s="10">
        <f>IF($A36="","",N('JANUAR'!Y15)+N('FEBRUAR'!Y15)+N('MÄRZ'!Y15)+N('APRIL'!Y15)+N('MAI'!Y15)+N('JUNI'!Y15)+N('JULI'!Y15)+N('AUGUST'!Y15)+N('SEPTEMBER'!Y15)+N('OKTOBER'!Y15)+N('NOVEMBER'!Y15)+N('DEZEMBER'!Y15))</f>
        <v/>
      </c>
      <c r="I36" s="10">
        <f>IF($A36="","",N('JANUAR'!Z15)+N('FEBRUAR'!Z15)+N('MÄRZ'!Z15)+N('APRIL'!Z15)+N('MAI'!Z15)+N('JUNI'!Z15)+N('JULI'!Z15)+N('AUGUST'!Z15)+N('SEPTEMBER'!Z15)+N('OKTOBER'!Z15)+N('NOVEMBER'!Z15)+N('DEZEMBER'!Z15))</f>
        <v/>
      </c>
      <c r="J36" s="10">
        <f>IF($A36="","",N('JANUAR'!AA15)+N('FEBRUAR'!AA15)+N('MÄRZ'!AA15)+N('APRIL'!AA15)+N('MAI'!AA15)+N('JUNI'!AA15)+N('JULI'!AA15)+N('AUGUST'!AA15)+N('SEPTEMBER'!AA15)+N('OKTOBER'!AA15)+N('NOVEMBER'!AA15)+N('DEZEMBER'!AA15))</f>
        <v/>
      </c>
      <c r="K36" s="10">
        <f>IF($A36="","",N('JANUAR'!AB15)+N('FEBRUAR'!AB15)+N('MÄRZ'!AB15)+N('APRIL'!AB15)+N('MAI'!AB15)+N('JUNI'!AB15)+N('JULI'!AB15)+N('AUGUST'!AB15)+N('SEPTEMBER'!AB15)+N('OKTOBER'!AB15)+N('NOVEMBER'!AB15)+N('DEZEMBER'!AB15))</f>
        <v/>
      </c>
      <c r="L36" s="20">
        <f>IF(OR($A36="",$F$57=0),"",F36/$F$57)</f>
        <v/>
      </c>
    </row>
    <row r="37">
      <c r="A37" s="6">
        <f>IF(LISTEN!$A$12="","",LISTEN!$A$12)</f>
        <v/>
      </c>
      <c r="B37" s="9">
        <f>IF($A37="","",N('JANUAR'!S16)+N('FEBRUAR'!S16)+N('MÄRZ'!S16)+N('APRIL'!S16)+N('MAI'!S16)+N('JUNI'!S16)+N('JULI'!S16)+N('AUGUST'!S16)+N('SEPTEMBER'!S16)+N('OKTOBER'!S16)+N('NOVEMBER'!S16)+N('DEZEMBER'!S16))</f>
        <v/>
      </c>
      <c r="C37" s="9">
        <f>IF($A37="","",N('JANUAR'!T16)+N('FEBRUAR'!T16)+N('MÄRZ'!T16)+N('APRIL'!T16)+N('MAI'!T16)+N('JUNI'!T16)+N('JULI'!T16)+N('AUGUST'!T16)+N('SEPTEMBER'!T16)+N('OKTOBER'!T16)+N('NOVEMBER'!T16)+N('DEZEMBER'!T16))</f>
        <v/>
      </c>
      <c r="D37" s="9">
        <f>IF($A37="","",N('JANUAR'!U16)+N('FEBRUAR'!U16)+N('MÄRZ'!U16)+N('APRIL'!U16)+N('MAI'!U16)+N('JUNI'!U16)+N('JULI'!U16)+N('AUGUST'!U16)+N('SEPTEMBER'!U16)+N('OKTOBER'!U16)+N('NOVEMBER'!U16)+N('DEZEMBER'!U16))</f>
        <v/>
      </c>
      <c r="E37" s="9">
        <f>IF($A37="","",N('JANUAR'!V16)+N('FEBRUAR'!V16)+N('MÄRZ'!V16)+N('APRIL'!V16)+N('MAI'!V16)+N('JUNI'!V16)+N('JULI'!V16)+N('AUGUST'!V16)+N('SEPTEMBER'!V16)+N('OKTOBER'!V16)+N('NOVEMBER'!V16)+N('DEZEMBER'!V16))</f>
        <v/>
      </c>
      <c r="F37" s="9">
        <f>IF($A37="","",N('JANUAR'!W16)+N('FEBRUAR'!W16)+N('MÄRZ'!W16)+N('APRIL'!W16)+N('MAI'!W16)+N('JUNI'!W16)+N('JULI'!W16)+N('AUGUST'!W16)+N('SEPTEMBER'!W16)+N('OKTOBER'!W16)+N('NOVEMBER'!W16)+N('DEZEMBER'!W16))</f>
        <v/>
      </c>
      <c r="G37" s="9">
        <f>IF($A37="","",N('JANUAR'!X16)+N('FEBRUAR'!X16)+N('MÄRZ'!X16)+N('APRIL'!X16)+N('MAI'!X16)+N('JUNI'!X16)+N('JULI'!X16)+N('AUGUST'!X16)+N('SEPTEMBER'!X16)+N('OKTOBER'!X16)+N('NOVEMBER'!X16)+N('DEZEMBER'!X16))</f>
        <v/>
      </c>
      <c r="H37" s="9">
        <f>IF($A37="","",N('JANUAR'!Y16)+N('FEBRUAR'!Y16)+N('MÄRZ'!Y16)+N('APRIL'!Y16)+N('MAI'!Y16)+N('JUNI'!Y16)+N('JULI'!Y16)+N('AUGUST'!Y16)+N('SEPTEMBER'!Y16)+N('OKTOBER'!Y16)+N('NOVEMBER'!Y16)+N('DEZEMBER'!Y16))</f>
        <v/>
      </c>
      <c r="I37" s="9">
        <f>IF($A37="","",N('JANUAR'!Z16)+N('FEBRUAR'!Z16)+N('MÄRZ'!Z16)+N('APRIL'!Z16)+N('MAI'!Z16)+N('JUNI'!Z16)+N('JULI'!Z16)+N('AUGUST'!Z16)+N('SEPTEMBER'!Z16)+N('OKTOBER'!Z16)+N('NOVEMBER'!Z16)+N('DEZEMBER'!Z16))</f>
        <v/>
      </c>
      <c r="J37" s="9">
        <f>IF($A37="","",N('JANUAR'!AA16)+N('FEBRUAR'!AA16)+N('MÄRZ'!AA16)+N('APRIL'!AA16)+N('MAI'!AA16)+N('JUNI'!AA16)+N('JULI'!AA16)+N('AUGUST'!AA16)+N('SEPTEMBER'!AA16)+N('OKTOBER'!AA16)+N('NOVEMBER'!AA16)+N('DEZEMBER'!AA16))</f>
        <v/>
      </c>
      <c r="K37" s="9">
        <f>IF($A37="","",N('JANUAR'!AB16)+N('FEBRUAR'!AB16)+N('MÄRZ'!AB16)+N('APRIL'!AB16)+N('MAI'!AB16)+N('JUNI'!AB16)+N('JULI'!AB16)+N('AUGUST'!AB16)+N('SEPTEMBER'!AB16)+N('OKTOBER'!AB16)+N('NOVEMBER'!AB16)+N('DEZEMBER'!AB16))</f>
        <v/>
      </c>
      <c r="L37" s="18">
        <f>IF(OR($A37="",$F$57=0),"",F37/$F$57)</f>
        <v/>
      </c>
    </row>
    <row r="38">
      <c r="A38" s="19">
        <f>IF(LISTEN!$A$13="","",LISTEN!$A$13)</f>
        <v/>
      </c>
      <c r="B38" s="10">
        <f>IF($A38="","",N('JANUAR'!S17)+N('FEBRUAR'!S17)+N('MÄRZ'!S17)+N('APRIL'!S17)+N('MAI'!S17)+N('JUNI'!S17)+N('JULI'!S17)+N('AUGUST'!S17)+N('SEPTEMBER'!S17)+N('OKTOBER'!S17)+N('NOVEMBER'!S17)+N('DEZEMBER'!S17))</f>
        <v/>
      </c>
      <c r="C38" s="10">
        <f>IF($A38="","",N('JANUAR'!T17)+N('FEBRUAR'!T17)+N('MÄRZ'!T17)+N('APRIL'!T17)+N('MAI'!T17)+N('JUNI'!T17)+N('JULI'!T17)+N('AUGUST'!T17)+N('SEPTEMBER'!T17)+N('OKTOBER'!T17)+N('NOVEMBER'!T17)+N('DEZEMBER'!T17))</f>
        <v/>
      </c>
      <c r="D38" s="10">
        <f>IF($A38="","",N('JANUAR'!U17)+N('FEBRUAR'!U17)+N('MÄRZ'!U17)+N('APRIL'!U17)+N('MAI'!U17)+N('JUNI'!U17)+N('JULI'!U17)+N('AUGUST'!U17)+N('SEPTEMBER'!U17)+N('OKTOBER'!U17)+N('NOVEMBER'!U17)+N('DEZEMBER'!U17))</f>
        <v/>
      </c>
      <c r="E38" s="10">
        <f>IF($A38="","",N('JANUAR'!V17)+N('FEBRUAR'!V17)+N('MÄRZ'!V17)+N('APRIL'!V17)+N('MAI'!V17)+N('JUNI'!V17)+N('JULI'!V17)+N('AUGUST'!V17)+N('SEPTEMBER'!V17)+N('OKTOBER'!V17)+N('NOVEMBER'!V17)+N('DEZEMBER'!V17))</f>
        <v/>
      </c>
      <c r="F38" s="10">
        <f>IF($A38="","",N('JANUAR'!W17)+N('FEBRUAR'!W17)+N('MÄRZ'!W17)+N('APRIL'!W17)+N('MAI'!W17)+N('JUNI'!W17)+N('JULI'!W17)+N('AUGUST'!W17)+N('SEPTEMBER'!W17)+N('OKTOBER'!W17)+N('NOVEMBER'!W17)+N('DEZEMBER'!W17))</f>
        <v/>
      </c>
      <c r="G38" s="10">
        <f>IF($A38="","",N('JANUAR'!X17)+N('FEBRUAR'!X17)+N('MÄRZ'!X17)+N('APRIL'!X17)+N('MAI'!X17)+N('JUNI'!X17)+N('JULI'!X17)+N('AUGUST'!X17)+N('SEPTEMBER'!X17)+N('OKTOBER'!X17)+N('NOVEMBER'!X17)+N('DEZEMBER'!X17))</f>
        <v/>
      </c>
      <c r="H38" s="10">
        <f>IF($A38="","",N('JANUAR'!Y17)+N('FEBRUAR'!Y17)+N('MÄRZ'!Y17)+N('APRIL'!Y17)+N('MAI'!Y17)+N('JUNI'!Y17)+N('JULI'!Y17)+N('AUGUST'!Y17)+N('SEPTEMBER'!Y17)+N('OKTOBER'!Y17)+N('NOVEMBER'!Y17)+N('DEZEMBER'!Y17))</f>
        <v/>
      </c>
      <c r="I38" s="10">
        <f>IF($A38="","",N('JANUAR'!Z17)+N('FEBRUAR'!Z17)+N('MÄRZ'!Z17)+N('APRIL'!Z17)+N('MAI'!Z17)+N('JUNI'!Z17)+N('JULI'!Z17)+N('AUGUST'!Z17)+N('SEPTEMBER'!Z17)+N('OKTOBER'!Z17)+N('NOVEMBER'!Z17)+N('DEZEMBER'!Z17))</f>
        <v/>
      </c>
      <c r="J38" s="10">
        <f>IF($A38="","",N('JANUAR'!AA17)+N('FEBRUAR'!AA17)+N('MÄRZ'!AA17)+N('APRIL'!AA17)+N('MAI'!AA17)+N('JUNI'!AA17)+N('JULI'!AA17)+N('AUGUST'!AA17)+N('SEPTEMBER'!AA17)+N('OKTOBER'!AA17)+N('NOVEMBER'!AA17)+N('DEZEMBER'!AA17))</f>
        <v/>
      </c>
      <c r="K38" s="10">
        <f>IF($A38="","",N('JANUAR'!AB17)+N('FEBRUAR'!AB17)+N('MÄRZ'!AB17)+N('APRIL'!AB17)+N('MAI'!AB17)+N('JUNI'!AB17)+N('JULI'!AB17)+N('AUGUST'!AB17)+N('SEPTEMBER'!AB17)+N('OKTOBER'!AB17)+N('NOVEMBER'!AB17)+N('DEZEMBER'!AB17))</f>
        <v/>
      </c>
      <c r="L38" s="20">
        <f>IF(OR($A38="",$F$57=0),"",F38/$F$57)</f>
        <v/>
      </c>
    </row>
    <row r="39">
      <c r="A39" s="6">
        <f>IF(LISTEN!$A$14="","",LISTEN!$A$14)</f>
        <v/>
      </c>
      <c r="B39" s="9">
        <f>IF($A39="","",N('JANUAR'!S18)+N('FEBRUAR'!S18)+N('MÄRZ'!S18)+N('APRIL'!S18)+N('MAI'!S18)+N('JUNI'!S18)+N('JULI'!S18)+N('AUGUST'!S18)+N('SEPTEMBER'!S18)+N('OKTOBER'!S18)+N('NOVEMBER'!S18)+N('DEZEMBER'!S18))</f>
        <v/>
      </c>
      <c r="C39" s="9">
        <f>IF($A39="","",N('JANUAR'!T18)+N('FEBRUAR'!T18)+N('MÄRZ'!T18)+N('APRIL'!T18)+N('MAI'!T18)+N('JUNI'!T18)+N('JULI'!T18)+N('AUGUST'!T18)+N('SEPTEMBER'!T18)+N('OKTOBER'!T18)+N('NOVEMBER'!T18)+N('DEZEMBER'!T18))</f>
        <v/>
      </c>
      <c r="D39" s="9">
        <f>IF($A39="","",N('JANUAR'!U18)+N('FEBRUAR'!U18)+N('MÄRZ'!U18)+N('APRIL'!U18)+N('MAI'!U18)+N('JUNI'!U18)+N('JULI'!U18)+N('AUGUST'!U18)+N('SEPTEMBER'!U18)+N('OKTOBER'!U18)+N('NOVEMBER'!U18)+N('DEZEMBER'!U18))</f>
        <v/>
      </c>
      <c r="E39" s="9">
        <f>IF($A39="","",N('JANUAR'!V18)+N('FEBRUAR'!V18)+N('MÄRZ'!V18)+N('APRIL'!V18)+N('MAI'!V18)+N('JUNI'!V18)+N('JULI'!V18)+N('AUGUST'!V18)+N('SEPTEMBER'!V18)+N('OKTOBER'!V18)+N('NOVEMBER'!V18)+N('DEZEMBER'!V18))</f>
        <v/>
      </c>
      <c r="F39" s="9">
        <f>IF($A39="","",N('JANUAR'!W18)+N('FEBRUAR'!W18)+N('MÄRZ'!W18)+N('APRIL'!W18)+N('MAI'!W18)+N('JUNI'!W18)+N('JULI'!W18)+N('AUGUST'!W18)+N('SEPTEMBER'!W18)+N('OKTOBER'!W18)+N('NOVEMBER'!W18)+N('DEZEMBER'!W18))</f>
        <v/>
      </c>
      <c r="G39" s="9">
        <f>IF($A39="","",N('JANUAR'!X18)+N('FEBRUAR'!X18)+N('MÄRZ'!X18)+N('APRIL'!X18)+N('MAI'!X18)+N('JUNI'!X18)+N('JULI'!X18)+N('AUGUST'!X18)+N('SEPTEMBER'!X18)+N('OKTOBER'!X18)+N('NOVEMBER'!X18)+N('DEZEMBER'!X18))</f>
        <v/>
      </c>
      <c r="H39" s="9">
        <f>IF($A39="","",N('JANUAR'!Y18)+N('FEBRUAR'!Y18)+N('MÄRZ'!Y18)+N('APRIL'!Y18)+N('MAI'!Y18)+N('JUNI'!Y18)+N('JULI'!Y18)+N('AUGUST'!Y18)+N('SEPTEMBER'!Y18)+N('OKTOBER'!Y18)+N('NOVEMBER'!Y18)+N('DEZEMBER'!Y18))</f>
        <v/>
      </c>
      <c r="I39" s="9">
        <f>IF($A39="","",N('JANUAR'!Z18)+N('FEBRUAR'!Z18)+N('MÄRZ'!Z18)+N('APRIL'!Z18)+N('MAI'!Z18)+N('JUNI'!Z18)+N('JULI'!Z18)+N('AUGUST'!Z18)+N('SEPTEMBER'!Z18)+N('OKTOBER'!Z18)+N('NOVEMBER'!Z18)+N('DEZEMBER'!Z18))</f>
        <v/>
      </c>
      <c r="J39" s="9">
        <f>IF($A39="","",N('JANUAR'!AA18)+N('FEBRUAR'!AA18)+N('MÄRZ'!AA18)+N('APRIL'!AA18)+N('MAI'!AA18)+N('JUNI'!AA18)+N('JULI'!AA18)+N('AUGUST'!AA18)+N('SEPTEMBER'!AA18)+N('OKTOBER'!AA18)+N('NOVEMBER'!AA18)+N('DEZEMBER'!AA18))</f>
        <v/>
      </c>
      <c r="K39" s="9">
        <f>IF($A39="","",N('JANUAR'!AB18)+N('FEBRUAR'!AB18)+N('MÄRZ'!AB18)+N('APRIL'!AB18)+N('MAI'!AB18)+N('JUNI'!AB18)+N('JULI'!AB18)+N('AUGUST'!AB18)+N('SEPTEMBER'!AB18)+N('OKTOBER'!AB18)+N('NOVEMBER'!AB18)+N('DEZEMBER'!AB18))</f>
        <v/>
      </c>
      <c r="L39" s="18">
        <f>IF(OR($A39="",$F$57=0),"",F39/$F$57)</f>
        <v/>
      </c>
    </row>
    <row r="40">
      <c r="A40" s="19">
        <f>IF(LISTEN!$A$15="","",LISTEN!$A$15)</f>
        <v/>
      </c>
      <c r="B40" s="10">
        <f>IF($A40="","",N('JANUAR'!S19)+N('FEBRUAR'!S19)+N('MÄRZ'!S19)+N('APRIL'!S19)+N('MAI'!S19)+N('JUNI'!S19)+N('JULI'!S19)+N('AUGUST'!S19)+N('SEPTEMBER'!S19)+N('OKTOBER'!S19)+N('NOVEMBER'!S19)+N('DEZEMBER'!S19))</f>
        <v/>
      </c>
      <c r="C40" s="10">
        <f>IF($A40="","",N('JANUAR'!T19)+N('FEBRUAR'!T19)+N('MÄRZ'!T19)+N('APRIL'!T19)+N('MAI'!T19)+N('JUNI'!T19)+N('JULI'!T19)+N('AUGUST'!T19)+N('SEPTEMBER'!T19)+N('OKTOBER'!T19)+N('NOVEMBER'!T19)+N('DEZEMBER'!T19))</f>
        <v/>
      </c>
      <c r="D40" s="10">
        <f>IF($A40="","",N('JANUAR'!U19)+N('FEBRUAR'!U19)+N('MÄRZ'!U19)+N('APRIL'!U19)+N('MAI'!U19)+N('JUNI'!U19)+N('JULI'!U19)+N('AUGUST'!U19)+N('SEPTEMBER'!U19)+N('OKTOBER'!U19)+N('NOVEMBER'!U19)+N('DEZEMBER'!U19))</f>
        <v/>
      </c>
      <c r="E40" s="10">
        <f>IF($A40="","",N('JANUAR'!V19)+N('FEBRUAR'!V19)+N('MÄRZ'!V19)+N('APRIL'!V19)+N('MAI'!V19)+N('JUNI'!V19)+N('JULI'!V19)+N('AUGUST'!V19)+N('SEPTEMBER'!V19)+N('OKTOBER'!V19)+N('NOVEMBER'!V19)+N('DEZEMBER'!V19))</f>
        <v/>
      </c>
      <c r="F40" s="10">
        <f>IF($A40="","",N('JANUAR'!W19)+N('FEBRUAR'!W19)+N('MÄRZ'!W19)+N('APRIL'!W19)+N('MAI'!W19)+N('JUNI'!W19)+N('JULI'!W19)+N('AUGUST'!W19)+N('SEPTEMBER'!W19)+N('OKTOBER'!W19)+N('NOVEMBER'!W19)+N('DEZEMBER'!W19))</f>
        <v/>
      </c>
      <c r="G40" s="10">
        <f>IF($A40="","",N('JANUAR'!X19)+N('FEBRUAR'!X19)+N('MÄRZ'!X19)+N('APRIL'!X19)+N('MAI'!X19)+N('JUNI'!X19)+N('JULI'!X19)+N('AUGUST'!X19)+N('SEPTEMBER'!X19)+N('OKTOBER'!X19)+N('NOVEMBER'!X19)+N('DEZEMBER'!X19))</f>
        <v/>
      </c>
      <c r="H40" s="10">
        <f>IF($A40="","",N('JANUAR'!Y19)+N('FEBRUAR'!Y19)+N('MÄRZ'!Y19)+N('APRIL'!Y19)+N('MAI'!Y19)+N('JUNI'!Y19)+N('JULI'!Y19)+N('AUGUST'!Y19)+N('SEPTEMBER'!Y19)+N('OKTOBER'!Y19)+N('NOVEMBER'!Y19)+N('DEZEMBER'!Y19))</f>
        <v/>
      </c>
      <c r="I40" s="10">
        <f>IF($A40="","",N('JANUAR'!Z19)+N('FEBRUAR'!Z19)+N('MÄRZ'!Z19)+N('APRIL'!Z19)+N('MAI'!Z19)+N('JUNI'!Z19)+N('JULI'!Z19)+N('AUGUST'!Z19)+N('SEPTEMBER'!Z19)+N('OKTOBER'!Z19)+N('NOVEMBER'!Z19)+N('DEZEMBER'!Z19))</f>
        <v/>
      </c>
      <c r="J40" s="10">
        <f>IF($A40="","",N('JANUAR'!AA19)+N('FEBRUAR'!AA19)+N('MÄRZ'!AA19)+N('APRIL'!AA19)+N('MAI'!AA19)+N('JUNI'!AA19)+N('JULI'!AA19)+N('AUGUST'!AA19)+N('SEPTEMBER'!AA19)+N('OKTOBER'!AA19)+N('NOVEMBER'!AA19)+N('DEZEMBER'!AA19))</f>
        <v/>
      </c>
      <c r="K40" s="10">
        <f>IF($A40="","",N('JANUAR'!AB19)+N('FEBRUAR'!AB19)+N('MÄRZ'!AB19)+N('APRIL'!AB19)+N('MAI'!AB19)+N('JUNI'!AB19)+N('JULI'!AB19)+N('AUGUST'!AB19)+N('SEPTEMBER'!AB19)+N('OKTOBER'!AB19)+N('NOVEMBER'!AB19)+N('DEZEMBER'!AB19))</f>
        <v/>
      </c>
      <c r="L40" s="20">
        <f>IF(OR($A40="",$F$57=0),"",F40/$F$57)</f>
        <v/>
      </c>
    </row>
    <row r="41">
      <c r="A41" s="6">
        <f>IF(LISTEN!$A$16="","",LISTEN!$A$16)</f>
        <v/>
      </c>
      <c r="B41" s="9">
        <f>IF($A41="","",N('JANUAR'!S20)+N('FEBRUAR'!S20)+N('MÄRZ'!S20)+N('APRIL'!S20)+N('MAI'!S20)+N('JUNI'!S20)+N('JULI'!S20)+N('AUGUST'!S20)+N('SEPTEMBER'!S20)+N('OKTOBER'!S20)+N('NOVEMBER'!S20)+N('DEZEMBER'!S20))</f>
        <v/>
      </c>
      <c r="C41" s="9">
        <f>IF($A41="","",N('JANUAR'!T20)+N('FEBRUAR'!T20)+N('MÄRZ'!T20)+N('APRIL'!T20)+N('MAI'!T20)+N('JUNI'!T20)+N('JULI'!T20)+N('AUGUST'!T20)+N('SEPTEMBER'!T20)+N('OKTOBER'!T20)+N('NOVEMBER'!T20)+N('DEZEMBER'!T20))</f>
        <v/>
      </c>
      <c r="D41" s="9">
        <f>IF($A41="","",N('JANUAR'!U20)+N('FEBRUAR'!U20)+N('MÄRZ'!U20)+N('APRIL'!U20)+N('MAI'!U20)+N('JUNI'!U20)+N('JULI'!U20)+N('AUGUST'!U20)+N('SEPTEMBER'!U20)+N('OKTOBER'!U20)+N('NOVEMBER'!U20)+N('DEZEMBER'!U20))</f>
        <v/>
      </c>
      <c r="E41" s="9">
        <f>IF($A41="","",N('JANUAR'!V20)+N('FEBRUAR'!V20)+N('MÄRZ'!V20)+N('APRIL'!V20)+N('MAI'!V20)+N('JUNI'!V20)+N('JULI'!V20)+N('AUGUST'!V20)+N('SEPTEMBER'!V20)+N('OKTOBER'!V20)+N('NOVEMBER'!V20)+N('DEZEMBER'!V20))</f>
        <v/>
      </c>
      <c r="F41" s="9">
        <f>IF($A41="","",N('JANUAR'!W20)+N('FEBRUAR'!W20)+N('MÄRZ'!W20)+N('APRIL'!W20)+N('MAI'!W20)+N('JUNI'!W20)+N('JULI'!W20)+N('AUGUST'!W20)+N('SEPTEMBER'!W20)+N('OKTOBER'!W20)+N('NOVEMBER'!W20)+N('DEZEMBER'!W20))</f>
        <v/>
      </c>
      <c r="G41" s="9">
        <f>IF($A41="","",N('JANUAR'!X20)+N('FEBRUAR'!X20)+N('MÄRZ'!X20)+N('APRIL'!X20)+N('MAI'!X20)+N('JUNI'!X20)+N('JULI'!X20)+N('AUGUST'!X20)+N('SEPTEMBER'!X20)+N('OKTOBER'!X20)+N('NOVEMBER'!X20)+N('DEZEMBER'!X20))</f>
        <v/>
      </c>
      <c r="H41" s="9">
        <f>IF($A41="","",N('JANUAR'!Y20)+N('FEBRUAR'!Y20)+N('MÄRZ'!Y20)+N('APRIL'!Y20)+N('MAI'!Y20)+N('JUNI'!Y20)+N('JULI'!Y20)+N('AUGUST'!Y20)+N('SEPTEMBER'!Y20)+N('OKTOBER'!Y20)+N('NOVEMBER'!Y20)+N('DEZEMBER'!Y20))</f>
        <v/>
      </c>
      <c r="I41" s="9">
        <f>IF($A41="","",N('JANUAR'!Z20)+N('FEBRUAR'!Z20)+N('MÄRZ'!Z20)+N('APRIL'!Z20)+N('MAI'!Z20)+N('JUNI'!Z20)+N('JULI'!Z20)+N('AUGUST'!Z20)+N('SEPTEMBER'!Z20)+N('OKTOBER'!Z20)+N('NOVEMBER'!Z20)+N('DEZEMBER'!Z20))</f>
        <v/>
      </c>
      <c r="J41" s="9">
        <f>IF($A41="","",N('JANUAR'!AA20)+N('FEBRUAR'!AA20)+N('MÄRZ'!AA20)+N('APRIL'!AA20)+N('MAI'!AA20)+N('JUNI'!AA20)+N('JULI'!AA20)+N('AUGUST'!AA20)+N('SEPTEMBER'!AA20)+N('OKTOBER'!AA20)+N('NOVEMBER'!AA20)+N('DEZEMBER'!AA20))</f>
        <v/>
      </c>
      <c r="K41" s="9">
        <f>IF($A41="","",N('JANUAR'!AB20)+N('FEBRUAR'!AB20)+N('MÄRZ'!AB20)+N('APRIL'!AB20)+N('MAI'!AB20)+N('JUNI'!AB20)+N('JULI'!AB20)+N('AUGUST'!AB20)+N('SEPTEMBER'!AB20)+N('OKTOBER'!AB20)+N('NOVEMBER'!AB20)+N('DEZEMBER'!AB20))</f>
        <v/>
      </c>
      <c r="L41" s="18">
        <f>IF(OR($A41="",$F$57=0),"",F41/$F$57)</f>
        <v/>
      </c>
    </row>
    <row r="42">
      <c r="A42" s="19">
        <f>IF(LISTEN!$A$17="","",LISTEN!$A$17)</f>
        <v/>
      </c>
      <c r="B42" s="10">
        <f>IF($A42="","",N('JANUAR'!S21)+N('FEBRUAR'!S21)+N('MÄRZ'!S21)+N('APRIL'!S21)+N('MAI'!S21)+N('JUNI'!S21)+N('JULI'!S21)+N('AUGUST'!S21)+N('SEPTEMBER'!S21)+N('OKTOBER'!S21)+N('NOVEMBER'!S21)+N('DEZEMBER'!S21))</f>
        <v/>
      </c>
      <c r="C42" s="10">
        <f>IF($A42="","",N('JANUAR'!T21)+N('FEBRUAR'!T21)+N('MÄRZ'!T21)+N('APRIL'!T21)+N('MAI'!T21)+N('JUNI'!T21)+N('JULI'!T21)+N('AUGUST'!T21)+N('SEPTEMBER'!T21)+N('OKTOBER'!T21)+N('NOVEMBER'!T21)+N('DEZEMBER'!T21))</f>
        <v/>
      </c>
      <c r="D42" s="10">
        <f>IF($A42="","",N('JANUAR'!U21)+N('FEBRUAR'!U21)+N('MÄRZ'!U21)+N('APRIL'!U21)+N('MAI'!U21)+N('JUNI'!U21)+N('JULI'!U21)+N('AUGUST'!U21)+N('SEPTEMBER'!U21)+N('OKTOBER'!U21)+N('NOVEMBER'!U21)+N('DEZEMBER'!U21))</f>
        <v/>
      </c>
      <c r="E42" s="10">
        <f>IF($A42="","",N('JANUAR'!V21)+N('FEBRUAR'!V21)+N('MÄRZ'!V21)+N('APRIL'!V21)+N('MAI'!V21)+N('JUNI'!V21)+N('JULI'!V21)+N('AUGUST'!V21)+N('SEPTEMBER'!V21)+N('OKTOBER'!V21)+N('NOVEMBER'!V21)+N('DEZEMBER'!V21))</f>
        <v/>
      </c>
      <c r="F42" s="10">
        <f>IF($A42="","",N('JANUAR'!W21)+N('FEBRUAR'!W21)+N('MÄRZ'!W21)+N('APRIL'!W21)+N('MAI'!W21)+N('JUNI'!W21)+N('JULI'!W21)+N('AUGUST'!W21)+N('SEPTEMBER'!W21)+N('OKTOBER'!W21)+N('NOVEMBER'!W21)+N('DEZEMBER'!W21))</f>
        <v/>
      </c>
      <c r="G42" s="10">
        <f>IF($A42="","",N('JANUAR'!X21)+N('FEBRUAR'!X21)+N('MÄRZ'!X21)+N('APRIL'!X21)+N('MAI'!X21)+N('JUNI'!X21)+N('JULI'!X21)+N('AUGUST'!X21)+N('SEPTEMBER'!X21)+N('OKTOBER'!X21)+N('NOVEMBER'!X21)+N('DEZEMBER'!X21))</f>
        <v/>
      </c>
      <c r="H42" s="10">
        <f>IF($A42="","",N('JANUAR'!Y21)+N('FEBRUAR'!Y21)+N('MÄRZ'!Y21)+N('APRIL'!Y21)+N('MAI'!Y21)+N('JUNI'!Y21)+N('JULI'!Y21)+N('AUGUST'!Y21)+N('SEPTEMBER'!Y21)+N('OKTOBER'!Y21)+N('NOVEMBER'!Y21)+N('DEZEMBER'!Y21))</f>
        <v/>
      </c>
      <c r="I42" s="10">
        <f>IF($A42="","",N('JANUAR'!Z21)+N('FEBRUAR'!Z21)+N('MÄRZ'!Z21)+N('APRIL'!Z21)+N('MAI'!Z21)+N('JUNI'!Z21)+N('JULI'!Z21)+N('AUGUST'!Z21)+N('SEPTEMBER'!Z21)+N('OKTOBER'!Z21)+N('NOVEMBER'!Z21)+N('DEZEMBER'!Z21))</f>
        <v/>
      </c>
      <c r="J42" s="10">
        <f>IF($A42="","",N('JANUAR'!AA21)+N('FEBRUAR'!AA21)+N('MÄRZ'!AA21)+N('APRIL'!AA21)+N('MAI'!AA21)+N('JUNI'!AA21)+N('JULI'!AA21)+N('AUGUST'!AA21)+N('SEPTEMBER'!AA21)+N('OKTOBER'!AA21)+N('NOVEMBER'!AA21)+N('DEZEMBER'!AA21))</f>
        <v/>
      </c>
      <c r="K42" s="10">
        <f>IF($A42="","",N('JANUAR'!AB21)+N('FEBRUAR'!AB21)+N('MÄRZ'!AB21)+N('APRIL'!AB21)+N('MAI'!AB21)+N('JUNI'!AB21)+N('JULI'!AB21)+N('AUGUST'!AB21)+N('SEPTEMBER'!AB21)+N('OKTOBER'!AB21)+N('NOVEMBER'!AB21)+N('DEZEMBER'!AB21))</f>
        <v/>
      </c>
      <c r="L42" s="20">
        <f>IF(OR($A42="",$F$57=0),"",F42/$F$57)</f>
        <v/>
      </c>
    </row>
    <row r="43">
      <c r="A43" s="6">
        <f>IF(LISTEN!$A$18="","",LISTEN!$A$18)</f>
        <v/>
      </c>
      <c r="B43" s="9">
        <f>IF($A43="","",N('JANUAR'!S22)+N('FEBRUAR'!S22)+N('MÄRZ'!S22)+N('APRIL'!S22)+N('MAI'!S22)+N('JUNI'!S22)+N('JULI'!S22)+N('AUGUST'!S22)+N('SEPTEMBER'!S22)+N('OKTOBER'!S22)+N('NOVEMBER'!S22)+N('DEZEMBER'!S22))</f>
        <v/>
      </c>
      <c r="C43" s="9">
        <f>IF($A43="","",N('JANUAR'!T22)+N('FEBRUAR'!T22)+N('MÄRZ'!T22)+N('APRIL'!T22)+N('MAI'!T22)+N('JUNI'!T22)+N('JULI'!T22)+N('AUGUST'!T22)+N('SEPTEMBER'!T22)+N('OKTOBER'!T22)+N('NOVEMBER'!T22)+N('DEZEMBER'!T22))</f>
        <v/>
      </c>
      <c r="D43" s="9">
        <f>IF($A43="","",N('JANUAR'!U22)+N('FEBRUAR'!U22)+N('MÄRZ'!U22)+N('APRIL'!U22)+N('MAI'!U22)+N('JUNI'!U22)+N('JULI'!U22)+N('AUGUST'!U22)+N('SEPTEMBER'!U22)+N('OKTOBER'!U22)+N('NOVEMBER'!U22)+N('DEZEMBER'!U22))</f>
        <v/>
      </c>
      <c r="E43" s="9">
        <f>IF($A43="","",N('JANUAR'!V22)+N('FEBRUAR'!V22)+N('MÄRZ'!V22)+N('APRIL'!V22)+N('MAI'!V22)+N('JUNI'!V22)+N('JULI'!V22)+N('AUGUST'!V22)+N('SEPTEMBER'!V22)+N('OKTOBER'!V22)+N('NOVEMBER'!V22)+N('DEZEMBER'!V22))</f>
        <v/>
      </c>
      <c r="F43" s="9">
        <f>IF($A43="","",N('JANUAR'!W22)+N('FEBRUAR'!W22)+N('MÄRZ'!W22)+N('APRIL'!W22)+N('MAI'!W22)+N('JUNI'!W22)+N('JULI'!W22)+N('AUGUST'!W22)+N('SEPTEMBER'!W22)+N('OKTOBER'!W22)+N('NOVEMBER'!W22)+N('DEZEMBER'!W22))</f>
        <v/>
      </c>
      <c r="G43" s="9">
        <f>IF($A43="","",N('JANUAR'!X22)+N('FEBRUAR'!X22)+N('MÄRZ'!X22)+N('APRIL'!X22)+N('MAI'!X22)+N('JUNI'!X22)+N('JULI'!X22)+N('AUGUST'!X22)+N('SEPTEMBER'!X22)+N('OKTOBER'!X22)+N('NOVEMBER'!X22)+N('DEZEMBER'!X22))</f>
        <v/>
      </c>
      <c r="H43" s="9">
        <f>IF($A43="","",N('JANUAR'!Y22)+N('FEBRUAR'!Y22)+N('MÄRZ'!Y22)+N('APRIL'!Y22)+N('MAI'!Y22)+N('JUNI'!Y22)+N('JULI'!Y22)+N('AUGUST'!Y22)+N('SEPTEMBER'!Y22)+N('OKTOBER'!Y22)+N('NOVEMBER'!Y22)+N('DEZEMBER'!Y22))</f>
        <v/>
      </c>
      <c r="I43" s="9">
        <f>IF($A43="","",N('JANUAR'!Z22)+N('FEBRUAR'!Z22)+N('MÄRZ'!Z22)+N('APRIL'!Z22)+N('MAI'!Z22)+N('JUNI'!Z22)+N('JULI'!Z22)+N('AUGUST'!Z22)+N('SEPTEMBER'!Z22)+N('OKTOBER'!Z22)+N('NOVEMBER'!Z22)+N('DEZEMBER'!Z22))</f>
        <v/>
      </c>
      <c r="J43" s="9">
        <f>IF($A43="","",N('JANUAR'!AA22)+N('FEBRUAR'!AA22)+N('MÄRZ'!AA22)+N('APRIL'!AA22)+N('MAI'!AA22)+N('JUNI'!AA22)+N('JULI'!AA22)+N('AUGUST'!AA22)+N('SEPTEMBER'!AA22)+N('OKTOBER'!AA22)+N('NOVEMBER'!AA22)+N('DEZEMBER'!AA22))</f>
        <v/>
      </c>
      <c r="K43" s="9">
        <f>IF($A43="","",N('JANUAR'!AB22)+N('FEBRUAR'!AB22)+N('MÄRZ'!AB22)+N('APRIL'!AB22)+N('MAI'!AB22)+N('JUNI'!AB22)+N('JULI'!AB22)+N('AUGUST'!AB22)+N('SEPTEMBER'!AB22)+N('OKTOBER'!AB22)+N('NOVEMBER'!AB22)+N('DEZEMBER'!AB22))</f>
        <v/>
      </c>
      <c r="L43" s="18">
        <f>IF(OR($A43="",$F$57=0),"",F43/$F$57)</f>
        <v/>
      </c>
    </row>
    <row r="44">
      <c r="A44" s="19">
        <f>IF(LISTEN!$A$19="","",LISTEN!$A$19)</f>
        <v/>
      </c>
      <c r="B44" s="10">
        <f>IF($A44="","",N('JANUAR'!S23)+N('FEBRUAR'!S23)+N('MÄRZ'!S23)+N('APRIL'!S23)+N('MAI'!S23)+N('JUNI'!S23)+N('JULI'!S23)+N('AUGUST'!S23)+N('SEPTEMBER'!S23)+N('OKTOBER'!S23)+N('NOVEMBER'!S23)+N('DEZEMBER'!S23))</f>
        <v/>
      </c>
      <c r="C44" s="10">
        <f>IF($A44="","",N('JANUAR'!T23)+N('FEBRUAR'!T23)+N('MÄRZ'!T23)+N('APRIL'!T23)+N('MAI'!T23)+N('JUNI'!T23)+N('JULI'!T23)+N('AUGUST'!T23)+N('SEPTEMBER'!T23)+N('OKTOBER'!T23)+N('NOVEMBER'!T23)+N('DEZEMBER'!T23))</f>
        <v/>
      </c>
      <c r="D44" s="10">
        <f>IF($A44="","",N('JANUAR'!U23)+N('FEBRUAR'!U23)+N('MÄRZ'!U23)+N('APRIL'!U23)+N('MAI'!U23)+N('JUNI'!U23)+N('JULI'!U23)+N('AUGUST'!U23)+N('SEPTEMBER'!U23)+N('OKTOBER'!U23)+N('NOVEMBER'!U23)+N('DEZEMBER'!U23))</f>
        <v/>
      </c>
      <c r="E44" s="10">
        <f>IF($A44="","",N('JANUAR'!V23)+N('FEBRUAR'!V23)+N('MÄRZ'!V23)+N('APRIL'!V23)+N('MAI'!V23)+N('JUNI'!V23)+N('JULI'!V23)+N('AUGUST'!V23)+N('SEPTEMBER'!V23)+N('OKTOBER'!V23)+N('NOVEMBER'!V23)+N('DEZEMBER'!V23))</f>
        <v/>
      </c>
      <c r="F44" s="10">
        <f>IF($A44="","",N('JANUAR'!W23)+N('FEBRUAR'!W23)+N('MÄRZ'!W23)+N('APRIL'!W23)+N('MAI'!W23)+N('JUNI'!W23)+N('JULI'!W23)+N('AUGUST'!W23)+N('SEPTEMBER'!W23)+N('OKTOBER'!W23)+N('NOVEMBER'!W23)+N('DEZEMBER'!W23))</f>
        <v/>
      </c>
      <c r="G44" s="10">
        <f>IF($A44="","",N('JANUAR'!X23)+N('FEBRUAR'!X23)+N('MÄRZ'!X23)+N('APRIL'!X23)+N('MAI'!X23)+N('JUNI'!X23)+N('JULI'!X23)+N('AUGUST'!X23)+N('SEPTEMBER'!X23)+N('OKTOBER'!X23)+N('NOVEMBER'!X23)+N('DEZEMBER'!X23))</f>
        <v/>
      </c>
      <c r="H44" s="10">
        <f>IF($A44="","",N('JANUAR'!Y23)+N('FEBRUAR'!Y23)+N('MÄRZ'!Y23)+N('APRIL'!Y23)+N('MAI'!Y23)+N('JUNI'!Y23)+N('JULI'!Y23)+N('AUGUST'!Y23)+N('SEPTEMBER'!Y23)+N('OKTOBER'!Y23)+N('NOVEMBER'!Y23)+N('DEZEMBER'!Y23))</f>
        <v/>
      </c>
      <c r="I44" s="10">
        <f>IF($A44="","",N('JANUAR'!Z23)+N('FEBRUAR'!Z23)+N('MÄRZ'!Z23)+N('APRIL'!Z23)+N('MAI'!Z23)+N('JUNI'!Z23)+N('JULI'!Z23)+N('AUGUST'!Z23)+N('SEPTEMBER'!Z23)+N('OKTOBER'!Z23)+N('NOVEMBER'!Z23)+N('DEZEMBER'!Z23))</f>
        <v/>
      </c>
      <c r="J44" s="10">
        <f>IF($A44="","",N('JANUAR'!AA23)+N('FEBRUAR'!AA23)+N('MÄRZ'!AA23)+N('APRIL'!AA23)+N('MAI'!AA23)+N('JUNI'!AA23)+N('JULI'!AA23)+N('AUGUST'!AA23)+N('SEPTEMBER'!AA23)+N('OKTOBER'!AA23)+N('NOVEMBER'!AA23)+N('DEZEMBER'!AA23))</f>
        <v/>
      </c>
      <c r="K44" s="10">
        <f>IF($A44="","",N('JANUAR'!AB23)+N('FEBRUAR'!AB23)+N('MÄRZ'!AB23)+N('APRIL'!AB23)+N('MAI'!AB23)+N('JUNI'!AB23)+N('JULI'!AB23)+N('AUGUST'!AB23)+N('SEPTEMBER'!AB23)+N('OKTOBER'!AB23)+N('NOVEMBER'!AB23)+N('DEZEMBER'!AB23))</f>
        <v/>
      </c>
      <c r="L44" s="20">
        <f>IF(OR($A44="",$F$57=0),"",F44/$F$57)</f>
        <v/>
      </c>
    </row>
    <row r="45">
      <c r="A45" s="6">
        <f>IF(LISTEN!$A$20="","",LISTEN!$A$20)</f>
        <v/>
      </c>
      <c r="B45" s="9">
        <f>IF($A45="","",N('JANUAR'!S24)+N('FEBRUAR'!S24)+N('MÄRZ'!S24)+N('APRIL'!S24)+N('MAI'!S24)+N('JUNI'!S24)+N('JULI'!S24)+N('AUGUST'!S24)+N('SEPTEMBER'!S24)+N('OKTOBER'!S24)+N('NOVEMBER'!S24)+N('DEZEMBER'!S24))</f>
        <v/>
      </c>
      <c r="C45" s="9">
        <f>IF($A45="","",N('JANUAR'!T24)+N('FEBRUAR'!T24)+N('MÄRZ'!T24)+N('APRIL'!T24)+N('MAI'!T24)+N('JUNI'!T24)+N('JULI'!T24)+N('AUGUST'!T24)+N('SEPTEMBER'!T24)+N('OKTOBER'!T24)+N('NOVEMBER'!T24)+N('DEZEMBER'!T24))</f>
        <v/>
      </c>
      <c r="D45" s="9">
        <f>IF($A45="","",N('JANUAR'!U24)+N('FEBRUAR'!U24)+N('MÄRZ'!U24)+N('APRIL'!U24)+N('MAI'!U24)+N('JUNI'!U24)+N('JULI'!U24)+N('AUGUST'!U24)+N('SEPTEMBER'!U24)+N('OKTOBER'!U24)+N('NOVEMBER'!U24)+N('DEZEMBER'!U24))</f>
        <v/>
      </c>
      <c r="E45" s="9">
        <f>IF($A45="","",N('JANUAR'!V24)+N('FEBRUAR'!V24)+N('MÄRZ'!V24)+N('APRIL'!V24)+N('MAI'!V24)+N('JUNI'!V24)+N('JULI'!V24)+N('AUGUST'!V24)+N('SEPTEMBER'!V24)+N('OKTOBER'!V24)+N('NOVEMBER'!V24)+N('DEZEMBER'!V24))</f>
        <v/>
      </c>
      <c r="F45" s="9">
        <f>IF($A45="","",N('JANUAR'!W24)+N('FEBRUAR'!W24)+N('MÄRZ'!W24)+N('APRIL'!W24)+N('MAI'!W24)+N('JUNI'!W24)+N('JULI'!W24)+N('AUGUST'!W24)+N('SEPTEMBER'!W24)+N('OKTOBER'!W24)+N('NOVEMBER'!W24)+N('DEZEMBER'!W24))</f>
        <v/>
      </c>
      <c r="G45" s="9">
        <f>IF($A45="","",N('JANUAR'!X24)+N('FEBRUAR'!X24)+N('MÄRZ'!X24)+N('APRIL'!X24)+N('MAI'!X24)+N('JUNI'!X24)+N('JULI'!X24)+N('AUGUST'!X24)+N('SEPTEMBER'!X24)+N('OKTOBER'!X24)+N('NOVEMBER'!X24)+N('DEZEMBER'!X24))</f>
        <v/>
      </c>
      <c r="H45" s="9">
        <f>IF($A45="","",N('JANUAR'!Y24)+N('FEBRUAR'!Y24)+N('MÄRZ'!Y24)+N('APRIL'!Y24)+N('MAI'!Y24)+N('JUNI'!Y24)+N('JULI'!Y24)+N('AUGUST'!Y24)+N('SEPTEMBER'!Y24)+N('OKTOBER'!Y24)+N('NOVEMBER'!Y24)+N('DEZEMBER'!Y24))</f>
        <v/>
      </c>
      <c r="I45" s="9">
        <f>IF($A45="","",N('JANUAR'!Z24)+N('FEBRUAR'!Z24)+N('MÄRZ'!Z24)+N('APRIL'!Z24)+N('MAI'!Z24)+N('JUNI'!Z24)+N('JULI'!Z24)+N('AUGUST'!Z24)+N('SEPTEMBER'!Z24)+N('OKTOBER'!Z24)+N('NOVEMBER'!Z24)+N('DEZEMBER'!Z24))</f>
        <v/>
      </c>
      <c r="J45" s="9">
        <f>IF($A45="","",N('JANUAR'!AA24)+N('FEBRUAR'!AA24)+N('MÄRZ'!AA24)+N('APRIL'!AA24)+N('MAI'!AA24)+N('JUNI'!AA24)+N('JULI'!AA24)+N('AUGUST'!AA24)+N('SEPTEMBER'!AA24)+N('OKTOBER'!AA24)+N('NOVEMBER'!AA24)+N('DEZEMBER'!AA24))</f>
        <v/>
      </c>
      <c r="K45" s="9">
        <f>IF($A45="","",N('JANUAR'!AB24)+N('FEBRUAR'!AB24)+N('MÄRZ'!AB24)+N('APRIL'!AB24)+N('MAI'!AB24)+N('JUNI'!AB24)+N('JULI'!AB24)+N('AUGUST'!AB24)+N('SEPTEMBER'!AB24)+N('OKTOBER'!AB24)+N('NOVEMBER'!AB24)+N('DEZEMBER'!AB24))</f>
        <v/>
      </c>
      <c r="L45" s="18">
        <f>IF(OR($A45="",$F$57=0),"",F45/$F$57)</f>
        <v/>
      </c>
    </row>
    <row r="46">
      <c r="A46" s="19">
        <f>IF(LISTEN!$A$21="","",LISTEN!$A$21)</f>
        <v/>
      </c>
      <c r="B46" s="10">
        <f>IF($A46="","",N('JANUAR'!S25)+N('FEBRUAR'!S25)+N('MÄRZ'!S25)+N('APRIL'!S25)+N('MAI'!S25)+N('JUNI'!S25)+N('JULI'!S25)+N('AUGUST'!S25)+N('SEPTEMBER'!S25)+N('OKTOBER'!S25)+N('NOVEMBER'!S25)+N('DEZEMBER'!S25))</f>
        <v/>
      </c>
      <c r="C46" s="10">
        <f>IF($A46="","",N('JANUAR'!T25)+N('FEBRUAR'!T25)+N('MÄRZ'!T25)+N('APRIL'!T25)+N('MAI'!T25)+N('JUNI'!T25)+N('JULI'!T25)+N('AUGUST'!T25)+N('SEPTEMBER'!T25)+N('OKTOBER'!T25)+N('NOVEMBER'!T25)+N('DEZEMBER'!T25))</f>
        <v/>
      </c>
      <c r="D46" s="10">
        <f>IF($A46="","",N('JANUAR'!U25)+N('FEBRUAR'!U25)+N('MÄRZ'!U25)+N('APRIL'!U25)+N('MAI'!U25)+N('JUNI'!U25)+N('JULI'!U25)+N('AUGUST'!U25)+N('SEPTEMBER'!U25)+N('OKTOBER'!U25)+N('NOVEMBER'!U25)+N('DEZEMBER'!U25))</f>
        <v/>
      </c>
      <c r="E46" s="10">
        <f>IF($A46="","",N('JANUAR'!V25)+N('FEBRUAR'!V25)+N('MÄRZ'!V25)+N('APRIL'!V25)+N('MAI'!V25)+N('JUNI'!V25)+N('JULI'!V25)+N('AUGUST'!V25)+N('SEPTEMBER'!V25)+N('OKTOBER'!V25)+N('NOVEMBER'!V25)+N('DEZEMBER'!V25))</f>
        <v/>
      </c>
      <c r="F46" s="10">
        <f>IF($A46="","",N('JANUAR'!W25)+N('FEBRUAR'!W25)+N('MÄRZ'!W25)+N('APRIL'!W25)+N('MAI'!W25)+N('JUNI'!W25)+N('JULI'!W25)+N('AUGUST'!W25)+N('SEPTEMBER'!W25)+N('OKTOBER'!W25)+N('NOVEMBER'!W25)+N('DEZEMBER'!W25))</f>
        <v/>
      </c>
      <c r="G46" s="10">
        <f>IF($A46="","",N('JANUAR'!X25)+N('FEBRUAR'!X25)+N('MÄRZ'!X25)+N('APRIL'!X25)+N('MAI'!X25)+N('JUNI'!X25)+N('JULI'!X25)+N('AUGUST'!X25)+N('SEPTEMBER'!X25)+N('OKTOBER'!X25)+N('NOVEMBER'!X25)+N('DEZEMBER'!X25))</f>
        <v/>
      </c>
      <c r="H46" s="10">
        <f>IF($A46="","",N('JANUAR'!Y25)+N('FEBRUAR'!Y25)+N('MÄRZ'!Y25)+N('APRIL'!Y25)+N('MAI'!Y25)+N('JUNI'!Y25)+N('JULI'!Y25)+N('AUGUST'!Y25)+N('SEPTEMBER'!Y25)+N('OKTOBER'!Y25)+N('NOVEMBER'!Y25)+N('DEZEMBER'!Y25))</f>
        <v/>
      </c>
      <c r="I46" s="10">
        <f>IF($A46="","",N('JANUAR'!Z25)+N('FEBRUAR'!Z25)+N('MÄRZ'!Z25)+N('APRIL'!Z25)+N('MAI'!Z25)+N('JUNI'!Z25)+N('JULI'!Z25)+N('AUGUST'!Z25)+N('SEPTEMBER'!Z25)+N('OKTOBER'!Z25)+N('NOVEMBER'!Z25)+N('DEZEMBER'!Z25))</f>
        <v/>
      </c>
      <c r="J46" s="10">
        <f>IF($A46="","",N('JANUAR'!AA25)+N('FEBRUAR'!AA25)+N('MÄRZ'!AA25)+N('APRIL'!AA25)+N('MAI'!AA25)+N('JUNI'!AA25)+N('JULI'!AA25)+N('AUGUST'!AA25)+N('SEPTEMBER'!AA25)+N('OKTOBER'!AA25)+N('NOVEMBER'!AA25)+N('DEZEMBER'!AA25))</f>
        <v/>
      </c>
      <c r="K46" s="10">
        <f>IF($A46="","",N('JANUAR'!AB25)+N('FEBRUAR'!AB25)+N('MÄRZ'!AB25)+N('APRIL'!AB25)+N('MAI'!AB25)+N('JUNI'!AB25)+N('JULI'!AB25)+N('AUGUST'!AB25)+N('SEPTEMBER'!AB25)+N('OKTOBER'!AB25)+N('NOVEMBER'!AB25)+N('DEZEMBER'!AB25))</f>
        <v/>
      </c>
      <c r="L46" s="20">
        <f>IF(OR($A46="",$F$57=0),"",F46/$F$57)</f>
        <v/>
      </c>
    </row>
    <row r="47">
      <c r="A47" s="6">
        <f>IF(LISTEN!$A$22="","",LISTEN!$A$22)</f>
        <v/>
      </c>
      <c r="B47" s="9">
        <f>IF($A47="","",N('JANUAR'!S26)+N('FEBRUAR'!S26)+N('MÄRZ'!S26)+N('APRIL'!S26)+N('MAI'!S26)+N('JUNI'!S26)+N('JULI'!S26)+N('AUGUST'!S26)+N('SEPTEMBER'!S26)+N('OKTOBER'!S26)+N('NOVEMBER'!S26)+N('DEZEMBER'!S26))</f>
        <v/>
      </c>
      <c r="C47" s="9">
        <f>IF($A47="","",N('JANUAR'!T26)+N('FEBRUAR'!T26)+N('MÄRZ'!T26)+N('APRIL'!T26)+N('MAI'!T26)+N('JUNI'!T26)+N('JULI'!T26)+N('AUGUST'!T26)+N('SEPTEMBER'!T26)+N('OKTOBER'!T26)+N('NOVEMBER'!T26)+N('DEZEMBER'!T26))</f>
        <v/>
      </c>
      <c r="D47" s="9">
        <f>IF($A47="","",N('JANUAR'!U26)+N('FEBRUAR'!U26)+N('MÄRZ'!U26)+N('APRIL'!U26)+N('MAI'!U26)+N('JUNI'!U26)+N('JULI'!U26)+N('AUGUST'!U26)+N('SEPTEMBER'!U26)+N('OKTOBER'!U26)+N('NOVEMBER'!U26)+N('DEZEMBER'!U26))</f>
        <v/>
      </c>
      <c r="E47" s="9">
        <f>IF($A47="","",N('JANUAR'!V26)+N('FEBRUAR'!V26)+N('MÄRZ'!V26)+N('APRIL'!V26)+N('MAI'!V26)+N('JUNI'!V26)+N('JULI'!V26)+N('AUGUST'!V26)+N('SEPTEMBER'!V26)+N('OKTOBER'!V26)+N('NOVEMBER'!V26)+N('DEZEMBER'!V26))</f>
        <v/>
      </c>
      <c r="F47" s="9">
        <f>IF($A47="","",N('JANUAR'!W26)+N('FEBRUAR'!W26)+N('MÄRZ'!W26)+N('APRIL'!W26)+N('MAI'!W26)+N('JUNI'!W26)+N('JULI'!W26)+N('AUGUST'!W26)+N('SEPTEMBER'!W26)+N('OKTOBER'!W26)+N('NOVEMBER'!W26)+N('DEZEMBER'!W26))</f>
        <v/>
      </c>
      <c r="G47" s="9">
        <f>IF($A47="","",N('JANUAR'!X26)+N('FEBRUAR'!X26)+N('MÄRZ'!X26)+N('APRIL'!X26)+N('MAI'!X26)+N('JUNI'!X26)+N('JULI'!X26)+N('AUGUST'!X26)+N('SEPTEMBER'!X26)+N('OKTOBER'!X26)+N('NOVEMBER'!X26)+N('DEZEMBER'!X26))</f>
        <v/>
      </c>
      <c r="H47" s="9">
        <f>IF($A47="","",N('JANUAR'!Y26)+N('FEBRUAR'!Y26)+N('MÄRZ'!Y26)+N('APRIL'!Y26)+N('MAI'!Y26)+N('JUNI'!Y26)+N('JULI'!Y26)+N('AUGUST'!Y26)+N('SEPTEMBER'!Y26)+N('OKTOBER'!Y26)+N('NOVEMBER'!Y26)+N('DEZEMBER'!Y26))</f>
        <v/>
      </c>
      <c r="I47" s="9">
        <f>IF($A47="","",N('JANUAR'!Z26)+N('FEBRUAR'!Z26)+N('MÄRZ'!Z26)+N('APRIL'!Z26)+N('MAI'!Z26)+N('JUNI'!Z26)+N('JULI'!Z26)+N('AUGUST'!Z26)+N('SEPTEMBER'!Z26)+N('OKTOBER'!Z26)+N('NOVEMBER'!Z26)+N('DEZEMBER'!Z26))</f>
        <v/>
      </c>
      <c r="J47" s="9">
        <f>IF($A47="","",N('JANUAR'!AA26)+N('FEBRUAR'!AA26)+N('MÄRZ'!AA26)+N('APRIL'!AA26)+N('MAI'!AA26)+N('JUNI'!AA26)+N('JULI'!AA26)+N('AUGUST'!AA26)+N('SEPTEMBER'!AA26)+N('OKTOBER'!AA26)+N('NOVEMBER'!AA26)+N('DEZEMBER'!AA26))</f>
        <v/>
      </c>
      <c r="K47" s="9">
        <f>IF($A47="","",N('JANUAR'!AB26)+N('FEBRUAR'!AB26)+N('MÄRZ'!AB26)+N('APRIL'!AB26)+N('MAI'!AB26)+N('JUNI'!AB26)+N('JULI'!AB26)+N('AUGUST'!AB26)+N('SEPTEMBER'!AB26)+N('OKTOBER'!AB26)+N('NOVEMBER'!AB26)+N('DEZEMBER'!AB26))</f>
        <v/>
      </c>
      <c r="L47" s="18">
        <f>IF(OR($A47="",$F$57=0),"",F47/$F$57)</f>
        <v/>
      </c>
    </row>
    <row r="48">
      <c r="A48" s="19">
        <f>IF(LISTEN!$A$23="","",LISTEN!$A$23)</f>
        <v/>
      </c>
      <c r="B48" s="10">
        <f>IF($A48="","",N('JANUAR'!S27)+N('FEBRUAR'!S27)+N('MÄRZ'!S27)+N('APRIL'!S27)+N('MAI'!S27)+N('JUNI'!S27)+N('JULI'!S27)+N('AUGUST'!S27)+N('SEPTEMBER'!S27)+N('OKTOBER'!S27)+N('NOVEMBER'!S27)+N('DEZEMBER'!S27))</f>
        <v/>
      </c>
      <c r="C48" s="10">
        <f>IF($A48="","",N('JANUAR'!T27)+N('FEBRUAR'!T27)+N('MÄRZ'!T27)+N('APRIL'!T27)+N('MAI'!T27)+N('JUNI'!T27)+N('JULI'!T27)+N('AUGUST'!T27)+N('SEPTEMBER'!T27)+N('OKTOBER'!T27)+N('NOVEMBER'!T27)+N('DEZEMBER'!T27))</f>
        <v/>
      </c>
      <c r="D48" s="10">
        <f>IF($A48="","",N('JANUAR'!U27)+N('FEBRUAR'!U27)+N('MÄRZ'!U27)+N('APRIL'!U27)+N('MAI'!U27)+N('JUNI'!U27)+N('JULI'!U27)+N('AUGUST'!U27)+N('SEPTEMBER'!U27)+N('OKTOBER'!U27)+N('NOVEMBER'!U27)+N('DEZEMBER'!U27))</f>
        <v/>
      </c>
      <c r="E48" s="10">
        <f>IF($A48="","",N('JANUAR'!V27)+N('FEBRUAR'!V27)+N('MÄRZ'!V27)+N('APRIL'!V27)+N('MAI'!V27)+N('JUNI'!V27)+N('JULI'!V27)+N('AUGUST'!V27)+N('SEPTEMBER'!V27)+N('OKTOBER'!V27)+N('NOVEMBER'!V27)+N('DEZEMBER'!V27))</f>
        <v/>
      </c>
      <c r="F48" s="10">
        <f>IF($A48="","",N('JANUAR'!W27)+N('FEBRUAR'!W27)+N('MÄRZ'!W27)+N('APRIL'!W27)+N('MAI'!W27)+N('JUNI'!W27)+N('JULI'!W27)+N('AUGUST'!W27)+N('SEPTEMBER'!W27)+N('OKTOBER'!W27)+N('NOVEMBER'!W27)+N('DEZEMBER'!W27))</f>
        <v/>
      </c>
      <c r="G48" s="10">
        <f>IF($A48="","",N('JANUAR'!X27)+N('FEBRUAR'!X27)+N('MÄRZ'!X27)+N('APRIL'!X27)+N('MAI'!X27)+N('JUNI'!X27)+N('JULI'!X27)+N('AUGUST'!X27)+N('SEPTEMBER'!X27)+N('OKTOBER'!X27)+N('NOVEMBER'!X27)+N('DEZEMBER'!X27))</f>
        <v/>
      </c>
      <c r="H48" s="10">
        <f>IF($A48="","",N('JANUAR'!Y27)+N('FEBRUAR'!Y27)+N('MÄRZ'!Y27)+N('APRIL'!Y27)+N('MAI'!Y27)+N('JUNI'!Y27)+N('JULI'!Y27)+N('AUGUST'!Y27)+N('SEPTEMBER'!Y27)+N('OKTOBER'!Y27)+N('NOVEMBER'!Y27)+N('DEZEMBER'!Y27))</f>
        <v/>
      </c>
      <c r="I48" s="10">
        <f>IF($A48="","",N('JANUAR'!Z27)+N('FEBRUAR'!Z27)+N('MÄRZ'!Z27)+N('APRIL'!Z27)+N('MAI'!Z27)+N('JUNI'!Z27)+N('JULI'!Z27)+N('AUGUST'!Z27)+N('SEPTEMBER'!Z27)+N('OKTOBER'!Z27)+N('NOVEMBER'!Z27)+N('DEZEMBER'!Z27))</f>
        <v/>
      </c>
      <c r="J48" s="10">
        <f>IF($A48="","",N('JANUAR'!AA27)+N('FEBRUAR'!AA27)+N('MÄRZ'!AA27)+N('APRIL'!AA27)+N('MAI'!AA27)+N('JUNI'!AA27)+N('JULI'!AA27)+N('AUGUST'!AA27)+N('SEPTEMBER'!AA27)+N('OKTOBER'!AA27)+N('NOVEMBER'!AA27)+N('DEZEMBER'!AA27))</f>
        <v/>
      </c>
      <c r="K48" s="10">
        <f>IF($A48="","",N('JANUAR'!AB27)+N('FEBRUAR'!AB27)+N('MÄRZ'!AB27)+N('APRIL'!AB27)+N('MAI'!AB27)+N('JUNI'!AB27)+N('JULI'!AB27)+N('AUGUST'!AB27)+N('SEPTEMBER'!AB27)+N('OKTOBER'!AB27)+N('NOVEMBER'!AB27)+N('DEZEMBER'!AB27))</f>
        <v/>
      </c>
      <c r="L48" s="20">
        <f>IF(OR($A48="",$F$57=0),"",F48/$F$57)</f>
        <v/>
      </c>
    </row>
    <row r="49">
      <c r="A49" s="6">
        <f>IF(LISTEN!$A$24="","",LISTEN!$A$24)</f>
        <v/>
      </c>
      <c r="B49" s="9">
        <f>IF($A49="","",N('JANUAR'!S28)+N('FEBRUAR'!S28)+N('MÄRZ'!S28)+N('APRIL'!S28)+N('MAI'!S28)+N('JUNI'!S28)+N('JULI'!S28)+N('AUGUST'!S28)+N('SEPTEMBER'!S28)+N('OKTOBER'!S28)+N('NOVEMBER'!S28)+N('DEZEMBER'!S28))</f>
        <v/>
      </c>
      <c r="C49" s="9">
        <f>IF($A49="","",N('JANUAR'!T28)+N('FEBRUAR'!T28)+N('MÄRZ'!T28)+N('APRIL'!T28)+N('MAI'!T28)+N('JUNI'!T28)+N('JULI'!T28)+N('AUGUST'!T28)+N('SEPTEMBER'!T28)+N('OKTOBER'!T28)+N('NOVEMBER'!T28)+N('DEZEMBER'!T28))</f>
        <v/>
      </c>
      <c r="D49" s="9">
        <f>IF($A49="","",N('JANUAR'!U28)+N('FEBRUAR'!U28)+N('MÄRZ'!U28)+N('APRIL'!U28)+N('MAI'!U28)+N('JUNI'!U28)+N('JULI'!U28)+N('AUGUST'!U28)+N('SEPTEMBER'!U28)+N('OKTOBER'!U28)+N('NOVEMBER'!U28)+N('DEZEMBER'!U28))</f>
        <v/>
      </c>
      <c r="E49" s="9">
        <f>IF($A49="","",N('JANUAR'!V28)+N('FEBRUAR'!V28)+N('MÄRZ'!V28)+N('APRIL'!V28)+N('MAI'!V28)+N('JUNI'!V28)+N('JULI'!V28)+N('AUGUST'!V28)+N('SEPTEMBER'!V28)+N('OKTOBER'!V28)+N('NOVEMBER'!V28)+N('DEZEMBER'!V28))</f>
        <v/>
      </c>
      <c r="F49" s="9">
        <f>IF($A49="","",N('JANUAR'!W28)+N('FEBRUAR'!W28)+N('MÄRZ'!W28)+N('APRIL'!W28)+N('MAI'!W28)+N('JUNI'!W28)+N('JULI'!W28)+N('AUGUST'!W28)+N('SEPTEMBER'!W28)+N('OKTOBER'!W28)+N('NOVEMBER'!W28)+N('DEZEMBER'!W28))</f>
        <v/>
      </c>
      <c r="G49" s="9">
        <f>IF($A49="","",N('JANUAR'!X28)+N('FEBRUAR'!X28)+N('MÄRZ'!X28)+N('APRIL'!X28)+N('MAI'!X28)+N('JUNI'!X28)+N('JULI'!X28)+N('AUGUST'!X28)+N('SEPTEMBER'!X28)+N('OKTOBER'!X28)+N('NOVEMBER'!X28)+N('DEZEMBER'!X28))</f>
        <v/>
      </c>
      <c r="H49" s="9">
        <f>IF($A49="","",N('JANUAR'!Y28)+N('FEBRUAR'!Y28)+N('MÄRZ'!Y28)+N('APRIL'!Y28)+N('MAI'!Y28)+N('JUNI'!Y28)+N('JULI'!Y28)+N('AUGUST'!Y28)+N('SEPTEMBER'!Y28)+N('OKTOBER'!Y28)+N('NOVEMBER'!Y28)+N('DEZEMBER'!Y28))</f>
        <v/>
      </c>
      <c r="I49" s="9">
        <f>IF($A49="","",N('JANUAR'!Z28)+N('FEBRUAR'!Z28)+N('MÄRZ'!Z28)+N('APRIL'!Z28)+N('MAI'!Z28)+N('JUNI'!Z28)+N('JULI'!Z28)+N('AUGUST'!Z28)+N('SEPTEMBER'!Z28)+N('OKTOBER'!Z28)+N('NOVEMBER'!Z28)+N('DEZEMBER'!Z28))</f>
        <v/>
      </c>
      <c r="J49" s="9">
        <f>IF($A49="","",N('JANUAR'!AA28)+N('FEBRUAR'!AA28)+N('MÄRZ'!AA28)+N('APRIL'!AA28)+N('MAI'!AA28)+N('JUNI'!AA28)+N('JULI'!AA28)+N('AUGUST'!AA28)+N('SEPTEMBER'!AA28)+N('OKTOBER'!AA28)+N('NOVEMBER'!AA28)+N('DEZEMBER'!AA28))</f>
        <v/>
      </c>
      <c r="K49" s="9">
        <f>IF($A49="","",N('JANUAR'!AB28)+N('FEBRUAR'!AB28)+N('MÄRZ'!AB28)+N('APRIL'!AB28)+N('MAI'!AB28)+N('JUNI'!AB28)+N('JULI'!AB28)+N('AUGUST'!AB28)+N('SEPTEMBER'!AB28)+N('OKTOBER'!AB28)+N('NOVEMBER'!AB28)+N('DEZEMBER'!AB28))</f>
        <v/>
      </c>
      <c r="L49" s="18">
        <f>IF(OR($A49="",$F$57=0),"",F49/$F$57)</f>
        <v/>
      </c>
    </row>
    <row r="50">
      <c r="A50" s="19">
        <f>IF(LISTEN!$A$25="","",LISTEN!$A$25)</f>
        <v/>
      </c>
      <c r="B50" s="10">
        <f>IF($A50="","",N('JANUAR'!S29)+N('FEBRUAR'!S29)+N('MÄRZ'!S29)+N('APRIL'!S29)+N('MAI'!S29)+N('JUNI'!S29)+N('JULI'!S29)+N('AUGUST'!S29)+N('SEPTEMBER'!S29)+N('OKTOBER'!S29)+N('NOVEMBER'!S29)+N('DEZEMBER'!S29))</f>
        <v/>
      </c>
      <c r="C50" s="10">
        <f>IF($A50="","",N('JANUAR'!T29)+N('FEBRUAR'!T29)+N('MÄRZ'!T29)+N('APRIL'!T29)+N('MAI'!T29)+N('JUNI'!T29)+N('JULI'!T29)+N('AUGUST'!T29)+N('SEPTEMBER'!T29)+N('OKTOBER'!T29)+N('NOVEMBER'!T29)+N('DEZEMBER'!T29))</f>
        <v/>
      </c>
      <c r="D50" s="10">
        <f>IF($A50="","",N('JANUAR'!U29)+N('FEBRUAR'!U29)+N('MÄRZ'!U29)+N('APRIL'!U29)+N('MAI'!U29)+N('JUNI'!U29)+N('JULI'!U29)+N('AUGUST'!U29)+N('SEPTEMBER'!U29)+N('OKTOBER'!U29)+N('NOVEMBER'!U29)+N('DEZEMBER'!U29))</f>
        <v/>
      </c>
      <c r="E50" s="10">
        <f>IF($A50="","",N('JANUAR'!V29)+N('FEBRUAR'!V29)+N('MÄRZ'!V29)+N('APRIL'!V29)+N('MAI'!V29)+N('JUNI'!V29)+N('JULI'!V29)+N('AUGUST'!V29)+N('SEPTEMBER'!V29)+N('OKTOBER'!V29)+N('NOVEMBER'!V29)+N('DEZEMBER'!V29))</f>
        <v/>
      </c>
      <c r="F50" s="10">
        <f>IF($A50="","",N('JANUAR'!W29)+N('FEBRUAR'!W29)+N('MÄRZ'!W29)+N('APRIL'!W29)+N('MAI'!W29)+N('JUNI'!W29)+N('JULI'!W29)+N('AUGUST'!W29)+N('SEPTEMBER'!W29)+N('OKTOBER'!W29)+N('NOVEMBER'!W29)+N('DEZEMBER'!W29))</f>
        <v/>
      </c>
      <c r="G50" s="10">
        <f>IF($A50="","",N('JANUAR'!X29)+N('FEBRUAR'!X29)+N('MÄRZ'!X29)+N('APRIL'!X29)+N('MAI'!X29)+N('JUNI'!X29)+N('JULI'!X29)+N('AUGUST'!X29)+N('SEPTEMBER'!X29)+N('OKTOBER'!X29)+N('NOVEMBER'!X29)+N('DEZEMBER'!X29))</f>
        <v/>
      </c>
      <c r="H50" s="10">
        <f>IF($A50="","",N('JANUAR'!Y29)+N('FEBRUAR'!Y29)+N('MÄRZ'!Y29)+N('APRIL'!Y29)+N('MAI'!Y29)+N('JUNI'!Y29)+N('JULI'!Y29)+N('AUGUST'!Y29)+N('SEPTEMBER'!Y29)+N('OKTOBER'!Y29)+N('NOVEMBER'!Y29)+N('DEZEMBER'!Y29))</f>
        <v/>
      </c>
      <c r="I50" s="10">
        <f>IF($A50="","",N('JANUAR'!Z29)+N('FEBRUAR'!Z29)+N('MÄRZ'!Z29)+N('APRIL'!Z29)+N('MAI'!Z29)+N('JUNI'!Z29)+N('JULI'!Z29)+N('AUGUST'!Z29)+N('SEPTEMBER'!Z29)+N('OKTOBER'!Z29)+N('NOVEMBER'!Z29)+N('DEZEMBER'!Z29))</f>
        <v/>
      </c>
      <c r="J50" s="10">
        <f>IF($A50="","",N('JANUAR'!AA29)+N('FEBRUAR'!AA29)+N('MÄRZ'!AA29)+N('APRIL'!AA29)+N('MAI'!AA29)+N('JUNI'!AA29)+N('JULI'!AA29)+N('AUGUST'!AA29)+N('SEPTEMBER'!AA29)+N('OKTOBER'!AA29)+N('NOVEMBER'!AA29)+N('DEZEMBER'!AA29))</f>
        <v/>
      </c>
      <c r="K50" s="10">
        <f>IF($A50="","",N('JANUAR'!AB29)+N('FEBRUAR'!AB29)+N('MÄRZ'!AB29)+N('APRIL'!AB29)+N('MAI'!AB29)+N('JUNI'!AB29)+N('JULI'!AB29)+N('AUGUST'!AB29)+N('SEPTEMBER'!AB29)+N('OKTOBER'!AB29)+N('NOVEMBER'!AB29)+N('DEZEMBER'!AB29))</f>
        <v/>
      </c>
      <c r="L50" s="20">
        <f>IF(OR($A50="",$F$57=0),"",F50/$F$57)</f>
        <v/>
      </c>
    </row>
    <row r="51">
      <c r="A51" s="6">
        <f>IF(LISTEN!$A$26="","",LISTEN!$A$26)</f>
        <v/>
      </c>
      <c r="B51" s="9">
        <f>IF($A51="","",N('JANUAR'!S30)+N('FEBRUAR'!S30)+N('MÄRZ'!S30)+N('APRIL'!S30)+N('MAI'!S30)+N('JUNI'!S30)+N('JULI'!S30)+N('AUGUST'!S30)+N('SEPTEMBER'!S30)+N('OKTOBER'!S30)+N('NOVEMBER'!S30)+N('DEZEMBER'!S30))</f>
        <v/>
      </c>
      <c r="C51" s="9">
        <f>IF($A51="","",N('JANUAR'!T30)+N('FEBRUAR'!T30)+N('MÄRZ'!T30)+N('APRIL'!T30)+N('MAI'!T30)+N('JUNI'!T30)+N('JULI'!T30)+N('AUGUST'!T30)+N('SEPTEMBER'!T30)+N('OKTOBER'!T30)+N('NOVEMBER'!T30)+N('DEZEMBER'!T30))</f>
        <v/>
      </c>
      <c r="D51" s="9">
        <f>IF($A51="","",N('JANUAR'!U30)+N('FEBRUAR'!U30)+N('MÄRZ'!U30)+N('APRIL'!U30)+N('MAI'!U30)+N('JUNI'!U30)+N('JULI'!U30)+N('AUGUST'!U30)+N('SEPTEMBER'!U30)+N('OKTOBER'!U30)+N('NOVEMBER'!U30)+N('DEZEMBER'!U30))</f>
        <v/>
      </c>
      <c r="E51" s="9">
        <f>IF($A51="","",N('JANUAR'!V30)+N('FEBRUAR'!V30)+N('MÄRZ'!V30)+N('APRIL'!V30)+N('MAI'!V30)+N('JUNI'!V30)+N('JULI'!V30)+N('AUGUST'!V30)+N('SEPTEMBER'!V30)+N('OKTOBER'!V30)+N('NOVEMBER'!V30)+N('DEZEMBER'!V30))</f>
        <v/>
      </c>
      <c r="F51" s="9">
        <f>IF($A51="","",N('JANUAR'!W30)+N('FEBRUAR'!W30)+N('MÄRZ'!W30)+N('APRIL'!W30)+N('MAI'!W30)+N('JUNI'!W30)+N('JULI'!W30)+N('AUGUST'!W30)+N('SEPTEMBER'!W30)+N('OKTOBER'!W30)+N('NOVEMBER'!W30)+N('DEZEMBER'!W30))</f>
        <v/>
      </c>
      <c r="G51" s="9">
        <f>IF($A51="","",N('JANUAR'!X30)+N('FEBRUAR'!X30)+N('MÄRZ'!X30)+N('APRIL'!X30)+N('MAI'!X30)+N('JUNI'!X30)+N('JULI'!X30)+N('AUGUST'!X30)+N('SEPTEMBER'!X30)+N('OKTOBER'!X30)+N('NOVEMBER'!X30)+N('DEZEMBER'!X30))</f>
        <v/>
      </c>
      <c r="H51" s="9">
        <f>IF($A51="","",N('JANUAR'!Y30)+N('FEBRUAR'!Y30)+N('MÄRZ'!Y30)+N('APRIL'!Y30)+N('MAI'!Y30)+N('JUNI'!Y30)+N('JULI'!Y30)+N('AUGUST'!Y30)+N('SEPTEMBER'!Y30)+N('OKTOBER'!Y30)+N('NOVEMBER'!Y30)+N('DEZEMBER'!Y30))</f>
        <v/>
      </c>
      <c r="I51" s="9">
        <f>IF($A51="","",N('JANUAR'!Z30)+N('FEBRUAR'!Z30)+N('MÄRZ'!Z30)+N('APRIL'!Z30)+N('MAI'!Z30)+N('JUNI'!Z30)+N('JULI'!Z30)+N('AUGUST'!Z30)+N('SEPTEMBER'!Z30)+N('OKTOBER'!Z30)+N('NOVEMBER'!Z30)+N('DEZEMBER'!Z30))</f>
        <v/>
      </c>
      <c r="J51" s="9">
        <f>IF($A51="","",N('JANUAR'!AA30)+N('FEBRUAR'!AA30)+N('MÄRZ'!AA30)+N('APRIL'!AA30)+N('MAI'!AA30)+N('JUNI'!AA30)+N('JULI'!AA30)+N('AUGUST'!AA30)+N('SEPTEMBER'!AA30)+N('OKTOBER'!AA30)+N('NOVEMBER'!AA30)+N('DEZEMBER'!AA30))</f>
        <v/>
      </c>
      <c r="K51" s="9">
        <f>IF($A51="","",N('JANUAR'!AB30)+N('FEBRUAR'!AB30)+N('MÄRZ'!AB30)+N('APRIL'!AB30)+N('MAI'!AB30)+N('JUNI'!AB30)+N('JULI'!AB30)+N('AUGUST'!AB30)+N('SEPTEMBER'!AB30)+N('OKTOBER'!AB30)+N('NOVEMBER'!AB30)+N('DEZEMBER'!AB30))</f>
        <v/>
      </c>
      <c r="L51" s="18">
        <f>IF(OR($A51="",$F$57=0),"",F51/$F$57)</f>
        <v/>
      </c>
    </row>
    <row r="52">
      <c r="A52" s="19">
        <f>IF(LISTEN!$A$27="","",LISTEN!$A$27)</f>
        <v/>
      </c>
      <c r="B52" s="10">
        <f>IF($A52="","",N('JANUAR'!S31)+N('FEBRUAR'!S31)+N('MÄRZ'!S31)+N('APRIL'!S31)+N('MAI'!S31)+N('JUNI'!S31)+N('JULI'!S31)+N('AUGUST'!S31)+N('SEPTEMBER'!S31)+N('OKTOBER'!S31)+N('NOVEMBER'!S31)+N('DEZEMBER'!S31))</f>
        <v/>
      </c>
      <c r="C52" s="10">
        <f>IF($A52="","",N('JANUAR'!T31)+N('FEBRUAR'!T31)+N('MÄRZ'!T31)+N('APRIL'!T31)+N('MAI'!T31)+N('JUNI'!T31)+N('JULI'!T31)+N('AUGUST'!T31)+N('SEPTEMBER'!T31)+N('OKTOBER'!T31)+N('NOVEMBER'!T31)+N('DEZEMBER'!T31))</f>
        <v/>
      </c>
      <c r="D52" s="10">
        <f>IF($A52="","",N('JANUAR'!U31)+N('FEBRUAR'!U31)+N('MÄRZ'!U31)+N('APRIL'!U31)+N('MAI'!U31)+N('JUNI'!U31)+N('JULI'!U31)+N('AUGUST'!U31)+N('SEPTEMBER'!U31)+N('OKTOBER'!U31)+N('NOVEMBER'!U31)+N('DEZEMBER'!U31))</f>
        <v/>
      </c>
      <c r="E52" s="10">
        <f>IF($A52="","",N('JANUAR'!V31)+N('FEBRUAR'!V31)+N('MÄRZ'!V31)+N('APRIL'!V31)+N('MAI'!V31)+N('JUNI'!V31)+N('JULI'!V31)+N('AUGUST'!V31)+N('SEPTEMBER'!V31)+N('OKTOBER'!V31)+N('NOVEMBER'!V31)+N('DEZEMBER'!V31))</f>
        <v/>
      </c>
      <c r="F52" s="10">
        <f>IF($A52="","",N('JANUAR'!W31)+N('FEBRUAR'!W31)+N('MÄRZ'!W31)+N('APRIL'!W31)+N('MAI'!W31)+N('JUNI'!W31)+N('JULI'!W31)+N('AUGUST'!W31)+N('SEPTEMBER'!W31)+N('OKTOBER'!W31)+N('NOVEMBER'!W31)+N('DEZEMBER'!W31))</f>
        <v/>
      </c>
      <c r="G52" s="10">
        <f>IF($A52="","",N('JANUAR'!X31)+N('FEBRUAR'!X31)+N('MÄRZ'!X31)+N('APRIL'!X31)+N('MAI'!X31)+N('JUNI'!X31)+N('JULI'!X31)+N('AUGUST'!X31)+N('SEPTEMBER'!X31)+N('OKTOBER'!X31)+N('NOVEMBER'!X31)+N('DEZEMBER'!X31))</f>
        <v/>
      </c>
      <c r="H52" s="10">
        <f>IF($A52="","",N('JANUAR'!Y31)+N('FEBRUAR'!Y31)+N('MÄRZ'!Y31)+N('APRIL'!Y31)+N('MAI'!Y31)+N('JUNI'!Y31)+N('JULI'!Y31)+N('AUGUST'!Y31)+N('SEPTEMBER'!Y31)+N('OKTOBER'!Y31)+N('NOVEMBER'!Y31)+N('DEZEMBER'!Y31))</f>
        <v/>
      </c>
      <c r="I52" s="10">
        <f>IF($A52="","",N('JANUAR'!Z31)+N('FEBRUAR'!Z31)+N('MÄRZ'!Z31)+N('APRIL'!Z31)+N('MAI'!Z31)+N('JUNI'!Z31)+N('JULI'!Z31)+N('AUGUST'!Z31)+N('SEPTEMBER'!Z31)+N('OKTOBER'!Z31)+N('NOVEMBER'!Z31)+N('DEZEMBER'!Z31))</f>
        <v/>
      </c>
      <c r="J52" s="10">
        <f>IF($A52="","",N('JANUAR'!AA31)+N('FEBRUAR'!AA31)+N('MÄRZ'!AA31)+N('APRIL'!AA31)+N('MAI'!AA31)+N('JUNI'!AA31)+N('JULI'!AA31)+N('AUGUST'!AA31)+N('SEPTEMBER'!AA31)+N('OKTOBER'!AA31)+N('NOVEMBER'!AA31)+N('DEZEMBER'!AA31))</f>
        <v/>
      </c>
      <c r="K52" s="10">
        <f>IF($A52="","",N('JANUAR'!AB31)+N('FEBRUAR'!AB31)+N('MÄRZ'!AB31)+N('APRIL'!AB31)+N('MAI'!AB31)+N('JUNI'!AB31)+N('JULI'!AB31)+N('AUGUST'!AB31)+N('SEPTEMBER'!AB31)+N('OKTOBER'!AB31)+N('NOVEMBER'!AB31)+N('DEZEMBER'!AB31))</f>
        <v/>
      </c>
      <c r="L52" s="20">
        <f>IF(OR($A52="",$F$57=0),"",F52/$F$57)</f>
        <v/>
      </c>
    </row>
    <row r="53">
      <c r="A53" s="6">
        <f>IF(LISTEN!$A$28="","",LISTEN!$A$28)</f>
        <v/>
      </c>
      <c r="B53" s="9">
        <f>IF($A53="","",N('JANUAR'!S32)+N('FEBRUAR'!S32)+N('MÄRZ'!S32)+N('APRIL'!S32)+N('MAI'!S32)+N('JUNI'!S32)+N('JULI'!S32)+N('AUGUST'!S32)+N('SEPTEMBER'!S32)+N('OKTOBER'!S32)+N('NOVEMBER'!S32)+N('DEZEMBER'!S32))</f>
        <v/>
      </c>
      <c r="C53" s="9">
        <f>IF($A53="","",N('JANUAR'!T32)+N('FEBRUAR'!T32)+N('MÄRZ'!T32)+N('APRIL'!T32)+N('MAI'!T32)+N('JUNI'!T32)+N('JULI'!T32)+N('AUGUST'!T32)+N('SEPTEMBER'!T32)+N('OKTOBER'!T32)+N('NOVEMBER'!T32)+N('DEZEMBER'!T32))</f>
        <v/>
      </c>
      <c r="D53" s="9">
        <f>IF($A53="","",N('JANUAR'!U32)+N('FEBRUAR'!U32)+N('MÄRZ'!U32)+N('APRIL'!U32)+N('MAI'!U32)+N('JUNI'!U32)+N('JULI'!U32)+N('AUGUST'!U32)+N('SEPTEMBER'!U32)+N('OKTOBER'!U32)+N('NOVEMBER'!U32)+N('DEZEMBER'!U32))</f>
        <v/>
      </c>
      <c r="E53" s="9">
        <f>IF($A53="","",N('JANUAR'!V32)+N('FEBRUAR'!V32)+N('MÄRZ'!V32)+N('APRIL'!V32)+N('MAI'!V32)+N('JUNI'!V32)+N('JULI'!V32)+N('AUGUST'!V32)+N('SEPTEMBER'!V32)+N('OKTOBER'!V32)+N('NOVEMBER'!V32)+N('DEZEMBER'!V32))</f>
        <v/>
      </c>
      <c r="F53" s="9">
        <f>IF($A53="","",N('JANUAR'!W32)+N('FEBRUAR'!W32)+N('MÄRZ'!W32)+N('APRIL'!W32)+N('MAI'!W32)+N('JUNI'!W32)+N('JULI'!W32)+N('AUGUST'!W32)+N('SEPTEMBER'!W32)+N('OKTOBER'!W32)+N('NOVEMBER'!W32)+N('DEZEMBER'!W32))</f>
        <v/>
      </c>
      <c r="G53" s="9">
        <f>IF($A53="","",N('JANUAR'!X32)+N('FEBRUAR'!X32)+N('MÄRZ'!X32)+N('APRIL'!X32)+N('MAI'!X32)+N('JUNI'!X32)+N('JULI'!X32)+N('AUGUST'!X32)+N('SEPTEMBER'!X32)+N('OKTOBER'!X32)+N('NOVEMBER'!X32)+N('DEZEMBER'!X32))</f>
        <v/>
      </c>
      <c r="H53" s="9">
        <f>IF($A53="","",N('JANUAR'!Y32)+N('FEBRUAR'!Y32)+N('MÄRZ'!Y32)+N('APRIL'!Y32)+N('MAI'!Y32)+N('JUNI'!Y32)+N('JULI'!Y32)+N('AUGUST'!Y32)+N('SEPTEMBER'!Y32)+N('OKTOBER'!Y32)+N('NOVEMBER'!Y32)+N('DEZEMBER'!Y32))</f>
        <v/>
      </c>
      <c r="I53" s="9">
        <f>IF($A53="","",N('JANUAR'!Z32)+N('FEBRUAR'!Z32)+N('MÄRZ'!Z32)+N('APRIL'!Z32)+N('MAI'!Z32)+N('JUNI'!Z32)+N('JULI'!Z32)+N('AUGUST'!Z32)+N('SEPTEMBER'!Z32)+N('OKTOBER'!Z32)+N('NOVEMBER'!Z32)+N('DEZEMBER'!Z32))</f>
        <v/>
      </c>
      <c r="J53" s="9">
        <f>IF($A53="","",N('JANUAR'!AA32)+N('FEBRUAR'!AA32)+N('MÄRZ'!AA32)+N('APRIL'!AA32)+N('MAI'!AA32)+N('JUNI'!AA32)+N('JULI'!AA32)+N('AUGUST'!AA32)+N('SEPTEMBER'!AA32)+N('OKTOBER'!AA32)+N('NOVEMBER'!AA32)+N('DEZEMBER'!AA32))</f>
        <v/>
      </c>
      <c r="K53" s="9">
        <f>IF($A53="","",N('JANUAR'!AB32)+N('FEBRUAR'!AB32)+N('MÄRZ'!AB32)+N('APRIL'!AB32)+N('MAI'!AB32)+N('JUNI'!AB32)+N('JULI'!AB32)+N('AUGUST'!AB32)+N('SEPTEMBER'!AB32)+N('OKTOBER'!AB32)+N('NOVEMBER'!AB32)+N('DEZEMBER'!AB32))</f>
        <v/>
      </c>
      <c r="L53" s="18">
        <f>IF(OR($A53="",$F$57=0),"",F53/$F$57)</f>
        <v/>
      </c>
    </row>
    <row r="54">
      <c r="A54" s="19">
        <f>IF(LISTEN!$A$29="","",LISTEN!$A$29)</f>
        <v/>
      </c>
      <c r="B54" s="10">
        <f>IF($A54="","",N('JANUAR'!S33)+N('FEBRUAR'!S33)+N('MÄRZ'!S33)+N('APRIL'!S33)+N('MAI'!S33)+N('JUNI'!S33)+N('JULI'!S33)+N('AUGUST'!S33)+N('SEPTEMBER'!S33)+N('OKTOBER'!S33)+N('NOVEMBER'!S33)+N('DEZEMBER'!S33))</f>
        <v/>
      </c>
      <c r="C54" s="10">
        <f>IF($A54="","",N('JANUAR'!T33)+N('FEBRUAR'!T33)+N('MÄRZ'!T33)+N('APRIL'!T33)+N('MAI'!T33)+N('JUNI'!T33)+N('JULI'!T33)+N('AUGUST'!T33)+N('SEPTEMBER'!T33)+N('OKTOBER'!T33)+N('NOVEMBER'!T33)+N('DEZEMBER'!T33))</f>
        <v/>
      </c>
      <c r="D54" s="10">
        <f>IF($A54="","",N('JANUAR'!U33)+N('FEBRUAR'!U33)+N('MÄRZ'!U33)+N('APRIL'!U33)+N('MAI'!U33)+N('JUNI'!U33)+N('JULI'!U33)+N('AUGUST'!U33)+N('SEPTEMBER'!U33)+N('OKTOBER'!U33)+N('NOVEMBER'!U33)+N('DEZEMBER'!U33))</f>
        <v/>
      </c>
      <c r="E54" s="10">
        <f>IF($A54="","",N('JANUAR'!V33)+N('FEBRUAR'!V33)+N('MÄRZ'!V33)+N('APRIL'!V33)+N('MAI'!V33)+N('JUNI'!V33)+N('JULI'!V33)+N('AUGUST'!V33)+N('SEPTEMBER'!V33)+N('OKTOBER'!V33)+N('NOVEMBER'!V33)+N('DEZEMBER'!V33))</f>
        <v/>
      </c>
      <c r="F54" s="10">
        <f>IF($A54="","",N('JANUAR'!W33)+N('FEBRUAR'!W33)+N('MÄRZ'!W33)+N('APRIL'!W33)+N('MAI'!W33)+N('JUNI'!W33)+N('JULI'!W33)+N('AUGUST'!W33)+N('SEPTEMBER'!W33)+N('OKTOBER'!W33)+N('NOVEMBER'!W33)+N('DEZEMBER'!W33))</f>
        <v/>
      </c>
      <c r="G54" s="10">
        <f>IF($A54="","",N('JANUAR'!X33)+N('FEBRUAR'!X33)+N('MÄRZ'!X33)+N('APRIL'!X33)+N('MAI'!X33)+N('JUNI'!X33)+N('JULI'!X33)+N('AUGUST'!X33)+N('SEPTEMBER'!X33)+N('OKTOBER'!X33)+N('NOVEMBER'!X33)+N('DEZEMBER'!X33))</f>
        <v/>
      </c>
      <c r="H54" s="10">
        <f>IF($A54="","",N('JANUAR'!Y33)+N('FEBRUAR'!Y33)+N('MÄRZ'!Y33)+N('APRIL'!Y33)+N('MAI'!Y33)+N('JUNI'!Y33)+N('JULI'!Y33)+N('AUGUST'!Y33)+N('SEPTEMBER'!Y33)+N('OKTOBER'!Y33)+N('NOVEMBER'!Y33)+N('DEZEMBER'!Y33))</f>
        <v/>
      </c>
      <c r="I54" s="10">
        <f>IF($A54="","",N('JANUAR'!Z33)+N('FEBRUAR'!Z33)+N('MÄRZ'!Z33)+N('APRIL'!Z33)+N('MAI'!Z33)+N('JUNI'!Z33)+N('JULI'!Z33)+N('AUGUST'!Z33)+N('SEPTEMBER'!Z33)+N('OKTOBER'!Z33)+N('NOVEMBER'!Z33)+N('DEZEMBER'!Z33))</f>
        <v/>
      </c>
      <c r="J54" s="10">
        <f>IF($A54="","",N('JANUAR'!AA33)+N('FEBRUAR'!AA33)+N('MÄRZ'!AA33)+N('APRIL'!AA33)+N('MAI'!AA33)+N('JUNI'!AA33)+N('JULI'!AA33)+N('AUGUST'!AA33)+N('SEPTEMBER'!AA33)+N('OKTOBER'!AA33)+N('NOVEMBER'!AA33)+N('DEZEMBER'!AA33))</f>
        <v/>
      </c>
      <c r="K54" s="10">
        <f>IF($A54="","",N('JANUAR'!AB33)+N('FEBRUAR'!AB33)+N('MÄRZ'!AB33)+N('APRIL'!AB33)+N('MAI'!AB33)+N('JUNI'!AB33)+N('JULI'!AB33)+N('AUGUST'!AB33)+N('SEPTEMBER'!AB33)+N('OKTOBER'!AB33)+N('NOVEMBER'!AB33)+N('DEZEMBER'!AB33))</f>
        <v/>
      </c>
      <c r="L54" s="20">
        <f>IF(OR($A54="",$F$57=0),"",F54/$F$57)</f>
        <v/>
      </c>
    </row>
    <row r="55">
      <c r="A55" s="6">
        <f>IF(LISTEN!$A$30="","",LISTEN!$A$30)</f>
        <v/>
      </c>
      <c r="B55" s="9">
        <f>IF($A55="","",N('JANUAR'!S34)+N('FEBRUAR'!S34)+N('MÄRZ'!S34)+N('APRIL'!S34)+N('MAI'!S34)+N('JUNI'!S34)+N('JULI'!S34)+N('AUGUST'!S34)+N('SEPTEMBER'!S34)+N('OKTOBER'!S34)+N('NOVEMBER'!S34)+N('DEZEMBER'!S34))</f>
        <v/>
      </c>
      <c r="C55" s="9">
        <f>IF($A55="","",N('JANUAR'!T34)+N('FEBRUAR'!T34)+N('MÄRZ'!T34)+N('APRIL'!T34)+N('MAI'!T34)+N('JUNI'!T34)+N('JULI'!T34)+N('AUGUST'!T34)+N('SEPTEMBER'!T34)+N('OKTOBER'!T34)+N('NOVEMBER'!T34)+N('DEZEMBER'!T34))</f>
        <v/>
      </c>
      <c r="D55" s="9">
        <f>IF($A55="","",N('JANUAR'!U34)+N('FEBRUAR'!U34)+N('MÄRZ'!U34)+N('APRIL'!U34)+N('MAI'!U34)+N('JUNI'!U34)+N('JULI'!U34)+N('AUGUST'!U34)+N('SEPTEMBER'!U34)+N('OKTOBER'!U34)+N('NOVEMBER'!U34)+N('DEZEMBER'!U34))</f>
        <v/>
      </c>
      <c r="E55" s="9">
        <f>IF($A55="","",N('JANUAR'!V34)+N('FEBRUAR'!V34)+N('MÄRZ'!V34)+N('APRIL'!V34)+N('MAI'!V34)+N('JUNI'!V34)+N('JULI'!V34)+N('AUGUST'!V34)+N('SEPTEMBER'!V34)+N('OKTOBER'!V34)+N('NOVEMBER'!V34)+N('DEZEMBER'!V34))</f>
        <v/>
      </c>
      <c r="F55" s="9">
        <f>IF($A55="","",N('JANUAR'!W34)+N('FEBRUAR'!W34)+N('MÄRZ'!W34)+N('APRIL'!W34)+N('MAI'!W34)+N('JUNI'!W34)+N('JULI'!W34)+N('AUGUST'!W34)+N('SEPTEMBER'!W34)+N('OKTOBER'!W34)+N('NOVEMBER'!W34)+N('DEZEMBER'!W34))</f>
        <v/>
      </c>
      <c r="G55" s="9">
        <f>IF($A55="","",N('JANUAR'!X34)+N('FEBRUAR'!X34)+N('MÄRZ'!X34)+N('APRIL'!X34)+N('MAI'!X34)+N('JUNI'!X34)+N('JULI'!X34)+N('AUGUST'!X34)+N('SEPTEMBER'!X34)+N('OKTOBER'!X34)+N('NOVEMBER'!X34)+N('DEZEMBER'!X34))</f>
        <v/>
      </c>
      <c r="H55" s="9">
        <f>IF($A55="","",N('JANUAR'!Y34)+N('FEBRUAR'!Y34)+N('MÄRZ'!Y34)+N('APRIL'!Y34)+N('MAI'!Y34)+N('JUNI'!Y34)+N('JULI'!Y34)+N('AUGUST'!Y34)+N('SEPTEMBER'!Y34)+N('OKTOBER'!Y34)+N('NOVEMBER'!Y34)+N('DEZEMBER'!Y34))</f>
        <v/>
      </c>
      <c r="I55" s="9">
        <f>IF($A55="","",N('JANUAR'!Z34)+N('FEBRUAR'!Z34)+N('MÄRZ'!Z34)+N('APRIL'!Z34)+N('MAI'!Z34)+N('JUNI'!Z34)+N('JULI'!Z34)+N('AUGUST'!Z34)+N('SEPTEMBER'!Z34)+N('OKTOBER'!Z34)+N('NOVEMBER'!Z34)+N('DEZEMBER'!Z34))</f>
        <v/>
      </c>
      <c r="J55" s="9">
        <f>IF($A55="","",N('JANUAR'!AA34)+N('FEBRUAR'!AA34)+N('MÄRZ'!AA34)+N('APRIL'!AA34)+N('MAI'!AA34)+N('JUNI'!AA34)+N('JULI'!AA34)+N('AUGUST'!AA34)+N('SEPTEMBER'!AA34)+N('OKTOBER'!AA34)+N('NOVEMBER'!AA34)+N('DEZEMBER'!AA34))</f>
        <v/>
      </c>
      <c r="K55" s="9">
        <f>IF($A55="","",N('JANUAR'!AB34)+N('FEBRUAR'!AB34)+N('MÄRZ'!AB34)+N('APRIL'!AB34)+N('MAI'!AB34)+N('JUNI'!AB34)+N('JULI'!AB34)+N('AUGUST'!AB34)+N('SEPTEMBER'!AB34)+N('OKTOBER'!AB34)+N('NOVEMBER'!AB34)+N('DEZEMBER'!AB34))</f>
        <v/>
      </c>
      <c r="L55" s="18">
        <f>IF(OR($A55="",$F$57=0),"",F55/$F$57)</f>
        <v/>
      </c>
    </row>
    <row r="56">
      <c r="A56" s="19">
        <f>IF(LISTEN!$A$31="","",LISTEN!$A$31)</f>
        <v/>
      </c>
      <c r="B56" s="10">
        <f>IF($A56="","",N('JANUAR'!S35)+N('FEBRUAR'!S35)+N('MÄRZ'!S35)+N('APRIL'!S35)+N('MAI'!S35)+N('JUNI'!S35)+N('JULI'!S35)+N('AUGUST'!S35)+N('SEPTEMBER'!S35)+N('OKTOBER'!S35)+N('NOVEMBER'!S35)+N('DEZEMBER'!S35))</f>
        <v/>
      </c>
      <c r="C56" s="10">
        <f>IF($A56="","",N('JANUAR'!T35)+N('FEBRUAR'!T35)+N('MÄRZ'!T35)+N('APRIL'!T35)+N('MAI'!T35)+N('JUNI'!T35)+N('JULI'!T35)+N('AUGUST'!T35)+N('SEPTEMBER'!T35)+N('OKTOBER'!T35)+N('NOVEMBER'!T35)+N('DEZEMBER'!T35))</f>
        <v/>
      </c>
      <c r="D56" s="10">
        <f>IF($A56="","",N('JANUAR'!U35)+N('FEBRUAR'!U35)+N('MÄRZ'!U35)+N('APRIL'!U35)+N('MAI'!U35)+N('JUNI'!U35)+N('JULI'!U35)+N('AUGUST'!U35)+N('SEPTEMBER'!U35)+N('OKTOBER'!U35)+N('NOVEMBER'!U35)+N('DEZEMBER'!U35))</f>
        <v/>
      </c>
      <c r="E56" s="10">
        <f>IF($A56="","",N('JANUAR'!V35)+N('FEBRUAR'!V35)+N('MÄRZ'!V35)+N('APRIL'!V35)+N('MAI'!V35)+N('JUNI'!V35)+N('JULI'!V35)+N('AUGUST'!V35)+N('SEPTEMBER'!V35)+N('OKTOBER'!V35)+N('NOVEMBER'!V35)+N('DEZEMBER'!V35))</f>
        <v/>
      </c>
      <c r="F56" s="10">
        <f>IF($A56="","",N('JANUAR'!W35)+N('FEBRUAR'!W35)+N('MÄRZ'!W35)+N('APRIL'!W35)+N('MAI'!W35)+N('JUNI'!W35)+N('JULI'!W35)+N('AUGUST'!W35)+N('SEPTEMBER'!W35)+N('OKTOBER'!W35)+N('NOVEMBER'!W35)+N('DEZEMBER'!W35))</f>
        <v/>
      </c>
      <c r="G56" s="10">
        <f>IF($A56="","",N('JANUAR'!X35)+N('FEBRUAR'!X35)+N('MÄRZ'!X35)+N('APRIL'!X35)+N('MAI'!X35)+N('JUNI'!X35)+N('JULI'!X35)+N('AUGUST'!X35)+N('SEPTEMBER'!X35)+N('OKTOBER'!X35)+N('NOVEMBER'!X35)+N('DEZEMBER'!X35))</f>
        <v/>
      </c>
      <c r="H56" s="10">
        <f>IF($A56="","",N('JANUAR'!Y35)+N('FEBRUAR'!Y35)+N('MÄRZ'!Y35)+N('APRIL'!Y35)+N('MAI'!Y35)+N('JUNI'!Y35)+N('JULI'!Y35)+N('AUGUST'!Y35)+N('SEPTEMBER'!Y35)+N('OKTOBER'!Y35)+N('NOVEMBER'!Y35)+N('DEZEMBER'!Y35))</f>
        <v/>
      </c>
      <c r="I56" s="10">
        <f>IF($A56="","",N('JANUAR'!Z35)+N('FEBRUAR'!Z35)+N('MÄRZ'!Z35)+N('APRIL'!Z35)+N('MAI'!Z35)+N('JUNI'!Z35)+N('JULI'!Z35)+N('AUGUST'!Z35)+N('SEPTEMBER'!Z35)+N('OKTOBER'!Z35)+N('NOVEMBER'!Z35)+N('DEZEMBER'!Z35))</f>
        <v/>
      </c>
      <c r="J56" s="10">
        <f>IF($A56="","",N('JANUAR'!AA35)+N('FEBRUAR'!AA35)+N('MÄRZ'!AA35)+N('APRIL'!AA35)+N('MAI'!AA35)+N('JUNI'!AA35)+N('JULI'!AA35)+N('AUGUST'!AA35)+N('SEPTEMBER'!AA35)+N('OKTOBER'!AA35)+N('NOVEMBER'!AA35)+N('DEZEMBER'!AA35))</f>
        <v/>
      </c>
      <c r="K56" s="10">
        <f>IF($A56="","",N('JANUAR'!AB35)+N('FEBRUAR'!AB35)+N('MÄRZ'!AB35)+N('APRIL'!AB35)+N('MAI'!AB35)+N('JUNI'!AB35)+N('JULI'!AB35)+N('AUGUST'!AB35)+N('SEPTEMBER'!AB35)+N('OKTOBER'!AB35)+N('NOVEMBER'!AB35)+N('DEZEMBER'!AB35))</f>
        <v/>
      </c>
      <c r="L56" s="20">
        <f>IF(OR($A56="",$F$57=0),"",F56/$F$57)</f>
        <v/>
      </c>
    </row>
    <row r="57">
      <c r="A57" s="11" t="inlineStr">
        <is>
          <t>SUMME</t>
        </is>
      </c>
      <c r="B57" s="12">
        <f>SUM(B27:B56)</f>
        <v/>
      </c>
      <c r="C57" s="12">
        <f>SUM(C27:C56)</f>
        <v/>
      </c>
      <c r="D57" s="12">
        <f>SUM(D27:D56)</f>
        <v/>
      </c>
      <c r="E57" s="12">
        <f>SUM(E27:E56)</f>
        <v/>
      </c>
      <c r="F57" s="12">
        <f>SUM(F27:F56)</f>
        <v/>
      </c>
      <c r="G57" s="12">
        <f>SUM(G27:G56)</f>
        <v/>
      </c>
      <c r="H57" s="12">
        <f>SUM(H27:H56)</f>
        <v/>
      </c>
      <c r="I57" s="12">
        <f>SUM(I27:I56)</f>
        <v/>
      </c>
      <c r="J57" s="12">
        <f>SUM(J27:J56)</f>
        <v/>
      </c>
      <c r="K57" s="12">
        <f>SUM(K27:K56)</f>
        <v/>
      </c>
      <c r="L57" s="12" t="n"/>
    </row>
    <row r="58">
      <c r="A58" s="21" t="inlineStr">
        <is>
          <t>Kontrolle: Summe Angebote = Summe Monate?</t>
        </is>
      </c>
      <c r="F58" s="22">
        <f>IF(F57=F18,"✓ OK","⚠ prüfen")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"JANUAR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JANUAR eingeben (TT.MM.JJJJ)." type="date" operator="between">
      <formula1>DATE(LISTEN!$E$2,1,1)</formula1>
      <formula2>DATE(LISTEN!$E$2,2,0)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"FEBRUAR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FEBRUAR eingeben (TT.MM.JJJJ)." type="date" operator="between">
      <formula1>DATE(LISTEN!$E$2,2,1)</formula1>
      <formula2>DATE(LISTEN!$E$2,3,0)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"MÄRZ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MÄRZ eingeben (TT.MM.JJJJ)." type="date" operator="between">
      <formula1>DATE(LISTEN!$E$2,3,1)</formula1>
      <formula2>DATE(LISTEN!$E$2,4,0)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"APRIL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APRIL eingeben (TT.MM.JJJJ)." type="date" operator="between">
      <formula1>DATE(LISTEN!$E$2,4,1)</formula1>
      <formula2>DATE(LISTEN!$E$2,5,0)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"MAI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MAI eingeben (TT.MM.JJJJ)." type="date" operator="between">
      <formula1>DATE(LISTEN!$E$2,5,1)</formula1>
      <formula2>DATE(LISTEN!$E$2,6,0)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"JUNI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JUNI eingeben (TT.MM.JJJJ)." type="date" operator="between">
      <formula1>DATE(LISTEN!$E$2,6,1)</formula1>
      <formula2>DATE(LISTEN!$E$2,7,0)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"JULI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JULI eingeben (TT.MM.JJJJ)." type="date" operator="between">
      <formula1>DATE(LISTEN!$E$2,7,1)</formula1>
      <formula2>DATE(LISTEN!$E$2,8,0)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"AUGUST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AUGUST eingeben (TT.MM.JJJJ)." type="date" operator="between">
      <formula1>DATE(LISTEN!$E$2,8,1)</formula1>
      <formula2>DATE(LISTEN!$E$2,9,0)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"SEPTEMBER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SEPTEMBER eingeben (TT.MM.JJJJ)." type="date" operator="between">
      <formula1>DATE(LISTEN!$E$2,9,1)</formula1>
      <formula2>DATE(LISTEN!$E$2,10,0)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"OKTOBER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OKTOBER eingeben (TT.MM.JJJJ)." type="date" operator="between">
      <formula1>DATE(LISTEN!$E$2,10,1)</formula1>
      <formula2>DATE(LISTEN!$E$2,11,0)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"NOVEMBER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NOVEMBER eingeben (TT.MM.JJJJ)." type="date" operator="between">
      <formula1>DATE(LISTEN!$E$2,11,1)</formula1>
      <formula2>DATE(LISTEN!$E$2,12,0)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6" customWidth="1" min="14" max="14"/>
    <col width="32" customWidth="1" min="15" max="15"/>
    <col width="24" customWidth="1" min="16" max="16"/>
    <col width="3" customWidth="1" min="17" max="17"/>
    <col width="2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</cols>
  <sheetData>
    <row r="1">
      <c r="A1" s="1">
        <f>"DEZEMBER "&amp;LISTEN!$E$2</f>
        <v/>
      </c>
      <c r="R1" s="23" t="inlineStr">
        <is>
          <t>Monatsauswertung</t>
        </is>
      </c>
    </row>
    <row r="2">
      <c r="A2" s="8" t="inlineStr">
        <is>
          <t>Eine Zeile pro Angebot und Tag. Weiße Zellen ausfüllen, graue rechnen automatisch.</t>
        </is>
      </c>
      <c r="R2" s="8" t="inlineStr">
        <is>
          <t>rechnet automatisch – nicht überschreiben</t>
        </is>
      </c>
    </row>
    <row r="4">
      <c r="C4" s="24" t="inlineStr">
        <is>
          <t>SUMME (gefiltert)</t>
        </is>
      </c>
      <c r="D4" s="12">
        <f>SUBTOTAL(9,D6:D405)</f>
        <v/>
      </c>
      <c r="E4" s="12">
        <f>SUBTOTAL(9,E6:E405)</f>
        <v/>
      </c>
      <c r="F4" s="12">
        <f>SUBTOTAL(9,F6:F405)</f>
        <v/>
      </c>
      <c r="G4" s="12">
        <f>SUBTOTAL(9,G6:G405)</f>
        <v/>
      </c>
      <c r="H4" s="12">
        <f>SUBTOTAL(9,H6:H405)</f>
        <v/>
      </c>
      <c r="I4" s="12">
        <f>SUBTOTAL(9,I6:I405)</f>
        <v/>
      </c>
      <c r="J4" s="12">
        <f>SUBTOTAL(9,J6:J405)</f>
        <v/>
      </c>
      <c r="K4" s="12">
        <f>SUBTOTAL(9,K6:K405)</f>
        <v/>
      </c>
      <c r="L4" s="12">
        <f>SUBTOTAL(9,L6:L405)</f>
        <v/>
      </c>
      <c r="M4" s="12">
        <f>SUBTOTAL(9,M6:M405)</f>
        <v/>
      </c>
    </row>
    <row r="5" ht="30" customHeight="1">
      <c r="A5" s="5" t="inlineStr">
        <is>
          <t>Datum</t>
        </is>
      </c>
      <c r="B5" s="5" t="inlineStr">
        <is>
          <t>Tag</t>
        </is>
      </c>
      <c r="C5" s="5" t="inlineStr">
        <is>
          <t>Angebot</t>
        </is>
      </c>
      <c r="D5" s="5" t="inlineStr">
        <is>
          <t>Stunden</t>
        </is>
      </c>
      <c r="E5" s="5" t="inlineStr">
        <is>
          <t>w</t>
        </is>
      </c>
      <c r="F5" s="5" t="inlineStr">
        <is>
          <t>d</t>
        </is>
      </c>
      <c r="G5" s="5" t="inlineStr">
        <is>
          <t>m</t>
        </is>
      </c>
      <c r="H5" s="5" t="inlineStr">
        <is>
          <t>gesamt</t>
        </is>
      </c>
      <c r="I5" s="5" t="inlineStr">
        <is>
          <t>ab 10</t>
        </is>
      </c>
      <c r="J5" s="5" t="inlineStr">
        <is>
          <t>ab 14</t>
        </is>
      </c>
      <c r="K5" s="5" t="inlineStr">
        <is>
          <t>ab 16</t>
        </is>
      </c>
      <c r="L5" s="5" t="inlineStr">
        <is>
          <t>ab 18</t>
        </is>
      </c>
      <c r="M5" s="5" t="inlineStr">
        <is>
          <t>gesamt Alter</t>
        </is>
      </c>
      <c r="N5" s="5" t="inlineStr">
        <is>
          <t>Diensthabende</t>
        </is>
      </c>
      <c r="O5" s="5" t="inlineStr">
        <is>
          <t>Beschreibung</t>
        </is>
      </c>
      <c r="P5" s="5" t="inlineStr">
        <is>
          <t>Wichtig</t>
        </is>
      </c>
      <c r="R5" s="5" t="inlineStr">
        <is>
          <t>Angebot</t>
        </is>
      </c>
      <c r="S5" s="5" t="inlineStr">
        <is>
          <t>Stunden</t>
        </is>
      </c>
      <c r="T5" s="5" t="inlineStr">
        <is>
          <t>w</t>
        </is>
      </c>
      <c r="U5" s="5" t="inlineStr">
        <is>
          <t>d</t>
        </is>
      </c>
      <c r="V5" s="5" t="inlineStr">
        <is>
          <t>m</t>
        </is>
      </c>
      <c r="W5" s="5" t="inlineStr">
        <is>
          <t>gesamt</t>
        </is>
      </c>
      <c r="X5" s="5" t="inlineStr">
        <is>
          <t>ab 10</t>
        </is>
      </c>
      <c r="Y5" s="5" t="inlineStr">
        <is>
          <t>ab 14</t>
        </is>
      </c>
      <c r="Z5" s="5" t="inlineStr">
        <is>
          <t>ab 16</t>
        </is>
      </c>
      <c r="AA5" s="5" t="inlineStr">
        <is>
          <t>ab 18</t>
        </is>
      </c>
      <c r="AB5" s="5" t="inlineStr">
        <is>
          <t>Einträge</t>
        </is>
      </c>
    </row>
    <row r="6">
      <c r="A6" s="25" t="n"/>
      <c r="B6" s="26">
        <f>IF(A6="","",CHOOSE(WEEKDAY(A6,2),"Mo","Di","Mi","Do","Fr","Sa","So"))</f>
        <v/>
      </c>
      <c r="C6" s="6" t="n"/>
      <c r="D6" s="27" t="n"/>
      <c r="E6" s="9" t="n"/>
      <c r="F6" s="9" t="n"/>
      <c r="G6" s="9" t="n"/>
      <c r="H6" s="26">
        <f>IF(COUNT(E6:G6)=0,"",SUM(E6:G6))</f>
        <v/>
      </c>
      <c r="I6" s="9" t="n"/>
      <c r="J6" s="9" t="n"/>
      <c r="K6" s="9" t="n"/>
      <c r="L6" s="9" t="n"/>
      <c r="M6" s="26">
        <f>IF(COUNT(I6:L6)=0,"",SUM(I6:L6))</f>
        <v/>
      </c>
      <c r="N6" s="6" t="n"/>
      <c r="O6" s="28" t="n"/>
      <c r="P6" s="28" t="n"/>
      <c r="R6" s="29">
        <f>IF(LISTEN!$A$2="","",LISTEN!$A$2)</f>
        <v/>
      </c>
      <c r="S6" s="30">
        <f>IF($R6="","",SUMIFS($D$6:$D$405,$C$6:$C$405,$R6))</f>
        <v/>
      </c>
      <c r="T6" s="30">
        <f>IF($R6="","",SUMIFS($E$6:$E$405,$C$6:$C$405,$R6))</f>
        <v/>
      </c>
      <c r="U6" s="30">
        <f>IF($R6="","",SUMIFS($F$6:$F$405,$C$6:$C$405,$R6))</f>
        <v/>
      </c>
      <c r="V6" s="30">
        <f>IF($R6="","",SUMIFS($G$6:$G$405,$C$6:$C$405,$R6))</f>
        <v/>
      </c>
      <c r="W6" s="30">
        <f>IF($R6="","",SUMIFS($H$6:$H$405,$C$6:$C$405,$R6))</f>
        <v/>
      </c>
      <c r="X6" s="30">
        <f>IF($R6="","",SUMIFS($I$6:$I$405,$C$6:$C$405,$R6))</f>
        <v/>
      </c>
      <c r="Y6" s="30">
        <f>IF($R6="","",SUMIFS($J$6:$J$405,$C$6:$C$405,$R6))</f>
        <v/>
      </c>
      <c r="Z6" s="30">
        <f>IF($R6="","",SUMIFS($K$6:$K$405,$C$6:$C$405,$R6))</f>
        <v/>
      </c>
      <c r="AA6" s="30">
        <f>IF($R6="","",SUMIFS($L$6:$L$405,$C$6:$C$405,$R6))</f>
        <v/>
      </c>
      <c r="AB6" s="30">
        <f>IF($R6="","",COUNTIF($C$6:$C$405,$R6))</f>
        <v/>
      </c>
    </row>
    <row r="7">
      <c r="A7" s="25" t="n"/>
      <c r="B7" s="26">
        <f>IF(A7="","",CHOOSE(WEEKDAY(A7,2),"Mo","Di","Mi","Do","Fr","Sa","So"))</f>
        <v/>
      </c>
      <c r="C7" s="6" t="n"/>
      <c r="D7" s="27" t="n"/>
      <c r="E7" s="9" t="n"/>
      <c r="F7" s="9" t="n"/>
      <c r="G7" s="9" t="n"/>
      <c r="H7" s="26">
        <f>IF(COUNT(E7:G7)=0,"",SUM(E7:G7))</f>
        <v/>
      </c>
      <c r="I7" s="9" t="n"/>
      <c r="J7" s="9" t="n"/>
      <c r="K7" s="9" t="n"/>
      <c r="L7" s="9" t="n"/>
      <c r="M7" s="26">
        <f>IF(COUNT(I7:L7)=0,"",SUM(I7:L7))</f>
        <v/>
      </c>
      <c r="N7" s="6" t="n"/>
      <c r="O7" s="28" t="n"/>
      <c r="P7" s="28" t="n"/>
      <c r="R7" s="29">
        <f>IF(LISTEN!$A$3="","",LISTEN!$A$3)</f>
        <v/>
      </c>
      <c r="S7" s="30">
        <f>IF($R7="","",SUMIFS($D$6:$D$405,$C$6:$C$405,$R7))</f>
        <v/>
      </c>
      <c r="T7" s="30">
        <f>IF($R7="","",SUMIFS($E$6:$E$405,$C$6:$C$405,$R7))</f>
        <v/>
      </c>
      <c r="U7" s="30">
        <f>IF($R7="","",SUMIFS($F$6:$F$405,$C$6:$C$405,$R7))</f>
        <v/>
      </c>
      <c r="V7" s="30">
        <f>IF($R7="","",SUMIFS($G$6:$G$405,$C$6:$C$405,$R7))</f>
        <v/>
      </c>
      <c r="W7" s="30">
        <f>IF($R7="","",SUMIFS($H$6:$H$405,$C$6:$C$405,$R7))</f>
        <v/>
      </c>
      <c r="X7" s="30">
        <f>IF($R7="","",SUMIFS($I$6:$I$405,$C$6:$C$405,$R7))</f>
        <v/>
      </c>
      <c r="Y7" s="30">
        <f>IF($R7="","",SUMIFS($J$6:$J$405,$C$6:$C$405,$R7))</f>
        <v/>
      </c>
      <c r="Z7" s="30">
        <f>IF($R7="","",SUMIFS($K$6:$K$405,$C$6:$C$405,$R7))</f>
        <v/>
      </c>
      <c r="AA7" s="30">
        <f>IF($R7="","",SUMIFS($L$6:$L$405,$C$6:$C$405,$R7))</f>
        <v/>
      </c>
      <c r="AB7" s="30">
        <f>IF($R7="","",COUNTIF($C$6:$C$405,$R7))</f>
        <v/>
      </c>
    </row>
    <row r="8">
      <c r="A8" s="25" t="n"/>
      <c r="B8" s="26">
        <f>IF(A8="","",CHOOSE(WEEKDAY(A8,2),"Mo","Di","Mi","Do","Fr","Sa","So"))</f>
        <v/>
      </c>
      <c r="C8" s="6" t="n"/>
      <c r="D8" s="27" t="n"/>
      <c r="E8" s="9" t="n"/>
      <c r="F8" s="9" t="n"/>
      <c r="G8" s="9" t="n"/>
      <c r="H8" s="26">
        <f>IF(COUNT(E8:G8)=0,"",SUM(E8:G8))</f>
        <v/>
      </c>
      <c r="I8" s="9" t="n"/>
      <c r="J8" s="9" t="n"/>
      <c r="K8" s="9" t="n"/>
      <c r="L8" s="9" t="n"/>
      <c r="M8" s="26">
        <f>IF(COUNT(I8:L8)=0,"",SUM(I8:L8))</f>
        <v/>
      </c>
      <c r="N8" s="6" t="n"/>
      <c r="O8" s="28" t="n"/>
      <c r="P8" s="28" t="n"/>
      <c r="R8" s="29">
        <f>IF(LISTEN!$A$4="","",LISTEN!$A$4)</f>
        <v/>
      </c>
      <c r="S8" s="30">
        <f>IF($R8="","",SUMIFS($D$6:$D$405,$C$6:$C$405,$R8))</f>
        <v/>
      </c>
      <c r="T8" s="30">
        <f>IF($R8="","",SUMIFS($E$6:$E$405,$C$6:$C$405,$R8))</f>
        <v/>
      </c>
      <c r="U8" s="30">
        <f>IF($R8="","",SUMIFS($F$6:$F$405,$C$6:$C$405,$R8))</f>
        <v/>
      </c>
      <c r="V8" s="30">
        <f>IF($R8="","",SUMIFS($G$6:$G$405,$C$6:$C$405,$R8))</f>
        <v/>
      </c>
      <c r="W8" s="30">
        <f>IF($R8="","",SUMIFS($H$6:$H$405,$C$6:$C$405,$R8))</f>
        <v/>
      </c>
      <c r="X8" s="30">
        <f>IF($R8="","",SUMIFS($I$6:$I$405,$C$6:$C$405,$R8))</f>
        <v/>
      </c>
      <c r="Y8" s="30">
        <f>IF($R8="","",SUMIFS($J$6:$J$405,$C$6:$C$405,$R8))</f>
        <v/>
      </c>
      <c r="Z8" s="30">
        <f>IF($R8="","",SUMIFS($K$6:$K$405,$C$6:$C$405,$R8))</f>
        <v/>
      </c>
      <c r="AA8" s="30">
        <f>IF($R8="","",SUMIFS($L$6:$L$405,$C$6:$C$405,$R8))</f>
        <v/>
      </c>
      <c r="AB8" s="30">
        <f>IF($R8="","",COUNTIF($C$6:$C$405,$R8))</f>
        <v/>
      </c>
    </row>
    <row r="9">
      <c r="A9" s="25" t="n"/>
      <c r="B9" s="26">
        <f>IF(A9="","",CHOOSE(WEEKDAY(A9,2),"Mo","Di","Mi","Do","Fr","Sa","So"))</f>
        <v/>
      </c>
      <c r="C9" s="6" t="n"/>
      <c r="D9" s="27" t="n"/>
      <c r="E9" s="9" t="n"/>
      <c r="F9" s="9" t="n"/>
      <c r="G9" s="9" t="n"/>
      <c r="H9" s="26">
        <f>IF(COUNT(E9:G9)=0,"",SUM(E9:G9))</f>
        <v/>
      </c>
      <c r="I9" s="9" t="n"/>
      <c r="J9" s="9" t="n"/>
      <c r="K9" s="9" t="n"/>
      <c r="L9" s="9" t="n"/>
      <c r="M9" s="26">
        <f>IF(COUNT(I9:L9)=0,"",SUM(I9:L9))</f>
        <v/>
      </c>
      <c r="N9" s="6" t="n"/>
      <c r="O9" s="28" t="n"/>
      <c r="P9" s="28" t="n"/>
      <c r="R9" s="29">
        <f>IF(LISTEN!$A$5="","",LISTEN!$A$5)</f>
        <v/>
      </c>
      <c r="S9" s="30">
        <f>IF($R9="","",SUMIFS($D$6:$D$405,$C$6:$C$405,$R9))</f>
        <v/>
      </c>
      <c r="T9" s="30">
        <f>IF($R9="","",SUMIFS($E$6:$E$405,$C$6:$C$405,$R9))</f>
        <v/>
      </c>
      <c r="U9" s="30">
        <f>IF($R9="","",SUMIFS($F$6:$F$405,$C$6:$C$405,$R9))</f>
        <v/>
      </c>
      <c r="V9" s="30">
        <f>IF($R9="","",SUMIFS($G$6:$G$405,$C$6:$C$405,$R9))</f>
        <v/>
      </c>
      <c r="W9" s="30">
        <f>IF($R9="","",SUMIFS($H$6:$H$405,$C$6:$C$405,$R9))</f>
        <v/>
      </c>
      <c r="X9" s="30">
        <f>IF($R9="","",SUMIFS($I$6:$I$405,$C$6:$C$405,$R9))</f>
        <v/>
      </c>
      <c r="Y9" s="30">
        <f>IF($R9="","",SUMIFS($J$6:$J$405,$C$6:$C$405,$R9))</f>
        <v/>
      </c>
      <c r="Z9" s="30">
        <f>IF($R9="","",SUMIFS($K$6:$K$405,$C$6:$C$405,$R9))</f>
        <v/>
      </c>
      <c r="AA9" s="30">
        <f>IF($R9="","",SUMIFS($L$6:$L$405,$C$6:$C$405,$R9))</f>
        <v/>
      </c>
      <c r="AB9" s="30">
        <f>IF($R9="","",COUNTIF($C$6:$C$405,$R9))</f>
        <v/>
      </c>
    </row>
    <row r="10">
      <c r="A10" s="25" t="n"/>
      <c r="B10" s="26">
        <f>IF(A10="","",CHOOSE(WEEKDAY(A10,2),"Mo","Di","Mi","Do","Fr","Sa","So"))</f>
        <v/>
      </c>
      <c r="C10" s="6" t="n"/>
      <c r="D10" s="27" t="n"/>
      <c r="E10" s="9" t="n"/>
      <c r="F10" s="9" t="n"/>
      <c r="G10" s="9" t="n"/>
      <c r="H10" s="26">
        <f>IF(COUNT(E10:G10)=0,"",SUM(E10:G10))</f>
        <v/>
      </c>
      <c r="I10" s="9" t="n"/>
      <c r="J10" s="9" t="n"/>
      <c r="K10" s="9" t="n"/>
      <c r="L10" s="9" t="n"/>
      <c r="M10" s="26">
        <f>IF(COUNT(I10:L10)=0,"",SUM(I10:L10))</f>
        <v/>
      </c>
      <c r="N10" s="6" t="n"/>
      <c r="O10" s="28" t="n"/>
      <c r="P10" s="28" t="n"/>
      <c r="R10" s="29">
        <f>IF(LISTEN!$A$6="","",LISTEN!$A$6)</f>
        <v/>
      </c>
      <c r="S10" s="30">
        <f>IF($R10="","",SUMIFS($D$6:$D$405,$C$6:$C$405,$R10))</f>
        <v/>
      </c>
      <c r="T10" s="30">
        <f>IF($R10="","",SUMIFS($E$6:$E$405,$C$6:$C$405,$R10))</f>
        <v/>
      </c>
      <c r="U10" s="30">
        <f>IF($R10="","",SUMIFS($F$6:$F$405,$C$6:$C$405,$R10))</f>
        <v/>
      </c>
      <c r="V10" s="30">
        <f>IF($R10="","",SUMIFS($G$6:$G$405,$C$6:$C$405,$R10))</f>
        <v/>
      </c>
      <c r="W10" s="30">
        <f>IF($R10="","",SUMIFS($H$6:$H$405,$C$6:$C$405,$R10))</f>
        <v/>
      </c>
      <c r="X10" s="30">
        <f>IF($R10="","",SUMIFS($I$6:$I$405,$C$6:$C$405,$R10))</f>
        <v/>
      </c>
      <c r="Y10" s="30">
        <f>IF($R10="","",SUMIFS($J$6:$J$405,$C$6:$C$405,$R10))</f>
        <v/>
      </c>
      <c r="Z10" s="30">
        <f>IF($R10="","",SUMIFS($K$6:$K$405,$C$6:$C$405,$R10))</f>
        <v/>
      </c>
      <c r="AA10" s="30">
        <f>IF($R10="","",SUMIFS($L$6:$L$405,$C$6:$C$405,$R10))</f>
        <v/>
      </c>
      <c r="AB10" s="30">
        <f>IF($R10="","",COUNTIF($C$6:$C$405,$R10))</f>
        <v/>
      </c>
    </row>
    <row r="11">
      <c r="A11" s="25" t="n"/>
      <c r="B11" s="26">
        <f>IF(A11="","",CHOOSE(WEEKDAY(A11,2),"Mo","Di","Mi","Do","Fr","Sa","So"))</f>
        <v/>
      </c>
      <c r="C11" s="6" t="n"/>
      <c r="D11" s="27" t="n"/>
      <c r="E11" s="9" t="n"/>
      <c r="F11" s="9" t="n"/>
      <c r="G11" s="9" t="n"/>
      <c r="H11" s="26">
        <f>IF(COUNT(E11:G11)=0,"",SUM(E11:G11))</f>
        <v/>
      </c>
      <c r="I11" s="9" t="n"/>
      <c r="J11" s="9" t="n"/>
      <c r="K11" s="9" t="n"/>
      <c r="L11" s="9" t="n"/>
      <c r="M11" s="26">
        <f>IF(COUNT(I11:L11)=0,"",SUM(I11:L11))</f>
        <v/>
      </c>
      <c r="N11" s="6" t="n"/>
      <c r="O11" s="28" t="n"/>
      <c r="P11" s="28" t="n"/>
      <c r="R11" s="29">
        <f>IF(LISTEN!$A$7="","",LISTEN!$A$7)</f>
        <v/>
      </c>
      <c r="S11" s="30">
        <f>IF($R11="","",SUMIFS($D$6:$D$405,$C$6:$C$405,$R11))</f>
        <v/>
      </c>
      <c r="T11" s="30">
        <f>IF($R11="","",SUMIFS($E$6:$E$405,$C$6:$C$405,$R11))</f>
        <v/>
      </c>
      <c r="U11" s="30">
        <f>IF($R11="","",SUMIFS($F$6:$F$405,$C$6:$C$405,$R11))</f>
        <v/>
      </c>
      <c r="V11" s="30">
        <f>IF($R11="","",SUMIFS($G$6:$G$405,$C$6:$C$405,$R11))</f>
        <v/>
      </c>
      <c r="W11" s="30">
        <f>IF($R11="","",SUMIFS($H$6:$H$405,$C$6:$C$405,$R11))</f>
        <v/>
      </c>
      <c r="X11" s="30">
        <f>IF($R11="","",SUMIFS($I$6:$I$405,$C$6:$C$405,$R11))</f>
        <v/>
      </c>
      <c r="Y11" s="30">
        <f>IF($R11="","",SUMIFS($J$6:$J$405,$C$6:$C$405,$R11))</f>
        <v/>
      </c>
      <c r="Z11" s="30">
        <f>IF($R11="","",SUMIFS($K$6:$K$405,$C$6:$C$405,$R11))</f>
        <v/>
      </c>
      <c r="AA11" s="30">
        <f>IF($R11="","",SUMIFS($L$6:$L$405,$C$6:$C$405,$R11))</f>
        <v/>
      </c>
      <c r="AB11" s="30">
        <f>IF($R11="","",COUNTIF($C$6:$C$405,$R11))</f>
        <v/>
      </c>
    </row>
    <row r="12">
      <c r="A12" s="25" t="n"/>
      <c r="B12" s="26">
        <f>IF(A12="","",CHOOSE(WEEKDAY(A12,2),"Mo","Di","Mi","Do","Fr","Sa","So"))</f>
        <v/>
      </c>
      <c r="C12" s="6" t="n"/>
      <c r="D12" s="27" t="n"/>
      <c r="E12" s="9" t="n"/>
      <c r="F12" s="9" t="n"/>
      <c r="G12" s="9" t="n"/>
      <c r="H12" s="26">
        <f>IF(COUNT(E12:G12)=0,"",SUM(E12:G12))</f>
        <v/>
      </c>
      <c r="I12" s="9" t="n"/>
      <c r="J12" s="9" t="n"/>
      <c r="K12" s="9" t="n"/>
      <c r="L12" s="9" t="n"/>
      <c r="M12" s="26">
        <f>IF(COUNT(I12:L12)=0,"",SUM(I12:L12))</f>
        <v/>
      </c>
      <c r="N12" s="6" t="n"/>
      <c r="O12" s="28" t="n"/>
      <c r="P12" s="28" t="n"/>
      <c r="R12" s="29">
        <f>IF(LISTEN!$A$8="","",LISTEN!$A$8)</f>
        <v/>
      </c>
      <c r="S12" s="30">
        <f>IF($R12="","",SUMIFS($D$6:$D$405,$C$6:$C$405,$R12))</f>
        <v/>
      </c>
      <c r="T12" s="30">
        <f>IF($R12="","",SUMIFS($E$6:$E$405,$C$6:$C$405,$R12))</f>
        <v/>
      </c>
      <c r="U12" s="30">
        <f>IF($R12="","",SUMIFS($F$6:$F$405,$C$6:$C$405,$R12))</f>
        <v/>
      </c>
      <c r="V12" s="30">
        <f>IF($R12="","",SUMIFS($G$6:$G$405,$C$6:$C$405,$R12))</f>
        <v/>
      </c>
      <c r="W12" s="30">
        <f>IF($R12="","",SUMIFS($H$6:$H$405,$C$6:$C$405,$R12))</f>
        <v/>
      </c>
      <c r="X12" s="30">
        <f>IF($R12="","",SUMIFS($I$6:$I$405,$C$6:$C$405,$R12))</f>
        <v/>
      </c>
      <c r="Y12" s="30">
        <f>IF($R12="","",SUMIFS($J$6:$J$405,$C$6:$C$405,$R12))</f>
        <v/>
      </c>
      <c r="Z12" s="30">
        <f>IF($R12="","",SUMIFS($K$6:$K$405,$C$6:$C$405,$R12))</f>
        <v/>
      </c>
      <c r="AA12" s="30">
        <f>IF($R12="","",SUMIFS($L$6:$L$405,$C$6:$C$405,$R12))</f>
        <v/>
      </c>
      <c r="AB12" s="30">
        <f>IF($R12="","",COUNTIF($C$6:$C$405,$R12))</f>
        <v/>
      </c>
    </row>
    <row r="13">
      <c r="A13" s="25" t="n"/>
      <c r="B13" s="26">
        <f>IF(A13="","",CHOOSE(WEEKDAY(A13,2),"Mo","Di","Mi","Do","Fr","Sa","So"))</f>
        <v/>
      </c>
      <c r="C13" s="6" t="n"/>
      <c r="D13" s="27" t="n"/>
      <c r="E13" s="9" t="n"/>
      <c r="F13" s="9" t="n"/>
      <c r="G13" s="9" t="n"/>
      <c r="H13" s="26">
        <f>IF(COUNT(E13:G13)=0,"",SUM(E13:G13))</f>
        <v/>
      </c>
      <c r="I13" s="9" t="n"/>
      <c r="J13" s="9" t="n"/>
      <c r="K13" s="9" t="n"/>
      <c r="L13" s="9" t="n"/>
      <c r="M13" s="26">
        <f>IF(COUNT(I13:L13)=0,"",SUM(I13:L13))</f>
        <v/>
      </c>
      <c r="N13" s="6" t="n"/>
      <c r="O13" s="28" t="n"/>
      <c r="P13" s="28" t="n"/>
      <c r="R13" s="29">
        <f>IF(LISTEN!$A$9="","",LISTEN!$A$9)</f>
        <v/>
      </c>
      <c r="S13" s="30">
        <f>IF($R13="","",SUMIFS($D$6:$D$405,$C$6:$C$405,$R13))</f>
        <v/>
      </c>
      <c r="T13" s="30">
        <f>IF($R13="","",SUMIFS($E$6:$E$405,$C$6:$C$405,$R13))</f>
        <v/>
      </c>
      <c r="U13" s="30">
        <f>IF($R13="","",SUMIFS($F$6:$F$405,$C$6:$C$405,$R13))</f>
        <v/>
      </c>
      <c r="V13" s="30">
        <f>IF($R13="","",SUMIFS($G$6:$G$405,$C$6:$C$405,$R13))</f>
        <v/>
      </c>
      <c r="W13" s="30">
        <f>IF($R13="","",SUMIFS($H$6:$H$405,$C$6:$C$405,$R13))</f>
        <v/>
      </c>
      <c r="X13" s="30">
        <f>IF($R13="","",SUMIFS($I$6:$I$405,$C$6:$C$405,$R13))</f>
        <v/>
      </c>
      <c r="Y13" s="30">
        <f>IF($R13="","",SUMIFS($J$6:$J$405,$C$6:$C$405,$R13))</f>
        <v/>
      </c>
      <c r="Z13" s="30">
        <f>IF($R13="","",SUMIFS($K$6:$K$405,$C$6:$C$405,$R13))</f>
        <v/>
      </c>
      <c r="AA13" s="30">
        <f>IF($R13="","",SUMIFS($L$6:$L$405,$C$6:$C$405,$R13))</f>
        <v/>
      </c>
      <c r="AB13" s="30">
        <f>IF($R13="","",COUNTIF($C$6:$C$405,$R13))</f>
        <v/>
      </c>
    </row>
    <row r="14">
      <c r="A14" s="25" t="n"/>
      <c r="B14" s="26">
        <f>IF(A14="","",CHOOSE(WEEKDAY(A14,2),"Mo","Di","Mi","Do","Fr","Sa","So"))</f>
        <v/>
      </c>
      <c r="C14" s="6" t="n"/>
      <c r="D14" s="27" t="n"/>
      <c r="E14" s="9" t="n"/>
      <c r="F14" s="9" t="n"/>
      <c r="G14" s="9" t="n"/>
      <c r="H14" s="26">
        <f>IF(COUNT(E14:G14)=0,"",SUM(E14:G14))</f>
        <v/>
      </c>
      <c r="I14" s="9" t="n"/>
      <c r="J14" s="9" t="n"/>
      <c r="K14" s="9" t="n"/>
      <c r="L14" s="9" t="n"/>
      <c r="M14" s="26">
        <f>IF(COUNT(I14:L14)=0,"",SUM(I14:L14))</f>
        <v/>
      </c>
      <c r="N14" s="6" t="n"/>
      <c r="O14" s="28" t="n"/>
      <c r="P14" s="28" t="n"/>
      <c r="R14" s="29">
        <f>IF(LISTEN!$A$10="","",LISTEN!$A$10)</f>
        <v/>
      </c>
      <c r="S14" s="30">
        <f>IF($R14="","",SUMIFS($D$6:$D$405,$C$6:$C$405,$R14))</f>
        <v/>
      </c>
      <c r="T14" s="30">
        <f>IF($R14="","",SUMIFS($E$6:$E$405,$C$6:$C$405,$R14))</f>
        <v/>
      </c>
      <c r="U14" s="30">
        <f>IF($R14="","",SUMIFS($F$6:$F$405,$C$6:$C$405,$R14))</f>
        <v/>
      </c>
      <c r="V14" s="30">
        <f>IF($R14="","",SUMIFS($G$6:$G$405,$C$6:$C$405,$R14))</f>
        <v/>
      </c>
      <c r="W14" s="30">
        <f>IF($R14="","",SUMIFS($H$6:$H$405,$C$6:$C$405,$R14))</f>
        <v/>
      </c>
      <c r="X14" s="30">
        <f>IF($R14="","",SUMIFS($I$6:$I$405,$C$6:$C$405,$R14))</f>
        <v/>
      </c>
      <c r="Y14" s="30">
        <f>IF($R14="","",SUMIFS($J$6:$J$405,$C$6:$C$405,$R14))</f>
        <v/>
      </c>
      <c r="Z14" s="30">
        <f>IF($R14="","",SUMIFS($K$6:$K$405,$C$6:$C$405,$R14))</f>
        <v/>
      </c>
      <c r="AA14" s="30">
        <f>IF($R14="","",SUMIFS($L$6:$L$405,$C$6:$C$405,$R14))</f>
        <v/>
      </c>
      <c r="AB14" s="30">
        <f>IF($R14="","",COUNTIF($C$6:$C$405,$R14))</f>
        <v/>
      </c>
    </row>
    <row r="15">
      <c r="A15" s="25" t="n"/>
      <c r="B15" s="26">
        <f>IF(A15="","",CHOOSE(WEEKDAY(A15,2),"Mo","Di","Mi","Do","Fr","Sa","So"))</f>
        <v/>
      </c>
      <c r="C15" s="6" t="n"/>
      <c r="D15" s="27" t="n"/>
      <c r="E15" s="9" t="n"/>
      <c r="F15" s="9" t="n"/>
      <c r="G15" s="9" t="n"/>
      <c r="H15" s="26">
        <f>IF(COUNT(E15:G15)=0,"",SUM(E15:G15))</f>
        <v/>
      </c>
      <c r="I15" s="9" t="n"/>
      <c r="J15" s="9" t="n"/>
      <c r="K15" s="9" t="n"/>
      <c r="L15" s="9" t="n"/>
      <c r="M15" s="26">
        <f>IF(COUNT(I15:L15)=0,"",SUM(I15:L15))</f>
        <v/>
      </c>
      <c r="N15" s="6" t="n"/>
      <c r="O15" s="28" t="n"/>
      <c r="P15" s="28" t="n"/>
      <c r="R15" s="29">
        <f>IF(LISTEN!$A$11="","",LISTEN!$A$11)</f>
        <v/>
      </c>
      <c r="S15" s="30">
        <f>IF($R15="","",SUMIFS($D$6:$D$405,$C$6:$C$405,$R15))</f>
        <v/>
      </c>
      <c r="T15" s="30">
        <f>IF($R15="","",SUMIFS($E$6:$E$405,$C$6:$C$405,$R15))</f>
        <v/>
      </c>
      <c r="U15" s="30">
        <f>IF($R15="","",SUMIFS($F$6:$F$405,$C$6:$C$405,$R15))</f>
        <v/>
      </c>
      <c r="V15" s="30">
        <f>IF($R15="","",SUMIFS($G$6:$G$405,$C$6:$C$405,$R15))</f>
        <v/>
      </c>
      <c r="W15" s="30">
        <f>IF($R15="","",SUMIFS($H$6:$H$405,$C$6:$C$405,$R15))</f>
        <v/>
      </c>
      <c r="X15" s="30">
        <f>IF($R15="","",SUMIFS($I$6:$I$405,$C$6:$C$405,$R15))</f>
        <v/>
      </c>
      <c r="Y15" s="30">
        <f>IF($R15="","",SUMIFS($J$6:$J$405,$C$6:$C$405,$R15))</f>
        <v/>
      </c>
      <c r="Z15" s="30">
        <f>IF($R15="","",SUMIFS($K$6:$K$405,$C$6:$C$405,$R15))</f>
        <v/>
      </c>
      <c r="AA15" s="30">
        <f>IF($R15="","",SUMIFS($L$6:$L$405,$C$6:$C$405,$R15))</f>
        <v/>
      </c>
      <c r="AB15" s="30">
        <f>IF($R15="","",COUNTIF($C$6:$C$405,$R15))</f>
        <v/>
      </c>
    </row>
    <row r="16">
      <c r="A16" s="25" t="n"/>
      <c r="B16" s="26">
        <f>IF(A16="","",CHOOSE(WEEKDAY(A16,2),"Mo","Di","Mi","Do","Fr","Sa","So"))</f>
        <v/>
      </c>
      <c r="C16" s="6" t="n"/>
      <c r="D16" s="27" t="n"/>
      <c r="E16" s="9" t="n"/>
      <c r="F16" s="9" t="n"/>
      <c r="G16" s="9" t="n"/>
      <c r="H16" s="26">
        <f>IF(COUNT(E16:G16)=0,"",SUM(E16:G16))</f>
        <v/>
      </c>
      <c r="I16" s="9" t="n"/>
      <c r="J16" s="9" t="n"/>
      <c r="K16" s="9" t="n"/>
      <c r="L16" s="9" t="n"/>
      <c r="M16" s="26">
        <f>IF(COUNT(I16:L16)=0,"",SUM(I16:L16))</f>
        <v/>
      </c>
      <c r="N16" s="6" t="n"/>
      <c r="O16" s="28" t="n"/>
      <c r="P16" s="28" t="n"/>
      <c r="R16" s="29">
        <f>IF(LISTEN!$A$12="","",LISTEN!$A$12)</f>
        <v/>
      </c>
      <c r="S16" s="30">
        <f>IF($R16="","",SUMIFS($D$6:$D$405,$C$6:$C$405,$R16))</f>
        <v/>
      </c>
      <c r="T16" s="30">
        <f>IF($R16="","",SUMIFS($E$6:$E$405,$C$6:$C$405,$R16))</f>
        <v/>
      </c>
      <c r="U16" s="30">
        <f>IF($R16="","",SUMIFS($F$6:$F$405,$C$6:$C$405,$R16))</f>
        <v/>
      </c>
      <c r="V16" s="30">
        <f>IF($R16="","",SUMIFS($G$6:$G$405,$C$6:$C$405,$R16))</f>
        <v/>
      </c>
      <c r="W16" s="30">
        <f>IF($R16="","",SUMIFS($H$6:$H$405,$C$6:$C$405,$R16))</f>
        <v/>
      </c>
      <c r="X16" s="30">
        <f>IF($R16="","",SUMIFS($I$6:$I$405,$C$6:$C$405,$R16))</f>
        <v/>
      </c>
      <c r="Y16" s="30">
        <f>IF($R16="","",SUMIFS($J$6:$J$405,$C$6:$C$405,$R16))</f>
        <v/>
      </c>
      <c r="Z16" s="30">
        <f>IF($R16="","",SUMIFS($K$6:$K$405,$C$6:$C$405,$R16))</f>
        <v/>
      </c>
      <c r="AA16" s="30">
        <f>IF($R16="","",SUMIFS($L$6:$L$405,$C$6:$C$405,$R16))</f>
        <v/>
      </c>
      <c r="AB16" s="30">
        <f>IF($R16="","",COUNTIF($C$6:$C$405,$R16))</f>
        <v/>
      </c>
    </row>
    <row r="17">
      <c r="A17" s="25" t="n"/>
      <c r="B17" s="26">
        <f>IF(A17="","",CHOOSE(WEEKDAY(A17,2),"Mo","Di","Mi","Do","Fr","Sa","So"))</f>
        <v/>
      </c>
      <c r="C17" s="6" t="n"/>
      <c r="D17" s="27" t="n"/>
      <c r="E17" s="9" t="n"/>
      <c r="F17" s="9" t="n"/>
      <c r="G17" s="9" t="n"/>
      <c r="H17" s="26">
        <f>IF(COUNT(E17:G17)=0,"",SUM(E17:G17))</f>
        <v/>
      </c>
      <c r="I17" s="9" t="n"/>
      <c r="J17" s="9" t="n"/>
      <c r="K17" s="9" t="n"/>
      <c r="L17" s="9" t="n"/>
      <c r="M17" s="26">
        <f>IF(COUNT(I17:L17)=0,"",SUM(I17:L17))</f>
        <v/>
      </c>
      <c r="N17" s="6" t="n"/>
      <c r="O17" s="28" t="n"/>
      <c r="P17" s="28" t="n"/>
      <c r="R17" s="29">
        <f>IF(LISTEN!$A$13="","",LISTEN!$A$13)</f>
        <v/>
      </c>
      <c r="S17" s="30">
        <f>IF($R17="","",SUMIFS($D$6:$D$405,$C$6:$C$405,$R17))</f>
        <v/>
      </c>
      <c r="T17" s="30">
        <f>IF($R17="","",SUMIFS($E$6:$E$405,$C$6:$C$405,$R17))</f>
        <v/>
      </c>
      <c r="U17" s="30">
        <f>IF($R17="","",SUMIFS($F$6:$F$405,$C$6:$C$405,$R17))</f>
        <v/>
      </c>
      <c r="V17" s="30">
        <f>IF($R17="","",SUMIFS($G$6:$G$405,$C$6:$C$405,$R17))</f>
        <v/>
      </c>
      <c r="W17" s="30">
        <f>IF($R17="","",SUMIFS($H$6:$H$405,$C$6:$C$405,$R17))</f>
        <v/>
      </c>
      <c r="X17" s="30">
        <f>IF($R17="","",SUMIFS($I$6:$I$405,$C$6:$C$405,$R17))</f>
        <v/>
      </c>
      <c r="Y17" s="30">
        <f>IF($R17="","",SUMIFS($J$6:$J$405,$C$6:$C$405,$R17))</f>
        <v/>
      </c>
      <c r="Z17" s="30">
        <f>IF($R17="","",SUMIFS($K$6:$K$405,$C$6:$C$405,$R17))</f>
        <v/>
      </c>
      <c r="AA17" s="30">
        <f>IF($R17="","",SUMIFS($L$6:$L$405,$C$6:$C$405,$R17))</f>
        <v/>
      </c>
      <c r="AB17" s="30">
        <f>IF($R17="","",COUNTIF($C$6:$C$405,$R17))</f>
        <v/>
      </c>
    </row>
    <row r="18">
      <c r="A18" s="25" t="n"/>
      <c r="B18" s="26">
        <f>IF(A18="","",CHOOSE(WEEKDAY(A18,2),"Mo","Di","Mi","Do","Fr","Sa","So"))</f>
        <v/>
      </c>
      <c r="C18" s="6" t="n"/>
      <c r="D18" s="27" t="n"/>
      <c r="E18" s="9" t="n"/>
      <c r="F18" s="9" t="n"/>
      <c r="G18" s="9" t="n"/>
      <c r="H18" s="26">
        <f>IF(COUNT(E18:G18)=0,"",SUM(E18:G18))</f>
        <v/>
      </c>
      <c r="I18" s="9" t="n"/>
      <c r="J18" s="9" t="n"/>
      <c r="K18" s="9" t="n"/>
      <c r="L18" s="9" t="n"/>
      <c r="M18" s="26">
        <f>IF(COUNT(I18:L18)=0,"",SUM(I18:L18))</f>
        <v/>
      </c>
      <c r="N18" s="6" t="n"/>
      <c r="O18" s="28" t="n"/>
      <c r="P18" s="28" t="n"/>
      <c r="R18" s="29">
        <f>IF(LISTEN!$A$14="","",LISTEN!$A$14)</f>
        <v/>
      </c>
      <c r="S18" s="30">
        <f>IF($R18="","",SUMIFS($D$6:$D$405,$C$6:$C$405,$R18))</f>
        <v/>
      </c>
      <c r="T18" s="30">
        <f>IF($R18="","",SUMIFS($E$6:$E$405,$C$6:$C$405,$R18))</f>
        <v/>
      </c>
      <c r="U18" s="30">
        <f>IF($R18="","",SUMIFS($F$6:$F$405,$C$6:$C$405,$R18))</f>
        <v/>
      </c>
      <c r="V18" s="30">
        <f>IF($R18="","",SUMIFS($G$6:$G$405,$C$6:$C$405,$R18))</f>
        <v/>
      </c>
      <c r="W18" s="30">
        <f>IF($R18="","",SUMIFS($H$6:$H$405,$C$6:$C$405,$R18))</f>
        <v/>
      </c>
      <c r="X18" s="30">
        <f>IF($R18="","",SUMIFS($I$6:$I$405,$C$6:$C$405,$R18))</f>
        <v/>
      </c>
      <c r="Y18" s="30">
        <f>IF($R18="","",SUMIFS($J$6:$J$405,$C$6:$C$405,$R18))</f>
        <v/>
      </c>
      <c r="Z18" s="30">
        <f>IF($R18="","",SUMIFS($K$6:$K$405,$C$6:$C$405,$R18))</f>
        <v/>
      </c>
      <c r="AA18" s="30">
        <f>IF($R18="","",SUMIFS($L$6:$L$405,$C$6:$C$405,$R18))</f>
        <v/>
      </c>
      <c r="AB18" s="30">
        <f>IF($R18="","",COUNTIF($C$6:$C$405,$R18))</f>
        <v/>
      </c>
    </row>
    <row r="19">
      <c r="A19" s="25" t="n"/>
      <c r="B19" s="26">
        <f>IF(A19="","",CHOOSE(WEEKDAY(A19,2),"Mo","Di","Mi","Do","Fr","Sa","So"))</f>
        <v/>
      </c>
      <c r="C19" s="6" t="n"/>
      <c r="D19" s="27" t="n"/>
      <c r="E19" s="9" t="n"/>
      <c r="F19" s="9" t="n"/>
      <c r="G19" s="9" t="n"/>
      <c r="H19" s="26">
        <f>IF(COUNT(E19:G19)=0,"",SUM(E19:G19))</f>
        <v/>
      </c>
      <c r="I19" s="9" t="n"/>
      <c r="J19" s="9" t="n"/>
      <c r="K19" s="9" t="n"/>
      <c r="L19" s="9" t="n"/>
      <c r="M19" s="26">
        <f>IF(COUNT(I19:L19)=0,"",SUM(I19:L19))</f>
        <v/>
      </c>
      <c r="N19" s="6" t="n"/>
      <c r="O19" s="28" t="n"/>
      <c r="P19" s="28" t="n"/>
      <c r="R19" s="29">
        <f>IF(LISTEN!$A$15="","",LISTEN!$A$15)</f>
        <v/>
      </c>
      <c r="S19" s="30">
        <f>IF($R19="","",SUMIFS($D$6:$D$405,$C$6:$C$405,$R19))</f>
        <v/>
      </c>
      <c r="T19" s="30">
        <f>IF($R19="","",SUMIFS($E$6:$E$405,$C$6:$C$405,$R19))</f>
        <v/>
      </c>
      <c r="U19" s="30">
        <f>IF($R19="","",SUMIFS($F$6:$F$405,$C$6:$C$405,$R19))</f>
        <v/>
      </c>
      <c r="V19" s="30">
        <f>IF($R19="","",SUMIFS($G$6:$G$405,$C$6:$C$405,$R19))</f>
        <v/>
      </c>
      <c r="W19" s="30">
        <f>IF($R19="","",SUMIFS($H$6:$H$405,$C$6:$C$405,$R19))</f>
        <v/>
      </c>
      <c r="X19" s="30">
        <f>IF($R19="","",SUMIFS($I$6:$I$405,$C$6:$C$405,$R19))</f>
        <v/>
      </c>
      <c r="Y19" s="30">
        <f>IF($R19="","",SUMIFS($J$6:$J$405,$C$6:$C$405,$R19))</f>
        <v/>
      </c>
      <c r="Z19" s="30">
        <f>IF($R19="","",SUMIFS($K$6:$K$405,$C$6:$C$405,$R19))</f>
        <v/>
      </c>
      <c r="AA19" s="30">
        <f>IF($R19="","",SUMIFS($L$6:$L$405,$C$6:$C$405,$R19))</f>
        <v/>
      </c>
      <c r="AB19" s="30">
        <f>IF($R19="","",COUNTIF($C$6:$C$405,$R19))</f>
        <v/>
      </c>
    </row>
    <row r="20">
      <c r="A20" s="25" t="n"/>
      <c r="B20" s="26">
        <f>IF(A20="","",CHOOSE(WEEKDAY(A20,2),"Mo","Di","Mi","Do","Fr","Sa","So"))</f>
        <v/>
      </c>
      <c r="C20" s="6" t="n"/>
      <c r="D20" s="27" t="n"/>
      <c r="E20" s="9" t="n"/>
      <c r="F20" s="9" t="n"/>
      <c r="G20" s="9" t="n"/>
      <c r="H20" s="26">
        <f>IF(COUNT(E20:G20)=0,"",SUM(E20:G20))</f>
        <v/>
      </c>
      <c r="I20" s="9" t="n"/>
      <c r="J20" s="9" t="n"/>
      <c r="K20" s="9" t="n"/>
      <c r="L20" s="9" t="n"/>
      <c r="M20" s="26">
        <f>IF(COUNT(I20:L20)=0,"",SUM(I20:L20))</f>
        <v/>
      </c>
      <c r="N20" s="6" t="n"/>
      <c r="O20" s="28" t="n"/>
      <c r="P20" s="28" t="n"/>
      <c r="R20" s="29">
        <f>IF(LISTEN!$A$16="","",LISTEN!$A$16)</f>
        <v/>
      </c>
      <c r="S20" s="30">
        <f>IF($R20="","",SUMIFS($D$6:$D$405,$C$6:$C$405,$R20))</f>
        <v/>
      </c>
      <c r="T20" s="30">
        <f>IF($R20="","",SUMIFS($E$6:$E$405,$C$6:$C$405,$R20))</f>
        <v/>
      </c>
      <c r="U20" s="30">
        <f>IF($R20="","",SUMIFS($F$6:$F$405,$C$6:$C$405,$R20))</f>
        <v/>
      </c>
      <c r="V20" s="30">
        <f>IF($R20="","",SUMIFS($G$6:$G$405,$C$6:$C$405,$R20))</f>
        <v/>
      </c>
      <c r="W20" s="30">
        <f>IF($R20="","",SUMIFS($H$6:$H$405,$C$6:$C$405,$R20))</f>
        <v/>
      </c>
      <c r="X20" s="30">
        <f>IF($R20="","",SUMIFS($I$6:$I$405,$C$6:$C$405,$R20))</f>
        <v/>
      </c>
      <c r="Y20" s="30">
        <f>IF($R20="","",SUMIFS($J$6:$J$405,$C$6:$C$405,$R20))</f>
        <v/>
      </c>
      <c r="Z20" s="30">
        <f>IF($R20="","",SUMIFS($K$6:$K$405,$C$6:$C$405,$R20))</f>
        <v/>
      </c>
      <c r="AA20" s="30">
        <f>IF($R20="","",SUMIFS($L$6:$L$405,$C$6:$C$405,$R20))</f>
        <v/>
      </c>
      <c r="AB20" s="30">
        <f>IF($R20="","",COUNTIF($C$6:$C$405,$R20))</f>
        <v/>
      </c>
    </row>
    <row r="21">
      <c r="A21" s="25" t="n"/>
      <c r="B21" s="26">
        <f>IF(A21="","",CHOOSE(WEEKDAY(A21,2),"Mo","Di","Mi","Do","Fr","Sa","So"))</f>
        <v/>
      </c>
      <c r="C21" s="6" t="n"/>
      <c r="D21" s="27" t="n"/>
      <c r="E21" s="9" t="n"/>
      <c r="F21" s="9" t="n"/>
      <c r="G21" s="9" t="n"/>
      <c r="H21" s="26">
        <f>IF(COUNT(E21:G21)=0,"",SUM(E21:G21))</f>
        <v/>
      </c>
      <c r="I21" s="9" t="n"/>
      <c r="J21" s="9" t="n"/>
      <c r="K21" s="9" t="n"/>
      <c r="L21" s="9" t="n"/>
      <c r="M21" s="26">
        <f>IF(COUNT(I21:L21)=0,"",SUM(I21:L21))</f>
        <v/>
      </c>
      <c r="N21" s="6" t="n"/>
      <c r="O21" s="28" t="n"/>
      <c r="P21" s="28" t="n"/>
      <c r="R21" s="29">
        <f>IF(LISTEN!$A$17="","",LISTEN!$A$17)</f>
        <v/>
      </c>
      <c r="S21" s="30">
        <f>IF($R21="","",SUMIFS($D$6:$D$405,$C$6:$C$405,$R21))</f>
        <v/>
      </c>
      <c r="T21" s="30">
        <f>IF($R21="","",SUMIFS($E$6:$E$405,$C$6:$C$405,$R21))</f>
        <v/>
      </c>
      <c r="U21" s="30">
        <f>IF($R21="","",SUMIFS($F$6:$F$405,$C$6:$C$405,$R21))</f>
        <v/>
      </c>
      <c r="V21" s="30">
        <f>IF($R21="","",SUMIFS($G$6:$G$405,$C$6:$C$405,$R21))</f>
        <v/>
      </c>
      <c r="W21" s="30">
        <f>IF($R21="","",SUMIFS($H$6:$H$405,$C$6:$C$405,$R21))</f>
        <v/>
      </c>
      <c r="X21" s="30">
        <f>IF($R21="","",SUMIFS($I$6:$I$405,$C$6:$C$405,$R21))</f>
        <v/>
      </c>
      <c r="Y21" s="30">
        <f>IF($R21="","",SUMIFS($J$6:$J$405,$C$6:$C$405,$R21))</f>
        <v/>
      </c>
      <c r="Z21" s="30">
        <f>IF($R21="","",SUMIFS($K$6:$K$405,$C$6:$C$405,$R21))</f>
        <v/>
      </c>
      <c r="AA21" s="30">
        <f>IF($R21="","",SUMIFS($L$6:$L$405,$C$6:$C$405,$R21))</f>
        <v/>
      </c>
      <c r="AB21" s="30">
        <f>IF($R21="","",COUNTIF($C$6:$C$405,$R21))</f>
        <v/>
      </c>
    </row>
    <row r="22">
      <c r="A22" s="25" t="n"/>
      <c r="B22" s="26">
        <f>IF(A22="","",CHOOSE(WEEKDAY(A22,2),"Mo","Di","Mi","Do","Fr","Sa","So"))</f>
        <v/>
      </c>
      <c r="C22" s="6" t="n"/>
      <c r="D22" s="27" t="n"/>
      <c r="E22" s="9" t="n"/>
      <c r="F22" s="9" t="n"/>
      <c r="G22" s="9" t="n"/>
      <c r="H22" s="26">
        <f>IF(COUNT(E22:G22)=0,"",SUM(E22:G22))</f>
        <v/>
      </c>
      <c r="I22" s="9" t="n"/>
      <c r="J22" s="9" t="n"/>
      <c r="K22" s="9" t="n"/>
      <c r="L22" s="9" t="n"/>
      <c r="M22" s="26">
        <f>IF(COUNT(I22:L22)=0,"",SUM(I22:L22))</f>
        <v/>
      </c>
      <c r="N22" s="6" t="n"/>
      <c r="O22" s="28" t="n"/>
      <c r="P22" s="28" t="n"/>
      <c r="R22" s="29">
        <f>IF(LISTEN!$A$18="","",LISTEN!$A$18)</f>
        <v/>
      </c>
      <c r="S22" s="30">
        <f>IF($R22="","",SUMIFS($D$6:$D$405,$C$6:$C$405,$R22))</f>
        <v/>
      </c>
      <c r="T22" s="30">
        <f>IF($R22="","",SUMIFS($E$6:$E$405,$C$6:$C$405,$R22))</f>
        <v/>
      </c>
      <c r="U22" s="30">
        <f>IF($R22="","",SUMIFS($F$6:$F$405,$C$6:$C$405,$R22))</f>
        <v/>
      </c>
      <c r="V22" s="30">
        <f>IF($R22="","",SUMIFS($G$6:$G$405,$C$6:$C$405,$R22))</f>
        <v/>
      </c>
      <c r="W22" s="30">
        <f>IF($R22="","",SUMIFS($H$6:$H$405,$C$6:$C$405,$R22))</f>
        <v/>
      </c>
      <c r="X22" s="30">
        <f>IF($R22="","",SUMIFS($I$6:$I$405,$C$6:$C$405,$R22))</f>
        <v/>
      </c>
      <c r="Y22" s="30">
        <f>IF($R22="","",SUMIFS($J$6:$J$405,$C$6:$C$405,$R22))</f>
        <v/>
      </c>
      <c r="Z22" s="30">
        <f>IF($R22="","",SUMIFS($K$6:$K$405,$C$6:$C$405,$R22))</f>
        <v/>
      </c>
      <c r="AA22" s="30">
        <f>IF($R22="","",SUMIFS($L$6:$L$405,$C$6:$C$405,$R22))</f>
        <v/>
      </c>
      <c r="AB22" s="30">
        <f>IF($R22="","",COUNTIF($C$6:$C$405,$R22))</f>
        <v/>
      </c>
    </row>
    <row r="23">
      <c r="A23" s="25" t="n"/>
      <c r="B23" s="26">
        <f>IF(A23="","",CHOOSE(WEEKDAY(A23,2),"Mo","Di","Mi","Do","Fr","Sa","So"))</f>
        <v/>
      </c>
      <c r="C23" s="6" t="n"/>
      <c r="D23" s="27" t="n"/>
      <c r="E23" s="9" t="n"/>
      <c r="F23" s="9" t="n"/>
      <c r="G23" s="9" t="n"/>
      <c r="H23" s="26">
        <f>IF(COUNT(E23:G23)=0,"",SUM(E23:G23))</f>
        <v/>
      </c>
      <c r="I23" s="9" t="n"/>
      <c r="J23" s="9" t="n"/>
      <c r="K23" s="9" t="n"/>
      <c r="L23" s="9" t="n"/>
      <c r="M23" s="26">
        <f>IF(COUNT(I23:L23)=0,"",SUM(I23:L23))</f>
        <v/>
      </c>
      <c r="N23" s="6" t="n"/>
      <c r="O23" s="28" t="n"/>
      <c r="P23" s="28" t="n"/>
      <c r="R23" s="29">
        <f>IF(LISTEN!$A$19="","",LISTEN!$A$19)</f>
        <v/>
      </c>
      <c r="S23" s="30">
        <f>IF($R23="","",SUMIFS($D$6:$D$405,$C$6:$C$405,$R23))</f>
        <v/>
      </c>
      <c r="T23" s="30">
        <f>IF($R23="","",SUMIFS($E$6:$E$405,$C$6:$C$405,$R23))</f>
        <v/>
      </c>
      <c r="U23" s="30">
        <f>IF($R23="","",SUMIFS($F$6:$F$405,$C$6:$C$405,$R23))</f>
        <v/>
      </c>
      <c r="V23" s="30">
        <f>IF($R23="","",SUMIFS($G$6:$G$405,$C$6:$C$405,$R23))</f>
        <v/>
      </c>
      <c r="W23" s="30">
        <f>IF($R23="","",SUMIFS($H$6:$H$405,$C$6:$C$405,$R23))</f>
        <v/>
      </c>
      <c r="X23" s="30">
        <f>IF($R23="","",SUMIFS($I$6:$I$405,$C$6:$C$405,$R23))</f>
        <v/>
      </c>
      <c r="Y23" s="30">
        <f>IF($R23="","",SUMIFS($J$6:$J$405,$C$6:$C$405,$R23))</f>
        <v/>
      </c>
      <c r="Z23" s="30">
        <f>IF($R23="","",SUMIFS($K$6:$K$405,$C$6:$C$405,$R23))</f>
        <v/>
      </c>
      <c r="AA23" s="30">
        <f>IF($R23="","",SUMIFS($L$6:$L$405,$C$6:$C$405,$R23))</f>
        <v/>
      </c>
      <c r="AB23" s="30">
        <f>IF($R23="","",COUNTIF($C$6:$C$405,$R23))</f>
        <v/>
      </c>
    </row>
    <row r="24">
      <c r="A24" s="25" t="n"/>
      <c r="B24" s="26">
        <f>IF(A24="","",CHOOSE(WEEKDAY(A24,2),"Mo","Di","Mi","Do","Fr","Sa","So"))</f>
        <v/>
      </c>
      <c r="C24" s="6" t="n"/>
      <c r="D24" s="27" t="n"/>
      <c r="E24" s="9" t="n"/>
      <c r="F24" s="9" t="n"/>
      <c r="G24" s="9" t="n"/>
      <c r="H24" s="26">
        <f>IF(COUNT(E24:G24)=0,"",SUM(E24:G24))</f>
        <v/>
      </c>
      <c r="I24" s="9" t="n"/>
      <c r="J24" s="9" t="n"/>
      <c r="K24" s="9" t="n"/>
      <c r="L24" s="9" t="n"/>
      <c r="M24" s="26">
        <f>IF(COUNT(I24:L24)=0,"",SUM(I24:L24))</f>
        <v/>
      </c>
      <c r="N24" s="6" t="n"/>
      <c r="O24" s="28" t="n"/>
      <c r="P24" s="28" t="n"/>
      <c r="R24" s="29">
        <f>IF(LISTEN!$A$20="","",LISTEN!$A$20)</f>
        <v/>
      </c>
      <c r="S24" s="30">
        <f>IF($R24="","",SUMIFS($D$6:$D$405,$C$6:$C$405,$R24))</f>
        <v/>
      </c>
      <c r="T24" s="30">
        <f>IF($R24="","",SUMIFS($E$6:$E$405,$C$6:$C$405,$R24))</f>
        <v/>
      </c>
      <c r="U24" s="30">
        <f>IF($R24="","",SUMIFS($F$6:$F$405,$C$6:$C$405,$R24))</f>
        <v/>
      </c>
      <c r="V24" s="30">
        <f>IF($R24="","",SUMIFS($G$6:$G$405,$C$6:$C$405,$R24))</f>
        <v/>
      </c>
      <c r="W24" s="30">
        <f>IF($R24="","",SUMIFS($H$6:$H$405,$C$6:$C$405,$R24))</f>
        <v/>
      </c>
      <c r="X24" s="30">
        <f>IF($R24="","",SUMIFS($I$6:$I$405,$C$6:$C$405,$R24))</f>
        <v/>
      </c>
      <c r="Y24" s="30">
        <f>IF($R24="","",SUMIFS($J$6:$J$405,$C$6:$C$405,$R24))</f>
        <v/>
      </c>
      <c r="Z24" s="30">
        <f>IF($R24="","",SUMIFS($K$6:$K$405,$C$6:$C$405,$R24))</f>
        <v/>
      </c>
      <c r="AA24" s="30">
        <f>IF($R24="","",SUMIFS($L$6:$L$405,$C$6:$C$405,$R24))</f>
        <v/>
      </c>
      <c r="AB24" s="30">
        <f>IF($R24="","",COUNTIF($C$6:$C$405,$R24))</f>
        <v/>
      </c>
    </row>
    <row r="25">
      <c r="A25" s="25" t="n"/>
      <c r="B25" s="26">
        <f>IF(A25="","",CHOOSE(WEEKDAY(A25,2),"Mo","Di","Mi","Do","Fr","Sa","So"))</f>
        <v/>
      </c>
      <c r="C25" s="6" t="n"/>
      <c r="D25" s="27" t="n"/>
      <c r="E25" s="9" t="n"/>
      <c r="F25" s="9" t="n"/>
      <c r="G25" s="9" t="n"/>
      <c r="H25" s="26">
        <f>IF(COUNT(E25:G25)=0,"",SUM(E25:G25))</f>
        <v/>
      </c>
      <c r="I25" s="9" t="n"/>
      <c r="J25" s="9" t="n"/>
      <c r="K25" s="9" t="n"/>
      <c r="L25" s="9" t="n"/>
      <c r="M25" s="26">
        <f>IF(COUNT(I25:L25)=0,"",SUM(I25:L25))</f>
        <v/>
      </c>
      <c r="N25" s="6" t="n"/>
      <c r="O25" s="28" t="n"/>
      <c r="P25" s="28" t="n"/>
      <c r="R25" s="29">
        <f>IF(LISTEN!$A$21="","",LISTEN!$A$21)</f>
        <v/>
      </c>
      <c r="S25" s="30">
        <f>IF($R25="","",SUMIFS($D$6:$D$405,$C$6:$C$405,$R25))</f>
        <v/>
      </c>
      <c r="T25" s="30">
        <f>IF($R25="","",SUMIFS($E$6:$E$405,$C$6:$C$405,$R25))</f>
        <v/>
      </c>
      <c r="U25" s="30">
        <f>IF($R25="","",SUMIFS($F$6:$F$405,$C$6:$C$405,$R25))</f>
        <v/>
      </c>
      <c r="V25" s="30">
        <f>IF($R25="","",SUMIFS($G$6:$G$405,$C$6:$C$405,$R25))</f>
        <v/>
      </c>
      <c r="W25" s="30">
        <f>IF($R25="","",SUMIFS($H$6:$H$405,$C$6:$C$405,$R25))</f>
        <v/>
      </c>
      <c r="X25" s="30">
        <f>IF($R25="","",SUMIFS($I$6:$I$405,$C$6:$C$405,$R25))</f>
        <v/>
      </c>
      <c r="Y25" s="30">
        <f>IF($R25="","",SUMIFS($J$6:$J$405,$C$6:$C$405,$R25))</f>
        <v/>
      </c>
      <c r="Z25" s="30">
        <f>IF($R25="","",SUMIFS($K$6:$K$405,$C$6:$C$405,$R25))</f>
        <v/>
      </c>
      <c r="AA25" s="30">
        <f>IF($R25="","",SUMIFS($L$6:$L$405,$C$6:$C$405,$R25))</f>
        <v/>
      </c>
      <c r="AB25" s="30">
        <f>IF($R25="","",COUNTIF($C$6:$C$405,$R25))</f>
        <v/>
      </c>
    </row>
    <row r="26">
      <c r="A26" s="25" t="n"/>
      <c r="B26" s="26">
        <f>IF(A26="","",CHOOSE(WEEKDAY(A26,2),"Mo","Di","Mi","Do","Fr","Sa","So"))</f>
        <v/>
      </c>
      <c r="C26" s="6" t="n"/>
      <c r="D26" s="27" t="n"/>
      <c r="E26" s="9" t="n"/>
      <c r="F26" s="9" t="n"/>
      <c r="G26" s="9" t="n"/>
      <c r="H26" s="26">
        <f>IF(COUNT(E26:G26)=0,"",SUM(E26:G26))</f>
        <v/>
      </c>
      <c r="I26" s="9" t="n"/>
      <c r="J26" s="9" t="n"/>
      <c r="K26" s="9" t="n"/>
      <c r="L26" s="9" t="n"/>
      <c r="M26" s="26">
        <f>IF(COUNT(I26:L26)=0,"",SUM(I26:L26))</f>
        <v/>
      </c>
      <c r="N26" s="6" t="n"/>
      <c r="O26" s="28" t="n"/>
      <c r="P26" s="28" t="n"/>
      <c r="R26" s="29">
        <f>IF(LISTEN!$A$22="","",LISTEN!$A$22)</f>
        <v/>
      </c>
      <c r="S26" s="30">
        <f>IF($R26="","",SUMIFS($D$6:$D$405,$C$6:$C$405,$R26))</f>
        <v/>
      </c>
      <c r="T26" s="30">
        <f>IF($R26="","",SUMIFS($E$6:$E$405,$C$6:$C$405,$R26))</f>
        <v/>
      </c>
      <c r="U26" s="30">
        <f>IF($R26="","",SUMIFS($F$6:$F$405,$C$6:$C$405,$R26))</f>
        <v/>
      </c>
      <c r="V26" s="30">
        <f>IF($R26="","",SUMIFS($G$6:$G$405,$C$6:$C$405,$R26))</f>
        <v/>
      </c>
      <c r="W26" s="30">
        <f>IF($R26="","",SUMIFS($H$6:$H$405,$C$6:$C$405,$R26))</f>
        <v/>
      </c>
      <c r="X26" s="30">
        <f>IF($R26="","",SUMIFS($I$6:$I$405,$C$6:$C$405,$R26))</f>
        <v/>
      </c>
      <c r="Y26" s="30">
        <f>IF($R26="","",SUMIFS($J$6:$J$405,$C$6:$C$405,$R26))</f>
        <v/>
      </c>
      <c r="Z26" s="30">
        <f>IF($R26="","",SUMIFS($K$6:$K$405,$C$6:$C$405,$R26))</f>
        <v/>
      </c>
      <c r="AA26" s="30">
        <f>IF($R26="","",SUMIFS($L$6:$L$405,$C$6:$C$405,$R26))</f>
        <v/>
      </c>
      <c r="AB26" s="30">
        <f>IF($R26="","",COUNTIF($C$6:$C$405,$R26))</f>
        <v/>
      </c>
    </row>
    <row r="27">
      <c r="A27" s="25" t="n"/>
      <c r="B27" s="26">
        <f>IF(A27="","",CHOOSE(WEEKDAY(A27,2),"Mo","Di","Mi","Do","Fr","Sa","So"))</f>
        <v/>
      </c>
      <c r="C27" s="6" t="n"/>
      <c r="D27" s="27" t="n"/>
      <c r="E27" s="9" t="n"/>
      <c r="F27" s="9" t="n"/>
      <c r="G27" s="9" t="n"/>
      <c r="H27" s="26">
        <f>IF(COUNT(E27:G27)=0,"",SUM(E27:G27))</f>
        <v/>
      </c>
      <c r="I27" s="9" t="n"/>
      <c r="J27" s="9" t="n"/>
      <c r="K27" s="9" t="n"/>
      <c r="L27" s="9" t="n"/>
      <c r="M27" s="26">
        <f>IF(COUNT(I27:L27)=0,"",SUM(I27:L27))</f>
        <v/>
      </c>
      <c r="N27" s="6" t="n"/>
      <c r="O27" s="28" t="n"/>
      <c r="P27" s="28" t="n"/>
      <c r="R27" s="29">
        <f>IF(LISTEN!$A$23="","",LISTEN!$A$23)</f>
        <v/>
      </c>
      <c r="S27" s="30">
        <f>IF($R27="","",SUMIFS($D$6:$D$405,$C$6:$C$405,$R27))</f>
        <v/>
      </c>
      <c r="T27" s="30">
        <f>IF($R27="","",SUMIFS($E$6:$E$405,$C$6:$C$405,$R27))</f>
        <v/>
      </c>
      <c r="U27" s="30">
        <f>IF($R27="","",SUMIFS($F$6:$F$405,$C$6:$C$405,$R27))</f>
        <v/>
      </c>
      <c r="V27" s="30">
        <f>IF($R27="","",SUMIFS($G$6:$G$405,$C$6:$C$405,$R27))</f>
        <v/>
      </c>
      <c r="W27" s="30">
        <f>IF($R27="","",SUMIFS($H$6:$H$405,$C$6:$C$405,$R27))</f>
        <v/>
      </c>
      <c r="X27" s="30">
        <f>IF($R27="","",SUMIFS($I$6:$I$405,$C$6:$C$405,$R27))</f>
        <v/>
      </c>
      <c r="Y27" s="30">
        <f>IF($R27="","",SUMIFS($J$6:$J$405,$C$6:$C$405,$R27))</f>
        <v/>
      </c>
      <c r="Z27" s="30">
        <f>IF($R27="","",SUMIFS($K$6:$K$405,$C$6:$C$405,$R27))</f>
        <v/>
      </c>
      <c r="AA27" s="30">
        <f>IF($R27="","",SUMIFS($L$6:$L$405,$C$6:$C$405,$R27))</f>
        <v/>
      </c>
      <c r="AB27" s="30">
        <f>IF($R27="","",COUNTIF($C$6:$C$405,$R27))</f>
        <v/>
      </c>
    </row>
    <row r="28">
      <c r="A28" s="25" t="n"/>
      <c r="B28" s="26">
        <f>IF(A28="","",CHOOSE(WEEKDAY(A28,2),"Mo","Di","Mi","Do","Fr","Sa","So"))</f>
        <v/>
      </c>
      <c r="C28" s="6" t="n"/>
      <c r="D28" s="27" t="n"/>
      <c r="E28" s="9" t="n"/>
      <c r="F28" s="9" t="n"/>
      <c r="G28" s="9" t="n"/>
      <c r="H28" s="26">
        <f>IF(COUNT(E28:G28)=0,"",SUM(E28:G28))</f>
        <v/>
      </c>
      <c r="I28" s="9" t="n"/>
      <c r="J28" s="9" t="n"/>
      <c r="K28" s="9" t="n"/>
      <c r="L28" s="9" t="n"/>
      <c r="M28" s="26">
        <f>IF(COUNT(I28:L28)=0,"",SUM(I28:L28))</f>
        <v/>
      </c>
      <c r="N28" s="6" t="n"/>
      <c r="O28" s="28" t="n"/>
      <c r="P28" s="28" t="n"/>
      <c r="R28" s="29">
        <f>IF(LISTEN!$A$24="","",LISTEN!$A$24)</f>
        <v/>
      </c>
      <c r="S28" s="30">
        <f>IF($R28="","",SUMIFS($D$6:$D$405,$C$6:$C$405,$R28))</f>
        <v/>
      </c>
      <c r="T28" s="30">
        <f>IF($R28="","",SUMIFS($E$6:$E$405,$C$6:$C$405,$R28))</f>
        <v/>
      </c>
      <c r="U28" s="30">
        <f>IF($R28="","",SUMIFS($F$6:$F$405,$C$6:$C$405,$R28))</f>
        <v/>
      </c>
      <c r="V28" s="30">
        <f>IF($R28="","",SUMIFS($G$6:$G$405,$C$6:$C$405,$R28))</f>
        <v/>
      </c>
      <c r="W28" s="30">
        <f>IF($R28="","",SUMIFS($H$6:$H$405,$C$6:$C$405,$R28))</f>
        <v/>
      </c>
      <c r="X28" s="30">
        <f>IF($R28="","",SUMIFS($I$6:$I$405,$C$6:$C$405,$R28))</f>
        <v/>
      </c>
      <c r="Y28" s="30">
        <f>IF($R28="","",SUMIFS($J$6:$J$405,$C$6:$C$405,$R28))</f>
        <v/>
      </c>
      <c r="Z28" s="30">
        <f>IF($R28="","",SUMIFS($K$6:$K$405,$C$6:$C$405,$R28))</f>
        <v/>
      </c>
      <c r="AA28" s="30">
        <f>IF($R28="","",SUMIFS($L$6:$L$405,$C$6:$C$405,$R28))</f>
        <v/>
      </c>
      <c r="AB28" s="30">
        <f>IF($R28="","",COUNTIF($C$6:$C$405,$R28))</f>
        <v/>
      </c>
    </row>
    <row r="29">
      <c r="A29" s="25" t="n"/>
      <c r="B29" s="26">
        <f>IF(A29="","",CHOOSE(WEEKDAY(A29,2),"Mo","Di","Mi","Do","Fr","Sa","So"))</f>
        <v/>
      </c>
      <c r="C29" s="6" t="n"/>
      <c r="D29" s="27" t="n"/>
      <c r="E29" s="9" t="n"/>
      <c r="F29" s="9" t="n"/>
      <c r="G29" s="9" t="n"/>
      <c r="H29" s="26">
        <f>IF(COUNT(E29:G29)=0,"",SUM(E29:G29))</f>
        <v/>
      </c>
      <c r="I29" s="9" t="n"/>
      <c r="J29" s="9" t="n"/>
      <c r="K29" s="9" t="n"/>
      <c r="L29" s="9" t="n"/>
      <c r="M29" s="26">
        <f>IF(COUNT(I29:L29)=0,"",SUM(I29:L29))</f>
        <v/>
      </c>
      <c r="N29" s="6" t="n"/>
      <c r="O29" s="28" t="n"/>
      <c r="P29" s="28" t="n"/>
      <c r="R29" s="29">
        <f>IF(LISTEN!$A$25="","",LISTEN!$A$25)</f>
        <v/>
      </c>
      <c r="S29" s="30">
        <f>IF($R29="","",SUMIFS($D$6:$D$405,$C$6:$C$405,$R29))</f>
        <v/>
      </c>
      <c r="T29" s="30">
        <f>IF($R29="","",SUMIFS($E$6:$E$405,$C$6:$C$405,$R29))</f>
        <v/>
      </c>
      <c r="U29" s="30">
        <f>IF($R29="","",SUMIFS($F$6:$F$405,$C$6:$C$405,$R29))</f>
        <v/>
      </c>
      <c r="V29" s="30">
        <f>IF($R29="","",SUMIFS($G$6:$G$405,$C$6:$C$405,$R29))</f>
        <v/>
      </c>
      <c r="W29" s="30">
        <f>IF($R29="","",SUMIFS($H$6:$H$405,$C$6:$C$405,$R29))</f>
        <v/>
      </c>
      <c r="X29" s="30">
        <f>IF($R29="","",SUMIFS($I$6:$I$405,$C$6:$C$405,$R29))</f>
        <v/>
      </c>
      <c r="Y29" s="30">
        <f>IF($R29="","",SUMIFS($J$6:$J$405,$C$6:$C$405,$R29))</f>
        <v/>
      </c>
      <c r="Z29" s="30">
        <f>IF($R29="","",SUMIFS($K$6:$K$405,$C$6:$C$405,$R29))</f>
        <v/>
      </c>
      <c r="AA29" s="30">
        <f>IF($R29="","",SUMIFS($L$6:$L$405,$C$6:$C$405,$R29))</f>
        <v/>
      </c>
      <c r="AB29" s="30">
        <f>IF($R29="","",COUNTIF($C$6:$C$405,$R29))</f>
        <v/>
      </c>
    </row>
    <row r="30">
      <c r="A30" s="25" t="n"/>
      <c r="B30" s="26">
        <f>IF(A30="","",CHOOSE(WEEKDAY(A30,2),"Mo","Di","Mi","Do","Fr","Sa","So"))</f>
        <v/>
      </c>
      <c r="C30" s="6" t="n"/>
      <c r="D30" s="27" t="n"/>
      <c r="E30" s="9" t="n"/>
      <c r="F30" s="9" t="n"/>
      <c r="G30" s="9" t="n"/>
      <c r="H30" s="26">
        <f>IF(COUNT(E30:G30)=0,"",SUM(E30:G30))</f>
        <v/>
      </c>
      <c r="I30" s="9" t="n"/>
      <c r="J30" s="9" t="n"/>
      <c r="K30" s="9" t="n"/>
      <c r="L30" s="9" t="n"/>
      <c r="M30" s="26">
        <f>IF(COUNT(I30:L30)=0,"",SUM(I30:L30))</f>
        <v/>
      </c>
      <c r="N30" s="6" t="n"/>
      <c r="O30" s="28" t="n"/>
      <c r="P30" s="28" t="n"/>
      <c r="R30" s="29">
        <f>IF(LISTEN!$A$26="","",LISTEN!$A$26)</f>
        <v/>
      </c>
      <c r="S30" s="30">
        <f>IF($R30="","",SUMIFS($D$6:$D$405,$C$6:$C$405,$R30))</f>
        <v/>
      </c>
      <c r="T30" s="30">
        <f>IF($R30="","",SUMIFS($E$6:$E$405,$C$6:$C$405,$R30))</f>
        <v/>
      </c>
      <c r="U30" s="30">
        <f>IF($R30="","",SUMIFS($F$6:$F$405,$C$6:$C$405,$R30))</f>
        <v/>
      </c>
      <c r="V30" s="30">
        <f>IF($R30="","",SUMIFS($G$6:$G$405,$C$6:$C$405,$R30))</f>
        <v/>
      </c>
      <c r="W30" s="30">
        <f>IF($R30="","",SUMIFS($H$6:$H$405,$C$6:$C$405,$R30))</f>
        <v/>
      </c>
      <c r="X30" s="30">
        <f>IF($R30="","",SUMIFS($I$6:$I$405,$C$6:$C$405,$R30))</f>
        <v/>
      </c>
      <c r="Y30" s="30">
        <f>IF($R30="","",SUMIFS($J$6:$J$405,$C$6:$C$405,$R30))</f>
        <v/>
      </c>
      <c r="Z30" s="30">
        <f>IF($R30="","",SUMIFS($K$6:$K$405,$C$6:$C$405,$R30))</f>
        <v/>
      </c>
      <c r="AA30" s="30">
        <f>IF($R30="","",SUMIFS($L$6:$L$405,$C$6:$C$405,$R30))</f>
        <v/>
      </c>
      <c r="AB30" s="30">
        <f>IF($R30="","",COUNTIF($C$6:$C$405,$R30))</f>
        <v/>
      </c>
    </row>
    <row r="31">
      <c r="A31" s="25" t="n"/>
      <c r="B31" s="26">
        <f>IF(A31="","",CHOOSE(WEEKDAY(A31,2),"Mo","Di","Mi","Do","Fr","Sa","So"))</f>
        <v/>
      </c>
      <c r="C31" s="6" t="n"/>
      <c r="D31" s="27" t="n"/>
      <c r="E31" s="9" t="n"/>
      <c r="F31" s="9" t="n"/>
      <c r="G31" s="9" t="n"/>
      <c r="H31" s="26">
        <f>IF(COUNT(E31:G31)=0,"",SUM(E31:G31))</f>
        <v/>
      </c>
      <c r="I31" s="9" t="n"/>
      <c r="J31" s="9" t="n"/>
      <c r="K31" s="9" t="n"/>
      <c r="L31" s="9" t="n"/>
      <c r="M31" s="26">
        <f>IF(COUNT(I31:L31)=0,"",SUM(I31:L31))</f>
        <v/>
      </c>
      <c r="N31" s="6" t="n"/>
      <c r="O31" s="28" t="n"/>
      <c r="P31" s="28" t="n"/>
      <c r="R31" s="29">
        <f>IF(LISTEN!$A$27="","",LISTEN!$A$27)</f>
        <v/>
      </c>
      <c r="S31" s="30">
        <f>IF($R31="","",SUMIFS($D$6:$D$405,$C$6:$C$405,$R31))</f>
        <v/>
      </c>
      <c r="T31" s="30">
        <f>IF($R31="","",SUMIFS($E$6:$E$405,$C$6:$C$405,$R31))</f>
        <v/>
      </c>
      <c r="U31" s="30">
        <f>IF($R31="","",SUMIFS($F$6:$F$405,$C$6:$C$405,$R31))</f>
        <v/>
      </c>
      <c r="V31" s="30">
        <f>IF($R31="","",SUMIFS($G$6:$G$405,$C$6:$C$405,$R31))</f>
        <v/>
      </c>
      <c r="W31" s="30">
        <f>IF($R31="","",SUMIFS($H$6:$H$405,$C$6:$C$405,$R31))</f>
        <v/>
      </c>
      <c r="X31" s="30">
        <f>IF($R31="","",SUMIFS($I$6:$I$405,$C$6:$C$405,$R31))</f>
        <v/>
      </c>
      <c r="Y31" s="30">
        <f>IF($R31="","",SUMIFS($J$6:$J$405,$C$6:$C$405,$R31))</f>
        <v/>
      </c>
      <c r="Z31" s="30">
        <f>IF($R31="","",SUMIFS($K$6:$K$405,$C$6:$C$405,$R31))</f>
        <v/>
      </c>
      <c r="AA31" s="30">
        <f>IF($R31="","",SUMIFS($L$6:$L$405,$C$6:$C$405,$R31))</f>
        <v/>
      </c>
      <c r="AB31" s="30">
        <f>IF($R31="","",COUNTIF($C$6:$C$405,$R31))</f>
        <v/>
      </c>
    </row>
    <row r="32">
      <c r="A32" s="25" t="n"/>
      <c r="B32" s="26">
        <f>IF(A32="","",CHOOSE(WEEKDAY(A32,2),"Mo","Di","Mi","Do","Fr","Sa","So"))</f>
        <v/>
      </c>
      <c r="C32" s="6" t="n"/>
      <c r="D32" s="27" t="n"/>
      <c r="E32" s="9" t="n"/>
      <c r="F32" s="9" t="n"/>
      <c r="G32" s="9" t="n"/>
      <c r="H32" s="26">
        <f>IF(COUNT(E32:G32)=0,"",SUM(E32:G32))</f>
        <v/>
      </c>
      <c r="I32" s="9" t="n"/>
      <c r="J32" s="9" t="n"/>
      <c r="K32" s="9" t="n"/>
      <c r="L32" s="9" t="n"/>
      <c r="M32" s="26">
        <f>IF(COUNT(I32:L32)=0,"",SUM(I32:L32))</f>
        <v/>
      </c>
      <c r="N32" s="6" t="n"/>
      <c r="O32" s="28" t="n"/>
      <c r="P32" s="28" t="n"/>
      <c r="R32" s="29">
        <f>IF(LISTEN!$A$28="","",LISTEN!$A$28)</f>
        <v/>
      </c>
      <c r="S32" s="30">
        <f>IF($R32="","",SUMIFS($D$6:$D$405,$C$6:$C$405,$R32))</f>
        <v/>
      </c>
      <c r="T32" s="30">
        <f>IF($R32="","",SUMIFS($E$6:$E$405,$C$6:$C$405,$R32))</f>
        <v/>
      </c>
      <c r="U32" s="30">
        <f>IF($R32="","",SUMIFS($F$6:$F$405,$C$6:$C$405,$R32))</f>
        <v/>
      </c>
      <c r="V32" s="30">
        <f>IF($R32="","",SUMIFS($G$6:$G$405,$C$6:$C$405,$R32))</f>
        <v/>
      </c>
      <c r="W32" s="30">
        <f>IF($R32="","",SUMIFS($H$6:$H$405,$C$6:$C$405,$R32))</f>
        <v/>
      </c>
      <c r="X32" s="30">
        <f>IF($R32="","",SUMIFS($I$6:$I$405,$C$6:$C$405,$R32))</f>
        <v/>
      </c>
      <c r="Y32" s="30">
        <f>IF($R32="","",SUMIFS($J$6:$J$405,$C$6:$C$405,$R32))</f>
        <v/>
      </c>
      <c r="Z32" s="30">
        <f>IF($R32="","",SUMIFS($K$6:$K$405,$C$6:$C$405,$R32))</f>
        <v/>
      </c>
      <c r="AA32" s="30">
        <f>IF($R32="","",SUMIFS($L$6:$L$405,$C$6:$C$405,$R32))</f>
        <v/>
      </c>
      <c r="AB32" s="30">
        <f>IF($R32="","",COUNTIF($C$6:$C$405,$R32))</f>
        <v/>
      </c>
    </row>
    <row r="33">
      <c r="A33" s="25" t="n"/>
      <c r="B33" s="26">
        <f>IF(A33="","",CHOOSE(WEEKDAY(A33,2),"Mo","Di","Mi","Do","Fr","Sa","So"))</f>
        <v/>
      </c>
      <c r="C33" s="6" t="n"/>
      <c r="D33" s="27" t="n"/>
      <c r="E33" s="9" t="n"/>
      <c r="F33" s="9" t="n"/>
      <c r="G33" s="9" t="n"/>
      <c r="H33" s="26">
        <f>IF(COUNT(E33:G33)=0,"",SUM(E33:G33))</f>
        <v/>
      </c>
      <c r="I33" s="9" t="n"/>
      <c r="J33" s="9" t="n"/>
      <c r="K33" s="9" t="n"/>
      <c r="L33" s="9" t="n"/>
      <c r="M33" s="26">
        <f>IF(COUNT(I33:L33)=0,"",SUM(I33:L33))</f>
        <v/>
      </c>
      <c r="N33" s="6" t="n"/>
      <c r="O33" s="28" t="n"/>
      <c r="P33" s="28" t="n"/>
      <c r="R33" s="29">
        <f>IF(LISTEN!$A$29="","",LISTEN!$A$29)</f>
        <v/>
      </c>
      <c r="S33" s="30">
        <f>IF($R33="","",SUMIFS($D$6:$D$405,$C$6:$C$405,$R33))</f>
        <v/>
      </c>
      <c r="T33" s="30">
        <f>IF($R33="","",SUMIFS($E$6:$E$405,$C$6:$C$405,$R33))</f>
        <v/>
      </c>
      <c r="U33" s="30">
        <f>IF($R33="","",SUMIFS($F$6:$F$405,$C$6:$C$405,$R33))</f>
        <v/>
      </c>
      <c r="V33" s="30">
        <f>IF($R33="","",SUMIFS($G$6:$G$405,$C$6:$C$405,$R33))</f>
        <v/>
      </c>
      <c r="W33" s="30">
        <f>IF($R33="","",SUMIFS($H$6:$H$405,$C$6:$C$405,$R33))</f>
        <v/>
      </c>
      <c r="X33" s="30">
        <f>IF($R33="","",SUMIFS($I$6:$I$405,$C$6:$C$405,$R33))</f>
        <v/>
      </c>
      <c r="Y33" s="30">
        <f>IF($R33="","",SUMIFS($J$6:$J$405,$C$6:$C$405,$R33))</f>
        <v/>
      </c>
      <c r="Z33" s="30">
        <f>IF($R33="","",SUMIFS($K$6:$K$405,$C$6:$C$405,$R33))</f>
        <v/>
      </c>
      <c r="AA33" s="30">
        <f>IF($R33="","",SUMIFS($L$6:$L$405,$C$6:$C$405,$R33))</f>
        <v/>
      </c>
      <c r="AB33" s="30">
        <f>IF($R33="","",COUNTIF($C$6:$C$405,$R33))</f>
        <v/>
      </c>
    </row>
    <row r="34">
      <c r="A34" s="25" t="n"/>
      <c r="B34" s="26">
        <f>IF(A34="","",CHOOSE(WEEKDAY(A34,2),"Mo","Di","Mi","Do","Fr","Sa","So"))</f>
        <v/>
      </c>
      <c r="C34" s="6" t="n"/>
      <c r="D34" s="27" t="n"/>
      <c r="E34" s="9" t="n"/>
      <c r="F34" s="9" t="n"/>
      <c r="G34" s="9" t="n"/>
      <c r="H34" s="26">
        <f>IF(COUNT(E34:G34)=0,"",SUM(E34:G34))</f>
        <v/>
      </c>
      <c r="I34" s="9" t="n"/>
      <c r="J34" s="9" t="n"/>
      <c r="K34" s="9" t="n"/>
      <c r="L34" s="9" t="n"/>
      <c r="M34" s="26">
        <f>IF(COUNT(I34:L34)=0,"",SUM(I34:L34))</f>
        <v/>
      </c>
      <c r="N34" s="6" t="n"/>
      <c r="O34" s="28" t="n"/>
      <c r="P34" s="28" t="n"/>
      <c r="R34" s="29">
        <f>IF(LISTEN!$A$30="","",LISTEN!$A$30)</f>
        <v/>
      </c>
      <c r="S34" s="30">
        <f>IF($R34="","",SUMIFS($D$6:$D$405,$C$6:$C$405,$R34))</f>
        <v/>
      </c>
      <c r="T34" s="30">
        <f>IF($R34="","",SUMIFS($E$6:$E$405,$C$6:$C$405,$R34))</f>
        <v/>
      </c>
      <c r="U34" s="30">
        <f>IF($R34="","",SUMIFS($F$6:$F$405,$C$6:$C$405,$R34))</f>
        <v/>
      </c>
      <c r="V34" s="30">
        <f>IF($R34="","",SUMIFS($G$6:$G$405,$C$6:$C$405,$R34))</f>
        <v/>
      </c>
      <c r="W34" s="30">
        <f>IF($R34="","",SUMIFS($H$6:$H$405,$C$6:$C$405,$R34))</f>
        <v/>
      </c>
      <c r="X34" s="30">
        <f>IF($R34="","",SUMIFS($I$6:$I$405,$C$6:$C$405,$R34))</f>
        <v/>
      </c>
      <c r="Y34" s="30">
        <f>IF($R34="","",SUMIFS($J$6:$J$405,$C$6:$C$405,$R34))</f>
        <v/>
      </c>
      <c r="Z34" s="30">
        <f>IF($R34="","",SUMIFS($K$6:$K$405,$C$6:$C$405,$R34))</f>
        <v/>
      </c>
      <c r="AA34" s="30">
        <f>IF($R34="","",SUMIFS($L$6:$L$405,$C$6:$C$405,$R34))</f>
        <v/>
      </c>
      <c r="AB34" s="30">
        <f>IF($R34="","",COUNTIF($C$6:$C$405,$R34))</f>
        <v/>
      </c>
    </row>
    <row r="35">
      <c r="A35" s="25" t="n"/>
      <c r="B35" s="26">
        <f>IF(A35="","",CHOOSE(WEEKDAY(A35,2),"Mo","Di","Mi","Do","Fr","Sa","So"))</f>
        <v/>
      </c>
      <c r="C35" s="6" t="n"/>
      <c r="D35" s="27" t="n"/>
      <c r="E35" s="9" t="n"/>
      <c r="F35" s="9" t="n"/>
      <c r="G35" s="9" t="n"/>
      <c r="H35" s="26">
        <f>IF(COUNT(E35:G35)=0,"",SUM(E35:G35))</f>
        <v/>
      </c>
      <c r="I35" s="9" t="n"/>
      <c r="J35" s="9" t="n"/>
      <c r="K35" s="9" t="n"/>
      <c r="L35" s="9" t="n"/>
      <c r="M35" s="26">
        <f>IF(COUNT(I35:L35)=0,"",SUM(I35:L35))</f>
        <v/>
      </c>
      <c r="N35" s="6" t="n"/>
      <c r="O35" s="28" t="n"/>
      <c r="P35" s="28" t="n"/>
      <c r="R35" s="29">
        <f>IF(LISTEN!$A$31="","",LISTEN!$A$31)</f>
        <v/>
      </c>
      <c r="S35" s="30">
        <f>IF($R35="","",SUMIFS($D$6:$D$405,$C$6:$C$405,$R35))</f>
        <v/>
      </c>
      <c r="T35" s="30">
        <f>IF($R35="","",SUMIFS($E$6:$E$405,$C$6:$C$405,$R35))</f>
        <v/>
      </c>
      <c r="U35" s="30">
        <f>IF($R35="","",SUMIFS($F$6:$F$405,$C$6:$C$405,$R35))</f>
        <v/>
      </c>
      <c r="V35" s="30">
        <f>IF($R35="","",SUMIFS($G$6:$G$405,$C$6:$C$405,$R35))</f>
        <v/>
      </c>
      <c r="W35" s="30">
        <f>IF($R35="","",SUMIFS($H$6:$H$405,$C$6:$C$405,$R35))</f>
        <v/>
      </c>
      <c r="X35" s="30">
        <f>IF($R35="","",SUMIFS($I$6:$I$405,$C$6:$C$405,$R35))</f>
        <v/>
      </c>
      <c r="Y35" s="30">
        <f>IF($R35="","",SUMIFS($J$6:$J$405,$C$6:$C$405,$R35))</f>
        <v/>
      </c>
      <c r="Z35" s="30">
        <f>IF($R35="","",SUMIFS($K$6:$K$405,$C$6:$C$405,$R35))</f>
        <v/>
      </c>
      <c r="AA35" s="30">
        <f>IF($R35="","",SUMIFS($L$6:$L$405,$C$6:$C$405,$R35))</f>
        <v/>
      </c>
      <c r="AB35" s="30">
        <f>IF($R35="","",COUNTIF($C$6:$C$405,$R35))</f>
        <v/>
      </c>
    </row>
    <row r="36">
      <c r="A36" s="25" t="n"/>
      <c r="B36" s="26">
        <f>IF(A36="","",CHOOSE(WEEKDAY(A36,2),"Mo","Di","Mi","Do","Fr","Sa","So"))</f>
        <v/>
      </c>
      <c r="C36" s="6" t="n"/>
      <c r="D36" s="27" t="n"/>
      <c r="E36" s="9" t="n"/>
      <c r="F36" s="9" t="n"/>
      <c r="G36" s="9" t="n"/>
      <c r="H36" s="26">
        <f>IF(COUNT(E36:G36)=0,"",SUM(E36:G36))</f>
        <v/>
      </c>
      <c r="I36" s="9" t="n"/>
      <c r="J36" s="9" t="n"/>
      <c r="K36" s="9" t="n"/>
      <c r="L36" s="9" t="n"/>
      <c r="M36" s="26">
        <f>IF(COUNT(I36:L36)=0,"",SUM(I36:L36))</f>
        <v/>
      </c>
      <c r="N36" s="6" t="n"/>
      <c r="O36" s="28" t="n"/>
      <c r="P36" s="28" t="n"/>
      <c r="R36" s="31" t="inlineStr">
        <is>
          <t>SUMME</t>
        </is>
      </c>
      <c r="S36" s="32">
        <f>SUM(S6:S35)</f>
        <v/>
      </c>
      <c r="T36" s="32">
        <f>SUM(T6:T35)</f>
        <v/>
      </c>
      <c r="U36" s="32">
        <f>SUM(U6:U35)</f>
        <v/>
      </c>
      <c r="V36" s="32">
        <f>SUM(V6:V35)</f>
        <v/>
      </c>
      <c r="W36" s="32">
        <f>SUM(W6:W35)</f>
        <v/>
      </c>
      <c r="X36" s="32">
        <f>SUM(X6:X35)</f>
        <v/>
      </c>
      <c r="Y36" s="32">
        <f>SUM(Y6:Y35)</f>
        <v/>
      </c>
      <c r="Z36" s="32">
        <f>SUM(Z6:Z35)</f>
        <v/>
      </c>
      <c r="AA36" s="32">
        <f>SUM(AA6:AA35)</f>
        <v/>
      </c>
      <c r="AB36" s="32">
        <f>SUM(AB6:AB35)</f>
        <v/>
      </c>
    </row>
    <row r="37">
      <c r="A37" s="25" t="n"/>
      <c r="B37" s="26">
        <f>IF(A37="","",CHOOSE(WEEKDAY(A37,2),"Mo","Di","Mi","Do","Fr","Sa","So"))</f>
        <v/>
      </c>
      <c r="C37" s="6" t="n"/>
      <c r="D37" s="27" t="n"/>
      <c r="E37" s="9" t="n"/>
      <c r="F37" s="9" t="n"/>
      <c r="G37" s="9" t="n"/>
      <c r="H37" s="26">
        <f>IF(COUNT(E37:G37)=0,"",SUM(E37:G37))</f>
        <v/>
      </c>
      <c r="I37" s="9" t="n"/>
      <c r="J37" s="9" t="n"/>
      <c r="K37" s="9" t="n"/>
      <c r="L37" s="9" t="n"/>
      <c r="M37" s="26">
        <f>IF(COUNT(I37:L37)=0,"",SUM(I37:L37))</f>
        <v/>
      </c>
      <c r="N37" s="6" t="n"/>
      <c r="O37" s="28" t="n"/>
      <c r="P37" s="28" t="n"/>
    </row>
    <row r="38">
      <c r="A38" s="25" t="n"/>
      <c r="B38" s="26">
        <f>IF(A38="","",CHOOSE(WEEKDAY(A38,2),"Mo","Di","Mi","Do","Fr","Sa","So"))</f>
        <v/>
      </c>
      <c r="C38" s="6" t="n"/>
      <c r="D38" s="27" t="n"/>
      <c r="E38" s="9" t="n"/>
      <c r="F38" s="9" t="n"/>
      <c r="G38" s="9" t="n"/>
      <c r="H38" s="26">
        <f>IF(COUNT(E38:G38)=0,"",SUM(E38:G38))</f>
        <v/>
      </c>
      <c r="I38" s="9" t="n"/>
      <c r="J38" s="9" t="n"/>
      <c r="K38" s="9" t="n"/>
      <c r="L38" s="9" t="n"/>
      <c r="M38" s="26">
        <f>IF(COUNT(I38:L38)=0,"",SUM(I38:L38))</f>
        <v/>
      </c>
      <c r="N38" s="6" t="n"/>
      <c r="O38" s="28" t="n"/>
      <c r="P38" s="28" t="n"/>
      <c r="R38" s="33" t="inlineStr">
        <is>
          <t>Kennzahlen</t>
        </is>
      </c>
    </row>
    <row r="39">
      <c r="A39" s="25" t="n"/>
      <c r="B39" s="26">
        <f>IF(A39="","",CHOOSE(WEEKDAY(A39,2),"Mo","Di","Mi","Do","Fr","Sa","So"))</f>
        <v/>
      </c>
      <c r="C39" s="6" t="n"/>
      <c r="D39" s="27" t="n"/>
      <c r="E39" s="9" t="n"/>
      <c r="F39" s="9" t="n"/>
      <c r="G39" s="9" t="n"/>
      <c r="H39" s="26">
        <f>IF(COUNT(E39:G39)=0,"",SUM(E39:G39))</f>
        <v/>
      </c>
      <c r="I39" s="9" t="n"/>
      <c r="J39" s="9" t="n"/>
      <c r="K39" s="9" t="n"/>
      <c r="L39" s="9" t="n"/>
      <c r="M39" s="26">
        <f>IF(COUNT(I39:L39)=0,"",SUM(I39:L39))</f>
        <v/>
      </c>
      <c r="N39" s="6" t="n"/>
      <c r="O39" s="28" t="n"/>
      <c r="P39" s="28" t="n"/>
      <c r="R39" s="15" t="inlineStr">
        <is>
          <t>Öffnungstage (Tage mit Einträgen)</t>
        </is>
      </c>
      <c r="V39" s="34">
        <f>SUMPRODUCT((A6:A405&lt;&gt;"")/COUNTIF(A6:A405,A6:A405&amp;""))</f>
        <v/>
      </c>
    </row>
    <row r="40">
      <c r="A40" s="25" t="n"/>
      <c r="B40" s="26">
        <f>IF(A40="","",CHOOSE(WEEKDAY(A40,2),"Mo","Di","Mi","Do","Fr","Sa","So"))</f>
        <v/>
      </c>
      <c r="C40" s="6" t="n"/>
      <c r="D40" s="27" t="n"/>
      <c r="E40" s="9" t="n"/>
      <c r="F40" s="9" t="n"/>
      <c r="G40" s="9" t="n"/>
      <c r="H40" s="26">
        <f>IF(COUNT(E40:G40)=0,"",SUM(E40:G40))</f>
        <v/>
      </c>
      <c r="I40" s="9" t="n"/>
      <c r="J40" s="9" t="n"/>
      <c r="K40" s="9" t="n"/>
      <c r="L40" s="9" t="n"/>
      <c r="M40" s="26">
        <f>IF(COUNT(I40:L40)=0,"",SUM(I40:L40))</f>
        <v/>
      </c>
      <c r="N40" s="6" t="n"/>
      <c r="O40" s="28" t="n"/>
      <c r="P40" s="28" t="n"/>
      <c r="R40" s="15" t="inlineStr">
        <is>
          <t>Ø Besucher:innen pro Öffnungstag</t>
        </is>
      </c>
      <c r="V40" s="35">
        <f>IF(V39=0,0,W36/V39)</f>
        <v/>
      </c>
    </row>
    <row r="41">
      <c r="A41" s="25" t="n"/>
      <c r="B41" s="26">
        <f>IF(A41="","",CHOOSE(WEEKDAY(A41,2),"Mo","Di","Mi","Do","Fr","Sa","So"))</f>
        <v/>
      </c>
      <c r="C41" s="6" t="n"/>
      <c r="D41" s="27" t="n"/>
      <c r="E41" s="9" t="n"/>
      <c r="F41" s="9" t="n"/>
      <c r="G41" s="9" t="n"/>
      <c r="H41" s="26">
        <f>IF(COUNT(E41:G41)=0,"",SUM(E41:G41))</f>
        <v/>
      </c>
      <c r="I41" s="9" t="n"/>
      <c r="J41" s="9" t="n"/>
      <c r="K41" s="9" t="n"/>
      <c r="L41" s="9" t="n"/>
      <c r="M41" s="26">
        <f>IF(COUNT(I41:L41)=0,"",SUM(I41:L41))</f>
        <v/>
      </c>
      <c r="N41" s="6" t="n"/>
      <c r="O41" s="28" t="n"/>
      <c r="P41" s="28" t="n"/>
      <c r="R41" s="15" t="inlineStr">
        <is>
          <t>Anteil weiblich</t>
        </is>
      </c>
      <c r="V41" s="36">
        <f>IF(W36=0,0,T36/W36)</f>
        <v/>
      </c>
    </row>
    <row r="42">
      <c r="A42" s="25" t="n"/>
      <c r="B42" s="26">
        <f>IF(A42="","",CHOOSE(WEEKDAY(A42,2),"Mo","Di","Mi","Do","Fr","Sa","So"))</f>
        <v/>
      </c>
      <c r="C42" s="6" t="n"/>
      <c r="D42" s="27" t="n"/>
      <c r="E42" s="9" t="n"/>
      <c r="F42" s="9" t="n"/>
      <c r="G42" s="9" t="n"/>
      <c r="H42" s="26">
        <f>IF(COUNT(E42:G42)=0,"",SUM(E42:G42))</f>
        <v/>
      </c>
      <c r="I42" s="9" t="n"/>
      <c r="J42" s="9" t="n"/>
      <c r="K42" s="9" t="n"/>
      <c r="L42" s="9" t="n"/>
      <c r="M42" s="26">
        <f>IF(COUNT(I42:L42)=0,"",SUM(I42:L42))</f>
        <v/>
      </c>
      <c r="N42" s="6" t="n"/>
      <c r="O42" s="28" t="n"/>
      <c r="P42" s="28" t="n"/>
      <c r="R42" s="15" t="inlineStr">
        <is>
          <t>Anteil divers</t>
        </is>
      </c>
      <c r="V42" s="36">
        <f>IF(W36=0,0,U36/W36)</f>
        <v/>
      </c>
    </row>
    <row r="43">
      <c r="A43" s="25" t="n"/>
      <c r="B43" s="26">
        <f>IF(A43="","",CHOOSE(WEEKDAY(A43,2),"Mo","Di","Mi","Do","Fr","Sa","So"))</f>
        <v/>
      </c>
      <c r="C43" s="6" t="n"/>
      <c r="D43" s="27" t="n"/>
      <c r="E43" s="9" t="n"/>
      <c r="F43" s="9" t="n"/>
      <c r="G43" s="9" t="n"/>
      <c r="H43" s="26">
        <f>IF(COUNT(E43:G43)=0,"",SUM(E43:G43))</f>
        <v/>
      </c>
      <c r="I43" s="9" t="n"/>
      <c r="J43" s="9" t="n"/>
      <c r="K43" s="9" t="n"/>
      <c r="L43" s="9" t="n"/>
      <c r="M43" s="26">
        <f>IF(COUNT(I43:L43)=0,"",SUM(I43:L43))</f>
        <v/>
      </c>
      <c r="N43" s="6" t="n"/>
      <c r="O43" s="28" t="n"/>
      <c r="P43" s="28" t="n"/>
      <c r="R43" s="15" t="inlineStr">
        <is>
          <t>Anteil männlich</t>
        </is>
      </c>
      <c r="V43" s="36">
        <f>IF(W36=0,0,V36/W36)</f>
        <v/>
      </c>
    </row>
    <row r="44">
      <c r="A44" s="25" t="n"/>
      <c r="B44" s="26">
        <f>IF(A44="","",CHOOSE(WEEKDAY(A44,2),"Mo","Di","Mi","Do","Fr","Sa","So"))</f>
        <v/>
      </c>
      <c r="C44" s="6" t="n"/>
      <c r="D44" s="27" t="n"/>
      <c r="E44" s="9" t="n"/>
      <c r="F44" s="9" t="n"/>
      <c r="G44" s="9" t="n"/>
      <c r="H44" s="26">
        <f>IF(COUNT(E44:G44)=0,"",SUM(E44:G44))</f>
        <v/>
      </c>
      <c r="I44" s="9" t="n"/>
      <c r="J44" s="9" t="n"/>
      <c r="K44" s="9" t="n"/>
      <c r="L44" s="9" t="n"/>
      <c r="M44" s="26">
        <f>IF(COUNT(I44:L44)=0,"",SUM(I44:L44))</f>
        <v/>
      </c>
      <c r="N44" s="6" t="n"/>
      <c r="O44" s="28" t="n"/>
      <c r="P44" s="28" t="n"/>
    </row>
    <row r="45">
      <c r="A45" s="25" t="n"/>
      <c r="B45" s="26">
        <f>IF(A45="","",CHOOSE(WEEKDAY(A45,2),"Mo","Di","Mi","Do","Fr","Sa","So"))</f>
        <v/>
      </c>
      <c r="C45" s="6" t="n"/>
      <c r="D45" s="27" t="n"/>
      <c r="E45" s="9" t="n"/>
      <c r="F45" s="9" t="n"/>
      <c r="G45" s="9" t="n"/>
      <c r="H45" s="26">
        <f>IF(COUNT(E45:G45)=0,"",SUM(E45:G45))</f>
        <v/>
      </c>
      <c r="I45" s="9" t="n"/>
      <c r="J45" s="9" t="n"/>
      <c r="K45" s="9" t="n"/>
      <c r="L45" s="9" t="n"/>
      <c r="M45" s="26">
        <f>IF(COUNT(I45:L45)=0,"",SUM(I45:L45))</f>
        <v/>
      </c>
      <c r="N45" s="6" t="n"/>
      <c r="O45" s="28" t="n"/>
      <c r="P45" s="28" t="n"/>
    </row>
    <row r="46">
      <c r="A46" s="25" t="n"/>
      <c r="B46" s="26">
        <f>IF(A46="","",CHOOSE(WEEKDAY(A46,2),"Mo","Di","Mi","Do","Fr","Sa","So"))</f>
        <v/>
      </c>
      <c r="C46" s="6" t="n"/>
      <c r="D46" s="27" t="n"/>
      <c r="E46" s="9" t="n"/>
      <c r="F46" s="9" t="n"/>
      <c r="G46" s="9" t="n"/>
      <c r="H46" s="26">
        <f>IF(COUNT(E46:G46)=0,"",SUM(E46:G46))</f>
        <v/>
      </c>
      <c r="I46" s="9" t="n"/>
      <c r="J46" s="9" t="n"/>
      <c r="K46" s="9" t="n"/>
      <c r="L46" s="9" t="n"/>
      <c r="M46" s="26">
        <f>IF(COUNT(I46:L46)=0,"",SUM(I46:L46))</f>
        <v/>
      </c>
      <c r="N46" s="6" t="n"/>
      <c r="O46" s="28" t="n"/>
      <c r="P46" s="28" t="n"/>
    </row>
    <row r="47">
      <c r="A47" s="25" t="n"/>
      <c r="B47" s="26">
        <f>IF(A47="","",CHOOSE(WEEKDAY(A47,2),"Mo","Di","Mi","Do","Fr","Sa","So"))</f>
        <v/>
      </c>
      <c r="C47" s="6" t="n"/>
      <c r="D47" s="27" t="n"/>
      <c r="E47" s="9" t="n"/>
      <c r="F47" s="9" t="n"/>
      <c r="G47" s="9" t="n"/>
      <c r="H47" s="26">
        <f>IF(COUNT(E47:G47)=0,"",SUM(E47:G47))</f>
        <v/>
      </c>
      <c r="I47" s="9" t="n"/>
      <c r="J47" s="9" t="n"/>
      <c r="K47" s="9" t="n"/>
      <c r="L47" s="9" t="n"/>
      <c r="M47" s="26">
        <f>IF(COUNT(I47:L47)=0,"",SUM(I47:L47))</f>
        <v/>
      </c>
      <c r="N47" s="6" t="n"/>
      <c r="O47" s="28" t="n"/>
      <c r="P47" s="28" t="n"/>
    </row>
    <row r="48">
      <c r="A48" s="25" t="n"/>
      <c r="B48" s="26">
        <f>IF(A48="","",CHOOSE(WEEKDAY(A48,2),"Mo","Di","Mi","Do","Fr","Sa","So"))</f>
        <v/>
      </c>
      <c r="C48" s="6" t="n"/>
      <c r="D48" s="27" t="n"/>
      <c r="E48" s="9" t="n"/>
      <c r="F48" s="9" t="n"/>
      <c r="G48" s="9" t="n"/>
      <c r="H48" s="26">
        <f>IF(COUNT(E48:G48)=0,"",SUM(E48:G48))</f>
        <v/>
      </c>
      <c r="I48" s="9" t="n"/>
      <c r="J48" s="9" t="n"/>
      <c r="K48" s="9" t="n"/>
      <c r="L48" s="9" t="n"/>
      <c r="M48" s="26">
        <f>IF(COUNT(I48:L48)=0,"",SUM(I48:L48))</f>
        <v/>
      </c>
      <c r="N48" s="6" t="n"/>
      <c r="O48" s="28" t="n"/>
      <c r="P48" s="28" t="n"/>
    </row>
    <row r="49">
      <c r="A49" s="25" t="n"/>
      <c r="B49" s="26">
        <f>IF(A49="","",CHOOSE(WEEKDAY(A49,2),"Mo","Di","Mi","Do","Fr","Sa","So"))</f>
        <v/>
      </c>
      <c r="C49" s="6" t="n"/>
      <c r="D49" s="27" t="n"/>
      <c r="E49" s="9" t="n"/>
      <c r="F49" s="9" t="n"/>
      <c r="G49" s="9" t="n"/>
      <c r="H49" s="26">
        <f>IF(COUNT(E49:G49)=0,"",SUM(E49:G49))</f>
        <v/>
      </c>
      <c r="I49" s="9" t="n"/>
      <c r="J49" s="9" t="n"/>
      <c r="K49" s="9" t="n"/>
      <c r="L49" s="9" t="n"/>
      <c r="M49" s="26">
        <f>IF(COUNT(I49:L49)=0,"",SUM(I49:L49))</f>
        <v/>
      </c>
      <c r="N49" s="6" t="n"/>
      <c r="O49" s="28" t="n"/>
      <c r="P49" s="28" t="n"/>
    </row>
    <row r="50">
      <c r="A50" s="25" t="n"/>
      <c r="B50" s="26">
        <f>IF(A50="","",CHOOSE(WEEKDAY(A50,2),"Mo","Di","Mi","Do","Fr","Sa","So"))</f>
        <v/>
      </c>
      <c r="C50" s="6" t="n"/>
      <c r="D50" s="27" t="n"/>
      <c r="E50" s="9" t="n"/>
      <c r="F50" s="9" t="n"/>
      <c r="G50" s="9" t="n"/>
      <c r="H50" s="26">
        <f>IF(COUNT(E50:G50)=0,"",SUM(E50:G50))</f>
        <v/>
      </c>
      <c r="I50" s="9" t="n"/>
      <c r="J50" s="9" t="n"/>
      <c r="K50" s="9" t="n"/>
      <c r="L50" s="9" t="n"/>
      <c r="M50" s="26">
        <f>IF(COUNT(I50:L50)=0,"",SUM(I50:L50))</f>
        <v/>
      </c>
      <c r="N50" s="6" t="n"/>
      <c r="O50" s="28" t="n"/>
      <c r="P50" s="28" t="n"/>
    </row>
    <row r="51">
      <c r="A51" s="25" t="n"/>
      <c r="B51" s="26">
        <f>IF(A51="","",CHOOSE(WEEKDAY(A51,2),"Mo","Di","Mi","Do","Fr","Sa","So"))</f>
        <v/>
      </c>
      <c r="C51" s="6" t="n"/>
      <c r="D51" s="27" t="n"/>
      <c r="E51" s="9" t="n"/>
      <c r="F51" s="9" t="n"/>
      <c r="G51" s="9" t="n"/>
      <c r="H51" s="26">
        <f>IF(COUNT(E51:G51)=0,"",SUM(E51:G51))</f>
        <v/>
      </c>
      <c r="I51" s="9" t="n"/>
      <c r="J51" s="9" t="n"/>
      <c r="K51" s="9" t="n"/>
      <c r="L51" s="9" t="n"/>
      <c r="M51" s="26">
        <f>IF(COUNT(I51:L51)=0,"",SUM(I51:L51))</f>
        <v/>
      </c>
      <c r="N51" s="6" t="n"/>
      <c r="O51" s="28" t="n"/>
      <c r="P51" s="28" t="n"/>
    </row>
    <row r="52">
      <c r="A52" s="25" t="n"/>
      <c r="B52" s="26">
        <f>IF(A52="","",CHOOSE(WEEKDAY(A52,2),"Mo","Di","Mi","Do","Fr","Sa","So"))</f>
        <v/>
      </c>
      <c r="C52" s="6" t="n"/>
      <c r="D52" s="27" t="n"/>
      <c r="E52" s="9" t="n"/>
      <c r="F52" s="9" t="n"/>
      <c r="G52" s="9" t="n"/>
      <c r="H52" s="26">
        <f>IF(COUNT(E52:G52)=0,"",SUM(E52:G52))</f>
        <v/>
      </c>
      <c r="I52" s="9" t="n"/>
      <c r="J52" s="9" t="n"/>
      <c r="K52" s="9" t="n"/>
      <c r="L52" s="9" t="n"/>
      <c r="M52" s="26">
        <f>IF(COUNT(I52:L52)=0,"",SUM(I52:L52))</f>
        <v/>
      </c>
      <c r="N52" s="6" t="n"/>
      <c r="O52" s="28" t="n"/>
      <c r="P52" s="28" t="n"/>
    </row>
    <row r="53">
      <c r="A53" s="25" t="n"/>
      <c r="B53" s="26">
        <f>IF(A53="","",CHOOSE(WEEKDAY(A53,2),"Mo","Di","Mi","Do","Fr","Sa","So"))</f>
        <v/>
      </c>
      <c r="C53" s="6" t="n"/>
      <c r="D53" s="27" t="n"/>
      <c r="E53" s="9" t="n"/>
      <c r="F53" s="9" t="n"/>
      <c r="G53" s="9" t="n"/>
      <c r="H53" s="26">
        <f>IF(COUNT(E53:G53)=0,"",SUM(E53:G53))</f>
        <v/>
      </c>
      <c r="I53" s="9" t="n"/>
      <c r="J53" s="9" t="n"/>
      <c r="K53" s="9" t="n"/>
      <c r="L53" s="9" t="n"/>
      <c r="M53" s="26">
        <f>IF(COUNT(I53:L53)=0,"",SUM(I53:L53))</f>
        <v/>
      </c>
      <c r="N53" s="6" t="n"/>
      <c r="O53" s="28" t="n"/>
      <c r="P53" s="28" t="n"/>
    </row>
    <row r="54">
      <c r="A54" s="25" t="n"/>
      <c r="B54" s="26">
        <f>IF(A54="","",CHOOSE(WEEKDAY(A54,2),"Mo","Di","Mi","Do","Fr","Sa","So"))</f>
        <v/>
      </c>
      <c r="C54" s="6" t="n"/>
      <c r="D54" s="27" t="n"/>
      <c r="E54" s="9" t="n"/>
      <c r="F54" s="9" t="n"/>
      <c r="G54" s="9" t="n"/>
      <c r="H54" s="26">
        <f>IF(COUNT(E54:G54)=0,"",SUM(E54:G54))</f>
        <v/>
      </c>
      <c r="I54" s="9" t="n"/>
      <c r="J54" s="9" t="n"/>
      <c r="K54" s="9" t="n"/>
      <c r="L54" s="9" t="n"/>
      <c r="M54" s="26">
        <f>IF(COUNT(I54:L54)=0,"",SUM(I54:L54))</f>
        <v/>
      </c>
      <c r="N54" s="6" t="n"/>
      <c r="O54" s="28" t="n"/>
      <c r="P54" s="28" t="n"/>
    </row>
    <row r="55">
      <c r="A55" s="25" t="n"/>
      <c r="B55" s="26">
        <f>IF(A55="","",CHOOSE(WEEKDAY(A55,2),"Mo","Di","Mi","Do","Fr","Sa","So"))</f>
        <v/>
      </c>
      <c r="C55" s="6" t="n"/>
      <c r="D55" s="27" t="n"/>
      <c r="E55" s="9" t="n"/>
      <c r="F55" s="9" t="n"/>
      <c r="G55" s="9" t="n"/>
      <c r="H55" s="26">
        <f>IF(COUNT(E55:G55)=0,"",SUM(E55:G55))</f>
        <v/>
      </c>
      <c r="I55" s="9" t="n"/>
      <c r="J55" s="9" t="n"/>
      <c r="K55" s="9" t="n"/>
      <c r="L55" s="9" t="n"/>
      <c r="M55" s="26">
        <f>IF(COUNT(I55:L55)=0,"",SUM(I55:L55))</f>
        <v/>
      </c>
      <c r="N55" s="6" t="n"/>
      <c r="O55" s="28" t="n"/>
      <c r="P55" s="28" t="n"/>
    </row>
    <row r="56">
      <c r="A56" s="25" t="n"/>
      <c r="B56" s="26">
        <f>IF(A56="","",CHOOSE(WEEKDAY(A56,2),"Mo","Di","Mi","Do","Fr","Sa","So"))</f>
        <v/>
      </c>
      <c r="C56" s="6" t="n"/>
      <c r="D56" s="27" t="n"/>
      <c r="E56" s="9" t="n"/>
      <c r="F56" s="9" t="n"/>
      <c r="G56" s="9" t="n"/>
      <c r="H56" s="26">
        <f>IF(COUNT(E56:G56)=0,"",SUM(E56:G56))</f>
        <v/>
      </c>
      <c r="I56" s="9" t="n"/>
      <c r="J56" s="9" t="n"/>
      <c r="K56" s="9" t="n"/>
      <c r="L56" s="9" t="n"/>
      <c r="M56" s="26">
        <f>IF(COUNT(I56:L56)=0,"",SUM(I56:L56))</f>
        <v/>
      </c>
      <c r="N56" s="6" t="n"/>
      <c r="O56" s="28" t="n"/>
      <c r="P56" s="28" t="n"/>
    </row>
    <row r="57">
      <c r="A57" s="25" t="n"/>
      <c r="B57" s="26">
        <f>IF(A57="","",CHOOSE(WEEKDAY(A57,2),"Mo","Di","Mi","Do","Fr","Sa","So"))</f>
        <v/>
      </c>
      <c r="C57" s="6" t="n"/>
      <c r="D57" s="27" t="n"/>
      <c r="E57" s="9" t="n"/>
      <c r="F57" s="9" t="n"/>
      <c r="G57" s="9" t="n"/>
      <c r="H57" s="26">
        <f>IF(COUNT(E57:G57)=0,"",SUM(E57:G57))</f>
        <v/>
      </c>
      <c r="I57" s="9" t="n"/>
      <c r="J57" s="9" t="n"/>
      <c r="K57" s="9" t="n"/>
      <c r="L57" s="9" t="n"/>
      <c r="M57" s="26">
        <f>IF(COUNT(I57:L57)=0,"",SUM(I57:L57))</f>
        <v/>
      </c>
      <c r="N57" s="6" t="n"/>
      <c r="O57" s="28" t="n"/>
      <c r="P57" s="28" t="n"/>
    </row>
    <row r="58">
      <c r="A58" s="25" t="n"/>
      <c r="B58" s="26">
        <f>IF(A58="","",CHOOSE(WEEKDAY(A58,2),"Mo","Di","Mi","Do","Fr","Sa","So"))</f>
        <v/>
      </c>
      <c r="C58" s="6" t="n"/>
      <c r="D58" s="27" t="n"/>
      <c r="E58" s="9" t="n"/>
      <c r="F58" s="9" t="n"/>
      <c r="G58" s="9" t="n"/>
      <c r="H58" s="26">
        <f>IF(COUNT(E58:G58)=0,"",SUM(E58:G58))</f>
        <v/>
      </c>
      <c r="I58" s="9" t="n"/>
      <c r="J58" s="9" t="n"/>
      <c r="K58" s="9" t="n"/>
      <c r="L58" s="9" t="n"/>
      <c r="M58" s="26">
        <f>IF(COUNT(I58:L58)=0,"",SUM(I58:L58))</f>
        <v/>
      </c>
      <c r="N58" s="6" t="n"/>
      <c r="O58" s="28" t="n"/>
      <c r="P58" s="28" t="n"/>
    </row>
    <row r="59">
      <c r="A59" s="25" t="n"/>
      <c r="B59" s="26">
        <f>IF(A59="","",CHOOSE(WEEKDAY(A59,2),"Mo","Di","Mi","Do","Fr","Sa","So"))</f>
        <v/>
      </c>
      <c r="C59" s="6" t="n"/>
      <c r="D59" s="27" t="n"/>
      <c r="E59" s="9" t="n"/>
      <c r="F59" s="9" t="n"/>
      <c r="G59" s="9" t="n"/>
      <c r="H59" s="26">
        <f>IF(COUNT(E59:G59)=0,"",SUM(E59:G59))</f>
        <v/>
      </c>
      <c r="I59" s="9" t="n"/>
      <c r="J59" s="9" t="n"/>
      <c r="K59" s="9" t="n"/>
      <c r="L59" s="9" t="n"/>
      <c r="M59" s="26">
        <f>IF(COUNT(I59:L59)=0,"",SUM(I59:L59))</f>
        <v/>
      </c>
      <c r="N59" s="6" t="n"/>
      <c r="O59" s="28" t="n"/>
      <c r="P59" s="28" t="n"/>
    </row>
    <row r="60">
      <c r="A60" s="25" t="n"/>
      <c r="B60" s="26">
        <f>IF(A60="","",CHOOSE(WEEKDAY(A60,2),"Mo","Di","Mi","Do","Fr","Sa","So"))</f>
        <v/>
      </c>
      <c r="C60" s="6" t="n"/>
      <c r="D60" s="27" t="n"/>
      <c r="E60" s="9" t="n"/>
      <c r="F60" s="9" t="n"/>
      <c r="G60" s="9" t="n"/>
      <c r="H60" s="26">
        <f>IF(COUNT(E60:G60)=0,"",SUM(E60:G60))</f>
        <v/>
      </c>
      <c r="I60" s="9" t="n"/>
      <c r="J60" s="9" t="n"/>
      <c r="K60" s="9" t="n"/>
      <c r="L60" s="9" t="n"/>
      <c r="M60" s="26">
        <f>IF(COUNT(I60:L60)=0,"",SUM(I60:L60))</f>
        <v/>
      </c>
      <c r="N60" s="6" t="n"/>
      <c r="O60" s="28" t="n"/>
      <c r="P60" s="28" t="n"/>
    </row>
    <row r="61">
      <c r="A61" s="25" t="n"/>
      <c r="B61" s="26">
        <f>IF(A61="","",CHOOSE(WEEKDAY(A61,2),"Mo","Di","Mi","Do","Fr","Sa","So"))</f>
        <v/>
      </c>
      <c r="C61" s="6" t="n"/>
      <c r="D61" s="27" t="n"/>
      <c r="E61" s="9" t="n"/>
      <c r="F61" s="9" t="n"/>
      <c r="G61" s="9" t="n"/>
      <c r="H61" s="26">
        <f>IF(COUNT(E61:G61)=0,"",SUM(E61:G61))</f>
        <v/>
      </c>
      <c r="I61" s="9" t="n"/>
      <c r="J61" s="9" t="n"/>
      <c r="K61" s="9" t="n"/>
      <c r="L61" s="9" t="n"/>
      <c r="M61" s="26">
        <f>IF(COUNT(I61:L61)=0,"",SUM(I61:L61))</f>
        <v/>
      </c>
      <c r="N61" s="6" t="n"/>
      <c r="O61" s="28" t="n"/>
      <c r="P61" s="28" t="n"/>
    </row>
    <row r="62">
      <c r="A62" s="25" t="n"/>
      <c r="B62" s="26">
        <f>IF(A62="","",CHOOSE(WEEKDAY(A62,2),"Mo","Di","Mi","Do","Fr","Sa","So"))</f>
        <v/>
      </c>
      <c r="C62" s="6" t="n"/>
      <c r="D62" s="27" t="n"/>
      <c r="E62" s="9" t="n"/>
      <c r="F62" s="9" t="n"/>
      <c r="G62" s="9" t="n"/>
      <c r="H62" s="26">
        <f>IF(COUNT(E62:G62)=0,"",SUM(E62:G62))</f>
        <v/>
      </c>
      <c r="I62" s="9" t="n"/>
      <c r="J62" s="9" t="n"/>
      <c r="K62" s="9" t="n"/>
      <c r="L62" s="9" t="n"/>
      <c r="M62" s="26">
        <f>IF(COUNT(I62:L62)=0,"",SUM(I62:L62))</f>
        <v/>
      </c>
      <c r="N62" s="6" t="n"/>
      <c r="O62" s="28" t="n"/>
      <c r="P62" s="28" t="n"/>
    </row>
    <row r="63">
      <c r="A63" s="25" t="n"/>
      <c r="B63" s="26">
        <f>IF(A63="","",CHOOSE(WEEKDAY(A63,2),"Mo","Di","Mi","Do","Fr","Sa","So"))</f>
        <v/>
      </c>
      <c r="C63" s="6" t="n"/>
      <c r="D63" s="27" t="n"/>
      <c r="E63" s="9" t="n"/>
      <c r="F63" s="9" t="n"/>
      <c r="G63" s="9" t="n"/>
      <c r="H63" s="26">
        <f>IF(COUNT(E63:G63)=0,"",SUM(E63:G63))</f>
        <v/>
      </c>
      <c r="I63" s="9" t="n"/>
      <c r="J63" s="9" t="n"/>
      <c r="K63" s="9" t="n"/>
      <c r="L63" s="9" t="n"/>
      <c r="M63" s="26">
        <f>IF(COUNT(I63:L63)=0,"",SUM(I63:L63))</f>
        <v/>
      </c>
      <c r="N63" s="6" t="n"/>
      <c r="O63" s="28" t="n"/>
      <c r="P63" s="28" t="n"/>
    </row>
    <row r="64">
      <c r="A64" s="25" t="n"/>
      <c r="B64" s="26">
        <f>IF(A64="","",CHOOSE(WEEKDAY(A64,2),"Mo","Di","Mi","Do","Fr","Sa","So"))</f>
        <v/>
      </c>
      <c r="C64" s="6" t="n"/>
      <c r="D64" s="27" t="n"/>
      <c r="E64" s="9" t="n"/>
      <c r="F64" s="9" t="n"/>
      <c r="G64" s="9" t="n"/>
      <c r="H64" s="26">
        <f>IF(COUNT(E64:G64)=0,"",SUM(E64:G64))</f>
        <v/>
      </c>
      <c r="I64" s="9" t="n"/>
      <c r="J64" s="9" t="n"/>
      <c r="K64" s="9" t="n"/>
      <c r="L64" s="9" t="n"/>
      <c r="M64" s="26">
        <f>IF(COUNT(I64:L64)=0,"",SUM(I64:L64))</f>
        <v/>
      </c>
      <c r="N64" s="6" t="n"/>
      <c r="O64" s="28" t="n"/>
      <c r="P64" s="28" t="n"/>
    </row>
    <row r="65">
      <c r="A65" s="25" t="n"/>
      <c r="B65" s="26">
        <f>IF(A65="","",CHOOSE(WEEKDAY(A65,2),"Mo","Di","Mi","Do","Fr","Sa","So"))</f>
        <v/>
      </c>
      <c r="C65" s="6" t="n"/>
      <c r="D65" s="27" t="n"/>
      <c r="E65" s="9" t="n"/>
      <c r="F65" s="9" t="n"/>
      <c r="G65" s="9" t="n"/>
      <c r="H65" s="26">
        <f>IF(COUNT(E65:G65)=0,"",SUM(E65:G65))</f>
        <v/>
      </c>
      <c r="I65" s="9" t="n"/>
      <c r="J65" s="9" t="n"/>
      <c r="K65" s="9" t="n"/>
      <c r="L65" s="9" t="n"/>
      <c r="M65" s="26">
        <f>IF(COUNT(I65:L65)=0,"",SUM(I65:L65))</f>
        <v/>
      </c>
      <c r="N65" s="6" t="n"/>
      <c r="O65" s="28" t="n"/>
      <c r="P65" s="28" t="n"/>
    </row>
    <row r="66">
      <c r="A66" s="25" t="n"/>
      <c r="B66" s="26">
        <f>IF(A66="","",CHOOSE(WEEKDAY(A66,2),"Mo","Di","Mi","Do","Fr","Sa","So"))</f>
        <v/>
      </c>
      <c r="C66" s="6" t="n"/>
      <c r="D66" s="27" t="n"/>
      <c r="E66" s="9" t="n"/>
      <c r="F66" s="9" t="n"/>
      <c r="G66" s="9" t="n"/>
      <c r="H66" s="26">
        <f>IF(COUNT(E66:G66)=0,"",SUM(E66:G66))</f>
        <v/>
      </c>
      <c r="I66" s="9" t="n"/>
      <c r="J66" s="9" t="n"/>
      <c r="K66" s="9" t="n"/>
      <c r="L66" s="9" t="n"/>
      <c r="M66" s="26">
        <f>IF(COUNT(I66:L66)=0,"",SUM(I66:L66))</f>
        <v/>
      </c>
      <c r="N66" s="6" t="n"/>
      <c r="O66" s="28" t="n"/>
      <c r="P66" s="28" t="n"/>
    </row>
    <row r="67">
      <c r="A67" s="25" t="n"/>
      <c r="B67" s="26">
        <f>IF(A67="","",CHOOSE(WEEKDAY(A67,2),"Mo","Di","Mi","Do","Fr","Sa","So"))</f>
        <v/>
      </c>
      <c r="C67" s="6" t="n"/>
      <c r="D67" s="27" t="n"/>
      <c r="E67" s="9" t="n"/>
      <c r="F67" s="9" t="n"/>
      <c r="G67" s="9" t="n"/>
      <c r="H67" s="26">
        <f>IF(COUNT(E67:G67)=0,"",SUM(E67:G67))</f>
        <v/>
      </c>
      <c r="I67" s="9" t="n"/>
      <c r="J67" s="9" t="n"/>
      <c r="K67" s="9" t="n"/>
      <c r="L67" s="9" t="n"/>
      <c r="M67" s="26">
        <f>IF(COUNT(I67:L67)=0,"",SUM(I67:L67))</f>
        <v/>
      </c>
      <c r="N67" s="6" t="n"/>
      <c r="O67" s="28" t="n"/>
      <c r="P67" s="28" t="n"/>
    </row>
    <row r="68">
      <c r="A68" s="25" t="n"/>
      <c r="B68" s="26">
        <f>IF(A68="","",CHOOSE(WEEKDAY(A68,2),"Mo","Di","Mi","Do","Fr","Sa","So"))</f>
        <v/>
      </c>
      <c r="C68" s="6" t="n"/>
      <c r="D68" s="27" t="n"/>
      <c r="E68" s="9" t="n"/>
      <c r="F68" s="9" t="n"/>
      <c r="G68" s="9" t="n"/>
      <c r="H68" s="26">
        <f>IF(COUNT(E68:G68)=0,"",SUM(E68:G68))</f>
        <v/>
      </c>
      <c r="I68" s="9" t="n"/>
      <c r="J68" s="9" t="n"/>
      <c r="K68" s="9" t="n"/>
      <c r="L68" s="9" t="n"/>
      <c r="M68" s="26">
        <f>IF(COUNT(I68:L68)=0,"",SUM(I68:L68))</f>
        <v/>
      </c>
      <c r="N68" s="6" t="n"/>
      <c r="O68" s="28" t="n"/>
      <c r="P68" s="28" t="n"/>
    </row>
    <row r="69">
      <c r="A69" s="25" t="n"/>
      <c r="B69" s="26">
        <f>IF(A69="","",CHOOSE(WEEKDAY(A69,2),"Mo","Di","Mi","Do","Fr","Sa","So"))</f>
        <v/>
      </c>
      <c r="C69" s="6" t="n"/>
      <c r="D69" s="27" t="n"/>
      <c r="E69" s="9" t="n"/>
      <c r="F69" s="9" t="n"/>
      <c r="G69" s="9" t="n"/>
      <c r="H69" s="26">
        <f>IF(COUNT(E69:G69)=0,"",SUM(E69:G69))</f>
        <v/>
      </c>
      <c r="I69" s="9" t="n"/>
      <c r="J69" s="9" t="n"/>
      <c r="K69" s="9" t="n"/>
      <c r="L69" s="9" t="n"/>
      <c r="M69" s="26">
        <f>IF(COUNT(I69:L69)=0,"",SUM(I69:L69))</f>
        <v/>
      </c>
      <c r="N69" s="6" t="n"/>
      <c r="O69" s="28" t="n"/>
      <c r="P69" s="28" t="n"/>
    </row>
    <row r="70">
      <c r="A70" s="25" t="n"/>
      <c r="B70" s="26">
        <f>IF(A70="","",CHOOSE(WEEKDAY(A70,2),"Mo","Di","Mi","Do","Fr","Sa","So"))</f>
        <v/>
      </c>
      <c r="C70" s="6" t="n"/>
      <c r="D70" s="27" t="n"/>
      <c r="E70" s="9" t="n"/>
      <c r="F70" s="9" t="n"/>
      <c r="G70" s="9" t="n"/>
      <c r="H70" s="26">
        <f>IF(COUNT(E70:G70)=0,"",SUM(E70:G70))</f>
        <v/>
      </c>
      <c r="I70" s="9" t="n"/>
      <c r="J70" s="9" t="n"/>
      <c r="K70" s="9" t="n"/>
      <c r="L70" s="9" t="n"/>
      <c r="M70" s="26">
        <f>IF(COUNT(I70:L70)=0,"",SUM(I70:L70))</f>
        <v/>
      </c>
      <c r="N70" s="6" t="n"/>
      <c r="O70" s="28" t="n"/>
      <c r="P70" s="28" t="n"/>
    </row>
    <row r="71">
      <c r="A71" s="25" t="n"/>
      <c r="B71" s="26">
        <f>IF(A71="","",CHOOSE(WEEKDAY(A71,2),"Mo","Di","Mi","Do","Fr","Sa","So"))</f>
        <v/>
      </c>
      <c r="C71" s="6" t="n"/>
      <c r="D71" s="27" t="n"/>
      <c r="E71" s="9" t="n"/>
      <c r="F71" s="9" t="n"/>
      <c r="G71" s="9" t="n"/>
      <c r="H71" s="26">
        <f>IF(COUNT(E71:G71)=0,"",SUM(E71:G71))</f>
        <v/>
      </c>
      <c r="I71" s="9" t="n"/>
      <c r="J71" s="9" t="n"/>
      <c r="K71" s="9" t="n"/>
      <c r="L71" s="9" t="n"/>
      <c r="M71" s="26">
        <f>IF(COUNT(I71:L71)=0,"",SUM(I71:L71))</f>
        <v/>
      </c>
      <c r="N71" s="6" t="n"/>
      <c r="O71" s="28" t="n"/>
      <c r="P71" s="28" t="n"/>
    </row>
    <row r="72">
      <c r="A72" s="25" t="n"/>
      <c r="B72" s="26">
        <f>IF(A72="","",CHOOSE(WEEKDAY(A72,2),"Mo","Di","Mi","Do","Fr","Sa","So"))</f>
        <v/>
      </c>
      <c r="C72" s="6" t="n"/>
      <c r="D72" s="27" t="n"/>
      <c r="E72" s="9" t="n"/>
      <c r="F72" s="9" t="n"/>
      <c r="G72" s="9" t="n"/>
      <c r="H72" s="26">
        <f>IF(COUNT(E72:G72)=0,"",SUM(E72:G72))</f>
        <v/>
      </c>
      <c r="I72" s="9" t="n"/>
      <c r="J72" s="9" t="n"/>
      <c r="K72" s="9" t="n"/>
      <c r="L72" s="9" t="n"/>
      <c r="M72" s="26">
        <f>IF(COUNT(I72:L72)=0,"",SUM(I72:L72))</f>
        <v/>
      </c>
      <c r="N72" s="6" t="n"/>
      <c r="O72" s="28" t="n"/>
      <c r="P72" s="28" t="n"/>
    </row>
    <row r="73">
      <c r="A73" s="25" t="n"/>
      <c r="B73" s="26">
        <f>IF(A73="","",CHOOSE(WEEKDAY(A73,2),"Mo","Di","Mi","Do","Fr","Sa","So"))</f>
        <v/>
      </c>
      <c r="C73" s="6" t="n"/>
      <c r="D73" s="27" t="n"/>
      <c r="E73" s="9" t="n"/>
      <c r="F73" s="9" t="n"/>
      <c r="G73" s="9" t="n"/>
      <c r="H73" s="26">
        <f>IF(COUNT(E73:G73)=0,"",SUM(E73:G73))</f>
        <v/>
      </c>
      <c r="I73" s="9" t="n"/>
      <c r="J73" s="9" t="n"/>
      <c r="K73" s="9" t="n"/>
      <c r="L73" s="9" t="n"/>
      <c r="M73" s="26">
        <f>IF(COUNT(I73:L73)=0,"",SUM(I73:L73))</f>
        <v/>
      </c>
      <c r="N73" s="6" t="n"/>
      <c r="O73" s="28" t="n"/>
      <c r="P73" s="28" t="n"/>
    </row>
    <row r="74">
      <c r="A74" s="25" t="n"/>
      <c r="B74" s="26">
        <f>IF(A74="","",CHOOSE(WEEKDAY(A74,2),"Mo","Di","Mi","Do","Fr","Sa","So"))</f>
        <v/>
      </c>
      <c r="C74" s="6" t="n"/>
      <c r="D74" s="27" t="n"/>
      <c r="E74" s="9" t="n"/>
      <c r="F74" s="9" t="n"/>
      <c r="G74" s="9" t="n"/>
      <c r="H74" s="26">
        <f>IF(COUNT(E74:G74)=0,"",SUM(E74:G74))</f>
        <v/>
      </c>
      <c r="I74" s="9" t="n"/>
      <c r="J74" s="9" t="n"/>
      <c r="K74" s="9" t="n"/>
      <c r="L74" s="9" t="n"/>
      <c r="M74" s="26">
        <f>IF(COUNT(I74:L74)=0,"",SUM(I74:L74))</f>
        <v/>
      </c>
      <c r="N74" s="6" t="n"/>
      <c r="O74" s="28" t="n"/>
      <c r="P74" s="28" t="n"/>
    </row>
    <row r="75">
      <c r="A75" s="25" t="n"/>
      <c r="B75" s="26">
        <f>IF(A75="","",CHOOSE(WEEKDAY(A75,2),"Mo","Di","Mi","Do","Fr","Sa","So"))</f>
        <v/>
      </c>
      <c r="C75" s="6" t="n"/>
      <c r="D75" s="27" t="n"/>
      <c r="E75" s="9" t="n"/>
      <c r="F75" s="9" t="n"/>
      <c r="G75" s="9" t="n"/>
      <c r="H75" s="26">
        <f>IF(COUNT(E75:G75)=0,"",SUM(E75:G75))</f>
        <v/>
      </c>
      <c r="I75" s="9" t="n"/>
      <c r="J75" s="9" t="n"/>
      <c r="K75" s="9" t="n"/>
      <c r="L75" s="9" t="n"/>
      <c r="M75" s="26">
        <f>IF(COUNT(I75:L75)=0,"",SUM(I75:L75))</f>
        <v/>
      </c>
      <c r="N75" s="6" t="n"/>
      <c r="O75" s="28" t="n"/>
      <c r="P75" s="28" t="n"/>
    </row>
    <row r="76">
      <c r="A76" s="25" t="n"/>
      <c r="B76" s="26">
        <f>IF(A76="","",CHOOSE(WEEKDAY(A76,2),"Mo","Di","Mi","Do","Fr","Sa","So"))</f>
        <v/>
      </c>
      <c r="C76" s="6" t="n"/>
      <c r="D76" s="27" t="n"/>
      <c r="E76" s="9" t="n"/>
      <c r="F76" s="9" t="n"/>
      <c r="G76" s="9" t="n"/>
      <c r="H76" s="26">
        <f>IF(COUNT(E76:G76)=0,"",SUM(E76:G76))</f>
        <v/>
      </c>
      <c r="I76" s="9" t="n"/>
      <c r="J76" s="9" t="n"/>
      <c r="K76" s="9" t="n"/>
      <c r="L76" s="9" t="n"/>
      <c r="M76" s="26">
        <f>IF(COUNT(I76:L76)=0,"",SUM(I76:L76))</f>
        <v/>
      </c>
      <c r="N76" s="6" t="n"/>
      <c r="O76" s="28" t="n"/>
      <c r="P76" s="28" t="n"/>
    </row>
    <row r="77">
      <c r="A77" s="25" t="n"/>
      <c r="B77" s="26">
        <f>IF(A77="","",CHOOSE(WEEKDAY(A77,2),"Mo","Di","Mi","Do","Fr","Sa","So"))</f>
        <v/>
      </c>
      <c r="C77" s="6" t="n"/>
      <c r="D77" s="27" t="n"/>
      <c r="E77" s="9" t="n"/>
      <c r="F77" s="9" t="n"/>
      <c r="G77" s="9" t="n"/>
      <c r="H77" s="26">
        <f>IF(COUNT(E77:G77)=0,"",SUM(E77:G77))</f>
        <v/>
      </c>
      <c r="I77" s="9" t="n"/>
      <c r="J77" s="9" t="n"/>
      <c r="K77" s="9" t="n"/>
      <c r="L77" s="9" t="n"/>
      <c r="M77" s="26">
        <f>IF(COUNT(I77:L77)=0,"",SUM(I77:L77))</f>
        <v/>
      </c>
      <c r="N77" s="6" t="n"/>
      <c r="O77" s="28" t="n"/>
      <c r="P77" s="28" t="n"/>
    </row>
    <row r="78">
      <c r="A78" s="25" t="n"/>
      <c r="B78" s="26">
        <f>IF(A78="","",CHOOSE(WEEKDAY(A78,2),"Mo","Di","Mi","Do","Fr","Sa","So"))</f>
        <v/>
      </c>
      <c r="C78" s="6" t="n"/>
      <c r="D78" s="27" t="n"/>
      <c r="E78" s="9" t="n"/>
      <c r="F78" s="9" t="n"/>
      <c r="G78" s="9" t="n"/>
      <c r="H78" s="26">
        <f>IF(COUNT(E78:G78)=0,"",SUM(E78:G78))</f>
        <v/>
      </c>
      <c r="I78" s="9" t="n"/>
      <c r="J78" s="9" t="n"/>
      <c r="K78" s="9" t="n"/>
      <c r="L78" s="9" t="n"/>
      <c r="M78" s="26">
        <f>IF(COUNT(I78:L78)=0,"",SUM(I78:L78))</f>
        <v/>
      </c>
      <c r="N78" s="6" t="n"/>
      <c r="O78" s="28" t="n"/>
      <c r="P78" s="28" t="n"/>
    </row>
    <row r="79">
      <c r="A79" s="25" t="n"/>
      <c r="B79" s="26">
        <f>IF(A79="","",CHOOSE(WEEKDAY(A79,2),"Mo","Di","Mi","Do","Fr","Sa","So"))</f>
        <v/>
      </c>
      <c r="C79" s="6" t="n"/>
      <c r="D79" s="27" t="n"/>
      <c r="E79" s="9" t="n"/>
      <c r="F79" s="9" t="n"/>
      <c r="G79" s="9" t="n"/>
      <c r="H79" s="26">
        <f>IF(COUNT(E79:G79)=0,"",SUM(E79:G79))</f>
        <v/>
      </c>
      <c r="I79" s="9" t="n"/>
      <c r="J79" s="9" t="n"/>
      <c r="K79" s="9" t="n"/>
      <c r="L79" s="9" t="n"/>
      <c r="M79" s="26">
        <f>IF(COUNT(I79:L79)=0,"",SUM(I79:L79))</f>
        <v/>
      </c>
      <c r="N79" s="6" t="n"/>
      <c r="O79" s="28" t="n"/>
      <c r="P79" s="28" t="n"/>
    </row>
    <row r="80">
      <c r="A80" s="25" t="n"/>
      <c r="B80" s="26">
        <f>IF(A80="","",CHOOSE(WEEKDAY(A80,2),"Mo","Di","Mi","Do","Fr","Sa","So"))</f>
        <v/>
      </c>
      <c r="C80" s="6" t="n"/>
      <c r="D80" s="27" t="n"/>
      <c r="E80" s="9" t="n"/>
      <c r="F80" s="9" t="n"/>
      <c r="G80" s="9" t="n"/>
      <c r="H80" s="26">
        <f>IF(COUNT(E80:G80)=0,"",SUM(E80:G80))</f>
        <v/>
      </c>
      <c r="I80" s="9" t="n"/>
      <c r="J80" s="9" t="n"/>
      <c r="K80" s="9" t="n"/>
      <c r="L80" s="9" t="n"/>
      <c r="M80" s="26">
        <f>IF(COUNT(I80:L80)=0,"",SUM(I80:L80))</f>
        <v/>
      </c>
      <c r="N80" s="6" t="n"/>
      <c r="O80" s="28" t="n"/>
      <c r="P80" s="28" t="n"/>
    </row>
    <row r="81">
      <c r="A81" s="25" t="n"/>
      <c r="B81" s="26">
        <f>IF(A81="","",CHOOSE(WEEKDAY(A81,2),"Mo","Di","Mi","Do","Fr","Sa","So"))</f>
        <v/>
      </c>
      <c r="C81" s="6" t="n"/>
      <c r="D81" s="27" t="n"/>
      <c r="E81" s="9" t="n"/>
      <c r="F81" s="9" t="n"/>
      <c r="G81" s="9" t="n"/>
      <c r="H81" s="26">
        <f>IF(COUNT(E81:G81)=0,"",SUM(E81:G81))</f>
        <v/>
      </c>
      <c r="I81" s="9" t="n"/>
      <c r="J81" s="9" t="n"/>
      <c r="K81" s="9" t="n"/>
      <c r="L81" s="9" t="n"/>
      <c r="M81" s="26">
        <f>IF(COUNT(I81:L81)=0,"",SUM(I81:L81))</f>
        <v/>
      </c>
      <c r="N81" s="6" t="n"/>
      <c r="O81" s="28" t="n"/>
      <c r="P81" s="28" t="n"/>
    </row>
    <row r="82">
      <c r="A82" s="25" t="n"/>
      <c r="B82" s="26">
        <f>IF(A82="","",CHOOSE(WEEKDAY(A82,2),"Mo","Di","Mi","Do","Fr","Sa","So"))</f>
        <v/>
      </c>
      <c r="C82" s="6" t="n"/>
      <c r="D82" s="27" t="n"/>
      <c r="E82" s="9" t="n"/>
      <c r="F82" s="9" t="n"/>
      <c r="G82" s="9" t="n"/>
      <c r="H82" s="26">
        <f>IF(COUNT(E82:G82)=0,"",SUM(E82:G82))</f>
        <v/>
      </c>
      <c r="I82" s="9" t="n"/>
      <c r="J82" s="9" t="n"/>
      <c r="K82" s="9" t="n"/>
      <c r="L82" s="9" t="n"/>
      <c r="M82" s="26">
        <f>IF(COUNT(I82:L82)=0,"",SUM(I82:L82))</f>
        <v/>
      </c>
      <c r="N82" s="6" t="n"/>
      <c r="O82" s="28" t="n"/>
      <c r="P82" s="28" t="n"/>
    </row>
    <row r="83">
      <c r="A83" s="25" t="n"/>
      <c r="B83" s="26">
        <f>IF(A83="","",CHOOSE(WEEKDAY(A83,2),"Mo","Di","Mi","Do","Fr","Sa","So"))</f>
        <v/>
      </c>
      <c r="C83" s="6" t="n"/>
      <c r="D83" s="27" t="n"/>
      <c r="E83" s="9" t="n"/>
      <c r="F83" s="9" t="n"/>
      <c r="G83" s="9" t="n"/>
      <c r="H83" s="26">
        <f>IF(COUNT(E83:G83)=0,"",SUM(E83:G83))</f>
        <v/>
      </c>
      <c r="I83" s="9" t="n"/>
      <c r="J83" s="9" t="n"/>
      <c r="K83" s="9" t="n"/>
      <c r="L83" s="9" t="n"/>
      <c r="M83" s="26">
        <f>IF(COUNT(I83:L83)=0,"",SUM(I83:L83))</f>
        <v/>
      </c>
      <c r="N83" s="6" t="n"/>
      <c r="O83" s="28" t="n"/>
      <c r="P83" s="28" t="n"/>
    </row>
    <row r="84">
      <c r="A84" s="25" t="n"/>
      <c r="B84" s="26">
        <f>IF(A84="","",CHOOSE(WEEKDAY(A84,2),"Mo","Di","Mi","Do","Fr","Sa","So"))</f>
        <v/>
      </c>
      <c r="C84" s="6" t="n"/>
      <c r="D84" s="27" t="n"/>
      <c r="E84" s="9" t="n"/>
      <c r="F84" s="9" t="n"/>
      <c r="G84" s="9" t="n"/>
      <c r="H84" s="26">
        <f>IF(COUNT(E84:G84)=0,"",SUM(E84:G84))</f>
        <v/>
      </c>
      <c r="I84" s="9" t="n"/>
      <c r="J84" s="9" t="n"/>
      <c r="K84" s="9" t="n"/>
      <c r="L84" s="9" t="n"/>
      <c r="M84" s="26">
        <f>IF(COUNT(I84:L84)=0,"",SUM(I84:L84))</f>
        <v/>
      </c>
      <c r="N84" s="6" t="n"/>
      <c r="O84" s="28" t="n"/>
      <c r="P84" s="28" t="n"/>
    </row>
    <row r="85">
      <c r="A85" s="25" t="n"/>
      <c r="B85" s="26">
        <f>IF(A85="","",CHOOSE(WEEKDAY(A85,2),"Mo","Di","Mi","Do","Fr","Sa","So"))</f>
        <v/>
      </c>
      <c r="C85" s="6" t="n"/>
      <c r="D85" s="27" t="n"/>
      <c r="E85" s="9" t="n"/>
      <c r="F85" s="9" t="n"/>
      <c r="G85" s="9" t="n"/>
      <c r="H85" s="26">
        <f>IF(COUNT(E85:G85)=0,"",SUM(E85:G85))</f>
        <v/>
      </c>
      <c r="I85" s="9" t="n"/>
      <c r="J85" s="9" t="n"/>
      <c r="K85" s="9" t="n"/>
      <c r="L85" s="9" t="n"/>
      <c r="M85" s="26">
        <f>IF(COUNT(I85:L85)=0,"",SUM(I85:L85))</f>
        <v/>
      </c>
      <c r="N85" s="6" t="n"/>
      <c r="O85" s="28" t="n"/>
      <c r="P85" s="28" t="n"/>
    </row>
    <row r="86">
      <c r="A86" s="25" t="n"/>
      <c r="B86" s="26">
        <f>IF(A86="","",CHOOSE(WEEKDAY(A86,2),"Mo","Di","Mi","Do","Fr","Sa","So"))</f>
        <v/>
      </c>
      <c r="C86" s="6" t="n"/>
      <c r="D86" s="27" t="n"/>
      <c r="E86" s="9" t="n"/>
      <c r="F86" s="9" t="n"/>
      <c r="G86" s="9" t="n"/>
      <c r="H86" s="26">
        <f>IF(COUNT(E86:G86)=0,"",SUM(E86:G86))</f>
        <v/>
      </c>
      <c r="I86" s="9" t="n"/>
      <c r="J86" s="9" t="n"/>
      <c r="K86" s="9" t="n"/>
      <c r="L86" s="9" t="n"/>
      <c r="M86" s="26">
        <f>IF(COUNT(I86:L86)=0,"",SUM(I86:L86))</f>
        <v/>
      </c>
      <c r="N86" s="6" t="n"/>
      <c r="O86" s="28" t="n"/>
      <c r="P86" s="28" t="n"/>
    </row>
    <row r="87">
      <c r="A87" s="25" t="n"/>
      <c r="B87" s="26">
        <f>IF(A87="","",CHOOSE(WEEKDAY(A87,2),"Mo","Di","Mi","Do","Fr","Sa","So"))</f>
        <v/>
      </c>
      <c r="C87" s="6" t="n"/>
      <c r="D87" s="27" t="n"/>
      <c r="E87" s="9" t="n"/>
      <c r="F87" s="9" t="n"/>
      <c r="G87" s="9" t="n"/>
      <c r="H87" s="26">
        <f>IF(COUNT(E87:G87)=0,"",SUM(E87:G87))</f>
        <v/>
      </c>
      <c r="I87" s="9" t="n"/>
      <c r="J87" s="9" t="n"/>
      <c r="K87" s="9" t="n"/>
      <c r="L87" s="9" t="n"/>
      <c r="M87" s="26">
        <f>IF(COUNT(I87:L87)=0,"",SUM(I87:L87))</f>
        <v/>
      </c>
      <c r="N87" s="6" t="n"/>
      <c r="O87" s="28" t="n"/>
      <c r="P87" s="28" t="n"/>
    </row>
    <row r="88">
      <c r="A88" s="25" t="n"/>
      <c r="B88" s="26">
        <f>IF(A88="","",CHOOSE(WEEKDAY(A88,2),"Mo","Di","Mi","Do","Fr","Sa","So"))</f>
        <v/>
      </c>
      <c r="C88" s="6" t="n"/>
      <c r="D88" s="27" t="n"/>
      <c r="E88" s="9" t="n"/>
      <c r="F88" s="9" t="n"/>
      <c r="G88" s="9" t="n"/>
      <c r="H88" s="26">
        <f>IF(COUNT(E88:G88)=0,"",SUM(E88:G88))</f>
        <v/>
      </c>
      <c r="I88" s="9" t="n"/>
      <c r="J88" s="9" t="n"/>
      <c r="K88" s="9" t="n"/>
      <c r="L88" s="9" t="n"/>
      <c r="M88" s="26">
        <f>IF(COUNT(I88:L88)=0,"",SUM(I88:L88))</f>
        <v/>
      </c>
      <c r="N88" s="6" t="n"/>
      <c r="O88" s="28" t="n"/>
      <c r="P88" s="28" t="n"/>
    </row>
    <row r="89">
      <c r="A89" s="25" t="n"/>
      <c r="B89" s="26">
        <f>IF(A89="","",CHOOSE(WEEKDAY(A89,2),"Mo","Di","Mi","Do","Fr","Sa","So"))</f>
        <v/>
      </c>
      <c r="C89" s="6" t="n"/>
      <c r="D89" s="27" t="n"/>
      <c r="E89" s="9" t="n"/>
      <c r="F89" s="9" t="n"/>
      <c r="G89" s="9" t="n"/>
      <c r="H89" s="26">
        <f>IF(COUNT(E89:G89)=0,"",SUM(E89:G89))</f>
        <v/>
      </c>
      <c r="I89" s="9" t="n"/>
      <c r="J89" s="9" t="n"/>
      <c r="K89" s="9" t="n"/>
      <c r="L89" s="9" t="n"/>
      <c r="M89" s="26">
        <f>IF(COUNT(I89:L89)=0,"",SUM(I89:L89))</f>
        <v/>
      </c>
      <c r="N89" s="6" t="n"/>
      <c r="O89" s="28" t="n"/>
      <c r="P89" s="28" t="n"/>
    </row>
    <row r="90">
      <c r="A90" s="25" t="n"/>
      <c r="B90" s="26">
        <f>IF(A90="","",CHOOSE(WEEKDAY(A90,2),"Mo","Di","Mi","Do","Fr","Sa","So"))</f>
        <v/>
      </c>
      <c r="C90" s="6" t="n"/>
      <c r="D90" s="27" t="n"/>
      <c r="E90" s="9" t="n"/>
      <c r="F90" s="9" t="n"/>
      <c r="G90" s="9" t="n"/>
      <c r="H90" s="26">
        <f>IF(COUNT(E90:G90)=0,"",SUM(E90:G90))</f>
        <v/>
      </c>
      <c r="I90" s="9" t="n"/>
      <c r="J90" s="9" t="n"/>
      <c r="K90" s="9" t="n"/>
      <c r="L90" s="9" t="n"/>
      <c r="M90" s="26">
        <f>IF(COUNT(I90:L90)=0,"",SUM(I90:L90))</f>
        <v/>
      </c>
      <c r="N90" s="6" t="n"/>
      <c r="O90" s="28" t="n"/>
      <c r="P90" s="28" t="n"/>
    </row>
    <row r="91">
      <c r="A91" s="25" t="n"/>
      <c r="B91" s="26">
        <f>IF(A91="","",CHOOSE(WEEKDAY(A91,2),"Mo","Di","Mi","Do","Fr","Sa","So"))</f>
        <v/>
      </c>
      <c r="C91" s="6" t="n"/>
      <c r="D91" s="27" t="n"/>
      <c r="E91" s="9" t="n"/>
      <c r="F91" s="9" t="n"/>
      <c r="G91" s="9" t="n"/>
      <c r="H91" s="26">
        <f>IF(COUNT(E91:G91)=0,"",SUM(E91:G91))</f>
        <v/>
      </c>
      <c r="I91" s="9" t="n"/>
      <c r="J91" s="9" t="n"/>
      <c r="K91" s="9" t="n"/>
      <c r="L91" s="9" t="n"/>
      <c r="M91" s="26">
        <f>IF(COUNT(I91:L91)=0,"",SUM(I91:L91))</f>
        <v/>
      </c>
      <c r="N91" s="6" t="n"/>
      <c r="O91" s="28" t="n"/>
      <c r="P91" s="28" t="n"/>
    </row>
    <row r="92">
      <c r="A92" s="25" t="n"/>
      <c r="B92" s="26">
        <f>IF(A92="","",CHOOSE(WEEKDAY(A92,2),"Mo","Di","Mi","Do","Fr","Sa","So"))</f>
        <v/>
      </c>
      <c r="C92" s="6" t="n"/>
      <c r="D92" s="27" t="n"/>
      <c r="E92" s="9" t="n"/>
      <c r="F92" s="9" t="n"/>
      <c r="G92" s="9" t="n"/>
      <c r="H92" s="26">
        <f>IF(COUNT(E92:G92)=0,"",SUM(E92:G92))</f>
        <v/>
      </c>
      <c r="I92" s="9" t="n"/>
      <c r="J92" s="9" t="n"/>
      <c r="K92" s="9" t="n"/>
      <c r="L92" s="9" t="n"/>
      <c r="M92" s="26">
        <f>IF(COUNT(I92:L92)=0,"",SUM(I92:L92))</f>
        <v/>
      </c>
      <c r="N92" s="6" t="n"/>
      <c r="O92" s="28" t="n"/>
      <c r="P92" s="28" t="n"/>
    </row>
    <row r="93">
      <c r="A93" s="25" t="n"/>
      <c r="B93" s="26">
        <f>IF(A93="","",CHOOSE(WEEKDAY(A93,2),"Mo","Di","Mi","Do","Fr","Sa","So"))</f>
        <v/>
      </c>
      <c r="C93" s="6" t="n"/>
      <c r="D93" s="27" t="n"/>
      <c r="E93" s="9" t="n"/>
      <c r="F93" s="9" t="n"/>
      <c r="G93" s="9" t="n"/>
      <c r="H93" s="26">
        <f>IF(COUNT(E93:G93)=0,"",SUM(E93:G93))</f>
        <v/>
      </c>
      <c r="I93" s="9" t="n"/>
      <c r="J93" s="9" t="n"/>
      <c r="K93" s="9" t="n"/>
      <c r="L93" s="9" t="n"/>
      <c r="M93" s="26">
        <f>IF(COUNT(I93:L93)=0,"",SUM(I93:L93))</f>
        <v/>
      </c>
      <c r="N93" s="6" t="n"/>
      <c r="O93" s="28" t="n"/>
      <c r="P93" s="28" t="n"/>
    </row>
    <row r="94">
      <c r="A94" s="25" t="n"/>
      <c r="B94" s="26">
        <f>IF(A94="","",CHOOSE(WEEKDAY(A94,2),"Mo","Di","Mi","Do","Fr","Sa","So"))</f>
        <v/>
      </c>
      <c r="C94" s="6" t="n"/>
      <c r="D94" s="27" t="n"/>
      <c r="E94" s="9" t="n"/>
      <c r="F94" s="9" t="n"/>
      <c r="G94" s="9" t="n"/>
      <c r="H94" s="26">
        <f>IF(COUNT(E94:G94)=0,"",SUM(E94:G94))</f>
        <v/>
      </c>
      <c r="I94" s="9" t="n"/>
      <c r="J94" s="9" t="n"/>
      <c r="K94" s="9" t="n"/>
      <c r="L94" s="9" t="n"/>
      <c r="M94" s="26">
        <f>IF(COUNT(I94:L94)=0,"",SUM(I94:L94))</f>
        <v/>
      </c>
      <c r="N94" s="6" t="n"/>
      <c r="O94" s="28" t="n"/>
      <c r="P94" s="28" t="n"/>
    </row>
    <row r="95">
      <c r="A95" s="25" t="n"/>
      <c r="B95" s="26">
        <f>IF(A95="","",CHOOSE(WEEKDAY(A95,2),"Mo","Di","Mi","Do","Fr","Sa","So"))</f>
        <v/>
      </c>
      <c r="C95" s="6" t="n"/>
      <c r="D95" s="27" t="n"/>
      <c r="E95" s="9" t="n"/>
      <c r="F95" s="9" t="n"/>
      <c r="G95" s="9" t="n"/>
      <c r="H95" s="26">
        <f>IF(COUNT(E95:G95)=0,"",SUM(E95:G95))</f>
        <v/>
      </c>
      <c r="I95" s="9" t="n"/>
      <c r="J95" s="9" t="n"/>
      <c r="K95" s="9" t="n"/>
      <c r="L95" s="9" t="n"/>
      <c r="M95" s="26">
        <f>IF(COUNT(I95:L95)=0,"",SUM(I95:L95))</f>
        <v/>
      </c>
      <c r="N95" s="6" t="n"/>
      <c r="O95" s="28" t="n"/>
      <c r="P95" s="28" t="n"/>
    </row>
    <row r="96">
      <c r="A96" s="25" t="n"/>
      <c r="B96" s="26">
        <f>IF(A96="","",CHOOSE(WEEKDAY(A96,2),"Mo","Di","Mi","Do","Fr","Sa","So"))</f>
        <v/>
      </c>
      <c r="C96" s="6" t="n"/>
      <c r="D96" s="27" t="n"/>
      <c r="E96" s="9" t="n"/>
      <c r="F96" s="9" t="n"/>
      <c r="G96" s="9" t="n"/>
      <c r="H96" s="26">
        <f>IF(COUNT(E96:G96)=0,"",SUM(E96:G96))</f>
        <v/>
      </c>
      <c r="I96" s="9" t="n"/>
      <c r="J96" s="9" t="n"/>
      <c r="K96" s="9" t="n"/>
      <c r="L96" s="9" t="n"/>
      <c r="M96" s="26">
        <f>IF(COUNT(I96:L96)=0,"",SUM(I96:L96))</f>
        <v/>
      </c>
      <c r="N96" s="6" t="n"/>
      <c r="O96" s="28" t="n"/>
      <c r="P96" s="28" t="n"/>
    </row>
    <row r="97">
      <c r="A97" s="25" t="n"/>
      <c r="B97" s="26">
        <f>IF(A97="","",CHOOSE(WEEKDAY(A97,2),"Mo","Di","Mi","Do","Fr","Sa","So"))</f>
        <v/>
      </c>
      <c r="C97" s="6" t="n"/>
      <c r="D97" s="27" t="n"/>
      <c r="E97" s="9" t="n"/>
      <c r="F97" s="9" t="n"/>
      <c r="G97" s="9" t="n"/>
      <c r="H97" s="26">
        <f>IF(COUNT(E97:G97)=0,"",SUM(E97:G97))</f>
        <v/>
      </c>
      <c r="I97" s="9" t="n"/>
      <c r="J97" s="9" t="n"/>
      <c r="K97" s="9" t="n"/>
      <c r="L97" s="9" t="n"/>
      <c r="M97" s="26">
        <f>IF(COUNT(I97:L97)=0,"",SUM(I97:L97))</f>
        <v/>
      </c>
      <c r="N97" s="6" t="n"/>
      <c r="O97" s="28" t="n"/>
      <c r="P97" s="28" t="n"/>
    </row>
    <row r="98">
      <c r="A98" s="25" t="n"/>
      <c r="B98" s="26">
        <f>IF(A98="","",CHOOSE(WEEKDAY(A98,2),"Mo","Di","Mi","Do","Fr","Sa","So"))</f>
        <v/>
      </c>
      <c r="C98" s="6" t="n"/>
      <c r="D98" s="27" t="n"/>
      <c r="E98" s="9" t="n"/>
      <c r="F98" s="9" t="n"/>
      <c r="G98" s="9" t="n"/>
      <c r="H98" s="26">
        <f>IF(COUNT(E98:G98)=0,"",SUM(E98:G98))</f>
        <v/>
      </c>
      <c r="I98" s="9" t="n"/>
      <c r="J98" s="9" t="n"/>
      <c r="K98" s="9" t="n"/>
      <c r="L98" s="9" t="n"/>
      <c r="M98" s="26">
        <f>IF(COUNT(I98:L98)=0,"",SUM(I98:L98))</f>
        <v/>
      </c>
      <c r="N98" s="6" t="n"/>
      <c r="O98" s="28" t="n"/>
      <c r="P98" s="28" t="n"/>
    </row>
    <row r="99">
      <c r="A99" s="25" t="n"/>
      <c r="B99" s="26">
        <f>IF(A99="","",CHOOSE(WEEKDAY(A99,2),"Mo","Di","Mi","Do","Fr","Sa","So"))</f>
        <v/>
      </c>
      <c r="C99" s="6" t="n"/>
      <c r="D99" s="27" t="n"/>
      <c r="E99" s="9" t="n"/>
      <c r="F99" s="9" t="n"/>
      <c r="G99" s="9" t="n"/>
      <c r="H99" s="26">
        <f>IF(COUNT(E99:G99)=0,"",SUM(E99:G99))</f>
        <v/>
      </c>
      <c r="I99" s="9" t="n"/>
      <c r="J99" s="9" t="n"/>
      <c r="K99" s="9" t="n"/>
      <c r="L99" s="9" t="n"/>
      <c r="M99" s="26">
        <f>IF(COUNT(I99:L99)=0,"",SUM(I99:L99))</f>
        <v/>
      </c>
      <c r="N99" s="6" t="n"/>
      <c r="O99" s="28" t="n"/>
      <c r="P99" s="28" t="n"/>
    </row>
    <row r="100">
      <c r="A100" s="25" t="n"/>
      <c r="B100" s="26">
        <f>IF(A100="","",CHOOSE(WEEKDAY(A100,2),"Mo","Di","Mi","Do","Fr","Sa","So"))</f>
        <v/>
      </c>
      <c r="C100" s="6" t="n"/>
      <c r="D100" s="27" t="n"/>
      <c r="E100" s="9" t="n"/>
      <c r="F100" s="9" t="n"/>
      <c r="G100" s="9" t="n"/>
      <c r="H100" s="26">
        <f>IF(COUNT(E100:G100)=0,"",SUM(E100:G100))</f>
        <v/>
      </c>
      <c r="I100" s="9" t="n"/>
      <c r="J100" s="9" t="n"/>
      <c r="K100" s="9" t="n"/>
      <c r="L100" s="9" t="n"/>
      <c r="M100" s="26">
        <f>IF(COUNT(I100:L100)=0,"",SUM(I100:L100))</f>
        <v/>
      </c>
      <c r="N100" s="6" t="n"/>
      <c r="O100" s="28" t="n"/>
      <c r="P100" s="28" t="n"/>
    </row>
    <row r="101">
      <c r="A101" s="25" t="n"/>
      <c r="B101" s="26">
        <f>IF(A101="","",CHOOSE(WEEKDAY(A101,2),"Mo","Di","Mi","Do","Fr","Sa","So"))</f>
        <v/>
      </c>
      <c r="C101" s="6" t="n"/>
      <c r="D101" s="27" t="n"/>
      <c r="E101" s="9" t="n"/>
      <c r="F101" s="9" t="n"/>
      <c r="G101" s="9" t="n"/>
      <c r="H101" s="26">
        <f>IF(COUNT(E101:G101)=0,"",SUM(E101:G101))</f>
        <v/>
      </c>
      <c r="I101" s="9" t="n"/>
      <c r="J101" s="9" t="n"/>
      <c r="K101" s="9" t="n"/>
      <c r="L101" s="9" t="n"/>
      <c r="M101" s="26">
        <f>IF(COUNT(I101:L101)=0,"",SUM(I101:L101))</f>
        <v/>
      </c>
      <c r="N101" s="6" t="n"/>
      <c r="O101" s="28" t="n"/>
      <c r="P101" s="28" t="n"/>
    </row>
    <row r="102">
      <c r="A102" s="25" t="n"/>
      <c r="B102" s="26">
        <f>IF(A102="","",CHOOSE(WEEKDAY(A102,2),"Mo","Di","Mi","Do","Fr","Sa","So"))</f>
        <v/>
      </c>
      <c r="C102" s="6" t="n"/>
      <c r="D102" s="27" t="n"/>
      <c r="E102" s="9" t="n"/>
      <c r="F102" s="9" t="n"/>
      <c r="G102" s="9" t="n"/>
      <c r="H102" s="26">
        <f>IF(COUNT(E102:G102)=0,"",SUM(E102:G102))</f>
        <v/>
      </c>
      <c r="I102" s="9" t="n"/>
      <c r="J102" s="9" t="n"/>
      <c r="K102" s="9" t="n"/>
      <c r="L102" s="9" t="n"/>
      <c r="M102" s="26">
        <f>IF(COUNT(I102:L102)=0,"",SUM(I102:L102))</f>
        <v/>
      </c>
      <c r="N102" s="6" t="n"/>
      <c r="O102" s="28" t="n"/>
      <c r="P102" s="28" t="n"/>
    </row>
    <row r="103">
      <c r="A103" s="25" t="n"/>
      <c r="B103" s="26">
        <f>IF(A103="","",CHOOSE(WEEKDAY(A103,2),"Mo","Di","Mi","Do","Fr","Sa","So"))</f>
        <v/>
      </c>
      <c r="C103" s="6" t="n"/>
      <c r="D103" s="27" t="n"/>
      <c r="E103" s="9" t="n"/>
      <c r="F103" s="9" t="n"/>
      <c r="G103" s="9" t="n"/>
      <c r="H103" s="26">
        <f>IF(COUNT(E103:G103)=0,"",SUM(E103:G103))</f>
        <v/>
      </c>
      <c r="I103" s="9" t="n"/>
      <c r="J103" s="9" t="n"/>
      <c r="K103" s="9" t="n"/>
      <c r="L103" s="9" t="n"/>
      <c r="M103" s="26">
        <f>IF(COUNT(I103:L103)=0,"",SUM(I103:L103))</f>
        <v/>
      </c>
      <c r="N103" s="6" t="n"/>
      <c r="O103" s="28" t="n"/>
      <c r="P103" s="28" t="n"/>
    </row>
    <row r="104">
      <c r="A104" s="25" t="n"/>
      <c r="B104" s="26">
        <f>IF(A104="","",CHOOSE(WEEKDAY(A104,2),"Mo","Di","Mi","Do","Fr","Sa","So"))</f>
        <v/>
      </c>
      <c r="C104" s="6" t="n"/>
      <c r="D104" s="27" t="n"/>
      <c r="E104" s="9" t="n"/>
      <c r="F104" s="9" t="n"/>
      <c r="G104" s="9" t="n"/>
      <c r="H104" s="26">
        <f>IF(COUNT(E104:G104)=0,"",SUM(E104:G104))</f>
        <v/>
      </c>
      <c r="I104" s="9" t="n"/>
      <c r="J104" s="9" t="n"/>
      <c r="K104" s="9" t="n"/>
      <c r="L104" s="9" t="n"/>
      <c r="M104" s="26">
        <f>IF(COUNT(I104:L104)=0,"",SUM(I104:L104))</f>
        <v/>
      </c>
      <c r="N104" s="6" t="n"/>
      <c r="O104" s="28" t="n"/>
      <c r="P104" s="28" t="n"/>
    </row>
    <row r="105">
      <c r="A105" s="25" t="n"/>
      <c r="B105" s="26">
        <f>IF(A105="","",CHOOSE(WEEKDAY(A105,2),"Mo","Di","Mi","Do","Fr","Sa","So"))</f>
        <v/>
      </c>
      <c r="C105" s="6" t="n"/>
      <c r="D105" s="27" t="n"/>
      <c r="E105" s="9" t="n"/>
      <c r="F105" s="9" t="n"/>
      <c r="G105" s="9" t="n"/>
      <c r="H105" s="26">
        <f>IF(COUNT(E105:G105)=0,"",SUM(E105:G105))</f>
        <v/>
      </c>
      <c r="I105" s="9" t="n"/>
      <c r="J105" s="9" t="n"/>
      <c r="K105" s="9" t="n"/>
      <c r="L105" s="9" t="n"/>
      <c r="M105" s="26">
        <f>IF(COUNT(I105:L105)=0,"",SUM(I105:L105))</f>
        <v/>
      </c>
      <c r="N105" s="6" t="n"/>
      <c r="O105" s="28" t="n"/>
      <c r="P105" s="28" t="n"/>
    </row>
    <row r="106">
      <c r="A106" s="25" t="n"/>
      <c r="B106" s="26">
        <f>IF(A106="","",CHOOSE(WEEKDAY(A106,2),"Mo","Di","Mi","Do","Fr","Sa","So"))</f>
        <v/>
      </c>
      <c r="C106" s="6" t="n"/>
      <c r="D106" s="27" t="n"/>
      <c r="E106" s="9" t="n"/>
      <c r="F106" s="9" t="n"/>
      <c r="G106" s="9" t="n"/>
      <c r="H106" s="26">
        <f>IF(COUNT(E106:G106)=0,"",SUM(E106:G106))</f>
        <v/>
      </c>
      <c r="I106" s="9" t="n"/>
      <c r="J106" s="9" t="n"/>
      <c r="K106" s="9" t="n"/>
      <c r="L106" s="9" t="n"/>
      <c r="M106" s="26">
        <f>IF(COUNT(I106:L106)=0,"",SUM(I106:L106))</f>
        <v/>
      </c>
      <c r="N106" s="6" t="n"/>
      <c r="O106" s="28" t="n"/>
      <c r="P106" s="28" t="n"/>
    </row>
    <row r="107">
      <c r="A107" s="25" t="n"/>
      <c r="B107" s="26">
        <f>IF(A107="","",CHOOSE(WEEKDAY(A107,2),"Mo","Di","Mi","Do","Fr","Sa","So"))</f>
        <v/>
      </c>
      <c r="C107" s="6" t="n"/>
      <c r="D107" s="27" t="n"/>
      <c r="E107" s="9" t="n"/>
      <c r="F107" s="9" t="n"/>
      <c r="G107" s="9" t="n"/>
      <c r="H107" s="26">
        <f>IF(COUNT(E107:G107)=0,"",SUM(E107:G107))</f>
        <v/>
      </c>
      <c r="I107" s="9" t="n"/>
      <c r="J107" s="9" t="n"/>
      <c r="K107" s="9" t="n"/>
      <c r="L107" s="9" t="n"/>
      <c r="M107" s="26">
        <f>IF(COUNT(I107:L107)=0,"",SUM(I107:L107))</f>
        <v/>
      </c>
      <c r="N107" s="6" t="n"/>
      <c r="O107" s="28" t="n"/>
      <c r="P107" s="28" t="n"/>
    </row>
    <row r="108">
      <c r="A108" s="25" t="n"/>
      <c r="B108" s="26">
        <f>IF(A108="","",CHOOSE(WEEKDAY(A108,2),"Mo","Di","Mi","Do","Fr","Sa","So"))</f>
        <v/>
      </c>
      <c r="C108" s="6" t="n"/>
      <c r="D108" s="27" t="n"/>
      <c r="E108" s="9" t="n"/>
      <c r="F108" s="9" t="n"/>
      <c r="G108" s="9" t="n"/>
      <c r="H108" s="26">
        <f>IF(COUNT(E108:G108)=0,"",SUM(E108:G108))</f>
        <v/>
      </c>
      <c r="I108" s="9" t="n"/>
      <c r="J108" s="9" t="n"/>
      <c r="K108" s="9" t="n"/>
      <c r="L108" s="9" t="n"/>
      <c r="M108" s="26">
        <f>IF(COUNT(I108:L108)=0,"",SUM(I108:L108))</f>
        <v/>
      </c>
      <c r="N108" s="6" t="n"/>
      <c r="O108" s="28" t="n"/>
      <c r="P108" s="28" t="n"/>
    </row>
    <row r="109">
      <c r="A109" s="25" t="n"/>
      <c r="B109" s="26">
        <f>IF(A109="","",CHOOSE(WEEKDAY(A109,2),"Mo","Di","Mi","Do","Fr","Sa","So"))</f>
        <v/>
      </c>
      <c r="C109" s="6" t="n"/>
      <c r="D109" s="27" t="n"/>
      <c r="E109" s="9" t="n"/>
      <c r="F109" s="9" t="n"/>
      <c r="G109" s="9" t="n"/>
      <c r="H109" s="26">
        <f>IF(COUNT(E109:G109)=0,"",SUM(E109:G109))</f>
        <v/>
      </c>
      <c r="I109" s="9" t="n"/>
      <c r="J109" s="9" t="n"/>
      <c r="K109" s="9" t="n"/>
      <c r="L109" s="9" t="n"/>
      <c r="M109" s="26">
        <f>IF(COUNT(I109:L109)=0,"",SUM(I109:L109))</f>
        <v/>
      </c>
      <c r="N109" s="6" t="n"/>
      <c r="O109" s="28" t="n"/>
      <c r="P109" s="28" t="n"/>
    </row>
    <row r="110">
      <c r="A110" s="25" t="n"/>
      <c r="B110" s="26">
        <f>IF(A110="","",CHOOSE(WEEKDAY(A110,2),"Mo","Di","Mi","Do","Fr","Sa","So"))</f>
        <v/>
      </c>
      <c r="C110" s="6" t="n"/>
      <c r="D110" s="27" t="n"/>
      <c r="E110" s="9" t="n"/>
      <c r="F110" s="9" t="n"/>
      <c r="G110" s="9" t="n"/>
      <c r="H110" s="26">
        <f>IF(COUNT(E110:G110)=0,"",SUM(E110:G110))</f>
        <v/>
      </c>
      <c r="I110" s="9" t="n"/>
      <c r="J110" s="9" t="n"/>
      <c r="K110" s="9" t="n"/>
      <c r="L110" s="9" t="n"/>
      <c r="M110" s="26">
        <f>IF(COUNT(I110:L110)=0,"",SUM(I110:L110))</f>
        <v/>
      </c>
      <c r="N110" s="6" t="n"/>
      <c r="O110" s="28" t="n"/>
      <c r="P110" s="28" t="n"/>
    </row>
    <row r="111">
      <c r="A111" s="25" t="n"/>
      <c r="B111" s="26">
        <f>IF(A111="","",CHOOSE(WEEKDAY(A111,2),"Mo","Di","Mi","Do","Fr","Sa","So"))</f>
        <v/>
      </c>
      <c r="C111" s="6" t="n"/>
      <c r="D111" s="27" t="n"/>
      <c r="E111" s="9" t="n"/>
      <c r="F111" s="9" t="n"/>
      <c r="G111" s="9" t="n"/>
      <c r="H111" s="26">
        <f>IF(COUNT(E111:G111)=0,"",SUM(E111:G111))</f>
        <v/>
      </c>
      <c r="I111" s="9" t="n"/>
      <c r="J111" s="9" t="n"/>
      <c r="K111" s="9" t="n"/>
      <c r="L111" s="9" t="n"/>
      <c r="M111" s="26">
        <f>IF(COUNT(I111:L111)=0,"",SUM(I111:L111))</f>
        <v/>
      </c>
      <c r="N111" s="6" t="n"/>
      <c r="O111" s="28" t="n"/>
      <c r="P111" s="28" t="n"/>
    </row>
    <row r="112">
      <c r="A112" s="25" t="n"/>
      <c r="B112" s="26">
        <f>IF(A112="","",CHOOSE(WEEKDAY(A112,2),"Mo","Di","Mi","Do","Fr","Sa","So"))</f>
        <v/>
      </c>
      <c r="C112" s="6" t="n"/>
      <c r="D112" s="27" t="n"/>
      <c r="E112" s="9" t="n"/>
      <c r="F112" s="9" t="n"/>
      <c r="G112" s="9" t="n"/>
      <c r="H112" s="26">
        <f>IF(COUNT(E112:G112)=0,"",SUM(E112:G112))</f>
        <v/>
      </c>
      <c r="I112" s="9" t="n"/>
      <c r="J112" s="9" t="n"/>
      <c r="K112" s="9" t="n"/>
      <c r="L112" s="9" t="n"/>
      <c r="M112" s="26">
        <f>IF(COUNT(I112:L112)=0,"",SUM(I112:L112))</f>
        <v/>
      </c>
      <c r="N112" s="6" t="n"/>
      <c r="O112" s="28" t="n"/>
      <c r="P112" s="28" t="n"/>
    </row>
    <row r="113">
      <c r="A113" s="25" t="n"/>
      <c r="B113" s="26">
        <f>IF(A113="","",CHOOSE(WEEKDAY(A113,2),"Mo","Di","Mi","Do","Fr","Sa","So"))</f>
        <v/>
      </c>
      <c r="C113" s="6" t="n"/>
      <c r="D113" s="27" t="n"/>
      <c r="E113" s="9" t="n"/>
      <c r="F113" s="9" t="n"/>
      <c r="G113" s="9" t="n"/>
      <c r="H113" s="26">
        <f>IF(COUNT(E113:G113)=0,"",SUM(E113:G113))</f>
        <v/>
      </c>
      <c r="I113" s="9" t="n"/>
      <c r="J113" s="9" t="n"/>
      <c r="K113" s="9" t="n"/>
      <c r="L113" s="9" t="n"/>
      <c r="M113" s="26">
        <f>IF(COUNT(I113:L113)=0,"",SUM(I113:L113))</f>
        <v/>
      </c>
      <c r="N113" s="6" t="n"/>
      <c r="O113" s="28" t="n"/>
      <c r="P113" s="28" t="n"/>
    </row>
    <row r="114">
      <c r="A114" s="25" t="n"/>
      <c r="B114" s="26">
        <f>IF(A114="","",CHOOSE(WEEKDAY(A114,2),"Mo","Di","Mi","Do","Fr","Sa","So"))</f>
        <v/>
      </c>
      <c r="C114" s="6" t="n"/>
      <c r="D114" s="27" t="n"/>
      <c r="E114" s="9" t="n"/>
      <c r="F114" s="9" t="n"/>
      <c r="G114" s="9" t="n"/>
      <c r="H114" s="26">
        <f>IF(COUNT(E114:G114)=0,"",SUM(E114:G114))</f>
        <v/>
      </c>
      <c r="I114" s="9" t="n"/>
      <c r="J114" s="9" t="n"/>
      <c r="K114" s="9" t="n"/>
      <c r="L114" s="9" t="n"/>
      <c r="M114" s="26">
        <f>IF(COUNT(I114:L114)=0,"",SUM(I114:L114))</f>
        <v/>
      </c>
      <c r="N114" s="6" t="n"/>
      <c r="O114" s="28" t="n"/>
      <c r="P114" s="28" t="n"/>
    </row>
    <row r="115">
      <c r="A115" s="25" t="n"/>
      <c r="B115" s="26">
        <f>IF(A115="","",CHOOSE(WEEKDAY(A115,2),"Mo","Di","Mi","Do","Fr","Sa","So"))</f>
        <v/>
      </c>
      <c r="C115" s="6" t="n"/>
      <c r="D115" s="27" t="n"/>
      <c r="E115" s="9" t="n"/>
      <c r="F115" s="9" t="n"/>
      <c r="G115" s="9" t="n"/>
      <c r="H115" s="26">
        <f>IF(COUNT(E115:G115)=0,"",SUM(E115:G115))</f>
        <v/>
      </c>
      <c r="I115" s="9" t="n"/>
      <c r="J115" s="9" t="n"/>
      <c r="K115" s="9" t="n"/>
      <c r="L115" s="9" t="n"/>
      <c r="M115" s="26">
        <f>IF(COUNT(I115:L115)=0,"",SUM(I115:L115))</f>
        <v/>
      </c>
      <c r="N115" s="6" t="n"/>
      <c r="O115" s="28" t="n"/>
      <c r="P115" s="28" t="n"/>
    </row>
    <row r="116">
      <c r="A116" s="25" t="n"/>
      <c r="B116" s="26">
        <f>IF(A116="","",CHOOSE(WEEKDAY(A116,2),"Mo","Di","Mi","Do","Fr","Sa","So"))</f>
        <v/>
      </c>
      <c r="C116" s="6" t="n"/>
      <c r="D116" s="27" t="n"/>
      <c r="E116" s="9" t="n"/>
      <c r="F116" s="9" t="n"/>
      <c r="G116" s="9" t="n"/>
      <c r="H116" s="26">
        <f>IF(COUNT(E116:G116)=0,"",SUM(E116:G116))</f>
        <v/>
      </c>
      <c r="I116" s="9" t="n"/>
      <c r="J116" s="9" t="n"/>
      <c r="K116" s="9" t="n"/>
      <c r="L116" s="9" t="n"/>
      <c r="M116" s="26">
        <f>IF(COUNT(I116:L116)=0,"",SUM(I116:L116))</f>
        <v/>
      </c>
      <c r="N116" s="6" t="n"/>
      <c r="O116" s="28" t="n"/>
      <c r="P116" s="28" t="n"/>
    </row>
    <row r="117">
      <c r="A117" s="25" t="n"/>
      <c r="B117" s="26">
        <f>IF(A117="","",CHOOSE(WEEKDAY(A117,2),"Mo","Di","Mi","Do","Fr","Sa","So"))</f>
        <v/>
      </c>
      <c r="C117" s="6" t="n"/>
      <c r="D117" s="27" t="n"/>
      <c r="E117" s="9" t="n"/>
      <c r="F117" s="9" t="n"/>
      <c r="G117" s="9" t="n"/>
      <c r="H117" s="26">
        <f>IF(COUNT(E117:G117)=0,"",SUM(E117:G117))</f>
        <v/>
      </c>
      <c r="I117" s="9" t="n"/>
      <c r="J117" s="9" t="n"/>
      <c r="K117" s="9" t="n"/>
      <c r="L117" s="9" t="n"/>
      <c r="M117" s="26">
        <f>IF(COUNT(I117:L117)=0,"",SUM(I117:L117))</f>
        <v/>
      </c>
      <c r="N117" s="6" t="n"/>
      <c r="O117" s="28" t="n"/>
      <c r="P117" s="28" t="n"/>
    </row>
    <row r="118">
      <c r="A118" s="25" t="n"/>
      <c r="B118" s="26">
        <f>IF(A118="","",CHOOSE(WEEKDAY(A118,2),"Mo","Di","Mi","Do","Fr","Sa","So"))</f>
        <v/>
      </c>
      <c r="C118" s="6" t="n"/>
      <c r="D118" s="27" t="n"/>
      <c r="E118" s="9" t="n"/>
      <c r="F118" s="9" t="n"/>
      <c r="G118" s="9" t="n"/>
      <c r="H118" s="26">
        <f>IF(COUNT(E118:G118)=0,"",SUM(E118:G118))</f>
        <v/>
      </c>
      <c r="I118" s="9" t="n"/>
      <c r="J118" s="9" t="n"/>
      <c r="K118" s="9" t="n"/>
      <c r="L118" s="9" t="n"/>
      <c r="M118" s="26">
        <f>IF(COUNT(I118:L118)=0,"",SUM(I118:L118))</f>
        <v/>
      </c>
      <c r="N118" s="6" t="n"/>
      <c r="O118" s="28" t="n"/>
      <c r="P118" s="28" t="n"/>
    </row>
    <row r="119">
      <c r="A119" s="25" t="n"/>
      <c r="B119" s="26">
        <f>IF(A119="","",CHOOSE(WEEKDAY(A119,2),"Mo","Di","Mi","Do","Fr","Sa","So"))</f>
        <v/>
      </c>
      <c r="C119" s="6" t="n"/>
      <c r="D119" s="27" t="n"/>
      <c r="E119" s="9" t="n"/>
      <c r="F119" s="9" t="n"/>
      <c r="G119" s="9" t="n"/>
      <c r="H119" s="26">
        <f>IF(COUNT(E119:G119)=0,"",SUM(E119:G119))</f>
        <v/>
      </c>
      <c r="I119" s="9" t="n"/>
      <c r="J119" s="9" t="n"/>
      <c r="K119" s="9" t="n"/>
      <c r="L119" s="9" t="n"/>
      <c r="M119" s="26">
        <f>IF(COUNT(I119:L119)=0,"",SUM(I119:L119))</f>
        <v/>
      </c>
      <c r="N119" s="6" t="n"/>
      <c r="O119" s="28" t="n"/>
      <c r="P119" s="28" t="n"/>
    </row>
    <row r="120">
      <c r="A120" s="25" t="n"/>
      <c r="B120" s="26">
        <f>IF(A120="","",CHOOSE(WEEKDAY(A120,2),"Mo","Di","Mi","Do","Fr","Sa","So"))</f>
        <v/>
      </c>
      <c r="C120" s="6" t="n"/>
      <c r="D120" s="27" t="n"/>
      <c r="E120" s="9" t="n"/>
      <c r="F120" s="9" t="n"/>
      <c r="G120" s="9" t="n"/>
      <c r="H120" s="26">
        <f>IF(COUNT(E120:G120)=0,"",SUM(E120:G120))</f>
        <v/>
      </c>
      <c r="I120" s="9" t="n"/>
      <c r="J120" s="9" t="n"/>
      <c r="K120" s="9" t="n"/>
      <c r="L120" s="9" t="n"/>
      <c r="M120" s="26">
        <f>IF(COUNT(I120:L120)=0,"",SUM(I120:L120))</f>
        <v/>
      </c>
      <c r="N120" s="6" t="n"/>
      <c r="O120" s="28" t="n"/>
      <c r="P120" s="28" t="n"/>
    </row>
    <row r="121">
      <c r="A121" s="25" t="n"/>
      <c r="B121" s="26">
        <f>IF(A121="","",CHOOSE(WEEKDAY(A121,2),"Mo","Di","Mi","Do","Fr","Sa","So"))</f>
        <v/>
      </c>
      <c r="C121" s="6" t="n"/>
      <c r="D121" s="27" t="n"/>
      <c r="E121" s="9" t="n"/>
      <c r="F121" s="9" t="n"/>
      <c r="G121" s="9" t="n"/>
      <c r="H121" s="26">
        <f>IF(COUNT(E121:G121)=0,"",SUM(E121:G121))</f>
        <v/>
      </c>
      <c r="I121" s="9" t="n"/>
      <c r="J121" s="9" t="n"/>
      <c r="K121" s="9" t="n"/>
      <c r="L121" s="9" t="n"/>
      <c r="M121" s="26">
        <f>IF(COUNT(I121:L121)=0,"",SUM(I121:L121))</f>
        <v/>
      </c>
      <c r="N121" s="6" t="n"/>
      <c r="O121" s="28" t="n"/>
      <c r="P121" s="28" t="n"/>
    </row>
    <row r="122">
      <c r="A122" s="25" t="n"/>
      <c r="B122" s="26">
        <f>IF(A122="","",CHOOSE(WEEKDAY(A122,2),"Mo","Di","Mi","Do","Fr","Sa","So"))</f>
        <v/>
      </c>
      <c r="C122" s="6" t="n"/>
      <c r="D122" s="27" t="n"/>
      <c r="E122" s="9" t="n"/>
      <c r="F122" s="9" t="n"/>
      <c r="G122" s="9" t="n"/>
      <c r="H122" s="26">
        <f>IF(COUNT(E122:G122)=0,"",SUM(E122:G122))</f>
        <v/>
      </c>
      <c r="I122" s="9" t="n"/>
      <c r="J122" s="9" t="n"/>
      <c r="K122" s="9" t="n"/>
      <c r="L122" s="9" t="n"/>
      <c r="M122" s="26">
        <f>IF(COUNT(I122:L122)=0,"",SUM(I122:L122))</f>
        <v/>
      </c>
      <c r="N122" s="6" t="n"/>
      <c r="O122" s="28" t="n"/>
      <c r="P122" s="28" t="n"/>
    </row>
    <row r="123">
      <c r="A123" s="25" t="n"/>
      <c r="B123" s="26">
        <f>IF(A123="","",CHOOSE(WEEKDAY(A123,2),"Mo","Di","Mi","Do","Fr","Sa","So"))</f>
        <v/>
      </c>
      <c r="C123" s="6" t="n"/>
      <c r="D123" s="27" t="n"/>
      <c r="E123" s="9" t="n"/>
      <c r="F123" s="9" t="n"/>
      <c r="G123" s="9" t="n"/>
      <c r="H123" s="26">
        <f>IF(COUNT(E123:G123)=0,"",SUM(E123:G123))</f>
        <v/>
      </c>
      <c r="I123" s="9" t="n"/>
      <c r="J123" s="9" t="n"/>
      <c r="K123" s="9" t="n"/>
      <c r="L123" s="9" t="n"/>
      <c r="M123" s="26">
        <f>IF(COUNT(I123:L123)=0,"",SUM(I123:L123))</f>
        <v/>
      </c>
      <c r="N123" s="6" t="n"/>
      <c r="O123" s="28" t="n"/>
      <c r="P123" s="28" t="n"/>
    </row>
    <row r="124">
      <c r="A124" s="25" t="n"/>
      <c r="B124" s="26">
        <f>IF(A124="","",CHOOSE(WEEKDAY(A124,2),"Mo","Di","Mi","Do","Fr","Sa","So"))</f>
        <v/>
      </c>
      <c r="C124" s="6" t="n"/>
      <c r="D124" s="27" t="n"/>
      <c r="E124" s="9" t="n"/>
      <c r="F124" s="9" t="n"/>
      <c r="G124" s="9" t="n"/>
      <c r="H124" s="26">
        <f>IF(COUNT(E124:G124)=0,"",SUM(E124:G124))</f>
        <v/>
      </c>
      <c r="I124" s="9" t="n"/>
      <c r="J124" s="9" t="n"/>
      <c r="K124" s="9" t="n"/>
      <c r="L124" s="9" t="n"/>
      <c r="M124" s="26">
        <f>IF(COUNT(I124:L124)=0,"",SUM(I124:L124))</f>
        <v/>
      </c>
      <c r="N124" s="6" t="n"/>
      <c r="O124" s="28" t="n"/>
      <c r="P124" s="28" t="n"/>
    </row>
    <row r="125">
      <c r="A125" s="25" t="n"/>
      <c r="B125" s="26">
        <f>IF(A125="","",CHOOSE(WEEKDAY(A125,2),"Mo","Di","Mi","Do","Fr","Sa","So"))</f>
        <v/>
      </c>
      <c r="C125" s="6" t="n"/>
      <c r="D125" s="27" t="n"/>
      <c r="E125" s="9" t="n"/>
      <c r="F125" s="9" t="n"/>
      <c r="G125" s="9" t="n"/>
      <c r="H125" s="26">
        <f>IF(COUNT(E125:G125)=0,"",SUM(E125:G125))</f>
        <v/>
      </c>
      <c r="I125" s="9" t="n"/>
      <c r="J125" s="9" t="n"/>
      <c r="K125" s="9" t="n"/>
      <c r="L125" s="9" t="n"/>
      <c r="M125" s="26">
        <f>IF(COUNT(I125:L125)=0,"",SUM(I125:L125))</f>
        <v/>
      </c>
      <c r="N125" s="6" t="n"/>
      <c r="O125" s="28" t="n"/>
      <c r="P125" s="28" t="n"/>
    </row>
    <row r="126">
      <c r="A126" s="25" t="n"/>
      <c r="B126" s="26">
        <f>IF(A126="","",CHOOSE(WEEKDAY(A126,2),"Mo","Di","Mi","Do","Fr","Sa","So"))</f>
        <v/>
      </c>
      <c r="C126" s="6" t="n"/>
      <c r="D126" s="27" t="n"/>
      <c r="E126" s="9" t="n"/>
      <c r="F126" s="9" t="n"/>
      <c r="G126" s="9" t="n"/>
      <c r="H126" s="26">
        <f>IF(COUNT(E126:G126)=0,"",SUM(E126:G126))</f>
        <v/>
      </c>
      <c r="I126" s="9" t="n"/>
      <c r="J126" s="9" t="n"/>
      <c r="K126" s="9" t="n"/>
      <c r="L126" s="9" t="n"/>
      <c r="M126" s="26">
        <f>IF(COUNT(I126:L126)=0,"",SUM(I126:L126))</f>
        <v/>
      </c>
      <c r="N126" s="6" t="n"/>
      <c r="O126" s="28" t="n"/>
      <c r="P126" s="28" t="n"/>
    </row>
    <row r="127">
      <c r="A127" s="25" t="n"/>
      <c r="B127" s="26">
        <f>IF(A127="","",CHOOSE(WEEKDAY(A127,2),"Mo","Di","Mi","Do","Fr","Sa","So"))</f>
        <v/>
      </c>
      <c r="C127" s="6" t="n"/>
      <c r="D127" s="27" t="n"/>
      <c r="E127" s="9" t="n"/>
      <c r="F127" s="9" t="n"/>
      <c r="G127" s="9" t="n"/>
      <c r="H127" s="26">
        <f>IF(COUNT(E127:G127)=0,"",SUM(E127:G127))</f>
        <v/>
      </c>
      <c r="I127" s="9" t="n"/>
      <c r="J127" s="9" t="n"/>
      <c r="K127" s="9" t="n"/>
      <c r="L127" s="9" t="n"/>
      <c r="M127" s="26">
        <f>IF(COUNT(I127:L127)=0,"",SUM(I127:L127))</f>
        <v/>
      </c>
      <c r="N127" s="6" t="n"/>
      <c r="O127" s="28" t="n"/>
      <c r="P127" s="28" t="n"/>
    </row>
    <row r="128">
      <c r="A128" s="25" t="n"/>
      <c r="B128" s="26">
        <f>IF(A128="","",CHOOSE(WEEKDAY(A128,2),"Mo","Di","Mi","Do","Fr","Sa","So"))</f>
        <v/>
      </c>
      <c r="C128" s="6" t="n"/>
      <c r="D128" s="27" t="n"/>
      <c r="E128" s="9" t="n"/>
      <c r="F128" s="9" t="n"/>
      <c r="G128" s="9" t="n"/>
      <c r="H128" s="26">
        <f>IF(COUNT(E128:G128)=0,"",SUM(E128:G128))</f>
        <v/>
      </c>
      <c r="I128" s="9" t="n"/>
      <c r="J128" s="9" t="n"/>
      <c r="K128" s="9" t="n"/>
      <c r="L128" s="9" t="n"/>
      <c r="M128" s="26">
        <f>IF(COUNT(I128:L128)=0,"",SUM(I128:L128))</f>
        <v/>
      </c>
      <c r="N128" s="6" t="n"/>
      <c r="O128" s="28" t="n"/>
      <c r="P128" s="28" t="n"/>
    </row>
    <row r="129">
      <c r="A129" s="25" t="n"/>
      <c r="B129" s="26">
        <f>IF(A129="","",CHOOSE(WEEKDAY(A129,2),"Mo","Di","Mi","Do","Fr","Sa","So"))</f>
        <v/>
      </c>
      <c r="C129" s="6" t="n"/>
      <c r="D129" s="27" t="n"/>
      <c r="E129" s="9" t="n"/>
      <c r="F129" s="9" t="n"/>
      <c r="G129" s="9" t="n"/>
      <c r="H129" s="26">
        <f>IF(COUNT(E129:G129)=0,"",SUM(E129:G129))</f>
        <v/>
      </c>
      <c r="I129" s="9" t="n"/>
      <c r="J129" s="9" t="n"/>
      <c r="K129" s="9" t="n"/>
      <c r="L129" s="9" t="n"/>
      <c r="M129" s="26">
        <f>IF(COUNT(I129:L129)=0,"",SUM(I129:L129))</f>
        <v/>
      </c>
      <c r="N129" s="6" t="n"/>
      <c r="O129" s="28" t="n"/>
      <c r="P129" s="28" t="n"/>
    </row>
    <row r="130">
      <c r="A130" s="25" t="n"/>
      <c r="B130" s="26">
        <f>IF(A130="","",CHOOSE(WEEKDAY(A130,2),"Mo","Di","Mi","Do","Fr","Sa","So"))</f>
        <v/>
      </c>
      <c r="C130" s="6" t="n"/>
      <c r="D130" s="27" t="n"/>
      <c r="E130" s="9" t="n"/>
      <c r="F130" s="9" t="n"/>
      <c r="G130" s="9" t="n"/>
      <c r="H130" s="26">
        <f>IF(COUNT(E130:G130)=0,"",SUM(E130:G130))</f>
        <v/>
      </c>
      <c r="I130" s="9" t="n"/>
      <c r="J130" s="9" t="n"/>
      <c r="K130" s="9" t="n"/>
      <c r="L130" s="9" t="n"/>
      <c r="M130" s="26">
        <f>IF(COUNT(I130:L130)=0,"",SUM(I130:L130))</f>
        <v/>
      </c>
      <c r="N130" s="6" t="n"/>
      <c r="O130" s="28" t="n"/>
      <c r="P130" s="28" t="n"/>
    </row>
    <row r="131">
      <c r="A131" s="25" t="n"/>
      <c r="B131" s="26">
        <f>IF(A131="","",CHOOSE(WEEKDAY(A131,2),"Mo","Di","Mi","Do","Fr","Sa","So"))</f>
        <v/>
      </c>
      <c r="C131" s="6" t="n"/>
      <c r="D131" s="27" t="n"/>
      <c r="E131" s="9" t="n"/>
      <c r="F131" s="9" t="n"/>
      <c r="G131" s="9" t="n"/>
      <c r="H131" s="26">
        <f>IF(COUNT(E131:G131)=0,"",SUM(E131:G131))</f>
        <v/>
      </c>
      <c r="I131" s="9" t="n"/>
      <c r="J131" s="9" t="n"/>
      <c r="K131" s="9" t="n"/>
      <c r="L131" s="9" t="n"/>
      <c r="M131" s="26">
        <f>IF(COUNT(I131:L131)=0,"",SUM(I131:L131))</f>
        <v/>
      </c>
      <c r="N131" s="6" t="n"/>
      <c r="O131" s="28" t="n"/>
      <c r="P131" s="28" t="n"/>
    </row>
    <row r="132">
      <c r="A132" s="25" t="n"/>
      <c r="B132" s="26">
        <f>IF(A132="","",CHOOSE(WEEKDAY(A132,2),"Mo","Di","Mi","Do","Fr","Sa","So"))</f>
        <v/>
      </c>
      <c r="C132" s="6" t="n"/>
      <c r="D132" s="27" t="n"/>
      <c r="E132" s="9" t="n"/>
      <c r="F132" s="9" t="n"/>
      <c r="G132" s="9" t="n"/>
      <c r="H132" s="26">
        <f>IF(COUNT(E132:G132)=0,"",SUM(E132:G132))</f>
        <v/>
      </c>
      <c r="I132" s="9" t="n"/>
      <c r="J132" s="9" t="n"/>
      <c r="K132" s="9" t="n"/>
      <c r="L132" s="9" t="n"/>
      <c r="M132" s="26">
        <f>IF(COUNT(I132:L132)=0,"",SUM(I132:L132))</f>
        <v/>
      </c>
      <c r="N132" s="6" t="n"/>
      <c r="O132" s="28" t="n"/>
      <c r="P132" s="28" t="n"/>
    </row>
    <row r="133">
      <c r="A133" s="25" t="n"/>
      <c r="B133" s="26">
        <f>IF(A133="","",CHOOSE(WEEKDAY(A133,2),"Mo","Di","Mi","Do","Fr","Sa","So"))</f>
        <v/>
      </c>
      <c r="C133" s="6" t="n"/>
      <c r="D133" s="27" t="n"/>
      <c r="E133" s="9" t="n"/>
      <c r="F133" s="9" t="n"/>
      <c r="G133" s="9" t="n"/>
      <c r="H133" s="26">
        <f>IF(COUNT(E133:G133)=0,"",SUM(E133:G133))</f>
        <v/>
      </c>
      <c r="I133" s="9" t="n"/>
      <c r="J133" s="9" t="n"/>
      <c r="K133" s="9" t="n"/>
      <c r="L133" s="9" t="n"/>
      <c r="M133" s="26">
        <f>IF(COUNT(I133:L133)=0,"",SUM(I133:L133))</f>
        <v/>
      </c>
      <c r="N133" s="6" t="n"/>
      <c r="O133" s="28" t="n"/>
      <c r="P133" s="28" t="n"/>
    </row>
    <row r="134">
      <c r="A134" s="25" t="n"/>
      <c r="B134" s="26">
        <f>IF(A134="","",CHOOSE(WEEKDAY(A134,2),"Mo","Di","Mi","Do","Fr","Sa","So"))</f>
        <v/>
      </c>
      <c r="C134" s="6" t="n"/>
      <c r="D134" s="27" t="n"/>
      <c r="E134" s="9" t="n"/>
      <c r="F134" s="9" t="n"/>
      <c r="G134" s="9" t="n"/>
      <c r="H134" s="26">
        <f>IF(COUNT(E134:G134)=0,"",SUM(E134:G134))</f>
        <v/>
      </c>
      <c r="I134" s="9" t="n"/>
      <c r="J134" s="9" t="n"/>
      <c r="K134" s="9" t="n"/>
      <c r="L134" s="9" t="n"/>
      <c r="M134" s="26">
        <f>IF(COUNT(I134:L134)=0,"",SUM(I134:L134))</f>
        <v/>
      </c>
      <c r="N134" s="6" t="n"/>
      <c r="O134" s="28" t="n"/>
      <c r="P134" s="28" t="n"/>
    </row>
    <row r="135">
      <c r="A135" s="25" t="n"/>
      <c r="B135" s="26">
        <f>IF(A135="","",CHOOSE(WEEKDAY(A135,2),"Mo","Di","Mi","Do","Fr","Sa","So"))</f>
        <v/>
      </c>
      <c r="C135" s="6" t="n"/>
      <c r="D135" s="27" t="n"/>
      <c r="E135" s="9" t="n"/>
      <c r="F135" s="9" t="n"/>
      <c r="G135" s="9" t="n"/>
      <c r="H135" s="26">
        <f>IF(COUNT(E135:G135)=0,"",SUM(E135:G135))</f>
        <v/>
      </c>
      <c r="I135" s="9" t="n"/>
      <c r="J135" s="9" t="n"/>
      <c r="K135" s="9" t="n"/>
      <c r="L135" s="9" t="n"/>
      <c r="M135" s="26">
        <f>IF(COUNT(I135:L135)=0,"",SUM(I135:L135))</f>
        <v/>
      </c>
      <c r="N135" s="6" t="n"/>
      <c r="O135" s="28" t="n"/>
      <c r="P135" s="28" t="n"/>
    </row>
    <row r="136">
      <c r="A136" s="25" t="n"/>
      <c r="B136" s="26">
        <f>IF(A136="","",CHOOSE(WEEKDAY(A136,2),"Mo","Di","Mi","Do","Fr","Sa","So"))</f>
        <v/>
      </c>
      <c r="C136" s="6" t="n"/>
      <c r="D136" s="27" t="n"/>
      <c r="E136" s="9" t="n"/>
      <c r="F136" s="9" t="n"/>
      <c r="G136" s="9" t="n"/>
      <c r="H136" s="26">
        <f>IF(COUNT(E136:G136)=0,"",SUM(E136:G136))</f>
        <v/>
      </c>
      <c r="I136" s="9" t="n"/>
      <c r="J136" s="9" t="n"/>
      <c r="K136" s="9" t="n"/>
      <c r="L136" s="9" t="n"/>
      <c r="M136" s="26">
        <f>IF(COUNT(I136:L136)=0,"",SUM(I136:L136))</f>
        <v/>
      </c>
      <c r="N136" s="6" t="n"/>
      <c r="O136" s="28" t="n"/>
      <c r="P136" s="28" t="n"/>
    </row>
    <row r="137">
      <c r="A137" s="25" t="n"/>
      <c r="B137" s="26">
        <f>IF(A137="","",CHOOSE(WEEKDAY(A137,2),"Mo","Di","Mi","Do","Fr","Sa","So"))</f>
        <v/>
      </c>
      <c r="C137" s="6" t="n"/>
      <c r="D137" s="27" t="n"/>
      <c r="E137" s="9" t="n"/>
      <c r="F137" s="9" t="n"/>
      <c r="G137" s="9" t="n"/>
      <c r="H137" s="26">
        <f>IF(COUNT(E137:G137)=0,"",SUM(E137:G137))</f>
        <v/>
      </c>
      <c r="I137" s="9" t="n"/>
      <c r="J137" s="9" t="n"/>
      <c r="K137" s="9" t="n"/>
      <c r="L137" s="9" t="n"/>
      <c r="M137" s="26">
        <f>IF(COUNT(I137:L137)=0,"",SUM(I137:L137))</f>
        <v/>
      </c>
      <c r="N137" s="6" t="n"/>
      <c r="O137" s="28" t="n"/>
      <c r="P137" s="28" t="n"/>
    </row>
    <row r="138">
      <c r="A138" s="25" t="n"/>
      <c r="B138" s="26">
        <f>IF(A138="","",CHOOSE(WEEKDAY(A138,2),"Mo","Di","Mi","Do","Fr","Sa","So"))</f>
        <v/>
      </c>
      <c r="C138" s="6" t="n"/>
      <c r="D138" s="27" t="n"/>
      <c r="E138" s="9" t="n"/>
      <c r="F138" s="9" t="n"/>
      <c r="G138" s="9" t="n"/>
      <c r="H138" s="26">
        <f>IF(COUNT(E138:G138)=0,"",SUM(E138:G138))</f>
        <v/>
      </c>
      <c r="I138" s="9" t="n"/>
      <c r="J138" s="9" t="n"/>
      <c r="K138" s="9" t="n"/>
      <c r="L138" s="9" t="n"/>
      <c r="M138" s="26">
        <f>IF(COUNT(I138:L138)=0,"",SUM(I138:L138))</f>
        <v/>
      </c>
      <c r="N138" s="6" t="n"/>
      <c r="O138" s="28" t="n"/>
      <c r="P138" s="28" t="n"/>
    </row>
    <row r="139">
      <c r="A139" s="25" t="n"/>
      <c r="B139" s="26">
        <f>IF(A139="","",CHOOSE(WEEKDAY(A139,2),"Mo","Di","Mi","Do","Fr","Sa","So"))</f>
        <v/>
      </c>
      <c r="C139" s="6" t="n"/>
      <c r="D139" s="27" t="n"/>
      <c r="E139" s="9" t="n"/>
      <c r="F139" s="9" t="n"/>
      <c r="G139" s="9" t="n"/>
      <c r="H139" s="26">
        <f>IF(COUNT(E139:G139)=0,"",SUM(E139:G139))</f>
        <v/>
      </c>
      <c r="I139" s="9" t="n"/>
      <c r="J139" s="9" t="n"/>
      <c r="K139" s="9" t="n"/>
      <c r="L139" s="9" t="n"/>
      <c r="M139" s="26">
        <f>IF(COUNT(I139:L139)=0,"",SUM(I139:L139))</f>
        <v/>
      </c>
      <c r="N139" s="6" t="n"/>
      <c r="O139" s="28" t="n"/>
      <c r="P139" s="28" t="n"/>
    </row>
    <row r="140">
      <c r="A140" s="25" t="n"/>
      <c r="B140" s="26">
        <f>IF(A140="","",CHOOSE(WEEKDAY(A140,2),"Mo","Di","Mi","Do","Fr","Sa","So"))</f>
        <v/>
      </c>
      <c r="C140" s="6" t="n"/>
      <c r="D140" s="27" t="n"/>
      <c r="E140" s="9" t="n"/>
      <c r="F140" s="9" t="n"/>
      <c r="G140" s="9" t="n"/>
      <c r="H140" s="26">
        <f>IF(COUNT(E140:G140)=0,"",SUM(E140:G140))</f>
        <v/>
      </c>
      <c r="I140" s="9" t="n"/>
      <c r="J140" s="9" t="n"/>
      <c r="K140" s="9" t="n"/>
      <c r="L140" s="9" t="n"/>
      <c r="M140" s="26">
        <f>IF(COUNT(I140:L140)=0,"",SUM(I140:L140))</f>
        <v/>
      </c>
      <c r="N140" s="6" t="n"/>
      <c r="O140" s="28" t="n"/>
      <c r="P140" s="28" t="n"/>
    </row>
    <row r="141">
      <c r="A141" s="25" t="n"/>
      <c r="B141" s="26">
        <f>IF(A141="","",CHOOSE(WEEKDAY(A141,2),"Mo","Di","Mi","Do","Fr","Sa","So"))</f>
        <v/>
      </c>
      <c r="C141" s="6" t="n"/>
      <c r="D141" s="27" t="n"/>
      <c r="E141" s="9" t="n"/>
      <c r="F141" s="9" t="n"/>
      <c r="G141" s="9" t="n"/>
      <c r="H141" s="26">
        <f>IF(COUNT(E141:G141)=0,"",SUM(E141:G141))</f>
        <v/>
      </c>
      <c r="I141" s="9" t="n"/>
      <c r="J141" s="9" t="n"/>
      <c r="K141" s="9" t="n"/>
      <c r="L141" s="9" t="n"/>
      <c r="M141" s="26">
        <f>IF(COUNT(I141:L141)=0,"",SUM(I141:L141))</f>
        <v/>
      </c>
      <c r="N141" s="6" t="n"/>
      <c r="O141" s="28" t="n"/>
      <c r="P141" s="28" t="n"/>
    </row>
    <row r="142">
      <c r="A142" s="25" t="n"/>
      <c r="B142" s="26">
        <f>IF(A142="","",CHOOSE(WEEKDAY(A142,2),"Mo","Di","Mi","Do","Fr","Sa","So"))</f>
        <v/>
      </c>
      <c r="C142" s="6" t="n"/>
      <c r="D142" s="27" t="n"/>
      <c r="E142" s="9" t="n"/>
      <c r="F142" s="9" t="n"/>
      <c r="G142" s="9" t="n"/>
      <c r="H142" s="26">
        <f>IF(COUNT(E142:G142)=0,"",SUM(E142:G142))</f>
        <v/>
      </c>
      <c r="I142" s="9" t="n"/>
      <c r="J142" s="9" t="n"/>
      <c r="K142" s="9" t="n"/>
      <c r="L142" s="9" t="n"/>
      <c r="M142" s="26">
        <f>IF(COUNT(I142:L142)=0,"",SUM(I142:L142))</f>
        <v/>
      </c>
      <c r="N142" s="6" t="n"/>
      <c r="O142" s="28" t="n"/>
      <c r="P142" s="28" t="n"/>
    </row>
    <row r="143">
      <c r="A143" s="25" t="n"/>
      <c r="B143" s="26">
        <f>IF(A143="","",CHOOSE(WEEKDAY(A143,2),"Mo","Di","Mi","Do","Fr","Sa","So"))</f>
        <v/>
      </c>
      <c r="C143" s="6" t="n"/>
      <c r="D143" s="27" t="n"/>
      <c r="E143" s="9" t="n"/>
      <c r="F143" s="9" t="n"/>
      <c r="G143" s="9" t="n"/>
      <c r="H143" s="26">
        <f>IF(COUNT(E143:G143)=0,"",SUM(E143:G143))</f>
        <v/>
      </c>
      <c r="I143" s="9" t="n"/>
      <c r="J143" s="9" t="n"/>
      <c r="K143" s="9" t="n"/>
      <c r="L143" s="9" t="n"/>
      <c r="M143" s="26">
        <f>IF(COUNT(I143:L143)=0,"",SUM(I143:L143))</f>
        <v/>
      </c>
      <c r="N143" s="6" t="n"/>
      <c r="O143" s="28" t="n"/>
      <c r="P143" s="28" t="n"/>
    </row>
    <row r="144">
      <c r="A144" s="25" t="n"/>
      <c r="B144" s="26">
        <f>IF(A144="","",CHOOSE(WEEKDAY(A144,2),"Mo","Di","Mi","Do","Fr","Sa","So"))</f>
        <v/>
      </c>
      <c r="C144" s="6" t="n"/>
      <c r="D144" s="27" t="n"/>
      <c r="E144" s="9" t="n"/>
      <c r="F144" s="9" t="n"/>
      <c r="G144" s="9" t="n"/>
      <c r="H144" s="26">
        <f>IF(COUNT(E144:G144)=0,"",SUM(E144:G144))</f>
        <v/>
      </c>
      <c r="I144" s="9" t="n"/>
      <c r="J144" s="9" t="n"/>
      <c r="K144" s="9" t="n"/>
      <c r="L144" s="9" t="n"/>
      <c r="M144" s="26">
        <f>IF(COUNT(I144:L144)=0,"",SUM(I144:L144))</f>
        <v/>
      </c>
      <c r="N144" s="6" t="n"/>
      <c r="O144" s="28" t="n"/>
      <c r="P144" s="28" t="n"/>
    </row>
    <row r="145">
      <c r="A145" s="25" t="n"/>
      <c r="B145" s="26">
        <f>IF(A145="","",CHOOSE(WEEKDAY(A145,2),"Mo","Di","Mi","Do","Fr","Sa","So"))</f>
        <v/>
      </c>
      <c r="C145" s="6" t="n"/>
      <c r="D145" s="27" t="n"/>
      <c r="E145" s="9" t="n"/>
      <c r="F145" s="9" t="n"/>
      <c r="G145" s="9" t="n"/>
      <c r="H145" s="26">
        <f>IF(COUNT(E145:G145)=0,"",SUM(E145:G145))</f>
        <v/>
      </c>
      <c r="I145" s="9" t="n"/>
      <c r="J145" s="9" t="n"/>
      <c r="K145" s="9" t="n"/>
      <c r="L145" s="9" t="n"/>
      <c r="M145" s="26">
        <f>IF(COUNT(I145:L145)=0,"",SUM(I145:L145))</f>
        <v/>
      </c>
      <c r="N145" s="6" t="n"/>
      <c r="O145" s="28" t="n"/>
      <c r="P145" s="28" t="n"/>
    </row>
    <row r="146">
      <c r="A146" s="25" t="n"/>
      <c r="B146" s="26">
        <f>IF(A146="","",CHOOSE(WEEKDAY(A146,2),"Mo","Di","Mi","Do","Fr","Sa","So"))</f>
        <v/>
      </c>
      <c r="C146" s="6" t="n"/>
      <c r="D146" s="27" t="n"/>
      <c r="E146" s="9" t="n"/>
      <c r="F146" s="9" t="n"/>
      <c r="G146" s="9" t="n"/>
      <c r="H146" s="26">
        <f>IF(COUNT(E146:G146)=0,"",SUM(E146:G146))</f>
        <v/>
      </c>
      <c r="I146" s="9" t="n"/>
      <c r="J146" s="9" t="n"/>
      <c r="K146" s="9" t="n"/>
      <c r="L146" s="9" t="n"/>
      <c r="M146" s="26">
        <f>IF(COUNT(I146:L146)=0,"",SUM(I146:L146))</f>
        <v/>
      </c>
      <c r="N146" s="6" t="n"/>
      <c r="O146" s="28" t="n"/>
      <c r="P146" s="28" t="n"/>
    </row>
    <row r="147">
      <c r="A147" s="25" t="n"/>
      <c r="B147" s="26">
        <f>IF(A147="","",CHOOSE(WEEKDAY(A147,2),"Mo","Di","Mi","Do","Fr","Sa","So"))</f>
        <v/>
      </c>
      <c r="C147" s="6" t="n"/>
      <c r="D147" s="27" t="n"/>
      <c r="E147" s="9" t="n"/>
      <c r="F147" s="9" t="n"/>
      <c r="G147" s="9" t="n"/>
      <c r="H147" s="26">
        <f>IF(COUNT(E147:G147)=0,"",SUM(E147:G147))</f>
        <v/>
      </c>
      <c r="I147" s="9" t="n"/>
      <c r="J147" s="9" t="n"/>
      <c r="K147" s="9" t="n"/>
      <c r="L147" s="9" t="n"/>
      <c r="M147" s="26">
        <f>IF(COUNT(I147:L147)=0,"",SUM(I147:L147))</f>
        <v/>
      </c>
      <c r="N147" s="6" t="n"/>
      <c r="O147" s="28" t="n"/>
      <c r="P147" s="28" t="n"/>
    </row>
    <row r="148">
      <c r="A148" s="25" t="n"/>
      <c r="B148" s="26">
        <f>IF(A148="","",CHOOSE(WEEKDAY(A148,2),"Mo","Di","Mi","Do","Fr","Sa","So"))</f>
        <v/>
      </c>
      <c r="C148" s="6" t="n"/>
      <c r="D148" s="27" t="n"/>
      <c r="E148" s="9" t="n"/>
      <c r="F148" s="9" t="n"/>
      <c r="G148" s="9" t="n"/>
      <c r="H148" s="26">
        <f>IF(COUNT(E148:G148)=0,"",SUM(E148:G148))</f>
        <v/>
      </c>
      <c r="I148" s="9" t="n"/>
      <c r="J148" s="9" t="n"/>
      <c r="K148" s="9" t="n"/>
      <c r="L148" s="9" t="n"/>
      <c r="M148" s="26">
        <f>IF(COUNT(I148:L148)=0,"",SUM(I148:L148))</f>
        <v/>
      </c>
      <c r="N148" s="6" t="n"/>
      <c r="O148" s="28" t="n"/>
      <c r="P148" s="28" t="n"/>
    </row>
    <row r="149">
      <c r="A149" s="25" t="n"/>
      <c r="B149" s="26">
        <f>IF(A149="","",CHOOSE(WEEKDAY(A149,2),"Mo","Di","Mi","Do","Fr","Sa","So"))</f>
        <v/>
      </c>
      <c r="C149" s="6" t="n"/>
      <c r="D149" s="27" t="n"/>
      <c r="E149" s="9" t="n"/>
      <c r="F149" s="9" t="n"/>
      <c r="G149" s="9" t="n"/>
      <c r="H149" s="26">
        <f>IF(COUNT(E149:G149)=0,"",SUM(E149:G149))</f>
        <v/>
      </c>
      <c r="I149" s="9" t="n"/>
      <c r="J149" s="9" t="n"/>
      <c r="K149" s="9" t="n"/>
      <c r="L149" s="9" t="n"/>
      <c r="M149" s="26">
        <f>IF(COUNT(I149:L149)=0,"",SUM(I149:L149))</f>
        <v/>
      </c>
      <c r="N149" s="6" t="n"/>
      <c r="O149" s="28" t="n"/>
      <c r="P149" s="28" t="n"/>
    </row>
    <row r="150">
      <c r="A150" s="25" t="n"/>
      <c r="B150" s="26">
        <f>IF(A150="","",CHOOSE(WEEKDAY(A150,2),"Mo","Di","Mi","Do","Fr","Sa","So"))</f>
        <v/>
      </c>
      <c r="C150" s="6" t="n"/>
      <c r="D150" s="27" t="n"/>
      <c r="E150" s="9" t="n"/>
      <c r="F150" s="9" t="n"/>
      <c r="G150" s="9" t="n"/>
      <c r="H150" s="26">
        <f>IF(COUNT(E150:G150)=0,"",SUM(E150:G150))</f>
        <v/>
      </c>
      <c r="I150" s="9" t="n"/>
      <c r="J150" s="9" t="n"/>
      <c r="K150" s="9" t="n"/>
      <c r="L150" s="9" t="n"/>
      <c r="M150" s="26">
        <f>IF(COUNT(I150:L150)=0,"",SUM(I150:L150))</f>
        <v/>
      </c>
      <c r="N150" s="6" t="n"/>
      <c r="O150" s="28" t="n"/>
      <c r="P150" s="28" t="n"/>
    </row>
    <row r="151">
      <c r="A151" s="25" t="n"/>
      <c r="B151" s="26">
        <f>IF(A151="","",CHOOSE(WEEKDAY(A151,2),"Mo","Di","Mi","Do","Fr","Sa","So"))</f>
        <v/>
      </c>
      <c r="C151" s="6" t="n"/>
      <c r="D151" s="27" t="n"/>
      <c r="E151" s="9" t="n"/>
      <c r="F151" s="9" t="n"/>
      <c r="G151" s="9" t="n"/>
      <c r="H151" s="26">
        <f>IF(COUNT(E151:G151)=0,"",SUM(E151:G151))</f>
        <v/>
      </c>
      <c r="I151" s="9" t="n"/>
      <c r="J151" s="9" t="n"/>
      <c r="K151" s="9" t="n"/>
      <c r="L151" s="9" t="n"/>
      <c r="M151" s="26">
        <f>IF(COUNT(I151:L151)=0,"",SUM(I151:L151))</f>
        <v/>
      </c>
      <c r="N151" s="6" t="n"/>
      <c r="O151" s="28" t="n"/>
      <c r="P151" s="28" t="n"/>
    </row>
    <row r="152">
      <c r="A152" s="25" t="n"/>
      <c r="B152" s="26">
        <f>IF(A152="","",CHOOSE(WEEKDAY(A152,2),"Mo","Di","Mi","Do","Fr","Sa","So"))</f>
        <v/>
      </c>
      <c r="C152" s="6" t="n"/>
      <c r="D152" s="27" t="n"/>
      <c r="E152" s="9" t="n"/>
      <c r="F152" s="9" t="n"/>
      <c r="G152" s="9" t="n"/>
      <c r="H152" s="26">
        <f>IF(COUNT(E152:G152)=0,"",SUM(E152:G152))</f>
        <v/>
      </c>
      <c r="I152" s="9" t="n"/>
      <c r="J152" s="9" t="n"/>
      <c r="K152" s="9" t="n"/>
      <c r="L152" s="9" t="n"/>
      <c r="M152" s="26">
        <f>IF(COUNT(I152:L152)=0,"",SUM(I152:L152))</f>
        <v/>
      </c>
      <c r="N152" s="6" t="n"/>
      <c r="O152" s="28" t="n"/>
      <c r="P152" s="28" t="n"/>
    </row>
    <row r="153">
      <c r="A153" s="25" t="n"/>
      <c r="B153" s="26">
        <f>IF(A153="","",CHOOSE(WEEKDAY(A153,2),"Mo","Di","Mi","Do","Fr","Sa","So"))</f>
        <v/>
      </c>
      <c r="C153" s="6" t="n"/>
      <c r="D153" s="27" t="n"/>
      <c r="E153" s="9" t="n"/>
      <c r="F153" s="9" t="n"/>
      <c r="G153" s="9" t="n"/>
      <c r="H153" s="26">
        <f>IF(COUNT(E153:G153)=0,"",SUM(E153:G153))</f>
        <v/>
      </c>
      <c r="I153" s="9" t="n"/>
      <c r="J153" s="9" t="n"/>
      <c r="K153" s="9" t="n"/>
      <c r="L153" s="9" t="n"/>
      <c r="M153" s="26">
        <f>IF(COUNT(I153:L153)=0,"",SUM(I153:L153))</f>
        <v/>
      </c>
      <c r="N153" s="6" t="n"/>
      <c r="O153" s="28" t="n"/>
      <c r="P153" s="28" t="n"/>
    </row>
    <row r="154">
      <c r="A154" s="25" t="n"/>
      <c r="B154" s="26">
        <f>IF(A154="","",CHOOSE(WEEKDAY(A154,2),"Mo","Di","Mi","Do","Fr","Sa","So"))</f>
        <v/>
      </c>
      <c r="C154" s="6" t="n"/>
      <c r="D154" s="27" t="n"/>
      <c r="E154" s="9" t="n"/>
      <c r="F154" s="9" t="n"/>
      <c r="G154" s="9" t="n"/>
      <c r="H154" s="26">
        <f>IF(COUNT(E154:G154)=0,"",SUM(E154:G154))</f>
        <v/>
      </c>
      <c r="I154" s="9" t="n"/>
      <c r="J154" s="9" t="n"/>
      <c r="K154" s="9" t="n"/>
      <c r="L154" s="9" t="n"/>
      <c r="M154" s="26">
        <f>IF(COUNT(I154:L154)=0,"",SUM(I154:L154))</f>
        <v/>
      </c>
      <c r="N154" s="6" t="n"/>
      <c r="O154" s="28" t="n"/>
      <c r="P154" s="28" t="n"/>
    </row>
    <row r="155">
      <c r="A155" s="25" t="n"/>
      <c r="B155" s="26">
        <f>IF(A155="","",CHOOSE(WEEKDAY(A155,2),"Mo","Di","Mi","Do","Fr","Sa","So"))</f>
        <v/>
      </c>
      <c r="C155" s="6" t="n"/>
      <c r="D155" s="27" t="n"/>
      <c r="E155" s="9" t="n"/>
      <c r="F155" s="9" t="n"/>
      <c r="G155" s="9" t="n"/>
      <c r="H155" s="26">
        <f>IF(COUNT(E155:G155)=0,"",SUM(E155:G155))</f>
        <v/>
      </c>
      <c r="I155" s="9" t="n"/>
      <c r="J155" s="9" t="n"/>
      <c r="K155" s="9" t="n"/>
      <c r="L155" s="9" t="n"/>
      <c r="M155" s="26">
        <f>IF(COUNT(I155:L155)=0,"",SUM(I155:L155))</f>
        <v/>
      </c>
      <c r="N155" s="6" t="n"/>
      <c r="O155" s="28" t="n"/>
      <c r="P155" s="28" t="n"/>
    </row>
    <row r="156">
      <c r="A156" s="25" t="n"/>
      <c r="B156" s="26">
        <f>IF(A156="","",CHOOSE(WEEKDAY(A156,2),"Mo","Di","Mi","Do","Fr","Sa","So"))</f>
        <v/>
      </c>
      <c r="C156" s="6" t="n"/>
      <c r="D156" s="27" t="n"/>
      <c r="E156" s="9" t="n"/>
      <c r="F156" s="9" t="n"/>
      <c r="G156" s="9" t="n"/>
      <c r="H156" s="26">
        <f>IF(COUNT(E156:G156)=0,"",SUM(E156:G156))</f>
        <v/>
      </c>
      <c r="I156" s="9" t="n"/>
      <c r="J156" s="9" t="n"/>
      <c r="K156" s="9" t="n"/>
      <c r="L156" s="9" t="n"/>
      <c r="M156" s="26">
        <f>IF(COUNT(I156:L156)=0,"",SUM(I156:L156))</f>
        <v/>
      </c>
      <c r="N156" s="6" t="n"/>
      <c r="O156" s="28" t="n"/>
      <c r="P156" s="28" t="n"/>
    </row>
    <row r="157">
      <c r="A157" s="25" t="n"/>
      <c r="B157" s="26">
        <f>IF(A157="","",CHOOSE(WEEKDAY(A157,2),"Mo","Di","Mi","Do","Fr","Sa","So"))</f>
        <v/>
      </c>
      <c r="C157" s="6" t="n"/>
      <c r="D157" s="27" t="n"/>
      <c r="E157" s="9" t="n"/>
      <c r="F157" s="9" t="n"/>
      <c r="G157" s="9" t="n"/>
      <c r="H157" s="26">
        <f>IF(COUNT(E157:G157)=0,"",SUM(E157:G157))</f>
        <v/>
      </c>
      <c r="I157" s="9" t="n"/>
      <c r="J157" s="9" t="n"/>
      <c r="K157" s="9" t="n"/>
      <c r="L157" s="9" t="n"/>
      <c r="M157" s="26">
        <f>IF(COUNT(I157:L157)=0,"",SUM(I157:L157))</f>
        <v/>
      </c>
      <c r="N157" s="6" t="n"/>
      <c r="O157" s="28" t="n"/>
      <c r="P157" s="28" t="n"/>
    </row>
    <row r="158">
      <c r="A158" s="25" t="n"/>
      <c r="B158" s="26">
        <f>IF(A158="","",CHOOSE(WEEKDAY(A158,2),"Mo","Di","Mi","Do","Fr","Sa","So"))</f>
        <v/>
      </c>
      <c r="C158" s="6" t="n"/>
      <c r="D158" s="27" t="n"/>
      <c r="E158" s="9" t="n"/>
      <c r="F158" s="9" t="n"/>
      <c r="G158" s="9" t="n"/>
      <c r="H158" s="26">
        <f>IF(COUNT(E158:G158)=0,"",SUM(E158:G158))</f>
        <v/>
      </c>
      <c r="I158" s="9" t="n"/>
      <c r="J158" s="9" t="n"/>
      <c r="K158" s="9" t="n"/>
      <c r="L158" s="9" t="n"/>
      <c r="M158" s="26">
        <f>IF(COUNT(I158:L158)=0,"",SUM(I158:L158))</f>
        <v/>
      </c>
      <c r="N158" s="6" t="n"/>
      <c r="O158" s="28" t="n"/>
      <c r="P158" s="28" t="n"/>
    </row>
    <row r="159">
      <c r="A159" s="25" t="n"/>
      <c r="B159" s="26">
        <f>IF(A159="","",CHOOSE(WEEKDAY(A159,2),"Mo","Di","Mi","Do","Fr","Sa","So"))</f>
        <v/>
      </c>
      <c r="C159" s="6" t="n"/>
      <c r="D159" s="27" t="n"/>
      <c r="E159" s="9" t="n"/>
      <c r="F159" s="9" t="n"/>
      <c r="G159" s="9" t="n"/>
      <c r="H159" s="26">
        <f>IF(COUNT(E159:G159)=0,"",SUM(E159:G159))</f>
        <v/>
      </c>
      <c r="I159" s="9" t="n"/>
      <c r="J159" s="9" t="n"/>
      <c r="K159" s="9" t="n"/>
      <c r="L159" s="9" t="n"/>
      <c r="M159" s="26">
        <f>IF(COUNT(I159:L159)=0,"",SUM(I159:L159))</f>
        <v/>
      </c>
      <c r="N159" s="6" t="n"/>
      <c r="O159" s="28" t="n"/>
      <c r="P159" s="28" t="n"/>
    </row>
    <row r="160">
      <c r="A160" s="25" t="n"/>
      <c r="B160" s="26">
        <f>IF(A160="","",CHOOSE(WEEKDAY(A160,2),"Mo","Di","Mi","Do","Fr","Sa","So"))</f>
        <v/>
      </c>
      <c r="C160" s="6" t="n"/>
      <c r="D160" s="27" t="n"/>
      <c r="E160" s="9" t="n"/>
      <c r="F160" s="9" t="n"/>
      <c r="G160" s="9" t="n"/>
      <c r="H160" s="26">
        <f>IF(COUNT(E160:G160)=0,"",SUM(E160:G160))</f>
        <v/>
      </c>
      <c r="I160" s="9" t="n"/>
      <c r="J160" s="9" t="n"/>
      <c r="K160" s="9" t="n"/>
      <c r="L160" s="9" t="n"/>
      <c r="M160" s="26">
        <f>IF(COUNT(I160:L160)=0,"",SUM(I160:L160))</f>
        <v/>
      </c>
      <c r="N160" s="6" t="n"/>
      <c r="O160" s="28" t="n"/>
      <c r="P160" s="28" t="n"/>
    </row>
    <row r="161">
      <c r="A161" s="25" t="n"/>
      <c r="B161" s="26">
        <f>IF(A161="","",CHOOSE(WEEKDAY(A161,2),"Mo","Di","Mi","Do","Fr","Sa","So"))</f>
        <v/>
      </c>
      <c r="C161" s="6" t="n"/>
      <c r="D161" s="27" t="n"/>
      <c r="E161" s="9" t="n"/>
      <c r="F161" s="9" t="n"/>
      <c r="G161" s="9" t="n"/>
      <c r="H161" s="26">
        <f>IF(COUNT(E161:G161)=0,"",SUM(E161:G161))</f>
        <v/>
      </c>
      <c r="I161" s="9" t="n"/>
      <c r="J161" s="9" t="n"/>
      <c r="K161" s="9" t="n"/>
      <c r="L161" s="9" t="n"/>
      <c r="M161" s="26">
        <f>IF(COUNT(I161:L161)=0,"",SUM(I161:L161))</f>
        <v/>
      </c>
      <c r="N161" s="6" t="n"/>
      <c r="O161" s="28" t="n"/>
      <c r="P161" s="28" t="n"/>
    </row>
    <row r="162">
      <c r="A162" s="25" t="n"/>
      <c r="B162" s="26">
        <f>IF(A162="","",CHOOSE(WEEKDAY(A162,2),"Mo","Di","Mi","Do","Fr","Sa","So"))</f>
        <v/>
      </c>
      <c r="C162" s="6" t="n"/>
      <c r="D162" s="27" t="n"/>
      <c r="E162" s="9" t="n"/>
      <c r="F162" s="9" t="n"/>
      <c r="G162" s="9" t="n"/>
      <c r="H162" s="26">
        <f>IF(COUNT(E162:G162)=0,"",SUM(E162:G162))</f>
        <v/>
      </c>
      <c r="I162" s="9" t="n"/>
      <c r="J162" s="9" t="n"/>
      <c r="K162" s="9" t="n"/>
      <c r="L162" s="9" t="n"/>
      <c r="M162" s="26">
        <f>IF(COUNT(I162:L162)=0,"",SUM(I162:L162))</f>
        <v/>
      </c>
      <c r="N162" s="6" t="n"/>
      <c r="O162" s="28" t="n"/>
      <c r="P162" s="28" t="n"/>
    </row>
    <row r="163">
      <c r="A163" s="25" t="n"/>
      <c r="B163" s="26">
        <f>IF(A163="","",CHOOSE(WEEKDAY(A163,2),"Mo","Di","Mi","Do","Fr","Sa","So"))</f>
        <v/>
      </c>
      <c r="C163" s="6" t="n"/>
      <c r="D163" s="27" t="n"/>
      <c r="E163" s="9" t="n"/>
      <c r="F163" s="9" t="n"/>
      <c r="G163" s="9" t="n"/>
      <c r="H163" s="26">
        <f>IF(COUNT(E163:G163)=0,"",SUM(E163:G163))</f>
        <v/>
      </c>
      <c r="I163" s="9" t="n"/>
      <c r="J163" s="9" t="n"/>
      <c r="K163" s="9" t="n"/>
      <c r="L163" s="9" t="n"/>
      <c r="M163" s="26">
        <f>IF(COUNT(I163:L163)=0,"",SUM(I163:L163))</f>
        <v/>
      </c>
      <c r="N163" s="6" t="n"/>
      <c r="O163" s="28" t="n"/>
      <c r="P163" s="28" t="n"/>
    </row>
    <row r="164">
      <c r="A164" s="25" t="n"/>
      <c r="B164" s="26">
        <f>IF(A164="","",CHOOSE(WEEKDAY(A164,2),"Mo","Di","Mi","Do","Fr","Sa","So"))</f>
        <v/>
      </c>
      <c r="C164" s="6" t="n"/>
      <c r="D164" s="27" t="n"/>
      <c r="E164" s="9" t="n"/>
      <c r="F164" s="9" t="n"/>
      <c r="G164" s="9" t="n"/>
      <c r="H164" s="26">
        <f>IF(COUNT(E164:G164)=0,"",SUM(E164:G164))</f>
        <v/>
      </c>
      <c r="I164" s="9" t="n"/>
      <c r="J164" s="9" t="n"/>
      <c r="K164" s="9" t="n"/>
      <c r="L164" s="9" t="n"/>
      <c r="M164" s="26">
        <f>IF(COUNT(I164:L164)=0,"",SUM(I164:L164))</f>
        <v/>
      </c>
      <c r="N164" s="6" t="n"/>
      <c r="O164" s="28" t="n"/>
      <c r="P164" s="28" t="n"/>
    </row>
    <row r="165">
      <c r="A165" s="25" t="n"/>
      <c r="B165" s="26">
        <f>IF(A165="","",CHOOSE(WEEKDAY(A165,2),"Mo","Di","Mi","Do","Fr","Sa","So"))</f>
        <v/>
      </c>
      <c r="C165" s="6" t="n"/>
      <c r="D165" s="27" t="n"/>
      <c r="E165" s="9" t="n"/>
      <c r="F165" s="9" t="n"/>
      <c r="G165" s="9" t="n"/>
      <c r="H165" s="26">
        <f>IF(COUNT(E165:G165)=0,"",SUM(E165:G165))</f>
        <v/>
      </c>
      <c r="I165" s="9" t="n"/>
      <c r="J165" s="9" t="n"/>
      <c r="K165" s="9" t="n"/>
      <c r="L165" s="9" t="n"/>
      <c r="M165" s="26">
        <f>IF(COUNT(I165:L165)=0,"",SUM(I165:L165))</f>
        <v/>
      </c>
      <c r="N165" s="6" t="n"/>
      <c r="O165" s="28" t="n"/>
      <c r="P165" s="28" t="n"/>
    </row>
    <row r="166">
      <c r="A166" s="25" t="n"/>
      <c r="B166" s="26">
        <f>IF(A166="","",CHOOSE(WEEKDAY(A166,2),"Mo","Di","Mi","Do","Fr","Sa","So"))</f>
        <v/>
      </c>
      <c r="C166" s="6" t="n"/>
      <c r="D166" s="27" t="n"/>
      <c r="E166" s="9" t="n"/>
      <c r="F166" s="9" t="n"/>
      <c r="G166" s="9" t="n"/>
      <c r="H166" s="26">
        <f>IF(COUNT(E166:G166)=0,"",SUM(E166:G166))</f>
        <v/>
      </c>
      <c r="I166" s="9" t="n"/>
      <c r="J166" s="9" t="n"/>
      <c r="K166" s="9" t="n"/>
      <c r="L166" s="9" t="n"/>
      <c r="M166" s="26">
        <f>IF(COUNT(I166:L166)=0,"",SUM(I166:L166))</f>
        <v/>
      </c>
      <c r="N166" s="6" t="n"/>
      <c r="O166" s="28" t="n"/>
      <c r="P166" s="28" t="n"/>
    </row>
    <row r="167">
      <c r="A167" s="25" t="n"/>
      <c r="B167" s="26">
        <f>IF(A167="","",CHOOSE(WEEKDAY(A167,2),"Mo","Di","Mi","Do","Fr","Sa","So"))</f>
        <v/>
      </c>
      <c r="C167" s="6" t="n"/>
      <c r="D167" s="27" t="n"/>
      <c r="E167" s="9" t="n"/>
      <c r="F167" s="9" t="n"/>
      <c r="G167" s="9" t="n"/>
      <c r="H167" s="26">
        <f>IF(COUNT(E167:G167)=0,"",SUM(E167:G167))</f>
        <v/>
      </c>
      <c r="I167" s="9" t="n"/>
      <c r="J167" s="9" t="n"/>
      <c r="K167" s="9" t="n"/>
      <c r="L167" s="9" t="n"/>
      <c r="M167" s="26">
        <f>IF(COUNT(I167:L167)=0,"",SUM(I167:L167))</f>
        <v/>
      </c>
      <c r="N167" s="6" t="n"/>
      <c r="O167" s="28" t="n"/>
      <c r="P167" s="28" t="n"/>
    </row>
    <row r="168">
      <c r="A168" s="25" t="n"/>
      <c r="B168" s="26">
        <f>IF(A168="","",CHOOSE(WEEKDAY(A168,2),"Mo","Di","Mi","Do","Fr","Sa","So"))</f>
        <v/>
      </c>
      <c r="C168" s="6" t="n"/>
      <c r="D168" s="27" t="n"/>
      <c r="E168" s="9" t="n"/>
      <c r="F168" s="9" t="n"/>
      <c r="G168" s="9" t="n"/>
      <c r="H168" s="26">
        <f>IF(COUNT(E168:G168)=0,"",SUM(E168:G168))</f>
        <v/>
      </c>
      <c r="I168" s="9" t="n"/>
      <c r="J168" s="9" t="n"/>
      <c r="K168" s="9" t="n"/>
      <c r="L168" s="9" t="n"/>
      <c r="M168" s="26">
        <f>IF(COUNT(I168:L168)=0,"",SUM(I168:L168))</f>
        <v/>
      </c>
      <c r="N168" s="6" t="n"/>
      <c r="O168" s="28" t="n"/>
      <c r="P168" s="28" t="n"/>
    </row>
    <row r="169">
      <c r="A169" s="25" t="n"/>
      <c r="B169" s="26">
        <f>IF(A169="","",CHOOSE(WEEKDAY(A169,2),"Mo","Di","Mi","Do","Fr","Sa","So"))</f>
        <v/>
      </c>
      <c r="C169" s="6" t="n"/>
      <c r="D169" s="27" t="n"/>
      <c r="E169" s="9" t="n"/>
      <c r="F169" s="9" t="n"/>
      <c r="G169" s="9" t="n"/>
      <c r="H169" s="26">
        <f>IF(COUNT(E169:G169)=0,"",SUM(E169:G169))</f>
        <v/>
      </c>
      <c r="I169" s="9" t="n"/>
      <c r="J169" s="9" t="n"/>
      <c r="K169" s="9" t="n"/>
      <c r="L169" s="9" t="n"/>
      <c r="M169" s="26">
        <f>IF(COUNT(I169:L169)=0,"",SUM(I169:L169))</f>
        <v/>
      </c>
      <c r="N169" s="6" t="n"/>
      <c r="O169" s="28" t="n"/>
      <c r="P169" s="28" t="n"/>
    </row>
    <row r="170">
      <c r="A170" s="25" t="n"/>
      <c r="B170" s="26">
        <f>IF(A170="","",CHOOSE(WEEKDAY(A170,2),"Mo","Di","Mi","Do","Fr","Sa","So"))</f>
        <v/>
      </c>
      <c r="C170" s="6" t="n"/>
      <c r="D170" s="27" t="n"/>
      <c r="E170" s="9" t="n"/>
      <c r="F170" s="9" t="n"/>
      <c r="G170" s="9" t="n"/>
      <c r="H170" s="26">
        <f>IF(COUNT(E170:G170)=0,"",SUM(E170:G170))</f>
        <v/>
      </c>
      <c r="I170" s="9" t="n"/>
      <c r="J170" s="9" t="n"/>
      <c r="K170" s="9" t="n"/>
      <c r="L170" s="9" t="n"/>
      <c r="M170" s="26">
        <f>IF(COUNT(I170:L170)=0,"",SUM(I170:L170))</f>
        <v/>
      </c>
      <c r="N170" s="6" t="n"/>
      <c r="O170" s="28" t="n"/>
      <c r="P170" s="28" t="n"/>
    </row>
    <row r="171">
      <c r="A171" s="25" t="n"/>
      <c r="B171" s="26">
        <f>IF(A171="","",CHOOSE(WEEKDAY(A171,2),"Mo","Di","Mi","Do","Fr","Sa","So"))</f>
        <v/>
      </c>
      <c r="C171" s="6" t="n"/>
      <c r="D171" s="27" t="n"/>
      <c r="E171" s="9" t="n"/>
      <c r="F171" s="9" t="n"/>
      <c r="G171" s="9" t="n"/>
      <c r="H171" s="26">
        <f>IF(COUNT(E171:G171)=0,"",SUM(E171:G171))</f>
        <v/>
      </c>
      <c r="I171" s="9" t="n"/>
      <c r="J171" s="9" t="n"/>
      <c r="K171" s="9" t="n"/>
      <c r="L171" s="9" t="n"/>
      <c r="M171" s="26">
        <f>IF(COUNT(I171:L171)=0,"",SUM(I171:L171))</f>
        <v/>
      </c>
      <c r="N171" s="6" t="n"/>
      <c r="O171" s="28" t="n"/>
      <c r="P171" s="28" t="n"/>
    </row>
    <row r="172">
      <c r="A172" s="25" t="n"/>
      <c r="B172" s="26">
        <f>IF(A172="","",CHOOSE(WEEKDAY(A172,2),"Mo","Di","Mi","Do","Fr","Sa","So"))</f>
        <v/>
      </c>
      <c r="C172" s="6" t="n"/>
      <c r="D172" s="27" t="n"/>
      <c r="E172" s="9" t="n"/>
      <c r="F172" s="9" t="n"/>
      <c r="G172" s="9" t="n"/>
      <c r="H172" s="26">
        <f>IF(COUNT(E172:G172)=0,"",SUM(E172:G172))</f>
        <v/>
      </c>
      <c r="I172" s="9" t="n"/>
      <c r="J172" s="9" t="n"/>
      <c r="K172" s="9" t="n"/>
      <c r="L172" s="9" t="n"/>
      <c r="M172" s="26">
        <f>IF(COUNT(I172:L172)=0,"",SUM(I172:L172))</f>
        <v/>
      </c>
      <c r="N172" s="6" t="n"/>
      <c r="O172" s="28" t="n"/>
      <c r="P172" s="28" t="n"/>
    </row>
    <row r="173">
      <c r="A173" s="25" t="n"/>
      <c r="B173" s="26">
        <f>IF(A173="","",CHOOSE(WEEKDAY(A173,2),"Mo","Di","Mi","Do","Fr","Sa","So"))</f>
        <v/>
      </c>
      <c r="C173" s="6" t="n"/>
      <c r="D173" s="27" t="n"/>
      <c r="E173" s="9" t="n"/>
      <c r="F173" s="9" t="n"/>
      <c r="G173" s="9" t="n"/>
      <c r="H173" s="26">
        <f>IF(COUNT(E173:G173)=0,"",SUM(E173:G173))</f>
        <v/>
      </c>
      <c r="I173" s="9" t="n"/>
      <c r="J173" s="9" t="n"/>
      <c r="K173" s="9" t="n"/>
      <c r="L173" s="9" t="n"/>
      <c r="M173" s="26">
        <f>IF(COUNT(I173:L173)=0,"",SUM(I173:L173))</f>
        <v/>
      </c>
      <c r="N173" s="6" t="n"/>
      <c r="O173" s="28" t="n"/>
      <c r="P173" s="28" t="n"/>
    </row>
    <row r="174">
      <c r="A174" s="25" t="n"/>
      <c r="B174" s="26">
        <f>IF(A174="","",CHOOSE(WEEKDAY(A174,2),"Mo","Di","Mi","Do","Fr","Sa","So"))</f>
        <v/>
      </c>
      <c r="C174" s="6" t="n"/>
      <c r="D174" s="27" t="n"/>
      <c r="E174" s="9" t="n"/>
      <c r="F174" s="9" t="n"/>
      <c r="G174" s="9" t="n"/>
      <c r="H174" s="26">
        <f>IF(COUNT(E174:G174)=0,"",SUM(E174:G174))</f>
        <v/>
      </c>
      <c r="I174" s="9" t="n"/>
      <c r="J174" s="9" t="n"/>
      <c r="K174" s="9" t="n"/>
      <c r="L174" s="9" t="n"/>
      <c r="M174" s="26">
        <f>IF(COUNT(I174:L174)=0,"",SUM(I174:L174))</f>
        <v/>
      </c>
      <c r="N174" s="6" t="n"/>
      <c r="O174" s="28" t="n"/>
      <c r="P174" s="28" t="n"/>
    </row>
    <row r="175">
      <c r="A175" s="25" t="n"/>
      <c r="B175" s="26">
        <f>IF(A175="","",CHOOSE(WEEKDAY(A175,2),"Mo","Di","Mi","Do","Fr","Sa","So"))</f>
        <v/>
      </c>
      <c r="C175" s="6" t="n"/>
      <c r="D175" s="27" t="n"/>
      <c r="E175" s="9" t="n"/>
      <c r="F175" s="9" t="n"/>
      <c r="G175" s="9" t="n"/>
      <c r="H175" s="26">
        <f>IF(COUNT(E175:G175)=0,"",SUM(E175:G175))</f>
        <v/>
      </c>
      <c r="I175" s="9" t="n"/>
      <c r="J175" s="9" t="n"/>
      <c r="K175" s="9" t="n"/>
      <c r="L175" s="9" t="n"/>
      <c r="M175" s="26">
        <f>IF(COUNT(I175:L175)=0,"",SUM(I175:L175))</f>
        <v/>
      </c>
      <c r="N175" s="6" t="n"/>
      <c r="O175" s="28" t="n"/>
      <c r="P175" s="28" t="n"/>
    </row>
    <row r="176">
      <c r="A176" s="25" t="n"/>
      <c r="B176" s="26">
        <f>IF(A176="","",CHOOSE(WEEKDAY(A176,2),"Mo","Di","Mi","Do","Fr","Sa","So"))</f>
        <v/>
      </c>
      <c r="C176" s="6" t="n"/>
      <c r="D176" s="27" t="n"/>
      <c r="E176" s="9" t="n"/>
      <c r="F176" s="9" t="n"/>
      <c r="G176" s="9" t="n"/>
      <c r="H176" s="26">
        <f>IF(COUNT(E176:G176)=0,"",SUM(E176:G176))</f>
        <v/>
      </c>
      <c r="I176" s="9" t="n"/>
      <c r="J176" s="9" t="n"/>
      <c r="K176" s="9" t="n"/>
      <c r="L176" s="9" t="n"/>
      <c r="M176" s="26">
        <f>IF(COUNT(I176:L176)=0,"",SUM(I176:L176))</f>
        <v/>
      </c>
      <c r="N176" s="6" t="n"/>
      <c r="O176" s="28" t="n"/>
      <c r="P176" s="28" t="n"/>
    </row>
    <row r="177">
      <c r="A177" s="25" t="n"/>
      <c r="B177" s="26">
        <f>IF(A177="","",CHOOSE(WEEKDAY(A177,2),"Mo","Di","Mi","Do","Fr","Sa","So"))</f>
        <v/>
      </c>
      <c r="C177" s="6" t="n"/>
      <c r="D177" s="27" t="n"/>
      <c r="E177" s="9" t="n"/>
      <c r="F177" s="9" t="n"/>
      <c r="G177" s="9" t="n"/>
      <c r="H177" s="26">
        <f>IF(COUNT(E177:G177)=0,"",SUM(E177:G177))</f>
        <v/>
      </c>
      <c r="I177" s="9" t="n"/>
      <c r="J177" s="9" t="n"/>
      <c r="K177" s="9" t="n"/>
      <c r="L177" s="9" t="n"/>
      <c r="M177" s="26">
        <f>IF(COUNT(I177:L177)=0,"",SUM(I177:L177))</f>
        <v/>
      </c>
      <c r="N177" s="6" t="n"/>
      <c r="O177" s="28" t="n"/>
      <c r="P177" s="28" t="n"/>
    </row>
    <row r="178">
      <c r="A178" s="25" t="n"/>
      <c r="B178" s="26">
        <f>IF(A178="","",CHOOSE(WEEKDAY(A178,2),"Mo","Di","Mi","Do","Fr","Sa","So"))</f>
        <v/>
      </c>
      <c r="C178" s="6" t="n"/>
      <c r="D178" s="27" t="n"/>
      <c r="E178" s="9" t="n"/>
      <c r="F178" s="9" t="n"/>
      <c r="G178" s="9" t="n"/>
      <c r="H178" s="26">
        <f>IF(COUNT(E178:G178)=0,"",SUM(E178:G178))</f>
        <v/>
      </c>
      <c r="I178" s="9" t="n"/>
      <c r="J178" s="9" t="n"/>
      <c r="K178" s="9" t="n"/>
      <c r="L178" s="9" t="n"/>
      <c r="M178" s="26">
        <f>IF(COUNT(I178:L178)=0,"",SUM(I178:L178))</f>
        <v/>
      </c>
      <c r="N178" s="6" t="n"/>
      <c r="O178" s="28" t="n"/>
      <c r="P178" s="28" t="n"/>
    </row>
    <row r="179">
      <c r="A179" s="25" t="n"/>
      <c r="B179" s="26">
        <f>IF(A179="","",CHOOSE(WEEKDAY(A179,2),"Mo","Di","Mi","Do","Fr","Sa","So"))</f>
        <v/>
      </c>
      <c r="C179" s="6" t="n"/>
      <c r="D179" s="27" t="n"/>
      <c r="E179" s="9" t="n"/>
      <c r="F179" s="9" t="n"/>
      <c r="G179" s="9" t="n"/>
      <c r="H179" s="26">
        <f>IF(COUNT(E179:G179)=0,"",SUM(E179:G179))</f>
        <v/>
      </c>
      <c r="I179" s="9" t="n"/>
      <c r="J179" s="9" t="n"/>
      <c r="K179" s="9" t="n"/>
      <c r="L179" s="9" t="n"/>
      <c r="M179" s="26">
        <f>IF(COUNT(I179:L179)=0,"",SUM(I179:L179))</f>
        <v/>
      </c>
      <c r="N179" s="6" t="n"/>
      <c r="O179" s="28" t="n"/>
      <c r="P179" s="28" t="n"/>
    </row>
    <row r="180">
      <c r="A180" s="25" t="n"/>
      <c r="B180" s="26">
        <f>IF(A180="","",CHOOSE(WEEKDAY(A180,2),"Mo","Di","Mi","Do","Fr","Sa","So"))</f>
        <v/>
      </c>
      <c r="C180" s="6" t="n"/>
      <c r="D180" s="27" t="n"/>
      <c r="E180" s="9" t="n"/>
      <c r="F180" s="9" t="n"/>
      <c r="G180" s="9" t="n"/>
      <c r="H180" s="26">
        <f>IF(COUNT(E180:G180)=0,"",SUM(E180:G180))</f>
        <v/>
      </c>
      <c r="I180" s="9" t="n"/>
      <c r="J180" s="9" t="n"/>
      <c r="K180" s="9" t="n"/>
      <c r="L180" s="9" t="n"/>
      <c r="M180" s="26">
        <f>IF(COUNT(I180:L180)=0,"",SUM(I180:L180))</f>
        <v/>
      </c>
      <c r="N180" s="6" t="n"/>
      <c r="O180" s="28" t="n"/>
      <c r="P180" s="28" t="n"/>
    </row>
    <row r="181">
      <c r="A181" s="25" t="n"/>
      <c r="B181" s="26">
        <f>IF(A181="","",CHOOSE(WEEKDAY(A181,2),"Mo","Di","Mi","Do","Fr","Sa","So"))</f>
        <v/>
      </c>
      <c r="C181" s="6" t="n"/>
      <c r="D181" s="27" t="n"/>
      <c r="E181" s="9" t="n"/>
      <c r="F181" s="9" t="n"/>
      <c r="G181" s="9" t="n"/>
      <c r="H181" s="26">
        <f>IF(COUNT(E181:G181)=0,"",SUM(E181:G181))</f>
        <v/>
      </c>
      <c r="I181" s="9" t="n"/>
      <c r="J181" s="9" t="n"/>
      <c r="K181" s="9" t="n"/>
      <c r="L181" s="9" t="n"/>
      <c r="M181" s="26">
        <f>IF(COUNT(I181:L181)=0,"",SUM(I181:L181))</f>
        <v/>
      </c>
      <c r="N181" s="6" t="n"/>
      <c r="O181" s="28" t="n"/>
      <c r="P181" s="28" t="n"/>
    </row>
    <row r="182">
      <c r="A182" s="25" t="n"/>
      <c r="B182" s="26">
        <f>IF(A182="","",CHOOSE(WEEKDAY(A182,2),"Mo","Di","Mi","Do","Fr","Sa","So"))</f>
        <v/>
      </c>
      <c r="C182" s="6" t="n"/>
      <c r="D182" s="27" t="n"/>
      <c r="E182" s="9" t="n"/>
      <c r="F182" s="9" t="n"/>
      <c r="G182" s="9" t="n"/>
      <c r="H182" s="26">
        <f>IF(COUNT(E182:G182)=0,"",SUM(E182:G182))</f>
        <v/>
      </c>
      <c r="I182" s="9" t="n"/>
      <c r="J182" s="9" t="n"/>
      <c r="K182" s="9" t="n"/>
      <c r="L182" s="9" t="n"/>
      <c r="M182" s="26">
        <f>IF(COUNT(I182:L182)=0,"",SUM(I182:L182))</f>
        <v/>
      </c>
      <c r="N182" s="6" t="n"/>
      <c r="O182" s="28" t="n"/>
      <c r="P182" s="28" t="n"/>
    </row>
    <row r="183">
      <c r="A183" s="25" t="n"/>
      <c r="B183" s="26">
        <f>IF(A183="","",CHOOSE(WEEKDAY(A183,2),"Mo","Di","Mi","Do","Fr","Sa","So"))</f>
        <v/>
      </c>
      <c r="C183" s="6" t="n"/>
      <c r="D183" s="27" t="n"/>
      <c r="E183" s="9" t="n"/>
      <c r="F183" s="9" t="n"/>
      <c r="G183" s="9" t="n"/>
      <c r="H183" s="26">
        <f>IF(COUNT(E183:G183)=0,"",SUM(E183:G183))</f>
        <v/>
      </c>
      <c r="I183" s="9" t="n"/>
      <c r="J183" s="9" t="n"/>
      <c r="K183" s="9" t="n"/>
      <c r="L183" s="9" t="n"/>
      <c r="M183" s="26">
        <f>IF(COUNT(I183:L183)=0,"",SUM(I183:L183))</f>
        <v/>
      </c>
      <c r="N183" s="6" t="n"/>
      <c r="O183" s="28" t="n"/>
      <c r="P183" s="28" t="n"/>
    </row>
    <row r="184">
      <c r="A184" s="25" t="n"/>
      <c r="B184" s="26">
        <f>IF(A184="","",CHOOSE(WEEKDAY(A184,2),"Mo","Di","Mi","Do","Fr","Sa","So"))</f>
        <v/>
      </c>
      <c r="C184" s="6" t="n"/>
      <c r="D184" s="27" t="n"/>
      <c r="E184" s="9" t="n"/>
      <c r="F184" s="9" t="n"/>
      <c r="G184" s="9" t="n"/>
      <c r="H184" s="26">
        <f>IF(COUNT(E184:G184)=0,"",SUM(E184:G184))</f>
        <v/>
      </c>
      <c r="I184" s="9" t="n"/>
      <c r="J184" s="9" t="n"/>
      <c r="K184" s="9" t="n"/>
      <c r="L184" s="9" t="n"/>
      <c r="M184" s="26">
        <f>IF(COUNT(I184:L184)=0,"",SUM(I184:L184))</f>
        <v/>
      </c>
      <c r="N184" s="6" t="n"/>
      <c r="O184" s="28" t="n"/>
      <c r="P184" s="28" t="n"/>
    </row>
    <row r="185">
      <c r="A185" s="25" t="n"/>
      <c r="B185" s="26">
        <f>IF(A185="","",CHOOSE(WEEKDAY(A185,2),"Mo","Di","Mi","Do","Fr","Sa","So"))</f>
        <v/>
      </c>
      <c r="C185" s="6" t="n"/>
      <c r="D185" s="27" t="n"/>
      <c r="E185" s="9" t="n"/>
      <c r="F185" s="9" t="n"/>
      <c r="G185" s="9" t="n"/>
      <c r="H185" s="26">
        <f>IF(COUNT(E185:G185)=0,"",SUM(E185:G185))</f>
        <v/>
      </c>
      <c r="I185" s="9" t="n"/>
      <c r="J185" s="9" t="n"/>
      <c r="K185" s="9" t="n"/>
      <c r="L185" s="9" t="n"/>
      <c r="M185" s="26">
        <f>IF(COUNT(I185:L185)=0,"",SUM(I185:L185))</f>
        <v/>
      </c>
      <c r="N185" s="6" t="n"/>
      <c r="O185" s="28" t="n"/>
      <c r="P185" s="28" t="n"/>
    </row>
    <row r="186">
      <c r="A186" s="25" t="n"/>
      <c r="B186" s="26">
        <f>IF(A186="","",CHOOSE(WEEKDAY(A186,2),"Mo","Di","Mi","Do","Fr","Sa","So"))</f>
        <v/>
      </c>
      <c r="C186" s="6" t="n"/>
      <c r="D186" s="27" t="n"/>
      <c r="E186" s="9" t="n"/>
      <c r="F186" s="9" t="n"/>
      <c r="G186" s="9" t="n"/>
      <c r="H186" s="26">
        <f>IF(COUNT(E186:G186)=0,"",SUM(E186:G186))</f>
        <v/>
      </c>
      <c r="I186" s="9" t="n"/>
      <c r="J186" s="9" t="n"/>
      <c r="K186" s="9" t="n"/>
      <c r="L186" s="9" t="n"/>
      <c r="M186" s="26">
        <f>IF(COUNT(I186:L186)=0,"",SUM(I186:L186))</f>
        <v/>
      </c>
      <c r="N186" s="6" t="n"/>
      <c r="O186" s="28" t="n"/>
      <c r="P186" s="28" t="n"/>
    </row>
    <row r="187">
      <c r="A187" s="25" t="n"/>
      <c r="B187" s="26">
        <f>IF(A187="","",CHOOSE(WEEKDAY(A187,2),"Mo","Di","Mi","Do","Fr","Sa","So"))</f>
        <v/>
      </c>
      <c r="C187" s="6" t="n"/>
      <c r="D187" s="27" t="n"/>
      <c r="E187" s="9" t="n"/>
      <c r="F187" s="9" t="n"/>
      <c r="G187" s="9" t="n"/>
      <c r="H187" s="26">
        <f>IF(COUNT(E187:G187)=0,"",SUM(E187:G187))</f>
        <v/>
      </c>
      <c r="I187" s="9" t="n"/>
      <c r="J187" s="9" t="n"/>
      <c r="K187" s="9" t="n"/>
      <c r="L187" s="9" t="n"/>
      <c r="M187" s="26">
        <f>IF(COUNT(I187:L187)=0,"",SUM(I187:L187))</f>
        <v/>
      </c>
      <c r="N187" s="6" t="n"/>
      <c r="O187" s="28" t="n"/>
      <c r="P187" s="28" t="n"/>
    </row>
    <row r="188">
      <c r="A188" s="25" t="n"/>
      <c r="B188" s="26">
        <f>IF(A188="","",CHOOSE(WEEKDAY(A188,2),"Mo","Di","Mi","Do","Fr","Sa","So"))</f>
        <v/>
      </c>
      <c r="C188" s="6" t="n"/>
      <c r="D188" s="27" t="n"/>
      <c r="E188" s="9" t="n"/>
      <c r="F188" s="9" t="n"/>
      <c r="G188" s="9" t="n"/>
      <c r="H188" s="26">
        <f>IF(COUNT(E188:G188)=0,"",SUM(E188:G188))</f>
        <v/>
      </c>
      <c r="I188" s="9" t="n"/>
      <c r="J188" s="9" t="n"/>
      <c r="K188" s="9" t="n"/>
      <c r="L188" s="9" t="n"/>
      <c r="M188" s="26">
        <f>IF(COUNT(I188:L188)=0,"",SUM(I188:L188))</f>
        <v/>
      </c>
      <c r="N188" s="6" t="n"/>
      <c r="O188" s="28" t="n"/>
      <c r="P188" s="28" t="n"/>
    </row>
    <row r="189">
      <c r="A189" s="25" t="n"/>
      <c r="B189" s="26">
        <f>IF(A189="","",CHOOSE(WEEKDAY(A189,2),"Mo","Di","Mi","Do","Fr","Sa","So"))</f>
        <v/>
      </c>
      <c r="C189" s="6" t="n"/>
      <c r="D189" s="27" t="n"/>
      <c r="E189" s="9" t="n"/>
      <c r="F189" s="9" t="n"/>
      <c r="G189" s="9" t="n"/>
      <c r="H189" s="26">
        <f>IF(COUNT(E189:G189)=0,"",SUM(E189:G189))</f>
        <v/>
      </c>
      <c r="I189" s="9" t="n"/>
      <c r="J189" s="9" t="n"/>
      <c r="K189" s="9" t="n"/>
      <c r="L189" s="9" t="n"/>
      <c r="M189" s="26">
        <f>IF(COUNT(I189:L189)=0,"",SUM(I189:L189))</f>
        <v/>
      </c>
      <c r="N189" s="6" t="n"/>
      <c r="O189" s="28" t="n"/>
      <c r="P189" s="28" t="n"/>
    </row>
    <row r="190">
      <c r="A190" s="25" t="n"/>
      <c r="B190" s="26">
        <f>IF(A190="","",CHOOSE(WEEKDAY(A190,2),"Mo","Di","Mi","Do","Fr","Sa","So"))</f>
        <v/>
      </c>
      <c r="C190" s="6" t="n"/>
      <c r="D190" s="27" t="n"/>
      <c r="E190" s="9" t="n"/>
      <c r="F190" s="9" t="n"/>
      <c r="G190" s="9" t="n"/>
      <c r="H190" s="26">
        <f>IF(COUNT(E190:G190)=0,"",SUM(E190:G190))</f>
        <v/>
      </c>
      <c r="I190" s="9" t="n"/>
      <c r="J190" s="9" t="n"/>
      <c r="K190" s="9" t="n"/>
      <c r="L190" s="9" t="n"/>
      <c r="M190" s="26">
        <f>IF(COUNT(I190:L190)=0,"",SUM(I190:L190))</f>
        <v/>
      </c>
      <c r="N190" s="6" t="n"/>
      <c r="O190" s="28" t="n"/>
      <c r="P190" s="28" t="n"/>
    </row>
    <row r="191">
      <c r="A191" s="25" t="n"/>
      <c r="B191" s="26">
        <f>IF(A191="","",CHOOSE(WEEKDAY(A191,2),"Mo","Di","Mi","Do","Fr","Sa","So"))</f>
        <v/>
      </c>
      <c r="C191" s="6" t="n"/>
      <c r="D191" s="27" t="n"/>
      <c r="E191" s="9" t="n"/>
      <c r="F191" s="9" t="n"/>
      <c r="G191" s="9" t="n"/>
      <c r="H191" s="26">
        <f>IF(COUNT(E191:G191)=0,"",SUM(E191:G191))</f>
        <v/>
      </c>
      <c r="I191" s="9" t="n"/>
      <c r="J191" s="9" t="n"/>
      <c r="K191" s="9" t="n"/>
      <c r="L191" s="9" t="n"/>
      <c r="M191" s="26">
        <f>IF(COUNT(I191:L191)=0,"",SUM(I191:L191))</f>
        <v/>
      </c>
      <c r="N191" s="6" t="n"/>
      <c r="O191" s="28" t="n"/>
      <c r="P191" s="28" t="n"/>
    </row>
    <row r="192">
      <c r="A192" s="25" t="n"/>
      <c r="B192" s="26">
        <f>IF(A192="","",CHOOSE(WEEKDAY(A192,2),"Mo","Di","Mi","Do","Fr","Sa","So"))</f>
        <v/>
      </c>
      <c r="C192" s="6" t="n"/>
      <c r="D192" s="27" t="n"/>
      <c r="E192" s="9" t="n"/>
      <c r="F192" s="9" t="n"/>
      <c r="G192" s="9" t="n"/>
      <c r="H192" s="26">
        <f>IF(COUNT(E192:G192)=0,"",SUM(E192:G192))</f>
        <v/>
      </c>
      <c r="I192" s="9" t="n"/>
      <c r="J192" s="9" t="n"/>
      <c r="K192" s="9" t="n"/>
      <c r="L192" s="9" t="n"/>
      <c r="M192" s="26">
        <f>IF(COUNT(I192:L192)=0,"",SUM(I192:L192))</f>
        <v/>
      </c>
      <c r="N192" s="6" t="n"/>
      <c r="O192" s="28" t="n"/>
      <c r="P192" s="28" t="n"/>
    </row>
    <row r="193">
      <c r="A193" s="25" t="n"/>
      <c r="B193" s="26">
        <f>IF(A193="","",CHOOSE(WEEKDAY(A193,2),"Mo","Di","Mi","Do","Fr","Sa","So"))</f>
        <v/>
      </c>
      <c r="C193" s="6" t="n"/>
      <c r="D193" s="27" t="n"/>
      <c r="E193" s="9" t="n"/>
      <c r="F193" s="9" t="n"/>
      <c r="G193" s="9" t="n"/>
      <c r="H193" s="26">
        <f>IF(COUNT(E193:G193)=0,"",SUM(E193:G193))</f>
        <v/>
      </c>
      <c r="I193" s="9" t="n"/>
      <c r="J193" s="9" t="n"/>
      <c r="K193" s="9" t="n"/>
      <c r="L193" s="9" t="n"/>
      <c r="M193" s="26">
        <f>IF(COUNT(I193:L193)=0,"",SUM(I193:L193))</f>
        <v/>
      </c>
      <c r="N193" s="6" t="n"/>
      <c r="O193" s="28" t="n"/>
      <c r="P193" s="28" t="n"/>
    </row>
    <row r="194">
      <c r="A194" s="25" t="n"/>
      <c r="B194" s="26">
        <f>IF(A194="","",CHOOSE(WEEKDAY(A194,2),"Mo","Di","Mi","Do","Fr","Sa","So"))</f>
        <v/>
      </c>
      <c r="C194" s="6" t="n"/>
      <c r="D194" s="27" t="n"/>
      <c r="E194" s="9" t="n"/>
      <c r="F194" s="9" t="n"/>
      <c r="G194" s="9" t="n"/>
      <c r="H194" s="26">
        <f>IF(COUNT(E194:G194)=0,"",SUM(E194:G194))</f>
        <v/>
      </c>
      <c r="I194" s="9" t="n"/>
      <c r="J194" s="9" t="n"/>
      <c r="K194" s="9" t="n"/>
      <c r="L194" s="9" t="n"/>
      <c r="M194" s="26">
        <f>IF(COUNT(I194:L194)=0,"",SUM(I194:L194))</f>
        <v/>
      </c>
      <c r="N194" s="6" t="n"/>
      <c r="O194" s="28" t="n"/>
      <c r="P194" s="28" t="n"/>
    </row>
    <row r="195">
      <c r="A195" s="25" t="n"/>
      <c r="B195" s="26">
        <f>IF(A195="","",CHOOSE(WEEKDAY(A195,2),"Mo","Di","Mi","Do","Fr","Sa","So"))</f>
        <v/>
      </c>
      <c r="C195" s="6" t="n"/>
      <c r="D195" s="27" t="n"/>
      <c r="E195" s="9" t="n"/>
      <c r="F195" s="9" t="n"/>
      <c r="G195" s="9" t="n"/>
      <c r="H195" s="26">
        <f>IF(COUNT(E195:G195)=0,"",SUM(E195:G195))</f>
        <v/>
      </c>
      <c r="I195" s="9" t="n"/>
      <c r="J195" s="9" t="n"/>
      <c r="K195" s="9" t="n"/>
      <c r="L195" s="9" t="n"/>
      <c r="M195" s="26">
        <f>IF(COUNT(I195:L195)=0,"",SUM(I195:L195))</f>
        <v/>
      </c>
      <c r="N195" s="6" t="n"/>
      <c r="O195" s="28" t="n"/>
      <c r="P195" s="28" t="n"/>
    </row>
    <row r="196">
      <c r="A196" s="25" t="n"/>
      <c r="B196" s="26">
        <f>IF(A196="","",CHOOSE(WEEKDAY(A196,2),"Mo","Di","Mi","Do","Fr","Sa","So"))</f>
        <v/>
      </c>
      <c r="C196" s="6" t="n"/>
      <c r="D196" s="27" t="n"/>
      <c r="E196" s="9" t="n"/>
      <c r="F196" s="9" t="n"/>
      <c r="G196" s="9" t="n"/>
      <c r="H196" s="26">
        <f>IF(COUNT(E196:G196)=0,"",SUM(E196:G196))</f>
        <v/>
      </c>
      <c r="I196" s="9" t="n"/>
      <c r="J196" s="9" t="n"/>
      <c r="K196" s="9" t="n"/>
      <c r="L196" s="9" t="n"/>
      <c r="M196" s="26">
        <f>IF(COUNT(I196:L196)=0,"",SUM(I196:L196))</f>
        <v/>
      </c>
      <c r="N196" s="6" t="n"/>
      <c r="O196" s="28" t="n"/>
      <c r="P196" s="28" t="n"/>
    </row>
    <row r="197">
      <c r="A197" s="25" t="n"/>
      <c r="B197" s="26">
        <f>IF(A197="","",CHOOSE(WEEKDAY(A197,2),"Mo","Di","Mi","Do","Fr","Sa","So"))</f>
        <v/>
      </c>
      <c r="C197" s="6" t="n"/>
      <c r="D197" s="27" t="n"/>
      <c r="E197" s="9" t="n"/>
      <c r="F197" s="9" t="n"/>
      <c r="G197" s="9" t="n"/>
      <c r="H197" s="26">
        <f>IF(COUNT(E197:G197)=0,"",SUM(E197:G197))</f>
        <v/>
      </c>
      <c r="I197" s="9" t="n"/>
      <c r="J197" s="9" t="n"/>
      <c r="K197" s="9" t="n"/>
      <c r="L197" s="9" t="n"/>
      <c r="M197" s="26">
        <f>IF(COUNT(I197:L197)=0,"",SUM(I197:L197))</f>
        <v/>
      </c>
      <c r="N197" s="6" t="n"/>
      <c r="O197" s="28" t="n"/>
      <c r="P197" s="28" t="n"/>
    </row>
    <row r="198">
      <c r="A198" s="25" t="n"/>
      <c r="B198" s="26">
        <f>IF(A198="","",CHOOSE(WEEKDAY(A198,2),"Mo","Di","Mi","Do","Fr","Sa","So"))</f>
        <v/>
      </c>
      <c r="C198" s="6" t="n"/>
      <c r="D198" s="27" t="n"/>
      <c r="E198" s="9" t="n"/>
      <c r="F198" s="9" t="n"/>
      <c r="G198" s="9" t="n"/>
      <c r="H198" s="26">
        <f>IF(COUNT(E198:G198)=0,"",SUM(E198:G198))</f>
        <v/>
      </c>
      <c r="I198" s="9" t="n"/>
      <c r="J198" s="9" t="n"/>
      <c r="K198" s="9" t="n"/>
      <c r="L198" s="9" t="n"/>
      <c r="M198" s="26">
        <f>IF(COUNT(I198:L198)=0,"",SUM(I198:L198))</f>
        <v/>
      </c>
      <c r="N198" s="6" t="n"/>
      <c r="O198" s="28" t="n"/>
      <c r="P198" s="28" t="n"/>
    </row>
    <row r="199">
      <c r="A199" s="25" t="n"/>
      <c r="B199" s="26">
        <f>IF(A199="","",CHOOSE(WEEKDAY(A199,2),"Mo","Di","Mi","Do","Fr","Sa","So"))</f>
        <v/>
      </c>
      <c r="C199" s="6" t="n"/>
      <c r="D199" s="27" t="n"/>
      <c r="E199" s="9" t="n"/>
      <c r="F199" s="9" t="n"/>
      <c r="G199" s="9" t="n"/>
      <c r="H199" s="26">
        <f>IF(COUNT(E199:G199)=0,"",SUM(E199:G199))</f>
        <v/>
      </c>
      <c r="I199" s="9" t="n"/>
      <c r="J199" s="9" t="n"/>
      <c r="K199" s="9" t="n"/>
      <c r="L199" s="9" t="n"/>
      <c r="M199" s="26">
        <f>IF(COUNT(I199:L199)=0,"",SUM(I199:L199))</f>
        <v/>
      </c>
      <c r="N199" s="6" t="n"/>
      <c r="O199" s="28" t="n"/>
      <c r="P199" s="28" t="n"/>
    </row>
    <row r="200">
      <c r="A200" s="25" t="n"/>
      <c r="B200" s="26">
        <f>IF(A200="","",CHOOSE(WEEKDAY(A200,2),"Mo","Di","Mi","Do","Fr","Sa","So"))</f>
        <v/>
      </c>
      <c r="C200" s="6" t="n"/>
      <c r="D200" s="27" t="n"/>
      <c r="E200" s="9" t="n"/>
      <c r="F200" s="9" t="n"/>
      <c r="G200" s="9" t="n"/>
      <c r="H200" s="26">
        <f>IF(COUNT(E200:G200)=0,"",SUM(E200:G200))</f>
        <v/>
      </c>
      <c r="I200" s="9" t="n"/>
      <c r="J200" s="9" t="n"/>
      <c r="K200" s="9" t="n"/>
      <c r="L200" s="9" t="n"/>
      <c r="M200" s="26">
        <f>IF(COUNT(I200:L200)=0,"",SUM(I200:L200))</f>
        <v/>
      </c>
      <c r="N200" s="6" t="n"/>
      <c r="O200" s="28" t="n"/>
      <c r="P200" s="28" t="n"/>
    </row>
    <row r="201">
      <c r="A201" s="25" t="n"/>
      <c r="B201" s="26">
        <f>IF(A201="","",CHOOSE(WEEKDAY(A201,2),"Mo","Di","Mi","Do","Fr","Sa","So"))</f>
        <v/>
      </c>
      <c r="C201" s="6" t="n"/>
      <c r="D201" s="27" t="n"/>
      <c r="E201" s="9" t="n"/>
      <c r="F201" s="9" t="n"/>
      <c r="G201" s="9" t="n"/>
      <c r="H201" s="26">
        <f>IF(COUNT(E201:G201)=0,"",SUM(E201:G201))</f>
        <v/>
      </c>
      <c r="I201" s="9" t="n"/>
      <c r="J201" s="9" t="n"/>
      <c r="K201" s="9" t="n"/>
      <c r="L201" s="9" t="n"/>
      <c r="M201" s="26">
        <f>IF(COUNT(I201:L201)=0,"",SUM(I201:L201))</f>
        <v/>
      </c>
      <c r="N201" s="6" t="n"/>
      <c r="O201" s="28" t="n"/>
      <c r="P201" s="28" t="n"/>
    </row>
    <row r="202">
      <c r="A202" s="25" t="n"/>
      <c r="B202" s="26">
        <f>IF(A202="","",CHOOSE(WEEKDAY(A202,2),"Mo","Di","Mi","Do","Fr","Sa","So"))</f>
        <v/>
      </c>
      <c r="C202" s="6" t="n"/>
      <c r="D202" s="27" t="n"/>
      <c r="E202" s="9" t="n"/>
      <c r="F202" s="9" t="n"/>
      <c r="G202" s="9" t="n"/>
      <c r="H202" s="26">
        <f>IF(COUNT(E202:G202)=0,"",SUM(E202:G202))</f>
        <v/>
      </c>
      <c r="I202" s="9" t="n"/>
      <c r="J202" s="9" t="n"/>
      <c r="K202" s="9" t="n"/>
      <c r="L202" s="9" t="n"/>
      <c r="M202" s="26">
        <f>IF(COUNT(I202:L202)=0,"",SUM(I202:L202))</f>
        <v/>
      </c>
      <c r="N202" s="6" t="n"/>
      <c r="O202" s="28" t="n"/>
      <c r="P202" s="28" t="n"/>
    </row>
    <row r="203">
      <c r="A203" s="25" t="n"/>
      <c r="B203" s="26">
        <f>IF(A203="","",CHOOSE(WEEKDAY(A203,2),"Mo","Di","Mi","Do","Fr","Sa","So"))</f>
        <v/>
      </c>
      <c r="C203" s="6" t="n"/>
      <c r="D203" s="27" t="n"/>
      <c r="E203" s="9" t="n"/>
      <c r="F203" s="9" t="n"/>
      <c r="G203" s="9" t="n"/>
      <c r="H203" s="26">
        <f>IF(COUNT(E203:G203)=0,"",SUM(E203:G203))</f>
        <v/>
      </c>
      <c r="I203" s="9" t="n"/>
      <c r="J203" s="9" t="n"/>
      <c r="K203" s="9" t="n"/>
      <c r="L203" s="9" t="n"/>
      <c r="M203" s="26">
        <f>IF(COUNT(I203:L203)=0,"",SUM(I203:L203))</f>
        <v/>
      </c>
      <c r="N203" s="6" t="n"/>
      <c r="O203" s="28" t="n"/>
      <c r="P203" s="28" t="n"/>
    </row>
    <row r="204">
      <c r="A204" s="25" t="n"/>
      <c r="B204" s="26">
        <f>IF(A204="","",CHOOSE(WEEKDAY(A204,2),"Mo","Di","Mi","Do","Fr","Sa","So"))</f>
        <v/>
      </c>
      <c r="C204" s="6" t="n"/>
      <c r="D204" s="27" t="n"/>
      <c r="E204" s="9" t="n"/>
      <c r="F204" s="9" t="n"/>
      <c r="G204" s="9" t="n"/>
      <c r="H204" s="26">
        <f>IF(COUNT(E204:G204)=0,"",SUM(E204:G204))</f>
        <v/>
      </c>
      <c r="I204" s="9" t="n"/>
      <c r="J204" s="9" t="n"/>
      <c r="K204" s="9" t="n"/>
      <c r="L204" s="9" t="n"/>
      <c r="M204" s="26">
        <f>IF(COUNT(I204:L204)=0,"",SUM(I204:L204))</f>
        <v/>
      </c>
      <c r="N204" s="6" t="n"/>
      <c r="O204" s="28" t="n"/>
      <c r="P204" s="28" t="n"/>
    </row>
    <row r="205">
      <c r="A205" s="25" t="n"/>
      <c r="B205" s="26">
        <f>IF(A205="","",CHOOSE(WEEKDAY(A205,2),"Mo","Di","Mi","Do","Fr","Sa","So"))</f>
        <v/>
      </c>
      <c r="C205" s="6" t="n"/>
      <c r="D205" s="27" t="n"/>
      <c r="E205" s="9" t="n"/>
      <c r="F205" s="9" t="n"/>
      <c r="G205" s="9" t="n"/>
      <c r="H205" s="26">
        <f>IF(COUNT(E205:G205)=0,"",SUM(E205:G205))</f>
        <v/>
      </c>
      <c r="I205" s="9" t="n"/>
      <c r="J205" s="9" t="n"/>
      <c r="K205" s="9" t="n"/>
      <c r="L205" s="9" t="n"/>
      <c r="M205" s="26">
        <f>IF(COUNT(I205:L205)=0,"",SUM(I205:L205))</f>
        <v/>
      </c>
      <c r="N205" s="6" t="n"/>
      <c r="O205" s="28" t="n"/>
      <c r="P205" s="28" t="n"/>
    </row>
    <row r="206">
      <c r="A206" s="25" t="n"/>
      <c r="B206" s="26">
        <f>IF(A206="","",CHOOSE(WEEKDAY(A206,2),"Mo","Di","Mi","Do","Fr","Sa","So"))</f>
        <v/>
      </c>
      <c r="C206" s="6" t="n"/>
      <c r="D206" s="27" t="n"/>
      <c r="E206" s="9" t="n"/>
      <c r="F206" s="9" t="n"/>
      <c r="G206" s="9" t="n"/>
      <c r="H206" s="26">
        <f>IF(COUNT(E206:G206)=0,"",SUM(E206:G206))</f>
        <v/>
      </c>
      <c r="I206" s="9" t="n"/>
      <c r="J206" s="9" t="n"/>
      <c r="K206" s="9" t="n"/>
      <c r="L206" s="9" t="n"/>
      <c r="M206" s="26">
        <f>IF(COUNT(I206:L206)=0,"",SUM(I206:L206))</f>
        <v/>
      </c>
      <c r="N206" s="6" t="n"/>
      <c r="O206" s="28" t="n"/>
      <c r="P206" s="28" t="n"/>
    </row>
    <row r="207">
      <c r="A207" s="25" t="n"/>
      <c r="B207" s="26">
        <f>IF(A207="","",CHOOSE(WEEKDAY(A207,2),"Mo","Di","Mi","Do","Fr","Sa","So"))</f>
        <v/>
      </c>
      <c r="C207" s="6" t="n"/>
      <c r="D207" s="27" t="n"/>
      <c r="E207" s="9" t="n"/>
      <c r="F207" s="9" t="n"/>
      <c r="G207" s="9" t="n"/>
      <c r="H207" s="26">
        <f>IF(COUNT(E207:G207)=0,"",SUM(E207:G207))</f>
        <v/>
      </c>
      <c r="I207" s="9" t="n"/>
      <c r="J207" s="9" t="n"/>
      <c r="K207" s="9" t="n"/>
      <c r="L207" s="9" t="n"/>
      <c r="M207" s="26">
        <f>IF(COUNT(I207:L207)=0,"",SUM(I207:L207))</f>
        <v/>
      </c>
      <c r="N207" s="6" t="n"/>
      <c r="O207" s="28" t="n"/>
      <c r="P207" s="28" t="n"/>
    </row>
    <row r="208">
      <c r="A208" s="25" t="n"/>
      <c r="B208" s="26">
        <f>IF(A208="","",CHOOSE(WEEKDAY(A208,2),"Mo","Di","Mi","Do","Fr","Sa","So"))</f>
        <v/>
      </c>
      <c r="C208" s="6" t="n"/>
      <c r="D208" s="27" t="n"/>
      <c r="E208" s="9" t="n"/>
      <c r="F208" s="9" t="n"/>
      <c r="G208" s="9" t="n"/>
      <c r="H208" s="26">
        <f>IF(COUNT(E208:G208)=0,"",SUM(E208:G208))</f>
        <v/>
      </c>
      <c r="I208" s="9" t="n"/>
      <c r="J208" s="9" t="n"/>
      <c r="K208" s="9" t="n"/>
      <c r="L208" s="9" t="n"/>
      <c r="M208" s="26">
        <f>IF(COUNT(I208:L208)=0,"",SUM(I208:L208))</f>
        <v/>
      </c>
      <c r="N208" s="6" t="n"/>
      <c r="O208" s="28" t="n"/>
      <c r="P208" s="28" t="n"/>
    </row>
    <row r="209">
      <c r="A209" s="25" t="n"/>
      <c r="B209" s="26">
        <f>IF(A209="","",CHOOSE(WEEKDAY(A209,2),"Mo","Di","Mi","Do","Fr","Sa","So"))</f>
        <v/>
      </c>
      <c r="C209" s="6" t="n"/>
      <c r="D209" s="27" t="n"/>
      <c r="E209" s="9" t="n"/>
      <c r="F209" s="9" t="n"/>
      <c r="G209" s="9" t="n"/>
      <c r="H209" s="26">
        <f>IF(COUNT(E209:G209)=0,"",SUM(E209:G209))</f>
        <v/>
      </c>
      <c r="I209" s="9" t="n"/>
      <c r="J209" s="9" t="n"/>
      <c r="K209" s="9" t="n"/>
      <c r="L209" s="9" t="n"/>
      <c r="M209" s="26">
        <f>IF(COUNT(I209:L209)=0,"",SUM(I209:L209))</f>
        <v/>
      </c>
      <c r="N209" s="6" t="n"/>
      <c r="O209" s="28" t="n"/>
      <c r="P209" s="28" t="n"/>
    </row>
    <row r="210">
      <c r="A210" s="25" t="n"/>
      <c r="B210" s="26">
        <f>IF(A210="","",CHOOSE(WEEKDAY(A210,2),"Mo","Di","Mi","Do","Fr","Sa","So"))</f>
        <v/>
      </c>
      <c r="C210" s="6" t="n"/>
      <c r="D210" s="27" t="n"/>
      <c r="E210" s="9" t="n"/>
      <c r="F210" s="9" t="n"/>
      <c r="G210" s="9" t="n"/>
      <c r="H210" s="26">
        <f>IF(COUNT(E210:G210)=0,"",SUM(E210:G210))</f>
        <v/>
      </c>
      <c r="I210" s="9" t="n"/>
      <c r="J210" s="9" t="n"/>
      <c r="K210" s="9" t="n"/>
      <c r="L210" s="9" t="n"/>
      <c r="M210" s="26">
        <f>IF(COUNT(I210:L210)=0,"",SUM(I210:L210))</f>
        <v/>
      </c>
      <c r="N210" s="6" t="n"/>
      <c r="O210" s="28" t="n"/>
      <c r="P210" s="28" t="n"/>
    </row>
    <row r="211">
      <c r="A211" s="25" t="n"/>
      <c r="B211" s="26">
        <f>IF(A211="","",CHOOSE(WEEKDAY(A211,2),"Mo","Di","Mi","Do","Fr","Sa","So"))</f>
        <v/>
      </c>
      <c r="C211" s="6" t="n"/>
      <c r="D211" s="27" t="n"/>
      <c r="E211" s="9" t="n"/>
      <c r="F211" s="9" t="n"/>
      <c r="G211" s="9" t="n"/>
      <c r="H211" s="26">
        <f>IF(COUNT(E211:G211)=0,"",SUM(E211:G211))</f>
        <v/>
      </c>
      <c r="I211" s="9" t="n"/>
      <c r="J211" s="9" t="n"/>
      <c r="K211" s="9" t="n"/>
      <c r="L211" s="9" t="n"/>
      <c r="M211" s="26">
        <f>IF(COUNT(I211:L211)=0,"",SUM(I211:L211))</f>
        <v/>
      </c>
      <c r="N211" s="6" t="n"/>
      <c r="O211" s="28" t="n"/>
      <c r="P211" s="28" t="n"/>
    </row>
    <row r="212">
      <c r="A212" s="25" t="n"/>
      <c r="B212" s="26">
        <f>IF(A212="","",CHOOSE(WEEKDAY(A212,2),"Mo","Di","Mi","Do","Fr","Sa","So"))</f>
        <v/>
      </c>
      <c r="C212" s="6" t="n"/>
      <c r="D212" s="27" t="n"/>
      <c r="E212" s="9" t="n"/>
      <c r="F212" s="9" t="n"/>
      <c r="G212" s="9" t="n"/>
      <c r="H212" s="26">
        <f>IF(COUNT(E212:G212)=0,"",SUM(E212:G212))</f>
        <v/>
      </c>
      <c r="I212" s="9" t="n"/>
      <c r="J212" s="9" t="n"/>
      <c r="K212" s="9" t="n"/>
      <c r="L212" s="9" t="n"/>
      <c r="M212" s="26">
        <f>IF(COUNT(I212:L212)=0,"",SUM(I212:L212))</f>
        <v/>
      </c>
      <c r="N212" s="6" t="n"/>
      <c r="O212" s="28" t="n"/>
      <c r="P212" s="28" t="n"/>
    </row>
    <row r="213">
      <c r="A213" s="25" t="n"/>
      <c r="B213" s="26">
        <f>IF(A213="","",CHOOSE(WEEKDAY(A213,2),"Mo","Di","Mi","Do","Fr","Sa","So"))</f>
        <v/>
      </c>
      <c r="C213" s="6" t="n"/>
      <c r="D213" s="27" t="n"/>
      <c r="E213" s="9" t="n"/>
      <c r="F213" s="9" t="n"/>
      <c r="G213" s="9" t="n"/>
      <c r="H213" s="26">
        <f>IF(COUNT(E213:G213)=0,"",SUM(E213:G213))</f>
        <v/>
      </c>
      <c r="I213" s="9" t="n"/>
      <c r="J213" s="9" t="n"/>
      <c r="K213" s="9" t="n"/>
      <c r="L213" s="9" t="n"/>
      <c r="M213" s="26">
        <f>IF(COUNT(I213:L213)=0,"",SUM(I213:L213))</f>
        <v/>
      </c>
      <c r="N213" s="6" t="n"/>
      <c r="O213" s="28" t="n"/>
      <c r="P213" s="28" t="n"/>
    </row>
    <row r="214">
      <c r="A214" s="25" t="n"/>
      <c r="B214" s="26">
        <f>IF(A214="","",CHOOSE(WEEKDAY(A214,2),"Mo","Di","Mi","Do","Fr","Sa","So"))</f>
        <v/>
      </c>
      <c r="C214" s="6" t="n"/>
      <c r="D214" s="27" t="n"/>
      <c r="E214" s="9" t="n"/>
      <c r="F214" s="9" t="n"/>
      <c r="G214" s="9" t="n"/>
      <c r="H214" s="26">
        <f>IF(COUNT(E214:G214)=0,"",SUM(E214:G214))</f>
        <v/>
      </c>
      <c r="I214" s="9" t="n"/>
      <c r="J214" s="9" t="n"/>
      <c r="K214" s="9" t="n"/>
      <c r="L214" s="9" t="n"/>
      <c r="M214" s="26">
        <f>IF(COUNT(I214:L214)=0,"",SUM(I214:L214))</f>
        <v/>
      </c>
      <c r="N214" s="6" t="n"/>
      <c r="O214" s="28" t="n"/>
      <c r="P214" s="28" t="n"/>
    </row>
    <row r="215">
      <c r="A215" s="25" t="n"/>
      <c r="B215" s="26">
        <f>IF(A215="","",CHOOSE(WEEKDAY(A215,2),"Mo","Di","Mi","Do","Fr","Sa","So"))</f>
        <v/>
      </c>
      <c r="C215" s="6" t="n"/>
      <c r="D215" s="27" t="n"/>
      <c r="E215" s="9" t="n"/>
      <c r="F215" s="9" t="n"/>
      <c r="G215" s="9" t="n"/>
      <c r="H215" s="26">
        <f>IF(COUNT(E215:G215)=0,"",SUM(E215:G215))</f>
        <v/>
      </c>
      <c r="I215" s="9" t="n"/>
      <c r="J215" s="9" t="n"/>
      <c r="K215" s="9" t="n"/>
      <c r="L215" s="9" t="n"/>
      <c r="M215" s="26">
        <f>IF(COUNT(I215:L215)=0,"",SUM(I215:L215))</f>
        <v/>
      </c>
      <c r="N215" s="6" t="n"/>
      <c r="O215" s="28" t="n"/>
      <c r="P215" s="28" t="n"/>
    </row>
    <row r="216">
      <c r="A216" s="25" t="n"/>
      <c r="B216" s="26">
        <f>IF(A216="","",CHOOSE(WEEKDAY(A216,2),"Mo","Di","Mi","Do","Fr","Sa","So"))</f>
        <v/>
      </c>
      <c r="C216" s="6" t="n"/>
      <c r="D216" s="27" t="n"/>
      <c r="E216" s="9" t="n"/>
      <c r="F216" s="9" t="n"/>
      <c r="G216" s="9" t="n"/>
      <c r="H216" s="26">
        <f>IF(COUNT(E216:G216)=0,"",SUM(E216:G216))</f>
        <v/>
      </c>
      <c r="I216" s="9" t="n"/>
      <c r="J216" s="9" t="n"/>
      <c r="K216" s="9" t="n"/>
      <c r="L216" s="9" t="n"/>
      <c r="M216" s="26">
        <f>IF(COUNT(I216:L216)=0,"",SUM(I216:L216))</f>
        <v/>
      </c>
      <c r="N216" s="6" t="n"/>
      <c r="O216" s="28" t="n"/>
      <c r="P216" s="28" t="n"/>
    </row>
    <row r="217">
      <c r="A217" s="25" t="n"/>
      <c r="B217" s="26">
        <f>IF(A217="","",CHOOSE(WEEKDAY(A217,2),"Mo","Di","Mi","Do","Fr","Sa","So"))</f>
        <v/>
      </c>
      <c r="C217" s="6" t="n"/>
      <c r="D217" s="27" t="n"/>
      <c r="E217" s="9" t="n"/>
      <c r="F217" s="9" t="n"/>
      <c r="G217" s="9" t="n"/>
      <c r="H217" s="26">
        <f>IF(COUNT(E217:G217)=0,"",SUM(E217:G217))</f>
        <v/>
      </c>
      <c r="I217" s="9" t="n"/>
      <c r="J217" s="9" t="n"/>
      <c r="K217" s="9" t="n"/>
      <c r="L217" s="9" t="n"/>
      <c r="M217" s="26">
        <f>IF(COUNT(I217:L217)=0,"",SUM(I217:L217))</f>
        <v/>
      </c>
      <c r="N217" s="6" t="n"/>
      <c r="O217" s="28" t="n"/>
      <c r="P217" s="28" t="n"/>
    </row>
    <row r="218">
      <c r="A218" s="25" t="n"/>
      <c r="B218" s="26">
        <f>IF(A218="","",CHOOSE(WEEKDAY(A218,2),"Mo","Di","Mi","Do","Fr","Sa","So"))</f>
        <v/>
      </c>
      <c r="C218" s="6" t="n"/>
      <c r="D218" s="27" t="n"/>
      <c r="E218" s="9" t="n"/>
      <c r="F218" s="9" t="n"/>
      <c r="G218" s="9" t="n"/>
      <c r="H218" s="26">
        <f>IF(COUNT(E218:G218)=0,"",SUM(E218:G218))</f>
        <v/>
      </c>
      <c r="I218" s="9" t="n"/>
      <c r="J218" s="9" t="n"/>
      <c r="K218" s="9" t="n"/>
      <c r="L218" s="9" t="n"/>
      <c r="M218" s="26">
        <f>IF(COUNT(I218:L218)=0,"",SUM(I218:L218))</f>
        <v/>
      </c>
      <c r="N218" s="6" t="n"/>
      <c r="O218" s="28" t="n"/>
      <c r="P218" s="28" t="n"/>
    </row>
    <row r="219">
      <c r="A219" s="25" t="n"/>
      <c r="B219" s="26">
        <f>IF(A219="","",CHOOSE(WEEKDAY(A219,2),"Mo","Di","Mi","Do","Fr","Sa","So"))</f>
        <v/>
      </c>
      <c r="C219" s="6" t="n"/>
      <c r="D219" s="27" t="n"/>
      <c r="E219" s="9" t="n"/>
      <c r="F219" s="9" t="n"/>
      <c r="G219" s="9" t="n"/>
      <c r="H219" s="26">
        <f>IF(COUNT(E219:G219)=0,"",SUM(E219:G219))</f>
        <v/>
      </c>
      <c r="I219" s="9" t="n"/>
      <c r="J219" s="9" t="n"/>
      <c r="K219" s="9" t="n"/>
      <c r="L219" s="9" t="n"/>
      <c r="M219" s="26">
        <f>IF(COUNT(I219:L219)=0,"",SUM(I219:L219))</f>
        <v/>
      </c>
      <c r="N219" s="6" t="n"/>
      <c r="O219" s="28" t="n"/>
      <c r="P219" s="28" t="n"/>
    </row>
    <row r="220">
      <c r="A220" s="25" t="n"/>
      <c r="B220" s="26">
        <f>IF(A220="","",CHOOSE(WEEKDAY(A220,2),"Mo","Di","Mi","Do","Fr","Sa","So"))</f>
        <v/>
      </c>
      <c r="C220" s="6" t="n"/>
      <c r="D220" s="27" t="n"/>
      <c r="E220" s="9" t="n"/>
      <c r="F220" s="9" t="n"/>
      <c r="G220" s="9" t="n"/>
      <c r="H220" s="26">
        <f>IF(COUNT(E220:G220)=0,"",SUM(E220:G220))</f>
        <v/>
      </c>
      <c r="I220" s="9" t="n"/>
      <c r="J220" s="9" t="n"/>
      <c r="K220" s="9" t="n"/>
      <c r="L220" s="9" t="n"/>
      <c r="M220" s="26">
        <f>IF(COUNT(I220:L220)=0,"",SUM(I220:L220))</f>
        <v/>
      </c>
      <c r="N220" s="6" t="n"/>
      <c r="O220" s="28" t="n"/>
      <c r="P220" s="28" t="n"/>
    </row>
    <row r="221">
      <c r="A221" s="25" t="n"/>
      <c r="B221" s="26">
        <f>IF(A221="","",CHOOSE(WEEKDAY(A221,2),"Mo","Di","Mi","Do","Fr","Sa","So"))</f>
        <v/>
      </c>
      <c r="C221" s="6" t="n"/>
      <c r="D221" s="27" t="n"/>
      <c r="E221" s="9" t="n"/>
      <c r="F221" s="9" t="n"/>
      <c r="G221" s="9" t="n"/>
      <c r="H221" s="26">
        <f>IF(COUNT(E221:G221)=0,"",SUM(E221:G221))</f>
        <v/>
      </c>
      <c r="I221" s="9" t="n"/>
      <c r="J221" s="9" t="n"/>
      <c r="K221" s="9" t="n"/>
      <c r="L221" s="9" t="n"/>
      <c r="M221" s="26">
        <f>IF(COUNT(I221:L221)=0,"",SUM(I221:L221))</f>
        <v/>
      </c>
      <c r="N221" s="6" t="n"/>
      <c r="O221" s="28" t="n"/>
      <c r="P221" s="28" t="n"/>
    </row>
    <row r="222">
      <c r="A222" s="25" t="n"/>
      <c r="B222" s="26">
        <f>IF(A222="","",CHOOSE(WEEKDAY(A222,2),"Mo","Di","Mi","Do","Fr","Sa","So"))</f>
        <v/>
      </c>
      <c r="C222" s="6" t="n"/>
      <c r="D222" s="27" t="n"/>
      <c r="E222" s="9" t="n"/>
      <c r="F222" s="9" t="n"/>
      <c r="G222" s="9" t="n"/>
      <c r="H222" s="26">
        <f>IF(COUNT(E222:G222)=0,"",SUM(E222:G222))</f>
        <v/>
      </c>
      <c r="I222" s="9" t="n"/>
      <c r="J222" s="9" t="n"/>
      <c r="K222" s="9" t="n"/>
      <c r="L222" s="9" t="n"/>
      <c r="M222" s="26">
        <f>IF(COUNT(I222:L222)=0,"",SUM(I222:L222))</f>
        <v/>
      </c>
      <c r="N222" s="6" t="n"/>
      <c r="O222" s="28" t="n"/>
      <c r="P222" s="28" t="n"/>
    </row>
    <row r="223">
      <c r="A223" s="25" t="n"/>
      <c r="B223" s="26">
        <f>IF(A223="","",CHOOSE(WEEKDAY(A223,2),"Mo","Di","Mi","Do","Fr","Sa","So"))</f>
        <v/>
      </c>
      <c r="C223" s="6" t="n"/>
      <c r="D223" s="27" t="n"/>
      <c r="E223" s="9" t="n"/>
      <c r="F223" s="9" t="n"/>
      <c r="G223" s="9" t="n"/>
      <c r="H223" s="26">
        <f>IF(COUNT(E223:G223)=0,"",SUM(E223:G223))</f>
        <v/>
      </c>
      <c r="I223" s="9" t="n"/>
      <c r="J223" s="9" t="n"/>
      <c r="K223" s="9" t="n"/>
      <c r="L223" s="9" t="n"/>
      <c r="M223" s="26">
        <f>IF(COUNT(I223:L223)=0,"",SUM(I223:L223))</f>
        <v/>
      </c>
      <c r="N223" s="6" t="n"/>
      <c r="O223" s="28" t="n"/>
      <c r="P223" s="28" t="n"/>
    </row>
    <row r="224">
      <c r="A224" s="25" t="n"/>
      <c r="B224" s="26">
        <f>IF(A224="","",CHOOSE(WEEKDAY(A224,2),"Mo","Di","Mi","Do","Fr","Sa","So"))</f>
        <v/>
      </c>
      <c r="C224" s="6" t="n"/>
      <c r="D224" s="27" t="n"/>
      <c r="E224" s="9" t="n"/>
      <c r="F224" s="9" t="n"/>
      <c r="G224" s="9" t="n"/>
      <c r="H224" s="26">
        <f>IF(COUNT(E224:G224)=0,"",SUM(E224:G224))</f>
        <v/>
      </c>
      <c r="I224" s="9" t="n"/>
      <c r="J224" s="9" t="n"/>
      <c r="K224" s="9" t="n"/>
      <c r="L224" s="9" t="n"/>
      <c r="M224" s="26">
        <f>IF(COUNT(I224:L224)=0,"",SUM(I224:L224))</f>
        <v/>
      </c>
      <c r="N224" s="6" t="n"/>
      <c r="O224" s="28" t="n"/>
      <c r="P224" s="28" t="n"/>
    </row>
    <row r="225">
      <c r="A225" s="25" t="n"/>
      <c r="B225" s="26">
        <f>IF(A225="","",CHOOSE(WEEKDAY(A225,2),"Mo","Di","Mi","Do","Fr","Sa","So"))</f>
        <v/>
      </c>
      <c r="C225" s="6" t="n"/>
      <c r="D225" s="27" t="n"/>
      <c r="E225" s="9" t="n"/>
      <c r="F225" s="9" t="n"/>
      <c r="G225" s="9" t="n"/>
      <c r="H225" s="26">
        <f>IF(COUNT(E225:G225)=0,"",SUM(E225:G225))</f>
        <v/>
      </c>
      <c r="I225" s="9" t="n"/>
      <c r="J225" s="9" t="n"/>
      <c r="K225" s="9" t="n"/>
      <c r="L225" s="9" t="n"/>
      <c r="M225" s="26">
        <f>IF(COUNT(I225:L225)=0,"",SUM(I225:L225))</f>
        <v/>
      </c>
      <c r="N225" s="6" t="n"/>
      <c r="O225" s="28" t="n"/>
      <c r="P225" s="28" t="n"/>
    </row>
    <row r="226">
      <c r="A226" s="25" t="n"/>
      <c r="B226" s="26">
        <f>IF(A226="","",CHOOSE(WEEKDAY(A226,2),"Mo","Di","Mi","Do","Fr","Sa","So"))</f>
        <v/>
      </c>
      <c r="C226" s="6" t="n"/>
      <c r="D226" s="27" t="n"/>
      <c r="E226" s="9" t="n"/>
      <c r="F226" s="9" t="n"/>
      <c r="G226" s="9" t="n"/>
      <c r="H226" s="26">
        <f>IF(COUNT(E226:G226)=0,"",SUM(E226:G226))</f>
        <v/>
      </c>
      <c r="I226" s="9" t="n"/>
      <c r="J226" s="9" t="n"/>
      <c r="K226" s="9" t="n"/>
      <c r="L226" s="9" t="n"/>
      <c r="M226" s="26">
        <f>IF(COUNT(I226:L226)=0,"",SUM(I226:L226))</f>
        <v/>
      </c>
      <c r="N226" s="6" t="n"/>
      <c r="O226" s="28" t="n"/>
      <c r="P226" s="28" t="n"/>
    </row>
    <row r="227">
      <c r="A227" s="25" t="n"/>
      <c r="B227" s="26">
        <f>IF(A227="","",CHOOSE(WEEKDAY(A227,2),"Mo","Di","Mi","Do","Fr","Sa","So"))</f>
        <v/>
      </c>
      <c r="C227" s="6" t="n"/>
      <c r="D227" s="27" t="n"/>
      <c r="E227" s="9" t="n"/>
      <c r="F227" s="9" t="n"/>
      <c r="G227" s="9" t="n"/>
      <c r="H227" s="26">
        <f>IF(COUNT(E227:G227)=0,"",SUM(E227:G227))</f>
        <v/>
      </c>
      <c r="I227" s="9" t="n"/>
      <c r="J227" s="9" t="n"/>
      <c r="K227" s="9" t="n"/>
      <c r="L227" s="9" t="n"/>
      <c r="M227" s="26">
        <f>IF(COUNT(I227:L227)=0,"",SUM(I227:L227))</f>
        <v/>
      </c>
      <c r="N227" s="6" t="n"/>
      <c r="O227" s="28" t="n"/>
      <c r="P227" s="28" t="n"/>
    </row>
    <row r="228">
      <c r="A228" s="25" t="n"/>
      <c r="B228" s="26">
        <f>IF(A228="","",CHOOSE(WEEKDAY(A228,2),"Mo","Di","Mi","Do","Fr","Sa","So"))</f>
        <v/>
      </c>
      <c r="C228" s="6" t="n"/>
      <c r="D228" s="27" t="n"/>
      <c r="E228" s="9" t="n"/>
      <c r="F228" s="9" t="n"/>
      <c r="G228" s="9" t="n"/>
      <c r="H228" s="26">
        <f>IF(COUNT(E228:G228)=0,"",SUM(E228:G228))</f>
        <v/>
      </c>
      <c r="I228" s="9" t="n"/>
      <c r="J228" s="9" t="n"/>
      <c r="K228" s="9" t="n"/>
      <c r="L228" s="9" t="n"/>
      <c r="M228" s="26">
        <f>IF(COUNT(I228:L228)=0,"",SUM(I228:L228))</f>
        <v/>
      </c>
      <c r="N228" s="6" t="n"/>
      <c r="O228" s="28" t="n"/>
      <c r="P228" s="28" t="n"/>
    </row>
    <row r="229">
      <c r="A229" s="25" t="n"/>
      <c r="B229" s="26">
        <f>IF(A229="","",CHOOSE(WEEKDAY(A229,2),"Mo","Di","Mi","Do","Fr","Sa","So"))</f>
        <v/>
      </c>
      <c r="C229" s="6" t="n"/>
      <c r="D229" s="27" t="n"/>
      <c r="E229" s="9" t="n"/>
      <c r="F229" s="9" t="n"/>
      <c r="G229" s="9" t="n"/>
      <c r="H229" s="26">
        <f>IF(COUNT(E229:G229)=0,"",SUM(E229:G229))</f>
        <v/>
      </c>
      <c r="I229" s="9" t="n"/>
      <c r="J229" s="9" t="n"/>
      <c r="K229" s="9" t="n"/>
      <c r="L229" s="9" t="n"/>
      <c r="M229" s="26">
        <f>IF(COUNT(I229:L229)=0,"",SUM(I229:L229))</f>
        <v/>
      </c>
      <c r="N229" s="6" t="n"/>
      <c r="O229" s="28" t="n"/>
      <c r="P229" s="28" t="n"/>
    </row>
    <row r="230">
      <c r="A230" s="25" t="n"/>
      <c r="B230" s="26">
        <f>IF(A230="","",CHOOSE(WEEKDAY(A230,2),"Mo","Di","Mi","Do","Fr","Sa","So"))</f>
        <v/>
      </c>
      <c r="C230" s="6" t="n"/>
      <c r="D230" s="27" t="n"/>
      <c r="E230" s="9" t="n"/>
      <c r="F230" s="9" t="n"/>
      <c r="G230" s="9" t="n"/>
      <c r="H230" s="26">
        <f>IF(COUNT(E230:G230)=0,"",SUM(E230:G230))</f>
        <v/>
      </c>
      <c r="I230" s="9" t="n"/>
      <c r="J230" s="9" t="n"/>
      <c r="K230" s="9" t="n"/>
      <c r="L230" s="9" t="n"/>
      <c r="M230" s="26">
        <f>IF(COUNT(I230:L230)=0,"",SUM(I230:L230))</f>
        <v/>
      </c>
      <c r="N230" s="6" t="n"/>
      <c r="O230" s="28" t="n"/>
      <c r="P230" s="28" t="n"/>
    </row>
    <row r="231">
      <c r="A231" s="25" t="n"/>
      <c r="B231" s="26">
        <f>IF(A231="","",CHOOSE(WEEKDAY(A231,2),"Mo","Di","Mi","Do","Fr","Sa","So"))</f>
        <v/>
      </c>
      <c r="C231" s="6" t="n"/>
      <c r="D231" s="27" t="n"/>
      <c r="E231" s="9" t="n"/>
      <c r="F231" s="9" t="n"/>
      <c r="G231" s="9" t="n"/>
      <c r="H231" s="26">
        <f>IF(COUNT(E231:G231)=0,"",SUM(E231:G231))</f>
        <v/>
      </c>
      <c r="I231" s="9" t="n"/>
      <c r="J231" s="9" t="n"/>
      <c r="K231" s="9" t="n"/>
      <c r="L231" s="9" t="n"/>
      <c r="M231" s="26">
        <f>IF(COUNT(I231:L231)=0,"",SUM(I231:L231))</f>
        <v/>
      </c>
      <c r="N231" s="6" t="n"/>
      <c r="O231" s="28" t="n"/>
      <c r="P231" s="28" t="n"/>
    </row>
    <row r="232">
      <c r="A232" s="25" t="n"/>
      <c r="B232" s="26">
        <f>IF(A232="","",CHOOSE(WEEKDAY(A232,2),"Mo","Di","Mi","Do","Fr","Sa","So"))</f>
        <v/>
      </c>
      <c r="C232" s="6" t="n"/>
      <c r="D232" s="27" t="n"/>
      <c r="E232" s="9" t="n"/>
      <c r="F232" s="9" t="n"/>
      <c r="G232" s="9" t="n"/>
      <c r="H232" s="26">
        <f>IF(COUNT(E232:G232)=0,"",SUM(E232:G232))</f>
        <v/>
      </c>
      <c r="I232" s="9" t="n"/>
      <c r="J232" s="9" t="n"/>
      <c r="K232" s="9" t="n"/>
      <c r="L232" s="9" t="n"/>
      <c r="M232" s="26">
        <f>IF(COUNT(I232:L232)=0,"",SUM(I232:L232))</f>
        <v/>
      </c>
      <c r="N232" s="6" t="n"/>
      <c r="O232" s="28" t="n"/>
      <c r="P232" s="28" t="n"/>
    </row>
    <row r="233">
      <c r="A233" s="25" t="n"/>
      <c r="B233" s="26">
        <f>IF(A233="","",CHOOSE(WEEKDAY(A233,2),"Mo","Di","Mi","Do","Fr","Sa","So"))</f>
        <v/>
      </c>
      <c r="C233" s="6" t="n"/>
      <c r="D233" s="27" t="n"/>
      <c r="E233" s="9" t="n"/>
      <c r="F233" s="9" t="n"/>
      <c r="G233" s="9" t="n"/>
      <c r="H233" s="26">
        <f>IF(COUNT(E233:G233)=0,"",SUM(E233:G233))</f>
        <v/>
      </c>
      <c r="I233" s="9" t="n"/>
      <c r="J233" s="9" t="n"/>
      <c r="K233" s="9" t="n"/>
      <c r="L233" s="9" t="n"/>
      <c r="M233" s="26">
        <f>IF(COUNT(I233:L233)=0,"",SUM(I233:L233))</f>
        <v/>
      </c>
      <c r="N233" s="6" t="n"/>
      <c r="O233" s="28" t="n"/>
      <c r="P233" s="28" t="n"/>
    </row>
    <row r="234">
      <c r="A234" s="25" t="n"/>
      <c r="B234" s="26">
        <f>IF(A234="","",CHOOSE(WEEKDAY(A234,2),"Mo","Di","Mi","Do","Fr","Sa","So"))</f>
        <v/>
      </c>
      <c r="C234" s="6" t="n"/>
      <c r="D234" s="27" t="n"/>
      <c r="E234" s="9" t="n"/>
      <c r="F234" s="9" t="n"/>
      <c r="G234" s="9" t="n"/>
      <c r="H234" s="26">
        <f>IF(COUNT(E234:G234)=0,"",SUM(E234:G234))</f>
        <v/>
      </c>
      <c r="I234" s="9" t="n"/>
      <c r="J234" s="9" t="n"/>
      <c r="K234" s="9" t="n"/>
      <c r="L234" s="9" t="n"/>
      <c r="M234" s="26">
        <f>IF(COUNT(I234:L234)=0,"",SUM(I234:L234))</f>
        <v/>
      </c>
      <c r="N234" s="6" t="n"/>
      <c r="O234" s="28" t="n"/>
      <c r="P234" s="28" t="n"/>
    </row>
    <row r="235">
      <c r="A235" s="25" t="n"/>
      <c r="B235" s="26">
        <f>IF(A235="","",CHOOSE(WEEKDAY(A235,2),"Mo","Di","Mi","Do","Fr","Sa","So"))</f>
        <v/>
      </c>
      <c r="C235" s="6" t="n"/>
      <c r="D235" s="27" t="n"/>
      <c r="E235" s="9" t="n"/>
      <c r="F235" s="9" t="n"/>
      <c r="G235" s="9" t="n"/>
      <c r="H235" s="26">
        <f>IF(COUNT(E235:G235)=0,"",SUM(E235:G235))</f>
        <v/>
      </c>
      <c r="I235" s="9" t="n"/>
      <c r="J235" s="9" t="n"/>
      <c r="K235" s="9" t="n"/>
      <c r="L235" s="9" t="n"/>
      <c r="M235" s="26">
        <f>IF(COUNT(I235:L235)=0,"",SUM(I235:L235))</f>
        <v/>
      </c>
      <c r="N235" s="6" t="n"/>
      <c r="O235" s="28" t="n"/>
      <c r="P235" s="28" t="n"/>
    </row>
    <row r="236">
      <c r="A236" s="25" t="n"/>
      <c r="B236" s="26">
        <f>IF(A236="","",CHOOSE(WEEKDAY(A236,2),"Mo","Di","Mi","Do","Fr","Sa","So"))</f>
        <v/>
      </c>
      <c r="C236" s="6" t="n"/>
      <c r="D236" s="27" t="n"/>
      <c r="E236" s="9" t="n"/>
      <c r="F236" s="9" t="n"/>
      <c r="G236" s="9" t="n"/>
      <c r="H236" s="26">
        <f>IF(COUNT(E236:G236)=0,"",SUM(E236:G236))</f>
        <v/>
      </c>
      <c r="I236" s="9" t="n"/>
      <c r="J236" s="9" t="n"/>
      <c r="K236" s="9" t="n"/>
      <c r="L236" s="9" t="n"/>
      <c r="M236" s="26">
        <f>IF(COUNT(I236:L236)=0,"",SUM(I236:L236))</f>
        <v/>
      </c>
      <c r="N236" s="6" t="n"/>
      <c r="O236" s="28" t="n"/>
      <c r="P236" s="28" t="n"/>
    </row>
    <row r="237">
      <c r="A237" s="25" t="n"/>
      <c r="B237" s="26">
        <f>IF(A237="","",CHOOSE(WEEKDAY(A237,2),"Mo","Di","Mi","Do","Fr","Sa","So"))</f>
        <v/>
      </c>
      <c r="C237" s="6" t="n"/>
      <c r="D237" s="27" t="n"/>
      <c r="E237" s="9" t="n"/>
      <c r="F237" s="9" t="n"/>
      <c r="G237" s="9" t="n"/>
      <c r="H237" s="26">
        <f>IF(COUNT(E237:G237)=0,"",SUM(E237:G237))</f>
        <v/>
      </c>
      <c r="I237" s="9" t="n"/>
      <c r="J237" s="9" t="n"/>
      <c r="K237" s="9" t="n"/>
      <c r="L237" s="9" t="n"/>
      <c r="M237" s="26">
        <f>IF(COUNT(I237:L237)=0,"",SUM(I237:L237))</f>
        <v/>
      </c>
      <c r="N237" s="6" t="n"/>
      <c r="O237" s="28" t="n"/>
      <c r="P237" s="28" t="n"/>
    </row>
    <row r="238">
      <c r="A238" s="25" t="n"/>
      <c r="B238" s="26">
        <f>IF(A238="","",CHOOSE(WEEKDAY(A238,2),"Mo","Di","Mi","Do","Fr","Sa","So"))</f>
        <v/>
      </c>
      <c r="C238" s="6" t="n"/>
      <c r="D238" s="27" t="n"/>
      <c r="E238" s="9" t="n"/>
      <c r="F238" s="9" t="n"/>
      <c r="G238" s="9" t="n"/>
      <c r="H238" s="26">
        <f>IF(COUNT(E238:G238)=0,"",SUM(E238:G238))</f>
        <v/>
      </c>
      <c r="I238" s="9" t="n"/>
      <c r="J238" s="9" t="n"/>
      <c r="K238" s="9" t="n"/>
      <c r="L238" s="9" t="n"/>
      <c r="M238" s="26">
        <f>IF(COUNT(I238:L238)=0,"",SUM(I238:L238))</f>
        <v/>
      </c>
      <c r="N238" s="6" t="n"/>
      <c r="O238" s="28" t="n"/>
      <c r="P238" s="28" t="n"/>
    </row>
    <row r="239">
      <c r="A239" s="25" t="n"/>
      <c r="B239" s="26">
        <f>IF(A239="","",CHOOSE(WEEKDAY(A239,2),"Mo","Di","Mi","Do","Fr","Sa","So"))</f>
        <v/>
      </c>
      <c r="C239" s="6" t="n"/>
      <c r="D239" s="27" t="n"/>
      <c r="E239" s="9" t="n"/>
      <c r="F239" s="9" t="n"/>
      <c r="G239" s="9" t="n"/>
      <c r="H239" s="26">
        <f>IF(COUNT(E239:G239)=0,"",SUM(E239:G239))</f>
        <v/>
      </c>
      <c r="I239" s="9" t="n"/>
      <c r="J239" s="9" t="n"/>
      <c r="K239" s="9" t="n"/>
      <c r="L239" s="9" t="n"/>
      <c r="M239" s="26">
        <f>IF(COUNT(I239:L239)=0,"",SUM(I239:L239))</f>
        <v/>
      </c>
      <c r="N239" s="6" t="n"/>
      <c r="O239" s="28" t="n"/>
      <c r="P239" s="28" t="n"/>
    </row>
    <row r="240">
      <c r="A240" s="25" t="n"/>
      <c r="B240" s="26">
        <f>IF(A240="","",CHOOSE(WEEKDAY(A240,2),"Mo","Di","Mi","Do","Fr","Sa","So"))</f>
        <v/>
      </c>
      <c r="C240" s="6" t="n"/>
      <c r="D240" s="27" t="n"/>
      <c r="E240" s="9" t="n"/>
      <c r="F240" s="9" t="n"/>
      <c r="G240" s="9" t="n"/>
      <c r="H240" s="26">
        <f>IF(COUNT(E240:G240)=0,"",SUM(E240:G240))</f>
        <v/>
      </c>
      <c r="I240" s="9" t="n"/>
      <c r="J240" s="9" t="n"/>
      <c r="K240" s="9" t="n"/>
      <c r="L240" s="9" t="n"/>
      <c r="M240" s="26">
        <f>IF(COUNT(I240:L240)=0,"",SUM(I240:L240))</f>
        <v/>
      </c>
      <c r="N240" s="6" t="n"/>
      <c r="O240" s="28" t="n"/>
      <c r="P240" s="28" t="n"/>
    </row>
    <row r="241">
      <c r="A241" s="25" t="n"/>
      <c r="B241" s="26">
        <f>IF(A241="","",CHOOSE(WEEKDAY(A241,2),"Mo","Di","Mi","Do","Fr","Sa","So"))</f>
        <v/>
      </c>
      <c r="C241" s="6" t="n"/>
      <c r="D241" s="27" t="n"/>
      <c r="E241" s="9" t="n"/>
      <c r="F241" s="9" t="n"/>
      <c r="G241" s="9" t="n"/>
      <c r="H241" s="26">
        <f>IF(COUNT(E241:G241)=0,"",SUM(E241:G241))</f>
        <v/>
      </c>
      <c r="I241" s="9" t="n"/>
      <c r="J241" s="9" t="n"/>
      <c r="K241" s="9" t="n"/>
      <c r="L241" s="9" t="n"/>
      <c r="M241" s="26">
        <f>IF(COUNT(I241:L241)=0,"",SUM(I241:L241))</f>
        <v/>
      </c>
      <c r="N241" s="6" t="n"/>
      <c r="O241" s="28" t="n"/>
      <c r="P241" s="28" t="n"/>
    </row>
    <row r="242">
      <c r="A242" s="25" t="n"/>
      <c r="B242" s="26">
        <f>IF(A242="","",CHOOSE(WEEKDAY(A242,2),"Mo","Di","Mi","Do","Fr","Sa","So"))</f>
        <v/>
      </c>
      <c r="C242" s="6" t="n"/>
      <c r="D242" s="27" t="n"/>
      <c r="E242" s="9" t="n"/>
      <c r="F242" s="9" t="n"/>
      <c r="G242" s="9" t="n"/>
      <c r="H242" s="26">
        <f>IF(COUNT(E242:G242)=0,"",SUM(E242:G242))</f>
        <v/>
      </c>
      <c r="I242" s="9" t="n"/>
      <c r="J242" s="9" t="n"/>
      <c r="K242" s="9" t="n"/>
      <c r="L242" s="9" t="n"/>
      <c r="M242" s="26">
        <f>IF(COUNT(I242:L242)=0,"",SUM(I242:L242))</f>
        <v/>
      </c>
      <c r="N242" s="6" t="n"/>
      <c r="O242" s="28" t="n"/>
      <c r="P242" s="28" t="n"/>
    </row>
    <row r="243">
      <c r="A243" s="25" t="n"/>
      <c r="B243" s="26">
        <f>IF(A243="","",CHOOSE(WEEKDAY(A243,2),"Mo","Di","Mi","Do","Fr","Sa","So"))</f>
        <v/>
      </c>
      <c r="C243" s="6" t="n"/>
      <c r="D243" s="27" t="n"/>
      <c r="E243" s="9" t="n"/>
      <c r="F243" s="9" t="n"/>
      <c r="G243" s="9" t="n"/>
      <c r="H243" s="26">
        <f>IF(COUNT(E243:G243)=0,"",SUM(E243:G243))</f>
        <v/>
      </c>
      <c r="I243" s="9" t="n"/>
      <c r="J243" s="9" t="n"/>
      <c r="K243" s="9" t="n"/>
      <c r="L243" s="9" t="n"/>
      <c r="M243" s="26">
        <f>IF(COUNT(I243:L243)=0,"",SUM(I243:L243))</f>
        <v/>
      </c>
      <c r="N243" s="6" t="n"/>
      <c r="O243" s="28" t="n"/>
      <c r="P243" s="28" t="n"/>
    </row>
    <row r="244">
      <c r="A244" s="25" t="n"/>
      <c r="B244" s="26">
        <f>IF(A244="","",CHOOSE(WEEKDAY(A244,2),"Mo","Di","Mi","Do","Fr","Sa","So"))</f>
        <v/>
      </c>
      <c r="C244" s="6" t="n"/>
      <c r="D244" s="27" t="n"/>
      <c r="E244" s="9" t="n"/>
      <c r="F244" s="9" t="n"/>
      <c r="G244" s="9" t="n"/>
      <c r="H244" s="26">
        <f>IF(COUNT(E244:G244)=0,"",SUM(E244:G244))</f>
        <v/>
      </c>
      <c r="I244" s="9" t="n"/>
      <c r="J244" s="9" t="n"/>
      <c r="K244" s="9" t="n"/>
      <c r="L244" s="9" t="n"/>
      <c r="M244" s="26">
        <f>IF(COUNT(I244:L244)=0,"",SUM(I244:L244))</f>
        <v/>
      </c>
      <c r="N244" s="6" t="n"/>
      <c r="O244" s="28" t="n"/>
      <c r="P244" s="28" t="n"/>
    </row>
    <row r="245">
      <c r="A245" s="25" t="n"/>
      <c r="B245" s="26">
        <f>IF(A245="","",CHOOSE(WEEKDAY(A245,2),"Mo","Di","Mi","Do","Fr","Sa","So"))</f>
        <v/>
      </c>
      <c r="C245" s="6" t="n"/>
      <c r="D245" s="27" t="n"/>
      <c r="E245" s="9" t="n"/>
      <c r="F245" s="9" t="n"/>
      <c r="G245" s="9" t="n"/>
      <c r="H245" s="26">
        <f>IF(COUNT(E245:G245)=0,"",SUM(E245:G245))</f>
        <v/>
      </c>
      <c r="I245" s="9" t="n"/>
      <c r="J245" s="9" t="n"/>
      <c r="K245" s="9" t="n"/>
      <c r="L245" s="9" t="n"/>
      <c r="M245" s="26">
        <f>IF(COUNT(I245:L245)=0,"",SUM(I245:L245))</f>
        <v/>
      </c>
      <c r="N245" s="6" t="n"/>
      <c r="O245" s="28" t="n"/>
      <c r="P245" s="28" t="n"/>
    </row>
    <row r="246">
      <c r="A246" s="25" t="n"/>
      <c r="B246" s="26">
        <f>IF(A246="","",CHOOSE(WEEKDAY(A246,2),"Mo","Di","Mi","Do","Fr","Sa","So"))</f>
        <v/>
      </c>
      <c r="C246" s="6" t="n"/>
      <c r="D246" s="27" t="n"/>
      <c r="E246" s="9" t="n"/>
      <c r="F246" s="9" t="n"/>
      <c r="G246" s="9" t="n"/>
      <c r="H246" s="26">
        <f>IF(COUNT(E246:G246)=0,"",SUM(E246:G246))</f>
        <v/>
      </c>
      <c r="I246" s="9" t="n"/>
      <c r="J246" s="9" t="n"/>
      <c r="K246" s="9" t="n"/>
      <c r="L246" s="9" t="n"/>
      <c r="M246" s="26">
        <f>IF(COUNT(I246:L246)=0,"",SUM(I246:L246))</f>
        <v/>
      </c>
      <c r="N246" s="6" t="n"/>
      <c r="O246" s="28" t="n"/>
      <c r="P246" s="28" t="n"/>
    </row>
    <row r="247">
      <c r="A247" s="25" t="n"/>
      <c r="B247" s="26">
        <f>IF(A247="","",CHOOSE(WEEKDAY(A247,2),"Mo","Di","Mi","Do","Fr","Sa","So"))</f>
        <v/>
      </c>
      <c r="C247" s="6" t="n"/>
      <c r="D247" s="27" t="n"/>
      <c r="E247" s="9" t="n"/>
      <c r="F247" s="9" t="n"/>
      <c r="G247" s="9" t="n"/>
      <c r="H247" s="26">
        <f>IF(COUNT(E247:G247)=0,"",SUM(E247:G247))</f>
        <v/>
      </c>
      <c r="I247" s="9" t="n"/>
      <c r="J247" s="9" t="n"/>
      <c r="K247" s="9" t="n"/>
      <c r="L247" s="9" t="n"/>
      <c r="M247" s="26">
        <f>IF(COUNT(I247:L247)=0,"",SUM(I247:L247))</f>
        <v/>
      </c>
      <c r="N247" s="6" t="n"/>
      <c r="O247" s="28" t="n"/>
      <c r="P247" s="28" t="n"/>
    </row>
    <row r="248">
      <c r="A248" s="25" t="n"/>
      <c r="B248" s="26">
        <f>IF(A248="","",CHOOSE(WEEKDAY(A248,2),"Mo","Di","Mi","Do","Fr","Sa","So"))</f>
        <v/>
      </c>
      <c r="C248" s="6" t="n"/>
      <c r="D248" s="27" t="n"/>
      <c r="E248" s="9" t="n"/>
      <c r="F248" s="9" t="n"/>
      <c r="G248" s="9" t="n"/>
      <c r="H248" s="26">
        <f>IF(COUNT(E248:G248)=0,"",SUM(E248:G248))</f>
        <v/>
      </c>
      <c r="I248" s="9" t="n"/>
      <c r="J248" s="9" t="n"/>
      <c r="K248" s="9" t="n"/>
      <c r="L248" s="9" t="n"/>
      <c r="M248" s="26">
        <f>IF(COUNT(I248:L248)=0,"",SUM(I248:L248))</f>
        <v/>
      </c>
      <c r="N248" s="6" t="n"/>
      <c r="O248" s="28" t="n"/>
      <c r="P248" s="28" t="n"/>
    </row>
    <row r="249">
      <c r="A249" s="25" t="n"/>
      <c r="B249" s="26">
        <f>IF(A249="","",CHOOSE(WEEKDAY(A249,2),"Mo","Di","Mi","Do","Fr","Sa","So"))</f>
        <v/>
      </c>
      <c r="C249" s="6" t="n"/>
      <c r="D249" s="27" t="n"/>
      <c r="E249" s="9" t="n"/>
      <c r="F249" s="9" t="n"/>
      <c r="G249" s="9" t="n"/>
      <c r="H249" s="26">
        <f>IF(COUNT(E249:G249)=0,"",SUM(E249:G249))</f>
        <v/>
      </c>
      <c r="I249" s="9" t="n"/>
      <c r="J249" s="9" t="n"/>
      <c r="K249" s="9" t="n"/>
      <c r="L249" s="9" t="n"/>
      <c r="M249" s="26">
        <f>IF(COUNT(I249:L249)=0,"",SUM(I249:L249))</f>
        <v/>
      </c>
      <c r="N249" s="6" t="n"/>
      <c r="O249" s="28" t="n"/>
      <c r="P249" s="28" t="n"/>
    </row>
    <row r="250">
      <c r="A250" s="25" t="n"/>
      <c r="B250" s="26">
        <f>IF(A250="","",CHOOSE(WEEKDAY(A250,2),"Mo","Di","Mi","Do","Fr","Sa","So"))</f>
        <v/>
      </c>
      <c r="C250" s="6" t="n"/>
      <c r="D250" s="27" t="n"/>
      <c r="E250" s="9" t="n"/>
      <c r="F250" s="9" t="n"/>
      <c r="G250" s="9" t="n"/>
      <c r="H250" s="26">
        <f>IF(COUNT(E250:G250)=0,"",SUM(E250:G250))</f>
        <v/>
      </c>
      <c r="I250" s="9" t="n"/>
      <c r="J250" s="9" t="n"/>
      <c r="K250" s="9" t="n"/>
      <c r="L250" s="9" t="n"/>
      <c r="M250" s="26">
        <f>IF(COUNT(I250:L250)=0,"",SUM(I250:L250))</f>
        <v/>
      </c>
      <c r="N250" s="6" t="n"/>
      <c r="O250" s="28" t="n"/>
      <c r="P250" s="28" t="n"/>
    </row>
    <row r="251">
      <c r="A251" s="25" t="n"/>
      <c r="B251" s="26">
        <f>IF(A251="","",CHOOSE(WEEKDAY(A251,2),"Mo","Di","Mi","Do","Fr","Sa","So"))</f>
        <v/>
      </c>
      <c r="C251" s="6" t="n"/>
      <c r="D251" s="27" t="n"/>
      <c r="E251" s="9" t="n"/>
      <c r="F251" s="9" t="n"/>
      <c r="G251" s="9" t="n"/>
      <c r="H251" s="26">
        <f>IF(COUNT(E251:G251)=0,"",SUM(E251:G251))</f>
        <v/>
      </c>
      <c r="I251" s="9" t="n"/>
      <c r="J251" s="9" t="n"/>
      <c r="K251" s="9" t="n"/>
      <c r="L251" s="9" t="n"/>
      <c r="M251" s="26">
        <f>IF(COUNT(I251:L251)=0,"",SUM(I251:L251))</f>
        <v/>
      </c>
      <c r="N251" s="6" t="n"/>
      <c r="O251" s="28" t="n"/>
      <c r="P251" s="28" t="n"/>
    </row>
    <row r="252">
      <c r="A252" s="25" t="n"/>
      <c r="B252" s="26">
        <f>IF(A252="","",CHOOSE(WEEKDAY(A252,2),"Mo","Di","Mi","Do","Fr","Sa","So"))</f>
        <v/>
      </c>
      <c r="C252" s="6" t="n"/>
      <c r="D252" s="27" t="n"/>
      <c r="E252" s="9" t="n"/>
      <c r="F252" s="9" t="n"/>
      <c r="G252" s="9" t="n"/>
      <c r="H252" s="26">
        <f>IF(COUNT(E252:G252)=0,"",SUM(E252:G252))</f>
        <v/>
      </c>
      <c r="I252" s="9" t="n"/>
      <c r="J252" s="9" t="n"/>
      <c r="K252" s="9" t="n"/>
      <c r="L252" s="9" t="n"/>
      <c r="M252" s="26">
        <f>IF(COUNT(I252:L252)=0,"",SUM(I252:L252))</f>
        <v/>
      </c>
      <c r="N252" s="6" t="n"/>
      <c r="O252" s="28" t="n"/>
      <c r="P252" s="28" t="n"/>
    </row>
    <row r="253">
      <c r="A253" s="25" t="n"/>
      <c r="B253" s="26">
        <f>IF(A253="","",CHOOSE(WEEKDAY(A253,2),"Mo","Di","Mi","Do","Fr","Sa","So"))</f>
        <v/>
      </c>
      <c r="C253" s="6" t="n"/>
      <c r="D253" s="27" t="n"/>
      <c r="E253" s="9" t="n"/>
      <c r="F253" s="9" t="n"/>
      <c r="G253" s="9" t="n"/>
      <c r="H253" s="26">
        <f>IF(COUNT(E253:G253)=0,"",SUM(E253:G253))</f>
        <v/>
      </c>
      <c r="I253" s="9" t="n"/>
      <c r="J253" s="9" t="n"/>
      <c r="K253" s="9" t="n"/>
      <c r="L253" s="9" t="n"/>
      <c r="M253" s="26">
        <f>IF(COUNT(I253:L253)=0,"",SUM(I253:L253))</f>
        <v/>
      </c>
      <c r="N253" s="6" t="n"/>
      <c r="O253" s="28" t="n"/>
      <c r="P253" s="28" t="n"/>
    </row>
    <row r="254">
      <c r="A254" s="25" t="n"/>
      <c r="B254" s="26">
        <f>IF(A254="","",CHOOSE(WEEKDAY(A254,2),"Mo","Di","Mi","Do","Fr","Sa","So"))</f>
        <v/>
      </c>
      <c r="C254" s="6" t="n"/>
      <c r="D254" s="27" t="n"/>
      <c r="E254" s="9" t="n"/>
      <c r="F254" s="9" t="n"/>
      <c r="G254" s="9" t="n"/>
      <c r="H254" s="26">
        <f>IF(COUNT(E254:G254)=0,"",SUM(E254:G254))</f>
        <v/>
      </c>
      <c r="I254" s="9" t="n"/>
      <c r="J254" s="9" t="n"/>
      <c r="K254" s="9" t="n"/>
      <c r="L254" s="9" t="n"/>
      <c r="M254" s="26">
        <f>IF(COUNT(I254:L254)=0,"",SUM(I254:L254))</f>
        <v/>
      </c>
      <c r="N254" s="6" t="n"/>
      <c r="O254" s="28" t="n"/>
      <c r="P254" s="28" t="n"/>
    </row>
    <row r="255">
      <c r="A255" s="25" t="n"/>
      <c r="B255" s="26">
        <f>IF(A255="","",CHOOSE(WEEKDAY(A255,2),"Mo","Di","Mi","Do","Fr","Sa","So"))</f>
        <v/>
      </c>
      <c r="C255" s="6" t="n"/>
      <c r="D255" s="27" t="n"/>
      <c r="E255" s="9" t="n"/>
      <c r="F255" s="9" t="n"/>
      <c r="G255" s="9" t="n"/>
      <c r="H255" s="26">
        <f>IF(COUNT(E255:G255)=0,"",SUM(E255:G255))</f>
        <v/>
      </c>
      <c r="I255" s="9" t="n"/>
      <c r="J255" s="9" t="n"/>
      <c r="K255" s="9" t="n"/>
      <c r="L255" s="9" t="n"/>
      <c r="M255" s="26">
        <f>IF(COUNT(I255:L255)=0,"",SUM(I255:L255))</f>
        <v/>
      </c>
      <c r="N255" s="6" t="n"/>
      <c r="O255" s="28" t="n"/>
      <c r="P255" s="28" t="n"/>
    </row>
    <row r="256">
      <c r="A256" s="25" t="n"/>
      <c r="B256" s="26">
        <f>IF(A256="","",CHOOSE(WEEKDAY(A256,2),"Mo","Di","Mi","Do","Fr","Sa","So"))</f>
        <v/>
      </c>
      <c r="C256" s="6" t="n"/>
      <c r="D256" s="27" t="n"/>
      <c r="E256" s="9" t="n"/>
      <c r="F256" s="9" t="n"/>
      <c r="G256" s="9" t="n"/>
      <c r="H256" s="26">
        <f>IF(COUNT(E256:G256)=0,"",SUM(E256:G256))</f>
        <v/>
      </c>
      <c r="I256" s="9" t="n"/>
      <c r="J256" s="9" t="n"/>
      <c r="K256" s="9" t="n"/>
      <c r="L256" s="9" t="n"/>
      <c r="M256" s="26">
        <f>IF(COUNT(I256:L256)=0,"",SUM(I256:L256))</f>
        <v/>
      </c>
      <c r="N256" s="6" t="n"/>
      <c r="O256" s="28" t="n"/>
      <c r="P256" s="28" t="n"/>
    </row>
    <row r="257">
      <c r="A257" s="25" t="n"/>
      <c r="B257" s="26">
        <f>IF(A257="","",CHOOSE(WEEKDAY(A257,2),"Mo","Di","Mi","Do","Fr","Sa","So"))</f>
        <v/>
      </c>
      <c r="C257" s="6" t="n"/>
      <c r="D257" s="27" t="n"/>
      <c r="E257" s="9" t="n"/>
      <c r="F257" s="9" t="n"/>
      <c r="G257" s="9" t="n"/>
      <c r="H257" s="26">
        <f>IF(COUNT(E257:G257)=0,"",SUM(E257:G257))</f>
        <v/>
      </c>
      <c r="I257" s="9" t="n"/>
      <c r="J257" s="9" t="n"/>
      <c r="K257" s="9" t="n"/>
      <c r="L257" s="9" t="n"/>
      <c r="M257" s="26">
        <f>IF(COUNT(I257:L257)=0,"",SUM(I257:L257))</f>
        <v/>
      </c>
      <c r="N257" s="6" t="n"/>
      <c r="O257" s="28" t="n"/>
      <c r="P257" s="28" t="n"/>
    </row>
    <row r="258">
      <c r="A258" s="25" t="n"/>
      <c r="B258" s="26">
        <f>IF(A258="","",CHOOSE(WEEKDAY(A258,2),"Mo","Di","Mi","Do","Fr","Sa","So"))</f>
        <v/>
      </c>
      <c r="C258" s="6" t="n"/>
      <c r="D258" s="27" t="n"/>
      <c r="E258" s="9" t="n"/>
      <c r="F258" s="9" t="n"/>
      <c r="G258" s="9" t="n"/>
      <c r="H258" s="26">
        <f>IF(COUNT(E258:G258)=0,"",SUM(E258:G258))</f>
        <v/>
      </c>
      <c r="I258" s="9" t="n"/>
      <c r="J258" s="9" t="n"/>
      <c r="K258" s="9" t="n"/>
      <c r="L258" s="9" t="n"/>
      <c r="M258" s="26">
        <f>IF(COUNT(I258:L258)=0,"",SUM(I258:L258))</f>
        <v/>
      </c>
      <c r="N258" s="6" t="n"/>
      <c r="O258" s="28" t="n"/>
      <c r="P258" s="28" t="n"/>
    </row>
    <row r="259">
      <c r="A259" s="25" t="n"/>
      <c r="B259" s="26">
        <f>IF(A259="","",CHOOSE(WEEKDAY(A259,2),"Mo","Di","Mi","Do","Fr","Sa","So"))</f>
        <v/>
      </c>
      <c r="C259" s="6" t="n"/>
      <c r="D259" s="27" t="n"/>
      <c r="E259" s="9" t="n"/>
      <c r="F259" s="9" t="n"/>
      <c r="G259" s="9" t="n"/>
      <c r="H259" s="26">
        <f>IF(COUNT(E259:G259)=0,"",SUM(E259:G259))</f>
        <v/>
      </c>
      <c r="I259" s="9" t="n"/>
      <c r="J259" s="9" t="n"/>
      <c r="K259" s="9" t="n"/>
      <c r="L259" s="9" t="n"/>
      <c r="M259" s="26">
        <f>IF(COUNT(I259:L259)=0,"",SUM(I259:L259))</f>
        <v/>
      </c>
      <c r="N259" s="6" t="n"/>
      <c r="O259" s="28" t="n"/>
      <c r="P259" s="28" t="n"/>
    </row>
    <row r="260">
      <c r="A260" s="25" t="n"/>
      <c r="B260" s="26">
        <f>IF(A260="","",CHOOSE(WEEKDAY(A260,2),"Mo","Di","Mi","Do","Fr","Sa","So"))</f>
        <v/>
      </c>
      <c r="C260" s="6" t="n"/>
      <c r="D260" s="27" t="n"/>
      <c r="E260" s="9" t="n"/>
      <c r="F260" s="9" t="n"/>
      <c r="G260" s="9" t="n"/>
      <c r="H260" s="26">
        <f>IF(COUNT(E260:G260)=0,"",SUM(E260:G260))</f>
        <v/>
      </c>
      <c r="I260" s="9" t="n"/>
      <c r="J260" s="9" t="n"/>
      <c r="K260" s="9" t="n"/>
      <c r="L260" s="9" t="n"/>
      <c r="M260" s="26">
        <f>IF(COUNT(I260:L260)=0,"",SUM(I260:L260))</f>
        <v/>
      </c>
      <c r="N260" s="6" t="n"/>
      <c r="O260" s="28" t="n"/>
      <c r="P260" s="28" t="n"/>
    </row>
    <row r="261">
      <c r="A261" s="25" t="n"/>
      <c r="B261" s="26">
        <f>IF(A261="","",CHOOSE(WEEKDAY(A261,2),"Mo","Di","Mi","Do","Fr","Sa","So"))</f>
        <v/>
      </c>
      <c r="C261" s="6" t="n"/>
      <c r="D261" s="27" t="n"/>
      <c r="E261" s="9" t="n"/>
      <c r="F261" s="9" t="n"/>
      <c r="G261" s="9" t="n"/>
      <c r="H261" s="26">
        <f>IF(COUNT(E261:G261)=0,"",SUM(E261:G261))</f>
        <v/>
      </c>
      <c r="I261" s="9" t="n"/>
      <c r="J261" s="9" t="n"/>
      <c r="K261" s="9" t="n"/>
      <c r="L261" s="9" t="n"/>
      <c r="M261" s="26">
        <f>IF(COUNT(I261:L261)=0,"",SUM(I261:L261))</f>
        <v/>
      </c>
      <c r="N261" s="6" t="n"/>
      <c r="O261" s="28" t="n"/>
      <c r="P261" s="28" t="n"/>
    </row>
    <row r="262">
      <c r="A262" s="25" t="n"/>
      <c r="B262" s="26">
        <f>IF(A262="","",CHOOSE(WEEKDAY(A262,2),"Mo","Di","Mi","Do","Fr","Sa","So"))</f>
        <v/>
      </c>
      <c r="C262" s="6" t="n"/>
      <c r="D262" s="27" t="n"/>
      <c r="E262" s="9" t="n"/>
      <c r="F262" s="9" t="n"/>
      <c r="G262" s="9" t="n"/>
      <c r="H262" s="26">
        <f>IF(COUNT(E262:G262)=0,"",SUM(E262:G262))</f>
        <v/>
      </c>
      <c r="I262" s="9" t="n"/>
      <c r="J262" s="9" t="n"/>
      <c r="K262" s="9" t="n"/>
      <c r="L262" s="9" t="n"/>
      <c r="M262" s="26">
        <f>IF(COUNT(I262:L262)=0,"",SUM(I262:L262))</f>
        <v/>
      </c>
      <c r="N262" s="6" t="n"/>
      <c r="O262" s="28" t="n"/>
      <c r="P262" s="28" t="n"/>
    </row>
    <row r="263">
      <c r="A263" s="25" t="n"/>
      <c r="B263" s="26">
        <f>IF(A263="","",CHOOSE(WEEKDAY(A263,2),"Mo","Di","Mi","Do","Fr","Sa","So"))</f>
        <v/>
      </c>
      <c r="C263" s="6" t="n"/>
      <c r="D263" s="27" t="n"/>
      <c r="E263" s="9" t="n"/>
      <c r="F263" s="9" t="n"/>
      <c r="G263" s="9" t="n"/>
      <c r="H263" s="26">
        <f>IF(COUNT(E263:G263)=0,"",SUM(E263:G263))</f>
        <v/>
      </c>
      <c r="I263" s="9" t="n"/>
      <c r="J263" s="9" t="n"/>
      <c r="K263" s="9" t="n"/>
      <c r="L263" s="9" t="n"/>
      <c r="M263" s="26">
        <f>IF(COUNT(I263:L263)=0,"",SUM(I263:L263))</f>
        <v/>
      </c>
      <c r="N263" s="6" t="n"/>
      <c r="O263" s="28" t="n"/>
      <c r="P263" s="28" t="n"/>
    </row>
    <row r="264">
      <c r="A264" s="25" t="n"/>
      <c r="B264" s="26">
        <f>IF(A264="","",CHOOSE(WEEKDAY(A264,2),"Mo","Di","Mi","Do","Fr","Sa","So"))</f>
        <v/>
      </c>
      <c r="C264" s="6" t="n"/>
      <c r="D264" s="27" t="n"/>
      <c r="E264" s="9" t="n"/>
      <c r="F264" s="9" t="n"/>
      <c r="G264" s="9" t="n"/>
      <c r="H264" s="26">
        <f>IF(COUNT(E264:G264)=0,"",SUM(E264:G264))</f>
        <v/>
      </c>
      <c r="I264" s="9" t="n"/>
      <c r="J264" s="9" t="n"/>
      <c r="K264" s="9" t="n"/>
      <c r="L264" s="9" t="n"/>
      <c r="M264" s="26">
        <f>IF(COUNT(I264:L264)=0,"",SUM(I264:L264))</f>
        <v/>
      </c>
      <c r="N264" s="6" t="n"/>
      <c r="O264" s="28" t="n"/>
      <c r="P264" s="28" t="n"/>
    </row>
    <row r="265">
      <c r="A265" s="25" t="n"/>
      <c r="B265" s="26">
        <f>IF(A265="","",CHOOSE(WEEKDAY(A265,2),"Mo","Di","Mi","Do","Fr","Sa","So"))</f>
        <v/>
      </c>
      <c r="C265" s="6" t="n"/>
      <c r="D265" s="27" t="n"/>
      <c r="E265" s="9" t="n"/>
      <c r="F265" s="9" t="n"/>
      <c r="G265" s="9" t="n"/>
      <c r="H265" s="26">
        <f>IF(COUNT(E265:G265)=0,"",SUM(E265:G265))</f>
        <v/>
      </c>
      <c r="I265" s="9" t="n"/>
      <c r="J265" s="9" t="n"/>
      <c r="K265" s="9" t="n"/>
      <c r="L265" s="9" t="n"/>
      <c r="M265" s="26">
        <f>IF(COUNT(I265:L265)=0,"",SUM(I265:L265))</f>
        <v/>
      </c>
      <c r="N265" s="6" t="n"/>
      <c r="O265" s="28" t="n"/>
      <c r="P265" s="28" t="n"/>
    </row>
    <row r="266">
      <c r="A266" s="25" t="n"/>
      <c r="B266" s="26">
        <f>IF(A266="","",CHOOSE(WEEKDAY(A266,2),"Mo","Di","Mi","Do","Fr","Sa","So"))</f>
        <v/>
      </c>
      <c r="C266" s="6" t="n"/>
      <c r="D266" s="27" t="n"/>
      <c r="E266" s="9" t="n"/>
      <c r="F266" s="9" t="n"/>
      <c r="G266" s="9" t="n"/>
      <c r="H266" s="26">
        <f>IF(COUNT(E266:G266)=0,"",SUM(E266:G266))</f>
        <v/>
      </c>
      <c r="I266" s="9" t="n"/>
      <c r="J266" s="9" t="n"/>
      <c r="K266" s="9" t="n"/>
      <c r="L266" s="9" t="n"/>
      <c r="M266" s="26">
        <f>IF(COUNT(I266:L266)=0,"",SUM(I266:L266))</f>
        <v/>
      </c>
      <c r="N266" s="6" t="n"/>
      <c r="O266" s="28" t="n"/>
      <c r="P266" s="28" t="n"/>
    </row>
    <row r="267">
      <c r="A267" s="25" t="n"/>
      <c r="B267" s="26">
        <f>IF(A267="","",CHOOSE(WEEKDAY(A267,2),"Mo","Di","Mi","Do","Fr","Sa","So"))</f>
        <v/>
      </c>
      <c r="C267" s="6" t="n"/>
      <c r="D267" s="27" t="n"/>
      <c r="E267" s="9" t="n"/>
      <c r="F267" s="9" t="n"/>
      <c r="G267" s="9" t="n"/>
      <c r="H267" s="26">
        <f>IF(COUNT(E267:G267)=0,"",SUM(E267:G267))</f>
        <v/>
      </c>
      <c r="I267" s="9" t="n"/>
      <c r="J267" s="9" t="n"/>
      <c r="K267" s="9" t="n"/>
      <c r="L267" s="9" t="n"/>
      <c r="M267" s="26">
        <f>IF(COUNT(I267:L267)=0,"",SUM(I267:L267))</f>
        <v/>
      </c>
      <c r="N267" s="6" t="n"/>
      <c r="O267" s="28" t="n"/>
      <c r="P267" s="28" t="n"/>
    </row>
    <row r="268">
      <c r="A268" s="25" t="n"/>
      <c r="B268" s="26">
        <f>IF(A268="","",CHOOSE(WEEKDAY(A268,2),"Mo","Di","Mi","Do","Fr","Sa","So"))</f>
        <v/>
      </c>
      <c r="C268" s="6" t="n"/>
      <c r="D268" s="27" t="n"/>
      <c r="E268" s="9" t="n"/>
      <c r="F268" s="9" t="n"/>
      <c r="G268" s="9" t="n"/>
      <c r="H268" s="26">
        <f>IF(COUNT(E268:G268)=0,"",SUM(E268:G268))</f>
        <v/>
      </c>
      <c r="I268" s="9" t="n"/>
      <c r="J268" s="9" t="n"/>
      <c r="K268" s="9" t="n"/>
      <c r="L268" s="9" t="n"/>
      <c r="M268" s="26">
        <f>IF(COUNT(I268:L268)=0,"",SUM(I268:L268))</f>
        <v/>
      </c>
      <c r="N268" s="6" t="n"/>
      <c r="O268" s="28" t="n"/>
      <c r="P268" s="28" t="n"/>
    </row>
    <row r="269">
      <c r="A269" s="25" t="n"/>
      <c r="B269" s="26">
        <f>IF(A269="","",CHOOSE(WEEKDAY(A269,2),"Mo","Di","Mi","Do","Fr","Sa","So"))</f>
        <v/>
      </c>
      <c r="C269" s="6" t="n"/>
      <c r="D269" s="27" t="n"/>
      <c r="E269" s="9" t="n"/>
      <c r="F269" s="9" t="n"/>
      <c r="G269" s="9" t="n"/>
      <c r="H269" s="26">
        <f>IF(COUNT(E269:G269)=0,"",SUM(E269:G269))</f>
        <v/>
      </c>
      <c r="I269" s="9" t="n"/>
      <c r="J269" s="9" t="n"/>
      <c r="K269" s="9" t="n"/>
      <c r="L269" s="9" t="n"/>
      <c r="M269" s="26">
        <f>IF(COUNT(I269:L269)=0,"",SUM(I269:L269))</f>
        <v/>
      </c>
      <c r="N269" s="6" t="n"/>
      <c r="O269" s="28" t="n"/>
      <c r="P269" s="28" t="n"/>
    </row>
    <row r="270">
      <c r="A270" s="25" t="n"/>
      <c r="B270" s="26">
        <f>IF(A270="","",CHOOSE(WEEKDAY(A270,2),"Mo","Di","Mi","Do","Fr","Sa","So"))</f>
        <v/>
      </c>
      <c r="C270" s="6" t="n"/>
      <c r="D270" s="27" t="n"/>
      <c r="E270" s="9" t="n"/>
      <c r="F270" s="9" t="n"/>
      <c r="G270" s="9" t="n"/>
      <c r="H270" s="26">
        <f>IF(COUNT(E270:G270)=0,"",SUM(E270:G270))</f>
        <v/>
      </c>
      <c r="I270" s="9" t="n"/>
      <c r="J270" s="9" t="n"/>
      <c r="K270" s="9" t="n"/>
      <c r="L270" s="9" t="n"/>
      <c r="M270" s="26">
        <f>IF(COUNT(I270:L270)=0,"",SUM(I270:L270))</f>
        <v/>
      </c>
      <c r="N270" s="6" t="n"/>
      <c r="O270" s="28" t="n"/>
      <c r="P270" s="28" t="n"/>
    </row>
    <row r="271">
      <c r="A271" s="25" t="n"/>
      <c r="B271" s="26">
        <f>IF(A271="","",CHOOSE(WEEKDAY(A271,2),"Mo","Di","Mi","Do","Fr","Sa","So"))</f>
        <v/>
      </c>
      <c r="C271" s="6" t="n"/>
      <c r="D271" s="27" t="n"/>
      <c r="E271" s="9" t="n"/>
      <c r="F271" s="9" t="n"/>
      <c r="G271" s="9" t="n"/>
      <c r="H271" s="26">
        <f>IF(COUNT(E271:G271)=0,"",SUM(E271:G271))</f>
        <v/>
      </c>
      <c r="I271" s="9" t="n"/>
      <c r="J271" s="9" t="n"/>
      <c r="K271" s="9" t="n"/>
      <c r="L271" s="9" t="n"/>
      <c r="M271" s="26">
        <f>IF(COUNT(I271:L271)=0,"",SUM(I271:L271))</f>
        <v/>
      </c>
      <c r="N271" s="6" t="n"/>
      <c r="O271" s="28" t="n"/>
      <c r="P271" s="28" t="n"/>
    </row>
    <row r="272">
      <c r="A272" s="25" t="n"/>
      <c r="B272" s="26">
        <f>IF(A272="","",CHOOSE(WEEKDAY(A272,2),"Mo","Di","Mi","Do","Fr","Sa","So"))</f>
        <v/>
      </c>
      <c r="C272" s="6" t="n"/>
      <c r="D272" s="27" t="n"/>
      <c r="E272" s="9" t="n"/>
      <c r="F272" s="9" t="n"/>
      <c r="G272" s="9" t="n"/>
      <c r="H272" s="26">
        <f>IF(COUNT(E272:G272)=0,"",SUM(E272:G272))</f>
        <v/>
      </c>
      <c r="I272" s="9" t="n"/>
      <c r="J272" s="9" t="n"/>
      <c r="K272" s="9" t="n"/>
      <c r="L272" s="9" t="n"/>
      <c r="M272" s="26">
        <f>IF(COUNT(I272:L272)=0,"",SUM(I272:L272))</f>
        <v/>
      </c>
      <c r="N272" s="6" t="n"/>
      <c r="O272" s="28" t="n"/>
      <c r="P272" s="28" t="n"/>
    </row>
    <row r="273">
      <c r="A273" s="25" t="n"/>
      <c r="B273" s="26">
        <f>IF(A273="","",CHOOSE(WEEKDAY(A273,2),"Mo","Di","Mi","Do","Fr","Sa","So"))</f>
        <v/>
      </c>
      <c r="C273" s="6" t="n"/>
      <c r="D273" s="27" t="n"/>
      <c r="E273" s="9" t="n"/>
      <c r="F273" s="9" t="n"/>
      <c r="G273" s="9" t="n"/>
      <c r="H273" s="26">
        <f>IF(COUNT(E273:G273)=0,"",SUM(E273:G273))</f>
        <v/>
      </c>
      <c r="I273" s="9" t="n"/>
      <c r="J273" s="9" t="n"/>
      <c r="K273" s="9" t="n"/>
      <c r="L273" s="9" t="n"/>
      <c r="M273" s="26">
        <f>IF(COUNT(I273:L273)=0,"",SUM(I273:L273))</f>
        <v/>
      </c>
      <c r="N273" s="6" t="n"/>
      <c r="O273" s="28" t="n"/>
      <c r="P273" s="28" t="n"/>
    </row>
    <row r="274">
      <c r="A274" s="25" t="n"/>
      <c r="B274" s="26">
        <f>IF(A274="","",CHOOSE(WEEKDAY(A274,2),"Mo","Di","Mi","Do","Fr","Sa","So"))</f>
        <v/>
      </c>
      <c r="C274" s="6" t="n"/>
      <c r="D274" s="27" t="n"/>
      <c r="E274" s="9" t="n"/>
      <c r="F274" s="9" t="n"/>
      <c r="G274" s="9" t="n"/>
      <c r="H274" s="26">
        <f>IF(COUNT(E274:G274)=0,"",SUM(E274:G274))</f>
        <v/>
      </c>
      <c r="I274" s="9" t="n"/>
      <c r="J274" s="9" t="n"/>
      <c r="K274" s="9" t="n"/>
      <c r="L274" s="9" t="n"/>
      <c r="M274" s="26">
        <f>IF(COUNT(I274:L274)=0,"",SUM(I274:L274))</f>
        <v/>
      </c>
      <c r="N274" s="6" t="n"/>
      <c r="O274" s="28" t="n"/>
      <c r="P274" s="28" t="n"/>
    </row>
    <row r="275">
      <c r="A275" s="25" t="n"/>
      <c r="B275" s="26">
        <f>IF(A275="","",CHOOSE(WEEKDAY(A275,2),"Mo","Di","Mi","Do","Fr","Sa","So"))</f>
        <v/>
      </c>
      <c r="C275" s="6" t="n"/>
      <c r="D275" s="27" t="n"/>
      <c r="E275" s="9" t="n"/>
      <c r="F275" s="9" t="n"/>
      <c r="G275" s="9" t="n"/>
      <c r="H275" s="26">
        <f>IF(COUNT(E275:G275)=0,"",SUM(E275:G275))</f>
        <v/>
      </c>
      <c r="I275" s="9" t="n"/>
      <c r="J275" s="9" t="n"/>
      <c r="K275" s="9" t="n"/>
      <c r="L275" s="9" t="n"/>
      <c r="M275" s="26">
        <f>IF(COUNT(I275:L275)=0,"",SUM(I275:L275))</f>
        <v/>
      </c>
      <c r="N275" s="6" t="n"/>
      <c r="O275" s="28" t="n"/>
      <c r="P275" s="28" t="n"/>
    </row>
    <row r="276">
      <c r="A276" s="25" t="n"/>
      <c r="B276" s="26">
        <f>IF(A276="","",CHOOSE(WEEKDAY(A276,2),"Mo","Di","Mi","Do","Fr","Sa","So"))</f>
        <v/>
      </c>
      <c r="C276" s="6" t="n"/>
      <c r="D276" s="27" t="n"/>
      <c r="E276" s="9" t="n"/>
      <c r="F276" s="9" t="n"/>
      <c r="G276" s="9" t="n"/>
      <c r="H276" s="26">
        <f>IF(COUNT(E276:G276)=0,"",SUM(E276:G276))</f>
        <v/>
      </c>
      <c r="I276" s="9" t="n"/>
      <c r="J276" s="9" t="n"/>
      <c r="K276" s="9" t="n"/>
      <c r="L276" s="9" t="n"/>
      <c r="M276" s="26">
        <f>IF(COUNT(I276:L276)=0,"",SUM(I276:L276))</f>
        <v/>
      </c>
      <c r="N276" s="6" t="n"/>
      <c r="O276" s="28" t="n"/>
      <c r="P276" s="28" t="n"/>
    </row>
    <row r="277">
      <c r="A277" s="25" t="n"/>
      <c r="B277" s="26">
        <f>IF(A277="","",CHOOSE(WEEKDAY(A277,2),"Mo","Di","Mi","Do","Fr","Sa","So"))</f>
        <v/>
      </c>
      <c r="C277" s="6" t="n"/>
      <c r="D277" s="27" t="n"/>
      <c r="E277" s="9" t="n"/>
      <c r="F277" s="9" t="n"/>
      <c r="G277" s="9" t="n"/>
      <c r="H277" s="26">
        <f>IF(COUNT(E277:G277)=0,"",SUM(E277:G277))</f>
        <v/>
      </c>
      <c r="I277" s="9" t="n"/>
      <c r="J277" s="9" t="n"/>
      <c r="K277" s="9" t="n"/>
      <c r="L277" s="9" t="n"/>
      <c r="M277" s="26">
        <f>IF(COUNT(I277:L277)=0,"",SUM(I277:L277))</f>
        <v/>
      </c>
      <c r="N277" s="6" t="n"/>
      <c r="O277" s="28" t="n"/>
      <c r="P277" s="28" t="n"/>
    </row>
    <row r="278">
      <c r="A278" s="25" t="n"/>
      <c r="B278" s="26">
        <f>IF(A278="","",CHOOSE(WEEKDAY(A278,2),"Mo","Di","Mi","Do","Fr","Sa","So"))</f>
        <v/>
      </c>
      <c r="C278" s="6" t="n"/>
      <c r="D278" s="27" t="n"/>
      <c r="E278" s="9" t="n"/>
      <c r="F278" s="9" t="n"/>
      <c r="G278" s="9" t="n"/>
      <c r="H278" s="26">
        <f>IF(COUNT(E278:G278)=0,"",SUM(E278:G278))</f>
        <v/>
      </c>
      <c r="I278" s="9" t="n"/>
      <c r="J278" s="9" t="n"/>
      <c r="K278" s="9" t="n"/>
      <c r="L278" s="9" t="n"/>
      <c r="M278" s="26">
        <f>IF(COUNT(I278:L278)=0,"",SUM(I278:L278))</f>
        <v/>
      </c>
      <c r="N278" s="6" t="n"/>
      <c r="O278" s="28" t="n"/>
      <c r="P278" s="28" t="n"/>
    </row>
    <row r="279">
      <c r="A279" s="25" t="n"/>
      <c r="B279" s="26">
        <f>IF(A279="","",CHOOSE(WEEKDAY(A279,2),"Mo","Di","Mi","Do","Fr","Sa","So"))</f>
        <v/>
      </c>
      <c r="C279" s="6" t="n"/>
      <c r="D279" s="27" t="n"/>
      <c r="E279" s="9" t="n"/>
      <c r="F279" s="9" t="n"/>
      <c r="G279" s="9" t="n"/>
      <c r="H279" s="26">
        <f>IF(COUNT(E279:G279)=0,"",SUM(E279:G279))</f>
        <v/>
      </c>
      <c r="I279" s="9" t="n"/>
      <c r="J279" s="9" t="n"/>
      <c r="K279" s="9" t="n"/>
      <c r="L279" s="9" t="n"/>
      <c r="M279" s="26">
        <f>IF(COUNT(I279:L279)=0,"",SUM(I279:L279))</f>
        <v/>
      </c>
      <c r="N279" s="6" t="n"/>
      <c r="O279" s="28" t="n"/>
      <c r="P279" s="28" t="n"/>
    </row>
    <row r="280">
      <c r="A280" s="25" t="n"/>
      <c r="B280" s="26">
        <f>IF(A280="","",CHOOSE(WEEKDAY(A280,2),"Mo","Di","Mi","Do","Fr","Sa","So"))</f>
        <v/>
      </c>
      <c r="C280" s="6" t="n"/>
      <c r="D280" s="27" t="n"/>
      <c r="E280" s="9" t="n"/>
      <c r="F280" s="9" t="n"/>
      <c r="G280" s="9" t="n"/>
      <c r="H280" s="26">
        <f>IF(COUNT(E280:G280)=0,"",SUM(E280:G280))</f>
        <v/>
      </c>
      <c r="I280" s="9" t="n"/>
      <c r="J280" s="9" t="n"/>
      <c r="K280" s="9" t="n"/>
      <c r="L280" s="9" t="n"/>
      <c r="M280" s="26">
        <f>IF(COUNT(I280:L280)=0,"",SUM(I280:L280))</f>
        <v/>
      </c>
      <c r="N280" s="6" t="n"/>
      <c r="O280" s="28" t="n"/>
      <c r="P280" s="28" t="n"/>
    </row>
    <row r="281">
      <c r="A281" s="25" t="n"/>
      <c r="B281" s="26">
        <f>IF(A281="","",CHOOSE(WEEKDAY(A281,2),"Mo","Di","Mi","Do","Fr","Sa","So"))</f>
        <v/>
      </c>
      <c r="C281" s="6" t="n"/>
      <c r="D281" s="27" t="n"/>
      <c r="E281" s="9" t="n"/>
      <c r="F281" s="9" t="n"/>
      <c r="G281" s="9" t="n"/>
      <c r="H281" s="26">
        <f>IF(COUNT(E281:G281)=0,"",SUM(E281:G281))</f>
        <v/>
      </c>
      <c r="I281" s="9" t="n"/>
      <c r="J281" s="9" t="n"/>
      <c r="K281" s="9" t="n"/>
      <c r="L281" s="9" t="n"/>
      <c r="M281" s="26">
        <f>IF(COUNT(I281:L281)=0,"",SUM(I281:L281))</f>
        <v/>
      </c>
      <c r="N281" s="6" t="n"/>
      <c r="O281" s="28" t="n"/>
      <c r="P281" s="28" t="n"/>
    </row>
    <row r="282">
      <c r="A282" s="25" t="n"/>
      <c r="B282" s="26">
        <f>IF(A282="","",CHOOSE(WEEKDAY(A282,2),"Mo","Di","Mi","Do","Fr","Sa","So"))</f>
        <v/>
      </c>
      <c r="C282" s="6" t="n"/>
      <c r="D282" s="27" t="n"/>
      <c r="E282" s="9" t="n"/>
      <c r="F282" s="9" t="n"/>
      <c r="G282" s="9" t="n"/>
      <c r="H282" s="26">
        <f>IF(COUNT(E282:G282)=0,"",SUM(E282:G282))</f>
        <v/>
      </c>
      <c r="I282" s="9" t="n"/>
      <c r="J282" s="9" t="n"/>
      <c r="K282" s="9" t="n"/>
      <c r="L282" s="9" t="n"/>
      <c r="M282" s="26">
        <f>IF(COUNT(I282:L282)=0,"",SUM(I282:L282))</f>
        <v/>
      </c>
      <c r="N282" s="6" t="n"/>
      <c r="O282" s="28" t="n"/>
      <c r="P282" s="28" t="n"/>
    </row>
    <row r="283">
      <c r="A283" s="25" t="n"/>
      <c r="B283" s="26">
        <f>IF(A283="","",CHOOSE(WEEKDAY(A283,2),"Mo","Di","Mi","Do","Fr","Sa","So"))</f>
        <v/>
      </c>
      <c r="C283" s="6" t="n"/>
      <c r="D283" s="27" t="n"/>
      <c r="E283" s="9" t="n"/>
      <c r="F283" s="9" t="n"/>
      <c r="G283" s="9" t="n"/>
      <c r="H283" s="26">
        <f>IF(COUNT(E283:G283)=0,"",SUM(E283:G283))</f>
        <v/>
      </c>
      <c r="I283" s="9" t="n"/>
      <c r="J283" s="9" t="n"/>
      <c r="K283" s="9" t="n"/>
      <c r="L283" s="9" t="n"/>
      <c r="M283" s="26">
        <f>IF(COUNT(I283:L283)=0,"",SUM(I283:L283))</f>
        <v/>
      </c>
      <c r="N283" s="6" t="n"/>
      <c r="O283" s="28" t="n"/>
      <c r="P283" s="28" t="n"/>
    </row>
    <row r="284">
      <c r="A284" s="25" t="n"/>
      <c r="B284" s="26">
        <f>IF(A284="","",CHOOSE(WEEKDAY(A284,2),"Mo","Di","Mi","Do","Fr","Sa","So"))</f>
        <v/>
      </c>
      <c r="C284" s="6" t="n"/>
      <c r="D284" s="27" t="n"/>
      <c r="E284" s="9" t="n"/>
      <c r="F284" s="9" t="n"/>
      <c r="G284" s="9" t="n"/>
      <c r="H284" s="26">
        <f>IF(COUNT(E284:G284)=0,"",SUM(E284:G284))</f>
        <v/>
      </c>
      <c r="I284" s="9" t="n"/>
      <c r="J284" s="9" t="n"/>
      <c r="K284" s="9" t="n"/>
      <c r="L284" s="9" t="n"/>
      <c r="M284" s="26">
        <f>IF(COUNT(I284:L284)=0,"",SUM(I284:L284))</f>
        <v/>
      </c>
      <c r="N284" s="6" t="n"/>
      <c r="O284" s="28" t="n"/>
      <c r="P284" s="28" t="n"/>
    </row>
    <row r="285">
      <c r="A285" s="25" t="n"/>
      <c r="B285" s="26">
        <f>IF(A285="","",CHOOSE(WEEKDAY(A285,2),"Mo","Di","Mi","Do","Fr","Sa","So"))</f>
        <v/>
      </c>
      <c r="C285" s="6" t="n"/>
      <c r="D285" s="27" t="n"/>
      <c r="E285" s="9" t="n"/>
      <c r="F285" s="9" t="n"/>
      <c r="G285" s="9" t="n"/>
      <c r="H285" s="26">
        <f>IF(COUNT(E285:G285)=0,"",SUM(E285:G285))</f>
        <v/>
      </c>
      <c r="I285" s="9" t="n"/>
      <c r="J285" s="9" t="n"/>
      <c r="K285" s="9" t="n"/>
      <c r="L285" s="9" t="n"/>
      <c r="M285" s="26">
        <f>IF(COUNT(I285:L285)=0,"",SUM(I285:L285))</f>
        <v/>
      </c>
      <c r="N285" s="6" t="n"/>
      <c r="O285" s="28" t="n"/>
      <c r="P285" s="28" t="n"/>
    </row>
    <row r="286">
      <c r="A286" s="25" t="n"/>
      <c r="B286" s="26">
        <f>IF(A286="","",CHOOSE(WEEKDAY(A286,2),"Mo","Di","Mi","Do","Fr","Sa","So"))</f>
        <v/>
      </c>
      <c r="C286" s="6" t="n"/>
      <c r="D286" s="27" t="n"/>
      <c r="E286" s="9" t="n"/>
      <c r="F286" s="9" t="n"/>
      <c r="G286" s="9" t="n"/>
      <c r="H286" s="26">
        <f>IF(COUNT(E286:G286)=0,"",SUM(E286:G286))</f>
        <v/>
      </c>
      <c r="I286" s="9" t="n"/>
      <c r="J286" s="9" t="n"/>
      <c r="K286" s="9" t="n"/>
      <c r="L286" s="9" t="n"/>
      <c r="M286" s="26">
        <f>IF(COUNT(I286:L286)=0,"",SUM(I286:L286))</f>
        <v/>
      </c>
      <c r="N286" s="6" t="n"/>
      <c r="O286" s="28" t="n"/>
      <c r="P286" s="28" t="n"/>
    </row>
    <row r="287">
      <c r="A287" s="25" t="n"/>
      <c r="B287" s="26">
        <f>IF(A287="","",CHOOSE(WEEKDAY(A287,2),"Mo","Di","Mi","Do","Fr","Sa","So"))</f>
        <v/>
      </c>
      <c r="C287" s="6" t="n"/>
      <c r="D287" s="27" t="n"/>
      <c r="E287" s="9" t="n"/>
      <c r="F287" s="9" t="n"/>
      <c r="G287" s="9" t="n"/>
      <c r="H287" s="26">
        <f>IF(COUNT(E287:G287)=0,"",SUM(E287:G287))</f>
        <v/>
      </c>
      <c r="I287" s="9" t="n"/>
      <c r="J287" s="9" t="n"/>
      <c r="K287" s="9" t="n"/>
      <c r="L287" s="9" t="n"/>
      <c r="M287" s="26">
        <f>IF(COUNT(I287:L287)=0,"",SUM(I287:L287))</f>
        <v/>
      </c>
      <c r="N287" s="6" t="n"/>
      <c r="O287" s="28" t="n"/>
      <c r="P287" s="28" t="n"/>
    </row>
    <row r="288">
      <c r="A288" s="25" t="n"/>
      <c r="B288" s="26">
        <f>IF(A288="","",CHOOSE(WEEKDAY(A288,2),"Mo","Di","Mi","Do","Fr","Sa","So"))</f>
        <v/>
      </c>
      <c r="C288" s="6" t="n"/>
      <c r="D288" s="27" t="n"/>
      <c r="E288" s="9" t="n"/>
      <c r="F288" s="9" t="n"/>
      <c r="G288" s="9" t="n"/>
      <c r="H288" s="26">
        <f>IF(COUNT(E288:G288)=0,"",SUM(E288:G288))</f>
        <v/>
      </c>
      <c r="I288" s="9" t="n"/>
      <c r="J288" s="9" t="n"/>
      <c r="K288" s="9" t="n"/>
      <c r="L288" s="9" t="n"/>
      <c r="M288" s="26">
        <f>IF(COUNT(I288:L288)=0,"",SUM(I288:L288))</f>
        <v/>
      </c>
      <c r="N288" s="6" t="n"/>
      <c r="O288" s="28" t="n"/>
      <c r="P288" s="28" t="n"/>
    </row>
    <row r="289">
      <c r="A289" s="25" t="n"/>
      <c r="B289" s="26">
        <f>IF(A289="","",CHOOSE(WEEKDAY(A289,2),"Mo","Di","Mi","Do","Fr","Sa","So"))</f>
        <v/>
      </c>
      <c r="C289" s="6" t="n"/>
      <c r="D289" s="27" t="n"/>
      <c r="E289" s="9" t="n"/>
      <c r="F289" s="9" t="n"/>
      <c r="G289" s="9" t="n"/>
      <c r="H289" s="26">
        <f>IF(COUNT(E289:G289)=0,"",SUM(E289:G289))</f>
        <v/>
      </c>
      <c r="I289" s="9" t="n"/>
      <c r="J289" s="9" t="n"/>
      <c r="K289" s="9" t="n"/>
      <c r="L289" s="9" t="n"/>
      <c r="M289" s="26">
        <f>IF(COUNT(I289:L289)=0,"",SUM(I289:L289))</f>
        <v/>
      </c>
      <c r="N289" s="6" t="n"/>
      <c r="O289" s="28" t="n"/>
      <c r="P289" s="28" t="n"/>
    </row>
    <row r="290">
      <c r="A290" s="25" t="n"/>
      <c r="B290" s="26">
        <f>IF(A290="","",CHOOSE(WEEKDAY(A290,2),"Mo","Di","Mi","Do","Fr","Sa","So"))</f>
        <v/>
      </c>
      <c r="C290" s="6" t="n"/>
      <c r="D290" s="27" t="n"/>
      <c r="E290" s="9" t="n"/>
      <c r="F290" s="9" t="n"/>
      <c r="G290" s="9" t="n"/>
      <c r="H290" s="26">
        <f>IF(COUNT(E290:G290)=0,"",SUM(E290:G290))</f>
        <v/>
      </c>
      <c r="I290" s="9" t="n"/>
      <c r="J290" s="9" t="n"/>
      <c r="K290" s="9" t="n"/>
      <c r="L290" s="9" t="n"/>
      <c r="M290" s="26">
        <f>IF(COUNT(I290:L290)=0,"",SUM(I290:L290))</f>
        <v/>
      </c>
      <c r="N290" s="6" t="n"/>
      <c r="O290" s="28" t="n"/>
      <c r="P290" s="28" t="n"/>
    </row>
    <row r="291">
      <c r="A291" s="25" t="n"/>
      <c r="B291" s="26">
        <f>IF(A291="","",CHOOSE(WEEKDAY(A291,2),"Mo","Di","Mi","Do","Fr","Sa","So"))</f>
        <v/>
      </c>
      <c r="C291" s="6" t="n"/>
      <c r="D291" s="27" t="n"/>
      <c r="E291" s="9" t="n"/>
      <c r="F291" s="9" t="n"/>
      <c r="G291" s="9" t="n"/>
      <c r="H291" s="26">
        <f>IF(COUNT(E291:G291)=0,"",SUM(E291:G291))</f>
        <v/>
      </c>
      <c r="I291" s="9" t="n"/>
      <c r="J291" s="9" t="n"/>
      <c r="K291" s="9" t="n"/>
      <c r="L291" s="9" t="n"/>
      <c r="M291" s="26">
        <f>IF(COUNT(I291:L291)=0,"",SUM(I291:L291))</f>
        <v/>
      </c>
      <c r="N291" s="6" t="n"/>
      <c r="O291" s="28" t="n"/>
      <c r="P291" s="28" t="n"/>
    </row>
    <row r="292">
      <c r="A292" s="25" t="n"/>
      <c r="B292" s="26">
        <f>IF(A292="","",CHOOSE(WEEKDAY(A292,2),"Mo","Di","Mi","Do","Fr","Sa","So"))</f>
        <v/>
      </c>
      <c r="C292" s="6" t="n"/>
      <c r="D292" s="27" t="n"/>
      <c r="E292" s="9" t="n"/>
      <c r="F292" s="9" t="n"/>
      <c r="G292" s="9" t="n"/>
      <c r="H292" s="26">
        <f>IF(COUNT(E292:G292)=0,"",SUM(E292:G292))</f>
        <v/>
      </c>
      <c r="I292" s="9" t="n"/>
      <c r="J292" s="9" t="n"/>
      <c r="K292" s="9" t="n"/>
      <c r="L292" s="9" t="n"/>
      <c r="M292" s="26">
        <f>IF(COUNT(I292:L292)=0,"",SUM(I292:L292))</f>
        <v/>
      </c>
      <c r="N292" s="6" t="n"/>
      <c r="O292" s="28" t="n"/>
      <c r="P292" s="28" t="n"/>
    </row>
    <row r="293">
      <c r="A293" s="25" t="n"/>
      <c r="B293" s="26">
        <f>IF(A293="","",CHOOSE(WEEKDAY(A293,2),"Mo","Di","Mi","Do","Fr","Sa","So"))</f>
        <v/>
      </c>
      <c r="C293" s="6" t="n"/>
      <c r="D293" s="27" t="n"/>
      <c r="E293" s="9" t="n"/>
      <c r="F293" s="9" t="n"/>
      <c r="G293" s="9" t="n"/>
      <c r="H293" s="26">
        <f>IF(COUNT(E293:G293)=0,"",SUM(E293:G293))</f>
        <v/>
      </c>
      <c r="I293" s="9" t="n"/>
      <c r="J293" s="9" t="n"/>
      <c r="K293" s="9" t="n"/>
      <c r="L293" s="9" t="n"/>
      <c r="M293" s="26">
        <f>IF(COUNT(I293:L293)=0,"",SUM(I293:L293))</f>
        <v/>
      </c>
      <c r="N293" s="6" t="n"/>
      <c r="O293" s="28" t="n"/>
      <c r="P293" s="28" t="n"/>
    </row>
    <row r="294">
      <c r="A294" s="25" t="n"/>
      <c r="B294" s="26">
        <f>IF(A294="","",CHOOSE(WEEKDAY(A294,2),"Mo","Di","Mi","Do","Fr","Sa","So"))</f>
        <v/>
      </c>
      <c r="C294" s="6" t="n"/>
      <c r="D294" s="27" t="n"/>
      <c r="E294" s="9" t="n"/>
      <c r="F294" s="9" t="n"/>
      <c r="G294" s="9" t="n"/>
      <c r="H294" s="26">
        <f>IF(COUNT(E294:G294)=0,"",SUM(E294:G294))</f>
        <v/>
      </c>
      <c r="I294" s="9" t="n"/>
      <c r="J294" s="9" t="n"/>
      <c r="K294" s="9" t="n"/>
      <c r="L294" s="9" t="n"/>
      <c r="M294" s="26">
        <f>IF(COUNT(I294:L294)=0,"",SUM(I294:L294))</f>
        <v/>
      </c>
      <c r="N294" s="6" t="n"/>
      <c r="O294" s="28" t="n"/>
      <c r="P294" s="28" t="n"/>
    </row>
    <row r="295">
      <c r="A295" s="25" t="n"/>
      <c r="B295" s="26">
        <f>IF(A295="","",CHOOSE(WEEKDAY(A295,2),"Mo","Di","Mi","Do","Fr","Sa","So"))</f>
        <v/>
      </c>
      <c r="C295" s="6" t="n"/>
      <c r="D295" s="27" t="n"/>
      <c r="E295" s="9" t="n"/>
      <c r="F295" s="9" t="n"/>
      <c r="G295" s="9" t="n"/>
      <c r="H295" s="26">
        <f>IF(COUNT(E295:G295)=0,"",SUM(E295:G295))</f>
        <v/>
      </c>
      <c r="I295" s="9" t="n"/>
      <c r="J295" s="9" t="n"/>
      <c r="K295" s="9" t="n"/>
      <c r="L295" s="9" t="n"/>
      <c r="M295" s="26">
        <f>IF(COUNT(I295:L295)=0,"",SUM(I295:L295))</f>
        <v/>
      </c>
      <c r="N295" s="6" t="n"/>
      <c r="O295" s="28" t="n"/>
      <c r="P295" s="28" t="n"/>
    </row>
    <row r="296">
      <c r="A296" s="25" t="n"/>
      <c r="B296" s="26">
        <f>IF(A296="","",CHOOSE(WEEKDAY(A296,2),"Mo","Di","Mi","Do","Fr","Sa","So"))</f>
        <v/>
      </c>
      <c r="C296" s="6" t="n"/>
      <c r="D296" s="27" t="n"/>
      <c r="E296" s="9" t="n"/>
      <c r="F296" s="9" t="n"/>
      <c r="G296" s="9" t="n"/>
      <c r="H296" s="26">
        <f>IF(COUNT(E296:G296)=0,"",SUM(E296:G296))</f>
        <v/>
      </c>
      <c r="I296" s="9" t="n"/>
      <c r="J296" s="9" t="n"/>
      <c r="K296" s="9" t="n"/>
      <c r="L296" s="9" t="n"/>
      <c r="M296" s="26">
        <f>IF(COUNT(I296:L296)=0,"",SUM(I296:L296))</f>
        <v/>
      </c>
      <c r="N296" s="6" t="n"/>
      <c r="O296" s="28" t="n"/>
      <c r="P296" s="28" t="n"/>
    </row>
    <row r="297">
      <c r="A297" s="25" t="n"/>
      <c r="B297" s="26">
        <f>IF(A297="","",CHOOSE(WEEKDAY(A297,2),"Mo","Di","Mi","Do","Fr","Sa","So"))</f>
        <v/>
      </c>
      <c r="C297" s="6" t="n"/>
      <c r="D297" s="27" t="n"/>
      <c r="E297" s="9" t="n"/>
      <c r="F297" s="9" t="n"/>
      <c r="G297" s="9" t="n"/>
      <c r="H297" s="26">
        <f>IF(COUNT(E297:G297)=0,"",SUM(E297:G297))</f>
        <v/>
      </c>
      <c r="I297" s="9" t="n"/>
      <c r="J297" s="9" t="n"/>
      <c r="K297" s="9" t="n"/>
      <c r="L297" s="9" t="n"/>
      <c r="M297" s="26">
        <f>IF(COUNT(I297:L297)=0,"",SUM(I297:L297))</f>
        <v/>
      </c>
      <c r="N297" s="6" t="n"/>
      <c r="O297" s="28" t="n"/>
      <c r="P297" s="28" t="n"/>
    </row>
    <row r="298">
      <c r="A298" s="25" t="n"/>
      <c r="B298" s="26">
        <f>IF(A298="","",CHOOSE(WEEKDAY(A298,2),"Mo","Di","Mi","Do","Fr","Sa","So"))</f>
        <v/>
      </c>
      <c r="C298" s="6" t="n"/>
      <c r="D298" s="27" t="n"/>
      <c r="E298" s="9" t="n"/>
      <c r="F298" s="9" t="n"/>
      <c r="G298" s="9" t="n"/>
      <c r="H298" s="26">
        <f>IF(COUNT(E298:G298)=0,"",SUM(E298:G298))</f>
        <v/>
      </c>
      <c r="I298" s="9" t="n"/>
      <c r="J298" s="9" t="n"/>
      <c r="K298" s="9" t="n"/>
      <c r="L298" s="9" t="n"/>
      <c r="M298" s="26">
        <f>IF(COUNT(I298:L298)=0,"",SUM(I298:L298))</f>
        <v/>
      </c>
      <c r="N298" s="6" t="n"/>
      <c r="O298" s="28" t="n"/>
      <c r="P298" s="28" t="n"/>
    </row>
    <row r="299">
      <c r="A299" s="25" t="n"/>
      <c r="B299" s="26">
        <f>IF(A299="","",CHOOSE(WEEKDAY(A299,2),"Mo","Di","Mi","Do","Fr","Sa","So"))</f>
        <v/>
      </c>
      <c r="C299" s="6" t="n"/>
      <c r="D299" s="27" t="n"/>
      <c r="E299" s="9" t="n"/>
      <c r="F299" s="9" t="n"/>
      <c r="G299" s="9" t="n"/>
      <c r="H299" s="26">
        <f>IF(COUNT(E299:G299)=0,"",SUM(E299:G299))</f>
        <v/>
      </c>
      <c r="I299" s="9" t="n"/>
      <c r="J299" s="9" t="n"/>
      <c r="K299" s="9" t="n"/>
      <c r="L299" s="9" t="n"/>
      <c r="M299" s="26">
        <f>IF(COUNT(I299:L299)=0,"",SUM(I299:L299))</f>
        <v/>
      </c>
      <c r="N299" s="6" t="n"/>
      <c r="O299" s="28" t="n"/>
      <c r="P299" s="28" t="n"/>
    </row>
    <row r="300">
      <c r="A300" s="25" t="n"/>
      <c r="B300" s="26">
        <f>IF(A300="","",CHOOSE(WEEKDAY(A300,2),"Mo","Di","Mi","Do","Fr","Sa","So"))</f>
        <v/>
      </c>
      <c r="C300" s="6" t="n"/>
      <c r="D300" s="27" t="n"/>
      <c r="E300" s="9" t="n"/>
      <c r="F300" s="9" t="n"/>
      <c r="G300" s="9" t="n"/>
      <c r="H300" s="26">
        <f>IF(COUNT(E300:G300)=0,"",SUM(E300:G300))</f>
        <v/>
      </c>
      <c r="I300" s="9" t="n"/>
      <c r="J300" s="9" t="n"/>
      <c r="K300" s="9" t="n"/>
      <c r="L300" s="9" t="n"/>
      <c r="M300" s="26">
        <f>IF(COUNT(I300:L300)=0,"",SUM(I300:L300))</f>
        <v/>
      </c>
      <c r="N300" s="6" t="n"/>
      <c r="O300" s="28" t="n"/>
      <c r="P300" s="28" t="n"/>
    </row>
    <row r="301">
      <c r="A301" s="25" t="n"/>
      <c r="B301" s="26">
        <f>IF(A301="","",CHOOSE(WEEKDAY(A301,2),"Mo","Di","Mi","Do","Fr","Sa","So"))</f>
        <v/>
      </c>
      <c r="C301" s="6" t="n"/>
      <c r="D301" s="27" t="n"/>
      <c r="E301" s="9" t="n"/>
      <c r="F301" s="9" t="n"/>
      <c r="G301" s="9" t="n"/>
      <c r="H301" s="26">
        <f>IF(COUNT(E301:G301)=0,"",SUM(E301:G301))</f>
        <v/>
      </c>
      <c r="I301" s="9" t="n"/>
      <c r="J301" s="9" t="n"/>
      <c r="K301" s="9" t="n"/>
      <c r="L301" s="9" t="n"/>
      <c r="M301" s="26">
        <f>IF(COUNT(I301:L301)=0,"",SUM(I301:L301))</f>
        <v/>
      </c>
      <c r="N301" s="6" t="n"/>
      <c r="O301" s="28" t="n"/>
      <c r="P301" s="28" t="n"/>
    </row>
    <row r="302">
      <c r="A302" s="25" t="n"/>
      <c r="B302" s="26">
        <f>IF(A302="","",CHOOSE(WEEKDAY(A302,2),"Mo","Di","Mi","Do","Fr","Sa","So"))</f>
        <v/>
      </c>
      <c r="C302" s="6" t="n"/>
      <c r="D302" s="27" t="n"/>
      <c r="E302" s="9" t="n"/>
      <c r="F302" s="9" t="n"/>
      <c r="G302" s="9" t="n"/>
      <c r="H302" s="26">
        <f>IF(COUNT(E302:G302)=0,"",SUM(E302:G302))</f>
        <v/>
      </c>
      <c r="I302" s="9" t="n"/>
      <c r="J302" s="9" t="n"/>
      <c r="K302" s="9" t="n"/>
      <c r="L302" s="9" t="n"/>
      <c r="M302" s="26">
        <f>IF(COUNT(I302:L302)=0,"",SUM(I302:L302))</f>
        <v/>
      </c>
      <c r="N302" s="6" t="n"/>
      <c r="O302" s="28" t="n"/>
      <c r="P302" s="28" t="n"/>
    </row>
    <row r="303">
      <c r="A303" s="25" t="n"/>
      <c r="B303" s="26">
        <f>IF(A303="","",CHOOSE(WEEKDAY(A303,2),"Mo","Di","Mi","Do","Fr","Sa","So"))</f>
        <v/>
      </c>
      <c r="C303" s="6" t="n"/>
      <c r="D303" s="27" t="n"/>
      <c r="E303" s="9" t="n"/>
      <c r="F303" s="9" t="n"/>
      <c r="G303" s="9" t="n"/>
      <c r="H303" s="26">
        <f>IF(COUNT(E303:G303)=0,"",SUM(E303:G303))</f>
        <v/>
      </c>
      <c r="I303" s="9" t="n"/>
      <c r="J303" s="9" t="n"/>
      <c r="K303" s="9" t="n"/>
      <c r="L303" s="9" t="n"/>
      <c r="M303" s="26">
        <f>IF(COUNT(I303:L303)=0,"",SUM(I303:L303))</f>
        <v/>
      </c>
      <c r="N303" s="6" t="n"/>
      <c r="O303" s="28" t="n"/>
      <c r="P303" s="28" t="n"/>
    </row>
    <row r="304">
      <c r="A304" s="25" t="n"/>
      <c r="B304" s="26">
        <f>IF(A304="","",CHOOSE(WEEKDAY(A304,2),"Mo","Di","Mi","Do","Fr","Sa","So"))</f>
        <v/>
      </c>
      <c r="C304" s="6" t="n"/>
      <c r="D304" s="27" t="n"/>
      <c r="E304" s="9" t="n"/>
      <c r="F304" s="9" t="n"/>
      <c r="G304" s="9" t="n"/>
      <c r="H304" s="26">
        <f>IF(COUNT(E304:G304)=0,"",SUM(E304:G304))</f>
        <v/>
      </c>
      <c r="I304" s="9" t="n"/>
      <c r="J304" s="9" t="n"/>
      <c r="K304" s="9" t="n"/>
      <c r="L304" s="9" t="n"/>
      <c r="M304" s="26">
        <f>IF(COUNT(I304:L304)=0,"",SUM(I304:L304))</f>
        <v/>
      </c>
      <c r="N304" s="6" t="n"/>
      <c r="O304" s="28" t="n"/>
      <c r="P304" s="28" t="n"/>
    </row>
    <row r="305">
      <c r="A305" s="25" t="n"/>
      <c r="B305" s="26">
        <f>IF(A305="","",CHOOSE(WEEKDAY(A305,2),"Mo","Di","Mi","Do","Fr","Sa","So"))</f>
        <v/>
      </c>
      <c r="C305" s="6" t="n"/>
      <c r="D305" s="27" t="n"/>
      <c r="E305" s="9" t="n"/>
      <c r="F305" s="9" t="n"/>
      <c r="G305" s="9" t="n"/>
      <c r="H305" s="26">
        <f>IF(COUNT(E305:G305)=0,"",SUM(E305:G305))</f>
        <v/>
      </c>
      <c r="I305" s="9" t="n"/>
      <c r="J305" s="9" t="n"/>
      <c r="K305" s="9" t="n"/>
      <c r="L305" s="9" t="n"/>
      <c r="M305" s="26">
        <f>IF(COUNT(I305:L305)=0,"",SUM(I305:L305))</f>
        <v/>
      </c>
      <c r="N305" s="6" t="n"/>
      <c r="O305" s="28" t="n"/>
      <c r="P305" s="28" t="n"/>
    </row>
    <row r="306">
      <c r="A306" s="25" t="n"/>
      <c r="B306" s="26">
        <f>IF(A306="","",CHOOSE(WEEKDAY(A306,2),"Mo","Di","Mi","Do","Fr","Sa","So"))</f>
        <v/>
      </c>
      <c r="C306" s="6" t="n"/>
      <c r="D306" s="27" t="n"/>
      <c r="E306" s="9" t="n"/>
      <c r="F306" s="9" t="n"/>
      <c r="G306" s="9" t="n"/>
      <c r="H306" s="26">
        <f>IF(COUNT(E306:G306)=0,"",SUM(E306:G306))</f>
        <v/>
      </c>
      <c r="I306" s="9" t="n"/>
      <c r="J306" s="9" t="n"/>
      <c r="K306" s="9" t="n"/>
      <c r="L306" s="9" t="n"/>
      <c r="M306" s="26">
        <f>IF(COUNT(I306:L306)=0,"",SUM(I306:L306))</f>
        <v/>
      </c>
      <c r="N306" s="6" t="n"/>
      <c r="O306" s="28" t="n"/>
      <c r="P306" s="28" t="n"/>
    </row>
    <row r="307">
      <c r="A307" s="25" t="n"/>
      <c r="B307" s="26">
        <f>IF(A307="","",CHOOSE(WEEKDAY(A307,2),"Mo","Di","Mi","Do","Fr","Sa","So"))</f>
        <v/>
      </c>
      <c r="C307" s="6" t="n"/>
      <c r="D307" s="27" t="n"/>
      <c r="E307" s="9" t="n"/>
      <c r="F307" s="9" t="n"/>
      <c r="G307" s="9" t="n"/>
      <c r="H307" s="26">
        <f>IF(COUNT(E307:G307)=0,"",SUM(E307:G307))</f>
        <v/>
      </c>
      <c r="I307" s="9" t="n"/>
      <c r="J307" s="9" t="n"/>
      <c r="K307" s="9" t="n"/>
      <c r="L307" s="9" t="n"/>
      <c r="M307" s="26">
        <f>IF(COUNT(I307:L307)=0,"",SUM(I307:L307))</f>
        <v/>
      </c>
      <c r="N307" s="6" t="n"/>
      <c r="O307" s="28" t="n"/>
      <c r="P307" s="28" t="n"/>
    </row>
    <row r="308">
      <c r="A308" s="25" t="n"/>
      <c r="B308" s="26">
        <f>IF(A308="","",CHOOSE(WEEKDAY(A308,2),"Mo","Di","Mi","Do","Fr","Sa","So"))</f>
        <v/>
      </c>
      <c r="C308" s="6" t="n"/>
      <c r="D308" s="27" t="n"/>
      <c r="E308" s="9" t="n"/>
      <c r="F308" s="9" t="n"/>
      <c r="G308" s="9" t="n"/>
      <c r="H308" s="26">
        <f>IF(COUNT(E308:G308)=0,"",SUM(E308:G308))</f>
        <v/>
      </c>
      <c r="I308" s="9" t="n"/>
      <c r="J308" s="9" t="n"/>
      <c r="K308" s="9" t="n"/>
      <c r="L308" s="9" t="n"/>
      <c r="M308" s="26">
        <f>IF(COUNT(I308:L308)=0,"",SUM(I308:L308))</f>
        <v/>
      </c>
      <c r="N308" s="6" t="n"/>
      <c r="O308" s="28" t="n"/>
      <c r="P308" s="28" t="n"/>
    </row>
    <row r="309">
      <c r="A309" s="25" t="n"/>
      <c r="B309" s="26">
        <f>IF(A309="","",CHOOSE(WEEKDAY(A309,2),"Mo","Di","Mi","Do","Fr","Sa","So"))</f>
        <v/>
      </c>
      <c r="C309" s="6" t="n"/>
      <c r="D309" s="27" t="n"/>
      <c r="E309" s="9" t="n"/>
      <c r="F309" s="9" t="n"/>
      <c r="G309" s="9" t="n"/>
      <c r="H309" s="26">
        <f>IF(COUNT(E309:G309)=0,"",SUM(E309:G309))</f>
        <v/>
      </c>
      <c r="I309" s="9" t="n"/>
      <c r="J309" s="9" t="n"/>
      <c r="K309" s="9" t="n"/>
      <c r="L309" s="9" t="n"/>
      <c r="M309" s="26">
        <f>IF(COUNT(I309:L309)=0,"",SUM(I309:L309))</f>
        <v/>
      </c>
      <c r="N309" s="6" t="n"/>
      <c r="O309" s="28" t="n"/>
      <c r="P309" s="28" t="n"/>
    </row>
    <row r="310">
      <c r="A310" s="25" t="n"/>
      <c r="B310" s="26">
        <f>IF(A310="","",CHOOSE(WEEKDAY(A310,2),"Mo","Di","Mi","Do","Fr","Sa","So"))</f>
        <v/>
      </c>
      <c r="C310" s="6" t="n"/>
      <c r="D310" s="27" t="n"/>
      <c r="E310" s="9" t="n"/>
      <c r="F310" s="9" t="n"/>
      <c r="G310" s="9" t="n"/>
      <c r="H310" s="26">
        <f>IF(COUNT(E310:G310)=0,"",SUM(E310:G310))</f>
        <v/>
      </c>
      <c r="I310" s="9" t="n"/>
      <c r="J310" s="9" t="n"/>
      <c r="K310" s="9" t="n"/>
      <c r="L310" s="9" t="n"/>
      <c r="M310" s="26">
        <f>IF(COUNT(I310:L310)=0,"",SUM(I310:L310))</f>
        <v/>
      </c>
      <c r="N310" s="6" t="n"/>
      <c r="O310" s="28" t="n"/>
      <c r="P310" s="28" t="n"/>
    </row>
    <row r="311">
      <c r="A311" s="25" t="n"/>
      <c r="B311" s="26">
        <f>IF(A311="","",CHOOSE(WEEKDAY(A311,2),"Mo","Di","Mi","Do","Fr","Sa","So"))</f>
        <v/>
      </c>
      <c r="C311" s="6" t="n"/>
      <c r="D311" s="27" t="n"/>
      <c r="E311" s="9" t="n"/>
      <c r="F311" s="9" t="n"/>
      <c r="G311" s="9" t="n"/>
      <c r="H311" s="26">
        <f>IF(COUNT(E311:G311)=0,"",SUM(E311:G311))</f>
        <v/>
      </c>
      <c r="I311" s="9" t="n"/>
      <c r="J311" s="9" t="n"/>
      <c r="K311" s="9" t="n"/>
      <c r="L311" s="9" t="n"/>
      <c r="M311" s="26">
        <f>IF(COUNT(I311:L311)=0,"",SUM(I311:L311))</f>
        <v/>
      </c>
      <c r="N311" s="6" t="n"/>
      <c r="O311" s="28" t="n"/>
      <c r="P311" s="28" t="n"/>
    </row>
    <row r="312">
      <c r="A312" s="25" t="n"/>
      <c r="B312" s="26">
        <f>IF(A312="","",CHOOSE(WEEKDAY(A312,2),"Mo","Di","Mi","Do","Fr","Sa","So"))</f>
        <v/>
      </c>
      <c r="C312" s="6" t="n"/>
      <c r="D312" s="27" t="n"/>
      <c r="E312" s="9" t="n"/>
      <c r="F312" s="9" t="n"/>
      <c r="G312" s="9" t="n"/>
      <c r="H312" s="26">
        <f>IF(COUNT(E312:G312)=0,"",SUM(E312:G312))</f>
        <v/>
      </c>
      <c r="I312" s="9" t="n"/>
      <c r="J312" s="9" t="n"/>
      <c r="K312" s="9" t="n"/>
      <c r="L312" s="9" t="n"/>
      <c r="M312" s="26">
        <f>IF(COUNT(I312:L312)=0,"",SUM(I312:L312))</f>
        <v/>
      </c>
      <c r="N312" s="6" t="n"/>
      <c r="O312" s="28" t="n"/>
      <c r="P312" s="28" t="n"/>
    </row>
    <row r="313">
      <c r="A313" s="25" t="n"/>
      <c r="B313" s="26">
        <f>IF(A313="","",CHOOSE(WEEKDAY(A313,2),"Mo","Di","Mi","Do","Fr","Sa","So"))</f>
        <v/>
      </c>
      <c r="C313" s="6" t="n"/>
      <c r="D313" s="27" t="n"/>
      <c r="E313" s="9" t="n"/>
      <c r="F313" s="9" t="n"/>
      <c r="G313" s="9" t="n"/>
      <c r="H313" s="26">
        <f>IF(COUNT(E313:G313)=0,"",SUM(E313:G313))</f>
        <v/>
      </c>
      <c r="I313" s="9" t="n"/>
      <c r="J313" s="9" t="n"/>
      <c r="K313" s="9" t="n"/>
      <c r="L313" s="9" t="n"/>
      <c r="M313" s="26">
        <f>IF(COUNT(I313:L313)=0,"",SUM(I313:L313))</f>
        <v/>
      </c>
      <c r="N313" s="6" t="n"/>
      <c r="O313" s="28" t="n"/>
      <c r="P313" s="28" t="n"/>
    </row>
    <row r="314">
      <c r="A314" s="25" t="n"/>
      <c r="B314" s="26">
        <f>IF(A314="","",CHOOSE(WEEKDAY(A314,2),"Mo","Di","Mi","Do","Fr","Sa","So"))</f>
        <v/>
      </c>
      <c r="C314" s="6" t="n"/>
      <c r="D314" s="27" t="n"/>
      <c r="E314" s="9" t="n"/>
      <c r="F314" s="9" t="n"/>
      <c r="G314" s="9" t="n"/>
      <c r="H314" s="26">
        <f>IF(COUNT(E314:G314)=0,"",SUM(E314:G314))</f>
        <v/>
      </c>
      <c r="I314" s="9" t="n"/>
      <c r="J314" s="9" t="n"/>
      <c r="K314" s="9" t="n"/>
      <c r="L314" s="9" t="n"/>
      <c r="M314" s="26">
        <f>IF(COUNT(I314:L314)=0,"",SUM(I314:L314))</f>
        <v/>
      </c>
      <c r="N314" s="6" t="n"/>
      <c r="O314" s="28" t="n"/>
      <c r="P314" s="28" t="n"/>
    </row>
    <row r="315">
      <c r="A315" s="25" t="n"/>
      <c r="B315" s="26">
        <f>IF(A315="","",CHOOSE(WEEKDAY(A315,2),"Mo","Di","Mi","Do","Fr","Sa","So"))</f>
        <v/>
      </c>
      <c r="C315" s="6" t="n"/>
      <c r="D315" s="27" t="n"/>
      <c r="E315" s="9" t="n"/>
      <c r="F315" s="9" t="n"/>
      <c r="G315" s="9" t="n"/>
      <c r="H315" s="26">
        <f>IF(COUNT(E315:G315)=0,"",SUM(E315:G315))</f>
        <v/>
      </c>
      <c r="I315" s="9" t="n"/>
      <c r="J315" s="9" t="n"/>
      <c r="K315" s="9" t="n"/>
      <c r="L315" s="9" t="n"/>
      <c r="M315" s="26">
        <f>IF(COUNT(I315:L315)=0,"",SUM(I315:L315))</f>
        <v/>
      </c>
      <c r="N315" s="6" t="n"/>
      <c r="O315" s="28" t="n"/>
      <c r="P315" s="28" t="n"/>
    </row>
    <row r="316">
      <c r="A316" s="25" t="n"/>
      <c r="B316" s="26">
        <f>IF(A316="","",CHOOSE(WEEKDAY(A316,2),"Mo","Di","Mi","Do","Fr","Sa","So"))</f>
        <v/>
      </c>
      <c r="C316" s="6" t="n"/>
      <c r="D316" s="27" t="n"/>
      <c r="E316" s="9" t="n"/>
      <c r="F316" s="9" t="n"/>
      <c r="G316" s="9" t="n"/>
      <c r="H316" s="26">
        <f>IF(COUNT(E316:G316)=0,"",SUM(E316:G316))</f>
        <v/>
      </c>
      <c r="I316" s="9" t="n"/>
      <c r="J316" s="9" t="n"/>
      <c r="K316" s="9" t="n"/>
      <c r="L316" s="9" t="n"/>
      <c r="M316" s="26">
        <f>IF(COUNT(I316:L316)=0,"",SUM(I316:L316))</f>
        <v/>
      </c>
      <c r="N316" s="6" t="n"/>
      <c r="O316" s="28" t="n"/>
      <c r="P316" s="28" t="n"/>
    </row>
    <row r="317">
      <c r="A317" s="25" t="n"/>
      <c r="B317" s="26">
        <f>IF(A317="","",CHOOSE(WEEKDAY(A317,2),"Mo","Di","Mi","Do","Fr","Sa","So"))</f>
        <v/>
      </c>
      <c r="C317" s="6" t="n"/>
      <c r="D317" s="27" t="n"/>
      <c r="E317" s="9" t="n"/>
      <c r="F317" s="9" t="n"/>
      <c r="G317" s="9" t="n"/>
      <c r="H317" s="26">
        <f>IF(COUNT(E317:G317)=0,"",SUM(E317:G317))</f>
        <v/>
      </c>
      <c r="I317" s="9" t="n"/>
      <c r="J317" s="9" t="n"/>
      <c r="K317" s="9" t="n"/>
      <c r="L317" s="9" t="n"/>
      <c r="M317" s="26">
        <f>IF(COUNT(I317:L317)=0,"",SUM(I317:L317))</f>
        <v/>
      </c>
      <c r="N317" s="6" t="n"/>
      <c r="O317" s="28" t="n"/>
      <c r="P317" s="28" t="n"/>
    </row>
    <row r="318">
      <c r="A318" s="25" t="n"/>
      <c r="B318" s="26">
        <f>IF(A318="","",CHOOSE(WEEKDAY(A318,2),"Mo","Di","Mi","Do","Fr","Sa","So"))</f>
        <v/>
      </c>
      <c r="C318" s="6" t="n"/>
      <c r="D318" s="27" t="n"/>
      <c r="E318" s="9" t="n"/>
      <c r="F318" s="9" t="n"/>
      <c r="G318" s="9" t="n"/>
      <c r="H318" s="26">
        <f>IF(COUNT(E318:G318)=0,"",SUM(E318:G318))</f>
        <v/>
      </c>
      <c r="I318" s="9" t="n"/>
      <c r="J318" s="9" t="n"/>
      <c r="K318" s="9" t="n"/>
      <c r="L318" s="9" t="n"/>
      <c r="M318" s="26">
        <f>IF(COUNT(I318:L318)=0,"",SUM(I318:L318))</f>
        <v/>
      </c>
      <c r="N318" s="6" t="n"/>
      <c r="O318" s="28" t="n"/>
      <c r="P318" s="28" t="n"/>
    </row>
    <row r="319">
      <c r="A319" s="25" t="n"/>
      <c r="B319" s="26">
        <f>IF(A319="","",CHOOSE(WEEKDAY(A319,2),"Mo","Di","Mi","Do","Fr","Sa","So"))</f>
        <v/>
      </c>
      <c r="C319" s="6" t="n"/>
      <c r="D319" s="27" t="n"/>
      <c r="E319" s="9" t="n"/>
      <c r="F319" s="9" t="n"/>
      <c r="G319" s="9" t="n"/>
      <c r="H319" s="26">
        <f>IF(COUNT(E319:G319)=0,"",SUM(E319:G319))</f>
        <v/>
      </c>
      <c r="I319" s="9" t="n"/>
      <c r="J319" s="9" t="n"/>
      <c r="K319" s="9" t="n"/>
      <c r="L319" s="9" t="n"/>
      <c r="M319" s="26">
        <f>IF(COUNT(I319:L319)=0,"",SUM(I319:L319))</f>
        <v/>
      </c>
      <c r="N319" s="6" t="n"/>
      <c r="O319" s="28" t="n"/>
      <c r="P319" s="28" t="n"/>
    </row>
    <row r="320">
      <c r="A320" s="25" t="n"/>
      <c r="B320" s="26">
        <f>IF(A320="","",CHOOSE(WEEKDAY(A320,2),"Mo","Di","Mi","Do","Fr","Sa","So"))</f>
        <v/>
      </c>
      <c r="C320" s="6" t="n"/>
      <c r="D320" s="27" t="n"/>
      <c r="E320" s="9" t="n"/>
      <c r="F320" s="9" t="n"/>
      <c r="G320" s="9" t="n"/>
      <c r="H320" s="26">
        <f>IF(COUNT(E320:G320)=0,"",SUM(E320:G320))</f>
        <v/>
      </c>
      <c r="I320" s="9" t="n"/>
      <c r="J320" s="9" t="n"/>
      <c r="K320" s="9" t="n"/>
      <c r="L320" s="9" t="n"/>
      <c r="M320" s="26">
        <f>IF(COUNT(I320:L320)=0,"",SUM(I320:L320))</f>
        <v/>
      </c>
      <c r="N320" s="6" t="n"/>
      <c r="O320" s="28" t="n"/>
      <c r="P320" s="28" t="n"/>
    </row>
    <row r="321">
      <c r="A321" s="25" t="n"/>
      <c r="B321" s="26">
        <f>IF(A321="","",CHOOSE(WEEKDAY(A321,2),"Mo","Di","Mi","Do","Fr","Sa","So"))</f>
        <v/>
      </c>
      <c r="C321" s="6" t="n"/>
      <c r="D321" s="27" t="n"/>
      <c r="E321" s="9" t="n"/>
      <c r="F321" s="9" t="n"/>
      <c r="G321" s="9" t="n"/>
      <c r="H321" s="26">
        <f>IF(COUNT(E321:G321)=0,"",SUM(E321:G321))</f>
        <v/>
      </c>
      <c r="I321" s="9" t="n"/>
      <c r="J321" s="9" t="n"/>
      <c r="K321" s="9" t="n"/>
      <c r="L321" s="9" t="n"/>
      <c r="M321" s="26">
        <f>IF(COUNT(I321:L321)=0,"",SUM(I321:L321))</f>
        <v/>
      </c>
      <c r="N321" s="6" t="n"/>
      <c r="O321" s="28" t="n"/>
      <c r="P321" s="28" t="n"/>
    </row>
    <row r="322">
      <c r="A322" s="25" t="n"/>
      <c r="B322" s="26">
        <f>IF(A322="","",CHOOSE(WEEKDAY(A322,2),"Mo","Di","Mi","Do","Fr","Sa","So"))</f>
        <v/>
      </c>
      <c r="C322" s="6" t="n"/>
      <c r="D322" s="27" t="n"/>
      <c r="E322" s="9" t="n"/>
      <c r="F322" s="9" t="n"/>
      <c r="G322" s="9" t="n"/>
      <c r="H322" s="26">
        <f>IF(COUNT(E322:G322)=0,"",SUM(E322:G322))</f>
        <v/>
      </c>
      <c r="I322" s="9" t="n"/>
      <c r="J322" s="9" t="n"/>
      <c r="K322" s="9" t="n"/>
      <c r="L322" s="9" t="n"/>
      <c r="M322" s="26">
        <f>IF(COUNT(I322:L322)=0,"",SUM(I322:L322))</f>
        <v/>
      </c>
      <c r="N322" s="6" t="n"/>
      <c r="O322" s="28" t="n"/>
      <c r="P322" s="28" t="n"/>
    </row>
    <row r="323">
      <c r="A323" s="25" t="n"/>
      <c r="B323" s="26">
        <f>IF(A323="","",CHOOSE(WEEKDAY(A323,2),"Mo","Di","Mi","Do","Fr","Sa","So"))</f>
        <v/>
      </c>
      <c r="C323" s="6" t="n"/>
      <c r="D323" s="27" t="n"/>
      <c r="E323" s="9" t="n"/>
      <c r="F323" s="9" t="n"/>
      <c r="G323" s="9" t="n"/>
      <c r="H323" s="26">
        <f>IF(COUNT(E323:G323)=0,"",SUM(E323:G323))</f>
        <v/>
      </c>
      <c r="I323" s="9" t="n"/>
      <c r="J323" s="9" t="n"/>
      <c r="K323" s="9" t="n"/>
      <c r="L323" s="9" t="n"/>
      <c r="M323" s="26">
        <f>IF(COUNT(I323:L323)=0,"",SUM(I323:L323))</f>
        <v/>
      </c>
      <c r="N323" s="6" t="n"/>
      <c r="O323" s="28" t="n"/>
      <c r="P323" s="28" t="n"/>
    </row>
    <row r="324">
      <c r="A324" s="25" t="n"/>
      <c r="B324" s="26">
        <f>IF(A324="","",CHOOSE(WEEKDAY(A324,2),"Mo","Di","Mi","Do","Fr","Sa","So"))</f>
        <v/>
      </c>
      <c r="C324" s="6" t="n"/>
      <c r="D324" s="27" t="n"/>
      <c r="E324" s="9" t="n"/>
      <c r="F324" s="9" t="n"/>
      <c r="G324" s="9" t="n"/>
      <c r="H324" s="26">
        <f>IF(COUNT(E324:G324)=0,"",SUM(E324:G324))</f>
        <v/>
      </c>
      <c r="I324" s="9" t="n"/>
      <c r="J324" s="9" t="n"/>
      <c r="K324" s="9" t="n"/>
      <c r="L324" s="9" t="n"/>
      <c r="M324" s="26">
        <f>IF(COUNT(I324:L324)=0,"",SUM(I324:L324))</f>
        <v/>
      </c>
      <c r="N324" s="6" t="n"/>
      <c r="O324" s="28" t="n"/>
      <c r="P324" s="28" t="n"/>
    </row>
    <row r="325">
      <c r="A325" s="25" t="n"/>
      <c r="B325" s="26">
        <f>IF(A325="","",CHOOSE(WEEKDAY(A325,2),"Mo","Di","Mi","Do","Fr","Sa","So"))</f>
        <v/>
      </c>
      <c r="C325" s="6" t="n"/>
      <c r="D325" s="27" t="n"/>
      <c r="E325" s="9" t="n"/>
      <c r="F325" s="9" t="n"/>
      <c r="G325" s="9" t="n"/>
      <c r="H325" s="26">
        <f>IF(COUNT(E325:G325)=0,"",SUM(E325:G325))</f>
        <v/>
      </c>
      <c r="I325" s="9" t="n"/>
      <c r="J325" s="9" t="n"/>
      <c r="K325" s="9" t="n"/>
      <c r="L325" s="9" t="n"/>
      <c r="M325" s="26">
        <f>IF(COUNT(I325:L325)=0,"",SUM(I325:L325))</f>
        <v/>
      </c>
      <c r="N325" s="6" t="n"/>
      <c r="O325" s="28" t="n"/>
      <c r="P325" s="28" t="n"/>
    </row>
    <row r="326">
      <c r="A326" s="25" t="n"/>
      <c r="B326" s="26">
        <f>IF(A326="","",CHOOSE(WEEKDAY(A326,2),"Mo","Di","Mi","Do","Fr","Sa","So"))</f>
        <v/>
      </c>
      <c r="C326" s="6" t="n"/>
      <c r="D326" s="27" t="n"/>
      <c r="E326" s="9" t="n"/>
      <c r="F326" s="9" t="n"/>
      <c r="G326" s="9" t="n"/>
      <c r="H326" s="26">
        <f>IF(COUNT(E326:G326)=0,"",SUM(E326:G326))</f>
        <v/>
      </c>
      <c r="I326" s="9" t="n"/>
      <c r="J326" s="9" t="n"/>
      <c r="K326" s="9" t="n"/>
      <c r="L326" s="9" t="n"/>
      <c r="M326" s="26">
        <f>IF(COUNT(I326:L326)=0,"",SUM(I326:L326))</f>
        <v/>
      </c>
      <c r="N326" s="6" t="n"/>
      <c r="O326" s="28" t="n"/>
      <c r="P326" s="28" t="n"/>
    </row>
    <row r="327">
      <c r="A327" s="25" t="n"/>
      <c r="B327" s="26">
        <f>IF(A327="","",CHOOSE(WEEKDAY(A327,2),"Mo","Di","Mi","Do","Fr","Sa","So"))</f>
        <v/>
      </c>
      <c r="C327" s="6" t="n"/>
      <c r="D327" s="27" t="n"/>
      <c r="E327" s="9" t="n"/>
      <c r="F327" s="9" t="n"/>
      <c r="G327" s="9" t="n"/>
      <c r="H327" s="26">
        <f>IF(COUNT(E327:G327)=0,"",SUM(E327:G327))</f>
        <v/>
      </c>
      <c r="I327" s="9" t="n"/>
      <c r="J327" s="9" t="n"/>
      <c r="K327" s="9" t="n"/>
      <c r="L327" s="9" t="n"/>
      <c r="M327" s="26">
        <f>IF(COUNT(I327:L327)=0,"",SUM(I327:L327))</f>
        <v/>
      </c>
      <c r="N327" s="6" t="n"/>
      <c r="O327" s="28" t="n"/>
      <c r="P327" s="28" t="n"/>
    </row>
    <row r="328">
      <c r="A328" s="25" t="n"/>
      <c r="B328" s="26">
        <f>IF(A328="","",CHOOSE(WEEKDAY(A328,2),"Mo","Di","Mi","Do","Fr","Sa","So"))</f>
        <v/>
      </c>
      <c r="C328" s="6" t="n"/>
      <c r="D328" s="27" t="n"/>
      <c r="E328" s="9" t="n"/>
      <c r="F328" s="9" t="n"/>
      <c r="G328" s="9" t="n"/>
      <c r="H328" s="26">
        <f>IF(COUNT(E328:G328)=0,"",SUM(E328:G328))</f>
        <v/>
      </c>
      <c r="I328" s="9" t="n"/>
      <c r="J328" s="9" t="n"/>
      <c r="K328" s="9" t="n"/>
      <c r="L328" s="9" t="n"/>
      <c r="M328" s="26">
        <f>IF(COUNT(I328:L328)=0,"",SUM(I328:L328))</f>
        <v/>
      </c>
      <c r="N328" s="6" t="n"/>
      <c r="O328" s="28" t="n"/>
      <c r="P328" s="28" t="n"/>
    </row>
    <row r="329">
      <c r="A329" s="25" t="n"/>
      <c r="B329" s="26">
        <f>IF(A329="","",CHOOSE(WEEKDAY(A329,2),"Mo","Di","Mi","Do","Fr","Sa","So"))</f>
        <v/>
      </c>
      <c r="C329" s="6" t="n"/>
      <c r="D329" s="27" t="n"/>
      <c r="E329" s="9" t="n"/>
      <c r="F329" s="9" t="n"/>
      <c r="G329" s="9" t="n"/>
      <c r="H329" s="26">
        <f>IF(COUNT(E329:G329)=0,"",SUM(E329:G329))</f>
        <v/>
      </c>
      <c r="I329" s="9" t="n"/>
      <c r="J329" s="9" t="n"/>
      <c r="K329" s="9" t="n"/>
      <c r="L329" s="9" t="n"/>
      <c r="M329" s="26">
        <f>IF(COUNT(I329:L329)=0,"",SUM(I329:L329))</f>
        <v/>
      </c>
      <c r="N329" s="6" t="n"/>
      <c r="O329" s="28" t="n"/>
      <c r="P329" s="28" t="n"/>
    </row>
    <row r="330">
      <c r="A330" s="25" t="n"/>
      <c r="B330" s="26">
        <f>IF(A330="","",CHOOSE(WEEKDAY(A330,2),"Mo","Di","Mi","Do","Fr","Sa","So"))</f>
        <v/>
      </c>
      <c r="C330" s="6" t="n"/>
      <c r="D330" s="27" t="n"/>
      <c r="E330" s="9" t="n"/>
      <c r="F330" s="9" t="n"/>
      <c r="G330" s="9" t="n"/>
      <c r="H330" s="26">
        <f>IF(COUNT(E330:G330)=0,"",SUM(E330:G330))</f>
        <v/>
      </c>
      <c r="I330" s="9" t="n"/>
      <c r="J330" s="9" t="n"/>
      <c r="K330" s="9" t="n"/>
      <c r="L330" s="9" t="n"/>
      <c r="M330" s="26">
        <f>IF(COUNT(I330:L330)=0,"",SUM(I330:L330))</f>
        <v/>
      </c>
      <c r="N330" s="6" t="n"/>
      <c r="O330" s="28" t="n"/>
      <c r="P330" s="28" t="n"/>
    </row>
    <row r="331">
      <c r="A331" s="25" t="n"/>
      <c r="B331" s="26">
        <f>IF(A331="","",CHOOSE(WEEKDAY(A331,2),"Mo","Di","Mi","Do","Fr","Sa","So"))</f>
        <v/>
      </c>
      <c r="C331" s="6" t="n"/>
      <c r="D331" s="27" t="n"/>
      <c r="E331" s="9" t="n"/>
      <c r="F331" s="9" t="n"/>
      <c r="G331" s="9" t="n"/>
      <c r="H331" s="26">
        <f>IF(COUNT(E331:G331)=0,"",SUM(E331:G331))</f>
        <v/>
      </c>
      <c r="I331" s="9" t="n"/>
      <c r="J331" s="9" t="n"/>
      <c r="K331" s="9" t="n"/>
      <c r="L331" s="9" t="n"/>
      <c r="M331" s="26">
        <f>IF(COUNT(I331:L331)=0,"",SUM(I331:L331))</f>
        <v/>
      </c>
      <c r="N331" s="6" t="n"/>
      <c r="O331" s="28" t="n"/>
      <c r="P331" s="28" t="n"/>
    </row>
    <row r="332">
      <c r="A332" s="25" t="n"/>
      <c r="B332" s="26">
        <f>IF(A332="","",CHOOSE(WEEKDAY(A332,2),"Mo","Di","Mi","Do","Fr","Sa","So"))</f>
        <v/>
      </c>
      <c r="C332" s="6" t="n"/>
      <c r="D332" s="27" t="n"/>
      <c r="E332" s="9" t="n"/>
      <c r="F332" s="9" t="n"/>
      <c r="G332" s="9" t="n"/>
      <c r="H332" s="26">
        <f>IF(COUNT(E332:G332)=0,"",SUM(E332:G332))</f>
        <v/>
      </c>
      <c r="I332" s="9" t="n"/>
      <c r="J332" s="9" t="n"/>
      <c r="K332" s="9" t="n"/>
      <c r="L332" s="9" t="n"/>
      <c r="M332" s="26">
        <f>IF(COUNT(I332:L332)=0,"",SUM(I332:L332))</f>
        <v/>
      </c>
      <c r="N332" s="6" t="n"/>
      <c r="O332" s="28" t="n"/>
      <c r="P332" s="28" t="n"/>
    </row>
    <row r="333">
      <c r="A333" s="25" t="n"/>
      <c r="B333" s="26">
        <f>IF(A333="","",CHOOSE(WEEKDAY(A333,2),"Mo","Di","Mi","Do","Fr","Sa","So"))</f>
        <v/>
      </c>
      <c r="C333" s="6" t="n"/>
      <c r="D333" s="27" t="n"/>
      <c r="E333" s="9" t="n"/>
      <c r="F333" s="9" t="n"/>
      <c r="G333" s="9" t="n"/>
      <c r="H333" s="26">
        <f>IF(COUNT(E333:G333)=0,"",SUM(E333:G333))</f>
        <v/>
      </c>
      <c r="I333" s="9" t="n"/>
      <c r="J333" s="9" t="n"/>
      <c r="K333" s="9" t="n"/>
      <c r="L333" s="9" t="n"/>
      <c r="M333" s="26">
        <f>IF(COUNT(I333:L333)=0,"",SUM(I333:L333))</f>
        <v/>
      </c>
      <c r="N333" s="6" t="n"/>
      <c r="O333" s="28" t="n"/>
      <c r="P333" s="28" t="n"/>
    </row>
    <row r="334">
      <c r="A334" s="25" t="n"/>
      <c r="B334" s="26">
        <f>IF(A334="","",CHOOSE(WEEKDAY(A334,2),"Mo","Di","Mi","Do","Fr","Sa","So"))</f>
        <v/>
      </c>
      <c r="C334" s="6" t="n"/>
      <c r="D334" s="27" t="n"/>
      <c r="E334" s="9" t="n"/>
      <c r="F334" s="9" t="n"/>
      <c r="G334" s="9" t="n"/>
      <c r="H334" s="26">
        <f>IF(COUNT(E334:G334)=0,"",SUM(E334:G334))</f>
        <v/>
      </c>
      <c r="I334" s="9" t="n"/>
      <c r="J334" s="9" t="n"/>
      <c r="K334" s="9" t="n"/>
      <c r="L334" s="9" t="n"/>
      <c r="M334" s="26">
        <f>IF(COUNT(I334:L334)=0,"",SUM(I334:L334))</f>
        <v/>
      </c>
      <c r="N334" s="6" t="n"/>
      <c r="O334" s="28" t="n"/>
      <c r="P334" s="28" t="n"/>
    </row>
    <row r="335">
      <c r="A335" s="25" t="n"/>
      <c r="B335" s="26">
        <f>IF(A335="","",CHOOSE(WEEKDAY(A335,2),"Mo","Di","Mi","Do","Fr","Sa","So"))</f>
        <v/>
      </c>
      <c r="C335" s="6" t="n"/>
      <c r="D335" s="27" t="n"/>
      <c r="E335" s="9" t="n"/>
      <c r="F335" s="9" t="n"/>
      <c r="G335" s="9" t="n"/>
      <c r="H335" s="26">
        <f>IF(COUNT(E335:G335)=0,"",SUM(E335:G335))</f>
        <v/>
      </c>
      <c r="I335" s="9" t="n"/>
      <c r="J335" s="9" t="n"/>
      <c r="K335" s="9" t="n"/>
      <c r="L335" s="9" t="n"/>
      <c r="M335" s="26">
        <f>IF(COUNT(I335:L335)=0,"",SUM(I335:L335))</f>
        <v/>
      </c>
      <c r="N335" s="6" t="n"/>
      <c r="O335" s="28" t="n"/>
      <c r="P335" s="28" t="n"/>
    </row>
    <row r="336">
      <c r="A336" s="25" t="n"/>
      <c r="B336" s="26">
        <f>IF(A336="","",CHOOSE(WEEKDAY(A336,2),"Mo","Di","Mi","Do","Fr","Sa","So"))</f>
        <v/>
      </c>
      <c r="C336" s="6" t="n"/>
      <c r="D336" s="27" t="n"/>
      <c r="E336" s="9" t="n"/>
      <c r="F336" s="9" t="n"/>
      <c r="G336" s="9" t="n"/>
      <c r="H336" s="26">
        <f>IF(COUNT(E336:G336)=0,"",SUM(E336:G336))</f>
        <v/>
      </c>
      <c r="I336" s="9" t="n"/>
      <c r="J336" s="9" t="n"/>
      <c r="K336" s="9" t="n"/>
      <c r="L336" s="9" t="n"/>
      <c r="M336" s="26">
        <f>IF(COUNT(I336:L336)=0,"",SUM(I336:L336))</f>
        <v/>
      </c>
      <c r="N336" s="6" t="n"/>
      <c r="O336" s="28" t="n"/>
      <c r="P336" s="28" t="n"/>
    </row>
    <row r="337">
      <c r="A337" s="25" t="n"/>
      <c r="B337" s="26">
        <f>IF(A337="","",CHOOSE(WEEKDAY(A337,2),"Mo","Di","Mi","Do","Fr","Sa","So"))</f>
        <v/>
      </c>
      <c r="C337" s="6" t="n"/>
      <c r="D337" s="27" t="n"/>
      <c r="E337" s="9" t="n"/>
      <c r="F337" s="9" t="n"/>
      <c r="G337" s="9" t="n"/>
      <c r="H337" s="26">
        <f>IF(COUNT(E337:G337)=0,"",SUM(E337:G337))</f>
        <v/>
      </c>
      <c r="I337" s="9" t="n"/>
      <c r="J337" s="9" t="n"/>
      <c r="K337" s="9" t="n"/>
      <c r="L337" s="9" t="n"/>
      <c r="M337" s="26">
        <f>IF(COUNT(I337:L337)=0,"",SUM(I337:L337))</f>
        <v/>
      </c>
      <c r="N337" s="6" t="n"/>
      <c r="O337" s="28" t="n"/>
      <c r="P337" s="28" t="n"/>
    </row>
    <row r="338">
      <c r="A338" s="25" t="n"/>
      <c r="B338" s="26">
        <f>IF(A338="","",CHOOSE(WEEKDAY(A338,2),"Mo","Di","Mi","Do","Fr","Sa","So"))</f>
        <v/>
      </c>
      <c r="C338" s="6" t="n"/>
      <c r="D338" s="27" t="n"/>
      <c r="E338" s="9" t="n"/>
      <c r="F338" s="9" t="n"/>
      <c r="G338" s="9" t="n"/>
      <c r="H338" s="26">
        <f>IF(COUNT(E338:G338)=0,"",SUM(E338:G338))</f>
        <v/>
      </c>
      <c r="I338" s="9" t="n"/>
      <c r="J338" s="9" t="n"/>
      <c r="K338" s="9" t="n"/>
      <c r="L338" s="9" t="n"/>
      <c r="M338" s="26">
        <f>IF(COUNT(I338:L338)=0,"",SUM(I338:L338))</f>
        <v/>
      </c>
      <c r="N338" s="6" t="n"/>
      <c r="O338" s="28" t="n"/>
      <c r="P338" s="28" t="n"/>
    </row>
    <row r="339">
      <c r="A339" s="25" t="n"/>
      <c r="B339" s="26">
        <f>IF(A339="","",CHOOSE(WEEKDAY(A339,2),"Mo","Di","Mi","Do","Fr","Sa","So"))</f>
        <v/>
      </c>
      <c r="C339" s="6" t="n"/>
      <c r="D339" s="27" t="n"/>
      <c r="E339" s="9" t="n"/>
      <c r="F339" s="9" t="n"/>
      <c r="G339" s="9" t="n"/>
      <c r="H339" s="26">
        <f>IF(COUNT(E339:G339)=0,"",SUM(E339:G339))</f>
        <v/>
      </c>
      <c r="I339" s="9" t="n"/>
      <c r="J339" s="9" t="n"/>
      <c r="K339" s="9" t="n"/>
      <c r="L339" s="9" t="n"/>
      <c r="M339" s="26">
        <f>IF(COUNT(I339:L339)=0,"",SUM(I339:L339))</f>
        <v/>
      </c>
      <c r="N339" s="6" t="n"/>
      <c r="O339" s="28" t="n"/>
      <c r="P339" s="28" t="n"/>
    </row>
    <row r="340">
      <c r="A340" s="25" t="n"/>
      <c r="B340" s="26">
        <f>IF(A340="","",CHOOSE(WEEKDAY(A340,2),"Mo","Di","Mi","Do","Fr","Sa","So"))</f>
        <v/>
      </c>
      <c r="C340" s="6" t="n"/>
      <c r="D340" s="27" t="n"/>
      <c r="E340" s="9" t="n"/>
      <c r="F340" s="9" t="n"/>
      <c r="G340" s="9" t="n"/>
      <c r="H340" s="26">
        <f>IF(COUNT(E340:G340)=0,"",SUM(E340:G340))</f>
        <v/>
      </c>
      <c r="I340" s="9" t="n"/>
      <c r="J340" s="9" t="n"/>
      <c r="K340" s="9" t="n"/>
      <c r="L340" s="9" t="n"/>
      <c r="M340" s="26">
        <f>IF(COUNT(I340:L340)=0,"",SUM(I340:L340))</f>
        <v/>
      </c>
      <c r="N340" s="6" t="n"/>
      <c r="O340" s="28" t="n"/>
      <c r="P340" s="28" t="n"/>
    </row>
    <row r="341">
      <c r="A341" s="25" t="n"/>
      <c r="B341" s="26">
        <f>IF(A341="","",CHOOSE(WEEKDAY(A341,2),"Mo","Di","Mi","Do","Fr","Sa","So"))</f>
        <v/>
      </c>
      <c r="C341" s="6" t="n"/>
      <c r="D341" s="27" t="n"/>
      <c r="E341" s="9" t="n"/>
      <c r="F341" s="9" t="n"/>
      <c r="G341" s="9" t="n"/>
      <c r="H341" s="26">
        <f>IF(COUNT(E341:G341)=0,"",SUM(E341:G341))</f>
        <v/>
      </c>
      <c r="I341" s="9" t="n"/>
      <c r="J341" s="9" t="n"/>
      <c r="K341" s="9" t="n"/>
      <c r="L341" s="9" t="n"/>
      <c r="M341" s="26">
        <f>IF(COUNT(I341:L341)=0,"",SUM(I341:L341))</f>
        <v/>
      </c>
      <c r="N341" s="6" t="n"/>
      <c r="O341" s="28" t="n"/>
      <c r="P341" s="28" t="n"/>
    </row>
    <row r="342">
      <c r="A342" s="25" t="n"/>
      <c r="B342" s="26">
        <f>IF(A342="","",CHOOSE(WEEKDAY(A342,2),"Mo","Di","Mi","Do","Fr","Sa","So"))</f>
        <v/>
      </c>
      <c r="C342" s="6" t="n"/>
      <c r="D342" s="27" t="n"/>
      <c r="E342" s="9" t="n"/>
      <c r="F342" s="9" t="n"/>
      <c r="G342" s="9" t="n"/>
      <c r="H342" s="26">
        <f>IF(COUNT(E342:G342)=0,"",SUM(E342:G342))</f>
        <v/>
      </c>
      <c r="I342" s="9" t="n"/>
      <c r="J342" s="9" t="n"/>
      <c r="K342" s="9" t="n"/>
      <c r="L342" s="9" t="n"/>
      <c r="M342" s="26">
        <f>IF(COUNT(I342:L342)=0,"",SUM(I342:L342))</f>
        <v/>
      </c>
      <c r="N342" s="6" t="n"/>
      <c r="O342" s="28" t="n"/>
      <c r="P342" s="28" t="n"/>
    </row>
    <row r="343">
      <c r="A343" s="25" t="n"/>
      <c r="B343" s="26">
        <f>IF(A343="","",CHOOSE(WEEKDAY(A343,2),"Mo","Di","Mi","Do","Fr","Sa","So"))</f>
        <v/>
      </c>
      <c r="C343" s="6" t="n"/>
      <c r="D343" s="27" t="n"/>
      <c r="E343" s="9" t="n"/>
      <c r="F343" s="9" t="n"/>
      <c r="G343" s="9" t="n"/>
      <c r="H343" s="26">
        <f>IF(COUNT(E343:G343)=0,"",SUM(E343:G343))</f>
        <v/>
      </c>
      <c r="I343" s="9" t="n"/>
      <c r="J343" s="9" t="n"/>
      <c r="K343" s="9" t="n"/>
      <c r="L343" s="9" t="n"/>
      <c r="M343" s="26">
        <f>IF(COUNT(I343:L343)=0,"",SUM(I343:L343))</f>
        <v/>
      </c>
      <c r="N343" s="6" t="n"/>
      <c r="O343" s="28" t="n"/>
      <c r="P343" s="28" t="n"/>
    </row>
    <row r="344">
      <c r="A344" s="25" t="n"/>
      <c r="B344" s="26">
        <f>IF(A344="","",CHOOSE(WEEKDAY(A344,2),"Mo","Di","Mi","Do","Fr","Sa","So"))</f>
        <v/>
      </c>
      <c r="C344" s="6" t="n"/>
      <c r="D344" s="27" t="n"/>
      <c r="E344" s="9" t="n"/>
      <c r="F344" s="9" t="n"/>
      <c r="G344" s="9" t="n"/>
      <c r="H344" s="26">
        <f>IF(COUNT(E344:G344)=0,"",SUM(E344:G344))</f>
        <v/>
      </c>
      <c r="I344" s="9" t="n"/>
      <c r="J344" s="9" t="n"/>
      <c r="K344" s="9" t="n"/>
      <c r="L344" s="9" t="n"/>
      <c r="M344" s="26">
        <f>IF(COUNT(I344:L344)=0,"",SUM(I344:L344))</f>
        <v/>
      </c>
      <c r="N344" s="6" t="n"/>
      <c r="O344" s="28" t="n"/>
      <c r="P344" s="28" t="n"/>
    </row>
    <row r="345">
      <c r="A345" s="25" t="n"/>
      <c r="B345" s="26">
        <f>IF(A345="","",CHOOSE(WEEKDAY(A345,2),"Mo","Di","Mi","Do","Fr","Sa","So"))</f>
        <v/>
      </c>
      <c r="C345" s="6" t="n"/>
      <c r="D345" s="27" t="n"/>
      <c r="E345" s="9" t="n"/>
      <c r="F345" s="9" t="n"/>
      <c r="G345" s="9" t="n"/>
      <c r="H345" s="26">
        <f>IF(COUNT(E345:G345)=0,"",SUM(E345:G345))</f>
        <v/>
      </c>
      <c r="I345" s="9" t="n"/>
      <c r="J345" s="9" t="n"/>
      <c r="K345" s="9" t="n"/>
      <c r="L345" s="9" t="n"/>
      <c r="M345" s="26">
        <f>IF(COUNT(I345:L345)=0,"",SUM(I345:L345))</f>
        <v/>
      </c>
      <c r="N345" s="6" t="n"/>
      <c r="O345" s="28" t="n"/>
      <c r="P345" s="28" t="n"/>
    </row>
    <row r="346">
      <c r="A346" s="25" t="n"/>
      <c r="B346" s="26">
        <f>IF(A346="","",CHOOSE(WEEKDAY(A346,2),"Mo","Di","Mi","Do","Fr","Sa","So"))</f>
        <v/>
      </c>
      <c r="C346" s="6" t="n"/>
      <c r="D346" s="27" t="n"/>
      <c r="E346" s="9" t="n"/>
      <c r="F346" s="9" t="n"/>
      <c r="G346" s="9" t="n"/>
      <c r="H346" s="26">
        <f>IF(COUNT(E346:G346)=0,"",SUM(E346:G346))</f>
        <v/>
      </c>
      <c r="I346" s="9" t="n"/>
      <c r="J346" s="9" t="n"/>
      <c r="K346" s="9" t="n"/>
      <c r="L346" s="9" t="n"/>
      <c r="M346" s="26">
        <f>IF(COUNT(I346:L346)=0,"",SUM(I346:L346))</f>
        <v/>
      </c>
      <c r="N346" s="6" t="n"/>
      <c r="O346" s="28" t="n"/>
      <c r="P346" s="28" t="n"/>
    </row>
    <row r="347">
      <c r="A347" s="25" t="n"/>
      <c r="B347" s="26">
        <f>IF(A347="","",CHOOSE(WEEKDAY(A347,2),"Mo","Di","Mi","Do","Fr","Sa","So"))</f>
        <v/>
      </c>
      <c r="C347" s="6" t="n"/>
      <c r="D347" s="27" t="n"/>
      <c r="E347" s="9" t="n"/>
      <c r="F347" s="9" t="n"/>
      <c r="G347" s="9" t="n"/>
      <c r="H347" s="26">
        <f>IF(COUNT(E347:G347)=0,"",SUM(E347:G347))</f>
        <v/>
      </c>
      <c r="I347" s="9" t="n"/>
      <c r="J347" s="9" t="n"/>
      <c r="K347" s="9" t="n"/>
      <c r="L347" s="9" t="n"/>
      <c r="M347" s="26">
        <f>IF(COUNT(I347:L347)=0,"",SUM(I347:L347))</f>
        <v/>
      </c>
      <c r="N347" s="6" t="n"/>
      <c r="O347" s="28" t="n"/>
      <c r="P347" s="28" t="n"/>
    </row>
    <row r="348">
      <c r="A348" s="25" t="n"/>
      <c r="B348" s="26">
        <f>IF(A348="","",CHOOSE(WEEKDAY(A348,2),"Mo","Di","Mi","Do","Fr","Sa","So"))</f>
        <v/>
      </c>
      <c r="C348" s="6" t="n"/>
      <c r="D348" s="27" t="n"/>
      <c r="E348" s="9" t="n"/>
      <c r="F348" s="9" t="n"/>
      <c r="G348" s="9" t="n"/>
      <c r="H348" s="26">
        <f>IF(COUNT(E348:G348)=0,"",SUM(E348:G348))</f>
        <v/>
      </c>
      <c r="I348" s="9" t="n"/>
      <c r="J348" s="9" t="n"/>
      <c r="K348" s="9" t="n"/>
      <c r="L348" s="9" t="n"/>
      <c r="M348" s="26">
        <f>IF(COUNT(I348:L348)=0,"",SUM(I348:L348))</f>
        <v/>
      </c>
      <c r="N348" s="6" t="n"/>
      <c r="O348" s="28" t="n"/>
      <c r="P348" s="28" t="n"/>
    </row>
    <row r="349">
      <c r="A349" s="25" t="n"/>
      <c r="B349" s="26">
        <f>IF(A349="","",CHOOSE(WEEKDAY(A349,2),"Mo","Di","Mi","Do","Fr","Sa","So"))</f>
        <v/>
      </c>
      <c r="C349" s="6" t="n"/>
      <c r="D349" s="27" t="n"/>
      <c r="E349" s="9" t="n"/>
      <c r="F349" s="9" t="n"/>
      <c r="G349" s="9" t="n"/>
      <c r="H349" s="26">
        <f>IF(COUNT(E349:G349)=0,"",SUM(E349:G349))</f>
        <v/>
      </c>
      <c r="I349" s="9" t="n"/>
      <c r="J349" s="9" t="n"/>
      <c r="K349" s="9" t="n"/>
      <c r="L349" s="9" t="n"/>
      <c r="M349" s="26">
        <f>IF(COUNT(I349:L349)=0,"",SUM(I349:L349))</f>
        <v/>
      </c>
      <c r="N349" s="6" t="n"/>
      <c r="O349" s="28" t="n"/>
      <c r="P349" s="28" t="n"/>
    </row>
    <row r="350">
      <c r="A350" s="25" t="n"/>
      <c r="B350" s="26">
        <f>IF(A350="","",CHOOSE(WEEKDAY(A350,2),"Mo","Di","Mi","Do","Fr","Sa","So"))</f>
        <v/>
      </c>
      <c r="C350" s="6" t="n"/>
      <c r="D350" s="27" t="n"/>
      <c r="E350" s="9" t="n"/>
      <c r="F350" s="9" t="n"/>
      <c r="G350" s="9" t="n"/>
      <c r="H350" s="26">
        <f>IF(COUNT(E350:G350)=0,"",SUM(E350:G350))</f>
        <v/>
      </c>
      <c r="I350" s="9" t="n"/>
      <c r="J350" s="9" t="n"/>
      <c r="K350" s="9" t="n"/>
      <c r="L350" s="9" t="n"/>
      <c r="M350" s="26">
        <f>IF(COUNT(I350:L350)=0,"",SUM(I350:L350))</f>
        <v/>
      </c>
      <c r="N350" s="6" t="n"/>
      <c r="O350" s="28" t="n"/>
      <c r="P350" s="28" t="n"/>
    </row>
    <row r="351">
      <c r="A351" s="25" t="n"/>
      <c r="B351" s="26">
        <f>IF(A351="","",CHOOSE(WEEKDAY(A351,2),"Mo","Di","Mi","Do","Fr","Sa","So"))</f>
        <v/>
      </c>
      <c r="C351" s="6" t="n"/>
      <c r="D351" s="27" t="n"/>
      <c r="E351" s="9" t="n"/>
      <c r="F351" s="9" t="n"/>
      <c r="G351" s="9" t="n"/>
      <c r="H351" s="26">
        <f>IF(COUNT(E351:G351)=0,"",SUM(E351:G351))</f>
        <v/>
      </c>
      <c r="I351" s="9" t="n"/>
      <c r="J351" s="9" t="n"/>
      <c r="K351" s="9" t="n"/>
      <c r="L351" s="9" t="n"/>
      <c r="M351" s="26">
        <f>IF(COUNT(I351:L351)=0,"",SUM(I351:L351))</f>
        <v/>
      </c>
      <c r="N351" s="6" t="n"/>
      <c r="O351" s="28" t="n"/>
      <c r="P351" s="28" t="n"/>
    </row>
    <row r="352">
      <c r="A352" s="25" t="n"/>
      <c r="B352" s="26">
        <f>IF(A352="","",CHOOSE(WEEKDAY(A352,2),"Mo","Di","Mi","Do","Fr","Sa","So"))</f>
        <v/>
      </c>
      <c r="C352" s="6" t="n"/>
      <c r="D352" s="27" t="n"/>
      <c r="E352" s="9" t="n"/>
      <c r="F352" s="9" t="n"/>
      <c r="G352" s="9" t="n"/>
      <c r="H352" s="26">
        <f>IF(COUNT(E352:G352)=0,"",SUM(E352:G352))</f>
        <v/>
      </c>
      <c r="I352" s="9" t="n"/>
      <c r="J352" s="9" t="n"/>
      <c r="K352" s="9" t="n"/>
      <c r="L352" s="9" t="n"/>
      <c r="M352" s="26">
        <f>IF(COUNT(I352:L352)=0,"",SUM(I352:L352))</f>
        <v/>
      </c>
      <c r="N352" s="6" t="n"/>
      <c r="O352" s="28" t="n"/>
      <c r="P352" s="28" t="n"/>
    </row>
    <row r="353">
      <c r="A353" s="25" t="n"/>
      <c r="B353" s="26">
        <f>IF(A353="","",CHOOSE(WEEKDAY(A353,2),"Mo","Di","Mi","Do","Fr","Sa","So"))</f>
        <v/>
      </c>
      <c r="C353" s="6" t="n"/>
      <c r="D353" s="27" t="n"/>
      <c r="E353" s="9" t="n"/>
      <c r="F353" s="9" t="n"/>
      <c r="G353" s="9" t="n"/>
      <c r="H353" s="26">
        <f>IF(COUNT(E353:G353)=0,"",SUM(E353:G353))</f>
        <v/>
      </c>
      <c r="I353" s="9" t="n"/>
      <c r="J353" s="9" t="n"/>
      <c r="K353" s="9" t="n"/>
      <c r="L353" s="9" t="n"/>
      <c r="M353" s="26">
        <f>IF(COUNT(I353:L353)=0,"",SUM(I353:L353))</f>
        <v/>
      </c>
      <c r="N353" s="6" t="n"/>
      <c r="O353" s="28" t="n"/>
      <c r="P353" s="28" t="n"/>
    </row>
    <row r="354">
      <c r="A354" s="25" t="n"/>
      <c r="B354" s="26">
        <f>IF(A354="","",CHOOSE(WEEKDAY(A354,2),"Mo","Di","Mi","Do","Fr","Sa","So"))</f>
        <v/>
      </c>
      <c r="C354" s="6" t="n"/>
      <c r="D354" s="27" t="n"/>
      <c r="E354" s="9" t="n"/>
      <c r="F354" s="9" t="n"/>
      <c r="G354" s="9" t="n"/>
      <c r="H354" s="26">
        <f>IF(COUNT(E354:G354)=0,"",SUM(E354:G354))</f>
        <v/>
      </c>
      <c r="I354" s="9" t="n"/>
      <c r="J354" s="9" t="n"/>
      <c r="K354" s="9" t="n"/>
      <c r="L354" s="9" t="n"/>
      <c r="M354" s="26">
        <f>IF(COUNT(I354:L354)=0,"",SUM(I354:L354))</f>
        <v/>
      </c>
      <c r="N354" s="6" t="n"/>
      <c r="O354" s="28" t="n"/>
      <c r="P354" s="28" t="n"/>
    </row>
    <row r="355">
      <c r="A355" s="25" t="n"/>
      <c r="B355" s="26">
        <f>IF(A355="","",CHOOSE(WEEKDAY(A355,2),"Mo","Di","Mi","Do","Fr","Sa","So"))</f>
        <v/>
      </c>
      <c r="C355" s="6" t="n"/>
      <c r="D355" s="27" t="n"/>
      <c r="E355" s="9" t="n"/>
      <c r="F355" s="9" t="n"/>
      <c r="G355" s="9" t="n"/>
      <c r="H355" s="26">
        <f>IF(COUNT(E355:G355)=0,"",SUM(E355:G355))</f>
        <v/>
      </c>
      <c r="I355" s="9" t="n"/>
      <c r="J355" s="9" t="n"/>
      <c r="K355" s="9" t="n"/>
      <c r="L355" s="9" t="n"/>
      <c r="M355" s="26">
        <f>IF(COUNT(I355:L355)=0,"",SUM(I355:L355))</f>
        <v/>
      </c>
      <c r="N355" s="6" t="n"/>
      <c r="O355" s="28" t="n"/>
      <c r="P355" s="28" t="n"/>
    </row>
    <row r="356">
      <c r="A356" s="25" t="n"/>
      <c r="B356" s="26">
        <f>IF(A356="","",CHOOSE(WEEKDAY(A356,2),"Mo","Di","Mi","Do","Fr","Sa","So"))</f>
        <v/>
      </c>
      <c r="C356" s="6" t="n"/>
      <c r="D356" s="27" t="n"/>
      <c r="E356" s="9" t="n"/>
      <c r="F356" s="9" t="n"/>
      <c r="G356" s="9" t="n"/>
      <c r="H356" s="26">
        <f>IF(COUNT(E356:G356)=0,"",SUM(E356:G356))</f>
        <v/>
      </c>
      <c r="I356" s="9" t="n"/>
      <c r="J356" s="9" t="n"/>
      <c r="K356" s="9" t="n"/>
      <c r="L356" s="9" t="n"/>
      <c r="M356" s="26">
        <f>IF(COUNT(I356:L356)=0,"",SUM(I356:L356))</f>
        <v/>
      </c>
      <c r="N356" s="6" t="n"/>
      <c r="O356" s="28" t="n"/>
      <c r="P356" s="28" t="n"/>
    </row>
    <row r="357">
      <c r="A357" s="25" t="n"/>
      <c r="B357" s="26">
        <f>IF(A357="","",CHOOSE(WEEKDAY(A357,2),"Mo","Di","Mi","Do","Fr","Sa","So"))</f>
        <v/>
      </c>
      <c r="C357" s="6" t="n"/>
      <c r="D357" s="27" t="n"/>
      <c r="E357" s="9" t="n"/>
      <c r="F357" s="9" t="n"/>
      <c r="G357" s="9" t="n"/>
      <c r="H357" s="26">
        <f>IF(COUNT(E357:G357)=0,"",SUM(E357:G357))</f>
        <v/>
      </c>
      <c r="I357" s="9" t="n"/>
      <c r="J357" s="9" t="n"/>
      <c r="K357" s="9" t="n"/>
      <c r="L357" s="9" t="n"/>
      <c r="M357" s="26">
        <f>IF(COUNT(I357:L357)=0,"",SUM(I357:L357))</f>
        <v/>
      </c>
      <c r="N357" s="6" t="n"/>
      <c r="O357" s="28" t="n"/>
      <c r="P357" s="28" t="n"/>
    </row>
    <row r="358">
      <c r="A358" s="25" t="n"/>
      <c r="B358" s="26">
        <f>IF(A358="","",CHOOSE(WEEKDAY(A358,2),"Mo","Di","Mi","Do","Fr","Sa","So"))</f>
        <v/>
      </c>
      <c r="C358" s="6" t="n"/>
      <c r="D358" s="27" t="n"/>
      <c r="E358" s="9" t="n"/>
      <c r="F358" s="9" t="n"/>
      <c r="G358" s="9" t="n"/>
      <c r="H358" s="26">
        <f>IF(COUNT(E358:G358)=0,"",SUM(E358:G358))</f>
        <v/>
      </c>
      <c r="I358" s="9" t="n"/>
      <c r="J358" s="9" t="n"/>
      <c r="K358" s="9" t="n"/>
      <c r="L358" s="9" t="n"/>
      <c r="M358" s="26">
        <f>IF(COUNT(I358:L358)=0,"",SUM(I358:L358))</f>
        <v/>
      </c>
      <c r="N358" s="6" t="n"/>
      <c r="O358" s="28" t="n"/>
      <c r="P358" s="28" t="n"/>
    </row>
    <row r="359">
      <c r="A359" s="25" t="n"/>
      <c r="B359" s="26">
        <f>IF(A359="","",CHOOSE(WEEKDAY(A359,2),"Mo","Di","Mi","Do","Fr","Sa","So"))</f>
        <v/>
      </c>
      <c r="C359" s="6" t="n"/>
      <c r="D359" s="27" t="n"/>
      <c r="E359" s="9" t="n"/>
      <c r="F359" s="9" t="n"/>
      <c r="G359" s="9" t="n"/>
      <c r="H359" s="26">
        <f>IF(COUNT(E359:G359)=0,"",SUM(E359:G359))</f>
        <v/>
      </c>
      <c r="I359" s="9" t="n"/>
      <c r="J359" s="9" t="n"/>
      <c r="K359" s="9" t="n"/>
      <c r="L359" s="9" t="n"/>
      <c r="M359" s="26">
        <f>IF(COUNT(I359:L359)=0,"",SUM(I359:L359))</f>
        <v/>
      </c>
      <c r="N359" s="6" t="n"/>
      <c r="O359" s="28" t="n"/>
      <c r="P359" s="28" t="n"/>
    </row>
    <row r="360">
      <c r="A360" s="25" t="n"/>
      <c r="B360" s="26">
        <f>IF(A360="","",CHOOSE(WEEKDAY(A360,2),"Mo","Di","Mi","Do","Fr","Sa","So"))</f>
        <v/>
      </c>
      <c r="C360" s="6" t="n"/>
      <c r="D360" s="27" t="n"/>
      <c r="E360" s="9" t="n"/>
      <c r="F360" s="9" t="n"/>
      <c r="G360" s="9" t="n"/>
      <c r="H360" s="26">
        <f>IF(COUNT(E360:G360)=0,"",SUM(E360:G360))</f>
        <v/>
      </c>
      <c r="I360" s="9" t="n"/>
      <c r="J360" s="9" t="n"/>
      <c r="K360" s="9" t="n"/>
      <c r="L360" s="9" t="n"/>
      <c r="M360" s="26">
        <f>IF(COUNT(I360:L360)=0,"",SUM(I360:L360))</f>
        <v/>
      </c>
      <c r="N360" s="6" t="n"/>
      <c r="O360" s="28" t="n"/>
      <c r="P360" s="28" t="n"/>
    </row>
    <row r="361">
      <c r="A361" s="25" t="n"/>
      <c r="B361" s="26">
        <f>IF(A361="","",CHOOSE(WEEKDAY(A361,2),"Mo","Di","Mi","Do","Fr","Sa","So"))</f>
        <v/>
      </c>
      <c r="C361" s="6" t="n"/>
      <c r="D361" s="27" t="n"/>
      <c r="E361" s="9" t="n"/>
      <c r="F361" s="9" t="n"/>
      <c r="G361" s="9" t="n"/>
      <c r="H361" s="26">
        <f>IF(COUNT(E361:G361)=0,"",SUM(E361:G361))</f>
        <v/>
      </c>
      <c r="I361" s="9" t="n"/>
      <c r="J361" s="9" t="n"/>
      <c r="K361" s="9" t="n"/>
      <c r="L361" s="9" t="n"/>
      <c r="M361" s="26">
        <f>IF(COUNT(I361:L361)=0,"",SUM(I361:L361))</f>
        <v/>
      </c>
      <c r="N361" s="6" t="n"/>
      <c r="O361" s="28" t="n"/>
      <c r="P361" s="28" t="n"/>
    </row>
    <row r="362">
      <c r="A362" s="25" t="n"/>
      <c r="B362" s="26">
        <f>IF(A362="","",CHOOSE(WEEKDAY(A362,2),"Mo","Di","Mi","Do","Fr","Sa","So"))</f>
        <v/>
      </c>
      <c r="C362" s="6" t="n"/>
      <c r="D362" s="27" t="n"/>
      <c r="E362" s="9" t="n"/>
      <c r="F362" s="9" t="n"/>
      <c r="G362" s="9" t="n"/>
      <c r="H362" s="26">
        <f>IF(COUNT(E362:G362)=0,"",SUM(E362:G362))</f>
        <v/>
      </c>
      <c r="I362" s="9" t="n"/>
      <c r="J362" s="9" t="n"/>
      <c r="K362" s="9" t="n"/>
      <c r="L362" s="9" t="n"/>
      <c r="M362" s="26">
        <f>IF(COUNT(I362:L362)=0,"",SUM(I362:L362))</f>
        <v/>
      </c>
      <c r="N362" s="6" t="n"/>
      <c r="O362" s="28" t="n"/>
      <c r="P362" s="28" t="n"/>
    </row>
    <row r="363">
      <c r="A363" s="25" t="n"/>
      <c r="B363" s="26">
        <f>IF(A363="","",CHOOSE(WEEKDAY(A363,2),"Mo","Di","Mi","Do","Fr","Sa","So"))</f>
        <v/>
      </c>
      <c r="C363" s="6" t="n"/>
      <c r="D363" s="27" t="n"/>
      <c r="E363" s="9" t="n"/>
      <c r="F363" s="9" t="n"/>
      <c r="G363" s="9" t="n"/>
      <c r="H363" s="26">
        <f>IF(COUNT(E363:G363)=0,"",SUM(E363:G363))</f>
        <v/>
      </c>
      <c r="I363" s="9" t="n"/>
      <c r="J363" s="9" t="n"/>
      <c r="K363" s="9" t="n"/>
      <c r="L363" s="9" t="n"/>
      <c r="M363" s="26">
        <f>IF(COUNT(I363:L363)=0,"",SUM(I363:L363))</f>
        <v/>
      </c>
      <c r="N363" s="6" t="n"/>
      <c r="O363" s="28" t="n"/>
      <c r="P363" s="28" t="n"/>
    </row>
    <row r="364">
      <c r="A364" s="25" t="n"/>
      <c r="B364" s="26">
        <f>IF(A364="","",CHOOSE(WEEKDAY(A364,2),"Mo","Di","Mi","Do","Fr","Sa","So"))</f>
        <v/>
      </c>
      <c r="C364" s="6" t="n"/>
      <c r="D364" s="27" t="n"/>
      <c r="E364" s="9" t="n"/>
      <c r="F364" s="9" t="n"/>
      <c r="G364" s="9" t="n"/>
      <c r="H364" s="26">
        <f>IF(COUNT(E364:G364)=0,"",SUM(E364:G364))</f>
        <v/>
      </c>
      <c r="I364" s="9" t="n"/>
      <c r="J364" s="9" t="n"/>
      <c r="K364" s="9" t="n"/>
      <c r="L364" s="9" t="n"/>
      <c r="M364" s="26">
        <f>IF(COUNT(I364:L364)=0,"",SUM(I364:L364))</f>
        <v/>
      </c>
      <c r="N364" s="6" t="n"/>
      <c r="O364" s="28" t="n"/>
      <c r="P364" s="28" t="n"/>
    </row>
    <row r="365">
      <c r="A365" s="25" t="n"/>
      <c r="B365" s="26">
        <f>IF(A365="","",CHOOSE(WEEKDAY(A365,2),"Mo","Di","Mi","Do","Fr","Sa","So"))</f>
        <v/>
      </c>
      <c r="C365" s="6" t="n"/>
      <c r="D365" s="27" t="n"/>
      <c r="E365" s="9" t="n"/>
      <c r="F365" s="9" t="n"/>
      <c r="G365" s="9" t="n"/>
      <c r="H365" s="26">
        <f>IF(COUNT(E365:G365)=0,"",SUM(E365:G365))</f>
        <v/>
      </c>
      <c r="I365" s="9" t="n"/>
      <c r="J365" s="9" t="n"/>
      <c r="K365" s="9" t="n"/>
      <c r="L365" s="9" t="n"/>
      <c r="M365" s="26">
        <f>IF(COUNT(I365:L365)=0,"",SUM(I365:L365))</f>
        <v/>
      </c>
      <c r="N365" s="6" t="n"/>
      <c r="O365" s="28" t="n"/>
      <c r="P365" s="28" t="n"/>
    </row>
    <row r="366">
      <c r="A366" s="25" t="n"/>
      <c r="B366" s="26">
        <f>IF(A366="","",CHOOSE(WEEKDAY(A366,2),"Mo","Di","Mi","Do","Fr","Sa","So"))</f>
        <v/>
      </c>
      <c r="C366" s="6" t="n"/>
      <c r="D366" s="27" t="n"/>
      <c r="E366" s="9" t="n"/>
      <c r="F366" s="9" t="n"/>
      <c r="G366" s="9" t="n"/>
      <c r="H366" s="26">
        <f>IF(COUNT(E366:G366)=0,"",SUM(E366:G366))</f>
        <v/>
      </c>
      <c r="I366" s="9" t="n"/>
      <c r="J366" s="9" t="n"/>
      <c r="K366" s="9" t="n"/>
      <c r="L366" s="9" t="n"/>
      <c r="M366" s="26">
        <f>IF(COUNT(I366:L366)=0,"",SUM(I366:L366))</f>
        <v/>
      </c>
      <c r="N366" s="6" t="n"/>
      <c r="O366" s="28" t="n"/>
      <c r="P366" s="28" t="n"/>
    </row>
    <row r="367">
      <c r="A367" s="25" t="n"/>
      <c r="B367" s="26">
        <f>IF(A367="","",CHOOSE(WEEKDAY(A367,2),"Mo","Di","Mi","Do","Fr","Sa","So"))</f>
        <v/>
      </c>
      <c r="C367" s="6" t="n"/>
      <c r="D367" s="27" t="n"/>
      <c r="E367" s="9" t="n"/>
      <c r="F367" s="9" t="n"/>
      <c r="G367" s="9" t="n"/>
      <c r="H367" s="26">
        <f>IF(COUNT(E367:G367)=0,"",SUM(E367:G367))</f>
        <v/>
      </c>
      <c r="I367" s="9" t="n"/>
      <c r="J367" s="9" t="n"/>
      <c r="K367" s="9" t="n"/>
      <c r="L367" s="9" t="n"/>
      <c r="M367" s="26">
        <f>IF(COUNT(I367:L367)=0,"",SUM(I367:L367))</f>
        <v/>
      </c>
      <c r="N367" s="6" t="n"/>
      <c r="O367" s="28" t="n"/>
      <c r="P367" s="28" t="n"/>
    </row>
    <row r="368">
      <c r="A368" s="25" t="n"/>
      <c r="B368" s="26">
        <f>IF(A368="","",CHOOSE(WEEKDAY(A368,2),"Mo","Di","Mi","Do","Fr","Sa","So"))</f>
        <v/>
      </c>
      <c r="C368" s="6" t="n"/>
      <c r="D368" s="27" t="n"/>
      <c r="E368" s="9" t="n"/>
      <c r="F368" s="9" t="n"/>
      <c r="G368" s="9" t="n"/>
      <c r="H368" s="26">
        <f>IF(COUNT(E368:G368)=0,"",SUM(E368:G368))</f>
        <v/>
      </c>
      <c r="I368" s="9" t="n"/>
      <c r="J368" s="9" t="n"/>
      <c r="K368" s="9" t="n"/>
      <c r="L368" s="9" t="n"/>
      <c r="M368" s="26">
        <f>IF(COUNT(I368:L368)=0,"",SUM(I368:L368))</f>
        <v/>
      </c>
      <c r="N368" s="6" t="n"/>
      <c r="O368" s="28" t="n"/>
      <c r="P368" s="28" t="n"/>
    </row>
    <row r="369">
      <c r="A369" s="25" t="n"/>
      <c r="B369" s="26">
        <f>IF(A369="","",CHOOSE(WEEKDAY(A369,2),"Mo","Di","Mi","Do","Fr","Sa","So"))</f>
        <v/>
      </c>
      <c r="C369" s="6" t="n"/>
      <c r="D369" s="27" t="n"/>
      <c r="E369" s="9" t="n"/>
      <c r="F369" s="9" t="n"/>
      <c r="G369" s="9" t="n"/>
      <c r="H369" s="26">
        <f>IF(COUNT(E369:G369)=0,"",SUM(E369:G369))</f>
        <v/>
      </c>
      <c r="I369" s="9" t="n"/>
      <c r="J369" s="9" t="n"/>
      <c r="K369" s="9" t="n"/>
      <c r="L369" s="9" t="n"/>
      <c r="M369" s="26">
        <f>IF(COUNT(I369:L369)=0,"",SUM(I369:L369))</f>
        <v/>
      </c>
      <c r="N369" s="6" t="n"/>
      <c r="O369" s="28" t="n"/>
      <c r="P369" s="28" t="n"/>
    </row>
    <row r="370">
      <c r="A370" s="25" t="n"/>
      <c r="B370" s="26">
        <f>IF(A370="","",CHOOSE(WEEKDAY(A370,2),"Mo","Di","Mi","Do","Fr","Sa","So"))</f>
        <v/>
      </c>
      <c r="C370" s="6" t="n"/>
      <c r="D370" s="27" t="n"/>
      <c r="E370" s="9" t="n"/>
      <c r="F370" s="9" t="n"/>
      <c r="G370" s="9" t="n"/>
      <c r="H370" s="26">
        <f>IF(COUNT(E370:G370)=0,"",SUM(E370:G370))</f>
        <v/>
      </c>
      <c r="I370" s="9" t="n"/>
      <c r="J370" s="9" t="n"/>
      <c r="K370" s="9" t="n"/>
      <c r="L370" s="9" t="n"/>
      <c r="M370" s="26">
        <f>IF(COUNT(I370:L370)=0,"",SUM(I370:L370))</f>
        <v/>
      </c>
      <c r="N370" s="6" t="n"/>
      <c r="O370" s="28" t="n"/>
      <c r="P370" s="28" t="n"/>
    </row>
    <row r="371">
      <c r="A371" s="25" t="n"/>
      <c r="B371" s="26">
        <f>IF(A371="","",CHOOSE(WEEKDAY(A371,2),"Mo","Di","Mi","Do","Fr","Sa","So"))</f>
        <v/>
      </c>
      <c r="C371" s="6" t="n"/>
      <c r="D371" s="27" t="n"/>
      <c r="E371" s="9" t="n"/>
      <c r="F371" s="9" t="n"/>
      <c r="G371" s="9" t="n"/>
      <c r="H371" s="26">
        <f>IF(COUNT(E371:G371)=0,"",SUM(E371:G371))</f>
        <v/>
      </c>
      <c r="I371" s="9" t="n"/>
      <c r="J371" s="9" t="n"/>
      <c r="K371" s="9" t="n"/>
      <c r="L371" s="9" t="n"/>
      <c r="M371" s="26">
        <f>IF(COUNT(I371:L371)=0,"",SUM(I371:L371))</f>
        <v/>
      </c>
      <c r="N371" s="6" t="n"/>
      <c r="O371" s="28" t="n"/>
      <c r="P371" s="28" t="n"/>
    </row>
    <row r="372">
      <c r="A372" s="25" t="n"/>
      <c r="B372" s="26">
        <f>IF(A372="","",CHOOSE(WEEKDAY(A372,2),"Mo","Di","Mi","Do","Fr","Sa","So"))</f>
        <v/>
      </c>
      <c r="C372" s="6" t="n"/>
      <c r="D372" s="27" t="n"/>
      <c r="E372" s="9" t="n"/>
      <c r="F372" s="9" t="n"/>
      <c r="G372" s="9" t="n"/>
      <c r="H372" s="26">
        <f>IF(COUNT(E372:G372)=0,"",SUM(E372:G372))</f>
        <v/>
      </c>
      <c r="I372" s="9" t="n"/>
      <c r="J372" s="9" t="n"/>
      <c r="K372" s="9" t="n"/>
      <c r="L372" s="9" t="n"/>
      <c r="M372" s="26">
        <f>IF(COUNT(I372:L372)=0,"",SUM(I372:L372))</f>
        <v/>
      </c>
      <c r="N372" s="6" t="n"/>
      <c r="O372" s="28" t="n"/>
      <c r="P372" s="28" t="n"/>
    </row>
    <row r="373">
      <c r="A373" s="25" t="n"/>
      <c r="B373" s="26">
        <f>IF(A373="","",CHOOSE(WEEKDAY(A373,2),"Mo","Di","Mi","Do","Fr","Sa","So"))</f>
        <v/>
      </c>
      <c r="C373" s="6" t="n"/>
      <c r="D373" s="27" t="n"/>
      <c r="E373" s="9" t="n"/>
      <c r="F373" s="9" t="n"/>
      <c r="G373" s="9" t="n"/>
      <c r="H373" s="26">
        <f>IF(COUNT(E373:G373)=0,"",SUM(E373:G373))</f>
        <v/>
      </c>
      <c r="I373" s="9" t="n"/>
      <c r="J373" s="9" t="n"/>
      <c r="K373" s="9" t="n"/>
      <c r="L373" s="9" t="n"/>
      <c r="M373" s="26">
        <f>IF(COUNT(I373:L373)=0,"",SUM(I373:L373))</f>
        <v/>
      </c>
      <c r="N373" s="6" t="n"/>
      <c r="O373" s="28" t="n"/>
      <c r="P373" s="28" t="n"/>
    </row>
    <row r="374">
      <c r="A374" s="25" t="n"/>
      <c r="B374" s="26">
        <f>IF(A374="","",CHOOSE(WEEKDAY(A374,2),"Mo","Di","Mi","Do","Fr","Sa","So"))</f>
        <v/>
      </c>
      <c r="C374" s="6" t="n"/>
      <c r="D374" s="27" t="n"/>
      <c r="E374" s="9" t="n"/>
      <c r="F374" s="9" t="n"/>
      <c r="G374" s="9" t="n"/>
      <c r="H374" s="26">
        <f>IF(COUNT(E374:G374)=0,"",SUM(E374:G374))</f>
        <v/>
      </c>
      <c r="I374" s="9" t="n"/>
      <c r="J374" s="9" t="n"/>
      <c r="K374" s="9" t="n"/>
      <c r="L374" s="9" t="n"/>
      <c r="M374" s="26">
        <f>IF(COUNT(I374:L374)=0,"",SUM(I374:L374))</f>
        <v/>
      </c>
      <c r="N374" s="6" t="n"/>
      <c r="O374" s="28" t="n"/>
      <c r="P374" s="28" t="n"/>
    </row>
    <row r="375">
      <c r="A375" s="25" t="n"/>
      <c r="B375" s="26">
        <f>IF(A375="","",CHOOSE(WEEKDAY(A375,2),"Mo","Di","Mi","Do","Fr","Sa","So"))</f>
        <v/>
      </c>
      <c r="C375" s="6" t="n"/>
      <c r="D375" s="27" t="n"/>
      <c r="E375" s="9" t="n"/>
      <c r="F375" s="9" t="n"/>
      <c r="G375" s="9" t="n"/>
      <c r="H375" s="26">
        <f>IF(COUNT(E375:G375)=0,"",SUM(E375:G375))</f>
        <v/>
      </c>
      <c r="I375" s="9" t="n"/>
      <c r="J375" s="9" t="n"/>
      <c r="K375" s="9" t="n"/>
      <c r="L375" s="9" t="n"/>
      <c r="M375" s="26">
        <f>IF(COUNT(I375:L375)=0,"",SUM(I375:L375))</f>
        <v/>
      </c>
      <c r="N375" s="6" t="n"/>
      <c r="O375" s="28" t="n"/>
      <c r="P375" s="28" t="n"/>
    </row>
    <row r="376">
      <c r="A376" s="25" t="n"/>
      <c r="B376" s="26">
        <f>IF(A376="","",CHOOSE(WEEKDAY(A376,2),"Mo","Di","Mi","Do","Fr","Sa","So"))</f>
        <v/>
      </c>
      <c r="C376" s="6" t="n"/>
      <c r="D376" s="27" t="n"/>
      <c r="E376" s="9" t="n"/>
      <c r="F376" s="9" t="n"/>
      <c r="G376" s="9" t="n"/>
      <c r="H376" s="26">
        <f>IF(COUNT(E376:G376)=0,"",SUM(E376:G376))</f>
        <v/>
      </c>
      <c r="I376" s="9" t="n"/>
      <c r="J376" s="9" t="n"/>
      <c r="K376" s="9" t="n"/>
      <c r="L376" s="9" t="n"/>
      <c r="M376" s="26">
        <f>IF(COUNT(I376:L376)=0,"",SUM(I376:L376))</f>
        <v/>
      </c>
      <c r="N376" s="6" t="n"/>
      <c r="O376" s="28" t="n"/>
      <c r="P376" s="28" t="n"/>
    </row>
    <row r="377">
      <c r="A377" s="25" t="n"/>
      <c r="B377" s="26">
        <f>IF(A377="","",CHOOSE(WEEKDAY(A377,2),"Mo","Di","Mi","Do","Fr","Sa","So"))</f>
        <v/>
      </c>
      <c r="C377" s="6" t="n"/>
      <c r="D377" s="27" t="n"/>
      <c r="E377" s="9" t="n"/>
      <c r="F377" s="9" t="n"/>
      <c r="G377" s="9" t="n"/>
      <c r="H377" s="26">
        <f>IF(COUNT(E377:G377)=0,"",SUM(E377:G377))</f>
        <v/>
      </c>
      <c r="I377" s="9" t="n"/>
      <c r="J377" s="9" t="n"/>
      <c r="K377" s="9" t="n"/>
      <c r="L377" s="9" t="n"/>
      <c r="M377" s="26">
        <f>IF(COUNT(I377:L377)=0,"",SUM(I377:L377))</f>
        <v/>
      </c>
      <c r="N377" s="6" t="n"/>
      <c r="O377" s="28" t="n"/>
      <c r="P377" s="28" t="n"/>
    </row>
    <row r="378">
      <c r="A378" s="25" t="n"/>
      <c r="B378" s="26">
        <f>IF(A378="","",CHOOSE(WEEKDAY(A378,2),"Mo","Di","Mi","Do","Fr","Sa","So"))</f>
        <v/>
      </c>
      <c r="C378" s="6" t="n"/>
      <c r="D378" s="27" t="n"/>
      <c r="E378" s="9" t="n"/>
      <c r="F378" s="9" t="n"/>
      <c r="G378" s="9" t="n"/>
      <c r="H378" s="26">
        <f>IF(COUNT(E378:G378)=0,"",SUM(E378:G378))</f>
        <v/>
      </c>
      <c r="I378" s="9" t="n"/>
      <c r="J378" s="9" t="n"/>
      <c r="K378" s="9" t="n"/>
      <c r="L378" s="9" t="n"/>
      <c r="M378" s="26">
        <f>IF(COUNT(I378:L378)=0,"",SUM(I378:L378))</f>
        <v/>
      </c>
      <c r="N378" s="6" t="n"/>
      <c r="O378" s="28" t="n"/>
      <c r="P378" s="28" t="n"/>
    </row>
    <row r="379">
      <c r="A379" s="25" t="n"/>
      <c r="B379" s="26">
        <f>IF(A379="","",CHOOSE(WEEKDAY(A379,2),"Mo","Di","Mi","Do","Fr","Sa","So"))</f>
        <v/>
      </c>
      <c r="C379" s="6" t="n"/>
      <c r="D379" s="27" t="n"/>
      <c r="E379" s="9" t="n"/>
      <c r="F379" s="9" t="n"/>
      <c r="G379" s="9" t="n"/>
      <c r="H379" s="26">
        <f>IF(COUNT(E379:G379)=0,"",SUM(E379:G379))</f>
        <v/>
      </c>
      <c r="I379" s="9" t="n"/>
      <c r="J379" s="9" t="n"/>
      <c r="K379" s="9" t="n"/>
      <c r="L379" s="9" t="n"/>
      <c r="M379" s="26">
        <f>IF(COUNT(I379:L379)=0,"",SUM(I379:L379))</f>
        <v/>
      </c>
      <c r="N379" s="6" t="n"/>
      <c r="O379" s="28" t="n"/>
      <c r="P379" s="28" t="n"/>
    </row>
    <row r="380">
      <c r="A380" s="25" t="n"/>
      <c r="B380" s="26">
        <f>IF(A380="","",CHOOSE(WEEKDAY(A380,2),"Mo","Di","Mi","Do","Fr","Sa","So"))</f>
        <v/>
      </c>
      <c r="C380" s="6" t="n"/>
      <c r="D380" s="27" t="n"/>
      <c r="E380" s="9" t="n"/>
      <c r="F380" s="9" t="n"/>
      <c r="G380" s="9" t="n"/>
      <c r="H380" s="26">
        <f>IF(COUNT(E380:G380)=0,"",SUM(E380:G380))</f>
        <v/>
      </c>
      <c r="I380" s="9" t="n"/>
      <c r="J380" s="9" t="n"/>
      <c r="K380" s="9" t="n"/>
      <c r="L380" s="9" t="n"/>
      <c r="M380" s="26">
        <f>IF(COUNT(I380:L380)=0,"",SUM(I380:L380))</f>
        <v/>
      </c>
      <c r="N380" s="6" t="n"/>
      <c r="O380" s="28" t="n"/>
      <c r="P380" s="28" t="n"/>
    </row>
    <row r="381">
      <c r="A381" s="25" t="n"/>
      <c r="B381" s="26">
        <f>IF(A381="","",CHOOSE(WEEKDAY(A381,2),"Mo","Di","Mi","Do","Fr","Sa","So"))</f>
        <v/>
      </c>
      <c r="C381" s="6" t="n"/>
      <c r="D381" s="27" t="n"/>
      <c r="E381" s="9" t="n"/>
      <c r="F381" s="9" t="n"/>
      <c r="G381" s="9" t="n"/>
      <c r="H381" s="26">
        <f>IF(COUNT(E381:G381)=0,"",SUM(E381:G381))</f>
        <v/>
      </c>
      <c r="I381" s="9" t="n"/>
      <c r="J381" s="9" t="n"/>
      <c r="K381" s="9" t="n"/>
      <c r="L381" s="9" t="n"/>
      <c r="M381" s="26">
        <f>IF(COUNT(I381:L381)=0,"",SUM(I381:L381))</f>
        <v/>
      </c>
      <c r="N381" s="6" t="n"/>
      <c r="O381" s="28" t="n"/>
      <c r="P381" s="28" t="n"/>
    </row>
    <row r="382">
      <c r="A382" s="25" t="n"/>
      <c r="B382" s="26">
        <f>IF(A382="","",CHOOSE(WEEKDAY(A382,2),"Mo","Di","Mi","Do","Fr","Sa","So"))</f>
        <v/>
      </c>
      <c r="C382" s="6" t="n"/>
      <c r="D382" s="27" t="n"/>
      <c r="E382" s="9" t="n"/>
      <c r="F382" s="9" t="n"/>
      <c r="G382" s="9" t="n"/>
      <c r="H382" s="26">
        <f>IF(COUNT(E382:G382)=0,"",SUM(E382:G382))</f>
        <v/>
      </c>
      <c r="I382" s="9" t="n"/>
      <c r="J382" s="9" t="n"/>
      <c r="K382" s="9" t="n"/>
      <c r="L382" s="9" t="n"/>
      <c r="M382" s="26">
        <f>IF(COUNT(I382:L382)=0,"",SUM(I382:L382))</f>
        <v/>
      </c>
      <c r="N382" s="6" t="n"/>
      <c r="O382" s="28" t="n"/>
      <c r="P382" s="28" t="n"/>
    </row>
    <row r="383">
      <c r="A383" s="25" t="n"/>
      <c r="B383" s="26">
        <f>IF(A383="","",CHOOSE(WEEKDAY(A383,2),"Mo","Di","Mi","Do","Fr","Sa","So"))</f>
        <v/>
      </c>
      <c r="C383" s="6" t="n"/>
      <c r="D383" s="27" t="n"/>
      <c r="E383" s="9" t="n"/>
      <c r="F383" s="9" t="n"/>
      <c r="G383" s="9" t="n"/>
      <c r="H383" s="26">
        <f>IF(COUNT(E383:G383)=0,"",SUM(E383:G383))</f>
        <v/>
      </c>
      <c r="I383" s="9" t="n"/>
      <c r="J383" s="9" t="n"/>
      <c r="K383" s="9" t="n"/>
      <c r="L383" s="9" t="n"/>
      <c r="M383" s="26">
        <f>IF(COUNT(I383:L383)=0,"",SUM(I383:L383))</f>
        <v/>
      </c>
      <c r="N383" s="6" t="n"/>
      <c r="O383" s="28" t="n"/>
      <c r="P383" s="28" t="n"/>
    </row>
    <row r="384">
      <c r="A384" s="25" t="n"/>
      <c r="B384" s="26">
        <f>IF(A384="","",CHOOSE(WEEKDAY(A384,2),"Mo","Di","Mi","Do","Fr","Sa","So"))</f>
        <v/>
      </c>
      <c r="C384" s="6" t="n"/>
      <c r="D384" s="27" t="n"/>
      <c r="E384" s="9" t="n"/>
      <c r="F384" s="9" t="n"/>
      <c r="G384" s="9" t="n"/>
      <c r="H384" s="26">
        <f>IF(COUNT(E384:G384)=0,"",SUM(E384:G384))</f>
        <v/>
      </c>
      <c r="I384" s="9" t="n"/>
      <c r="J384" s="9" t="n"/>
      <c r="K384" s="9" t="n"/>
      <c r="L384" s="9" t="n"/>
      <c r="M384" s="26">
        <f>IF(COUNT(I384:L384)=0,"",SUM(I384:L384))</f>
        <v/>
      </c>
      <c r="N384" s="6" t="n"/>
      <c r="O384" s="28" t="n"/>
      <c r="P384" s="28" t="n"/>
    </row>
    <row r="385">
      <c r="A385" s="25" t="n"/>
      <c r="B385" s="26">
        <f>IF(A385="","",CHOOSE(WEEKDAY(A385,2),"Mo","Di","Mi","Do","Fr","Sa","So"))</f>
        <v/>
      </c>
      <c r="C385" s="6" t="n"/>
      <c r="D385" s="27" t="n"/>
      <c r="E385" s="9" t="n"/>
      <c r="F385" s="9" t="n"/>
      <c r="G385" s="9" t="n"/>
      <c r="H385" s="26">
        <f>IF(COUNT(E385:G385)=0,"",SUM(E385:G385))</f>
        <v/>
      </c>
      <c r="I385" s="9" t="n"/>
      <c r="J385" s="9" t="n"/>
      <c r="K385" s="9" t="n"/>
      <c r="L385" s="9" t="n"/>
      <c r="M385" s="26">
        <f>IF(COUNT(I385:L385)=0,"",SUM(I385:L385))</f>
        <v/>
      </c>
      <c r="N385" s="6" t="n"/>
      <c r="O385" s="28" t="n"/>
      <c r="P385" s="28" t="n"/>
    </row>
    <row r="386">
      <c r="A386" s="25" t="n"/>
      <c r="B386" s="26">
        <f>IF(A386="","",CHOOSE(WEEKDAY(A386,2),"Mo","Di","Mi","Do","Fr","Sa","So"))</f>
        <v/>
      </c>
      <c r="C386" s="6" t="n"/>
      <c r="D386" s="27" t="n"/>
      <c r="E386" s="9" t="n"/>
      <c r="F386" s="9" t="n"/>
      <c r="G386" s="9" t="n"/>
      <c r="H386" s="26">
        <f>IF(COUNT(E386:G386)=0,"",SUM(E386:G386))</f>
        <v/>
      </c>
      <c r="I386" s="9" t="n"/>
      <c r="J386" s="9" t="n"/>
      <c r="K386" s="9" t="n"/>
      <c r="L386" s="9" t="n"/>
      <c r="M386" s="26">
        <f>IF(COUNT(I386:L386)=0,"",SUM(I386:L386))</f>
        <v/>
      </c>
      <c r="N386" s="6" t="n"/>
      <c r="O386" s="28" t="n"/>
      <c r="P386" s="28" t="n"/>
    </row>
    <row r="387">
      <c r="A387" s="25" t="n"/>
      <c r="B387" s="26">
        <f>IF(A387="","",CHOOSE(WEEKDAY(A387,2),"Mo","Di","Mi","Do","Fr","Sa","So"))</f>
        <v/>
      </c>
      <c r="C387" s="6" t="n"/>
      <c r="D387" s="27" t="n"/>
      <c r="E387" s="9" t="n"/>
      <c r="F387" s="9" t="n"/>
      <c r="G387" s="9" t="n"/>
      <c r="H387" s="26">
        <f>IF(COUNT(E387:G387)=0,"",SUM(E387:G387))</f>
        <v/>
      </c>
      <c r="I387" s="9" t="n"/>
      <c r="J387" s="9" t="n"/>
      <c r="K387" s="9" t="n"/>
      <c r="L387" s="9" t="n"/>
      <c r="M387" s="26">
        <f>IF(COUNT(I387:L387)=0,"",SUM(I387:L387))</f>
        <v/>
      </c>
      <c r="N387" s="6" t="n"/>
      <c r="O387" s="28" t="n"/>
      <c r="P387" s="28" t="n"/>
    </row>
    <row r="388">
      <c r="A388" s="25" t="n"/>
      <c r="B388" s="26">
        <f>IF(A388="","",CHOOSE(WEEKDAY(A388,2),"Mo","Di","Mi","Do","Fr","Sa","So"))</f>
        <v/>
      </c>
      <c r="C388" s="6" t="n"/>
      <c r="D388" s="27" t="n"/>
      <c r="E388" s="9" t="n"/>
      <c r="F388" s="9" t="n"/>
      <c r="G388" s="9" t="n"/>
      <c r="H388" s="26">
        <f>IF(COUNT(E388:G388)=0,"",SUM(E388:G388))</f>
        <v/>
      </c>
      <c r="I388" s="9" t="n"/>
      <c r="J388" s="9" t="n"/>
      <c r="K388" s="9" t="n"/>
      <c r="L388" s="9" t="n"/>
      <c r="M388" s="26">
        <f>IF(COUNT(I388:L388)=0,"",SUM(I388:L388))</f>
        <v/>
      </c>
      <c r="N388" s="6" t="n"/>
      <c r="O388" s="28" t="n"/>
      <c r="P388" s="28" t="n"/>
    </row>
    <row r="389">
      <c r="A389" s="25" t="n"/>
      <c r="B389" s="26">
        <f>IF(A389="","",CHOOSE(WEEKDAY(A389,2),"Mo","Di","Mi","Do","Fr","Sa","So"))</f>
        <v/>
      </c>
      <c r="C389" s="6" t="n"/>
      <c r="D389" s="27" t="n"/>
      <c r="E389" s="9" t="n"/>
      <c r="F389" s="9" t="n"/>
      <c r="G389" s="9" t="n"/>
      <c r="H389" s="26">
        <f>IF(COUNT(E389:G389)=0,"",SUM(E389:G389))</f>
        <v/>
      </c>
      <c r="I389" s="9" t="n"/>
      <c r="J389" s="9" t="n"/>
      <c r="K389" s="9" t="n"/>
      <c r="L389" s="9" t="n"/>
      <c r="M389" s="26">
        <f>IF(COUNT(I389:L389)=0,"",SUM(I389:L389))</f>
        <v/>
      </c>
      <c r="N389" s="6" t="n"/>
      <c r="O389" s="28" t="n"/>
      <c r="P389" s="28" t="n"/>
    </row>
    <row r="390">
      <c r="A390" s="25" t="n"/>
      <c r="B390" s="26">
        <f>IF(A390="","",CHOOSE(WEEKDAY(A390,2),"Mo","Di","Mi","Do","Fr","Sa","So"))</f>
        <v/>
      </c>
      <c r="C390" s="6" t="n"/>
      <c r="D390" s="27" t="n"/>
      <c r="E390" s="9" t="n"/>
      <c r="F390" s="9" t="n"/>
      <c r="G390" s="9" t="n"/>
      <c r="H390" s="26">
        <f>IF(COUNT(E390:G390)=0,"",SUM(E390:G390))</f>
        <v/>
      </c>
      <c r="I390" s="9" t="n"/>
      <c r="J390" s="9" t="n"/>
      <c r="K390" s="9" t="n"/>
      <c r="L390" s="9" t="n"/>
      <c r="M390" s="26">
        <f>IF(COUNT(I390:L390)=0,"",SUM(I390:L390))</f>
        <v/>
      </c>
      <c r="N390" s="6" t="n"/>
      <c r="O390" s="28" t="n"/>
      <c r="P390" s="28" t="n"/>
    </row>
    <row r="391">
      <c r="A391" s="25" t="n"/>
      <c r="B391" s="26">
        <f>IF(A391="","",CHOOSE(WEEKDAY(A391,2),"Mo","Di","Mi","Do","Fr","Sa","So"))</f>
        <v/>
      </c>
      <c r="C391" s="6" t="n"/>
      <c r="D391" s="27" t="n"/>
      <c r="E391" s="9" t="n"/>
      <c r="F391" s="9" t="n"/>
      <c r="G391" s="9" t="n"/>
      <c r="H391" s="26">
        <f>IF(COUNT(E391:G391)=0,"",SUM(E391:G391))</f>
        <v/>
      </c>
      <c r="I391" s="9" t="n"/>
      <c r="J391" s="9" t="n"/>
      <c r="K391" s="9" t="n"/>
      <c r="L391" s="9" t="n"/>
      <c r="M391" s="26">
        <f>IF(COUNT(I391:L391)=0,"",SUM(I391:L391))</f>
        <v/>
      </c>
      <c r="N391" s="6" t="n"/>
      <c r="O391" s="28" t="n"/>
      <c r="P391" s="28" t="n"/>
    </row>
    <row r="392">
      <c r="A392" s="25" t="n"/>
      <c r="B392" s="26">
        <f>IF(A392="","",CHOOSE(WEEKDAY(A392,2),"Mo","Di","Mi","Do","Fr","Sa","So"))</f>
        <v/>
      </c>
      <c r="C392" s="6" t="n"/>
      <c r="D392" s="27" t="n"/>
      <c r="E392" s="9" t="n"/>
      <c r="F392" s="9" t="n"/>
      <c r="G392" s="9" t="n"/>
      <c r="H392" s="26">
        <f>IF(COUNT(E392:G392)=0,"",SUM(E392:G392))</f>
        <v/>
      </c>
      <c r="I392" s="9" t="n"/>
      <c r="J392" s="9" t="n"/>
      <c r="K392" s="9" t="n"/>
      <c r="L392" s="9" t="n"/>
      <c r="M392" s="26">
        <f>IF(COUNT(I392:L392)=0,"",SUM(I392:L392))</f>
        <v/>
      </c>
      <c r="N392" s="6" t="n"/>
      <c r="O392" s="28" t="n"/>
      <c r="P392" s="28" t="n"/>
    </row>
    <row r="393">
      <c r="A393" s="25" t="n"/>
      <c r="B393" s="26">
        <f>IF(A393="","",CHOOSE(WEEKDAY(A393,2),"Mo","Di","Mi","Do","Fr","Sa","So"))</f>
        <v/>
      </c>
      <c r="C393" s="6" t="n"/>
      <c r="D393" s="27" t="n"/>
      <c r="E393" s="9" t="n"/>
      <c r="F393" s="9" t="n"/>
      <c r="G393" s="9" t="n"/>
      <c r="H393" s="26">
        <f>IF(COUNT(E393:G393)=0,"",SUM(E393:G393))</f>
        <v/>
      </c>
      <c r="I393" s="9" t="n"/>
      <c r="J393" s="9" t="n"/>
      <c r="K393" s="9" t="n"/>
      <c r="L393" s="9" t="n"/>
      <c r="M393" s="26">
        <f>IF(COUNT(I393:L393)=0,"",SUM(I393:L393))</f>
        <v/>
      </c>
      <c r="N393" s="6" t="n"/>
      <c r="O393" s="28" t="n"/>
      <c r="P393" s="28" t="n"/>
    </row>
    <row r="394">
      <c r="A394" s="25" t="n"/>
      <c r="B394" s="26">
        <f>IF(A394="","",CHOOSE(WEEKDAY(A394,2),"Mo","Di","Mi","Do","Fr","Sa","So"))</f>
        <v/>
      </c>
      <c r="C394" s="6" t="n"/>
      <c r="D394" s="27" t="n"/>
      <c r="E394" s="9" t="n"/>
      <c r="F394" s="9" t="n"/>
      <c r="G394" s="9" t="n"/>
      <c r="H394" s="26">
        <f>IF(COUNT(E394:G394)=0,"",SUM(E394:G394))</f>
        <v/>
      </c>
      <c r="I394" s="9" t="n"/>
      <c r="J394" s="9" t="n"/>
      <c r="K394" s="9" t="n"/>
      <c r="L394" s="9" t="n"/>
      <c r="M394" s="26">
        <f>IF(COUNT(I394:L394)=0,"",SUM(I394:L394))</f>
        <v/>
      </c>
      <c r="N394" s="6" t="n"/>
      <c r="O394" s="28" t="n"/>
      <c r="P394" s="28" t="n"/>
    </row>
    <row r="395">
      <c r="A395" s="25" t="n"/>
      <c r="B395" s="26">
        <f>IF(A395="","",CHOOSE(WEEKDAY(A395,2),"Mo","Di","Mi","Do","Fr","Sa","So"))</f>
        <v/>
      </c>
      <c r="C395" s="6" t="n"/>
      <c r="D395" s="27" t="n"/>
      <c r="E395" s="9" t="n"/>
      <c r="F395" s="9" t="n"/>
      <c r="G395" s="9" t="n"/>
      <c r="H395" s="26">
        <f>IF(COUNT(E395:G395)=0,"",SUM(E395:G395))</f>
        <v/>
      </c>
      <c r="I395" s="9" t="n"/>
      <c r="J395" s="9" t="n"/>
      <c r="K395" s="9" t="n"/>
      <c r="L395" s="9" t="n"/>
      <c r="M395" s="26">
        <f>IF(COUNT(I395:L395)=0,"",SUM(I395:L395))</f>
        <v/>
      </c>
      <c r="N395" s="6" t="n"/>
      <c r="O395" s="28" t="n"/>
      <c r="P395" s="28" t="n"/>
    </row>
    <row r="396">
      <c r="A396" s="25" t="n"/>
      <c r="B396" s="26">
        <f>IF(A396="","",CHOOSE(WEEKDAY(A396,2),"Mo","Di","Mi","Do","Fr","Sa","So"))</f>
        <v/>
      </c>
      <c r="C396" s="6" t="n"/>
      <c r="D396" s="27" t="n"/>
      <c r="E396" s="9" t="n"/>
      <c r="F396" s="9" t="n"/>
      <c r="G396" s="9" t="n"/>
      <c r="H396" s="26">
        <f>IF(COUNT(E396:G396)=0,"",SUM(E396:G396))</f>
        <v/>
      </c>
      <c r="I396" s="9" t="n"/>
      <c r="J396" s="9" t="n"/>
      <c r="K396" s="9" t="n"/>
      <c r="L396" s="9" t="n"/>
      <c r="M396" s="26">
        <f>IF(COUNT(I396:L396)=0,"",SUM(I396:L396))</f>
        <v/>
      </c>
      <c r="N396" s="6" t="n"/>
      <c r="O396" s="28" t="n"/>
      <c r="P396" s="28" t="n"/>
    </row>
    <row r="397">
      <c r="A397" s="25" t="n"/>
      <c r="B397" s="26">
        <f>IF(A397="","",CHOOSE(WEEKDAY(A397,2),"Mo","Di","Mi","Do","Fr","Sa","So"))</f>
        <v/>
      </c>
      <c r="C397" s="6" t="n"/>
      <c r="D397" s="27" t="n"/>
      <c r="E397" s="9" t="n"/>
      <c r="F397" s="9" t="n"/>
      <c r="G397" s="9" t="n"/>
      <c r="H397" s="26">
        <f>IF(COUNT(E397:G397)=0,"",SUM(E397:G397))</f>
        <v/>
      </c>
      <c r="I397" s="9" t="n"/>
      <c r="J397" s="9" t="n"/>
      <c r="K397" s="9" t="n"/>
      <c r="L397" s="9" t="n"/>
      <c r="M397" s="26">
        <f>IF(COUNT(I397:L397)=0,"",SUM(I397:L397))</f>
        <v/>
      </c>
      <c r="N397" s="6" t="n"/>
      <c r="O397" s="28" t="n"/>
      <c r="P397" s="28" t="n"/>
    </row>
    <row r="398">
      <c r="A398" s="25" t="n"/>
      <c r="B398" s="26">
        <f>IF(A398="","",CHOOSE(WEEKDAY(A398,2),"Mo","Di","Mi","Do","Fr","Sa","So"))</f>
        <v/>
      </c>
      <c r="C398" s="6" t="n"/>
      <c r="D398" s="27" t="n"/>
      <c r="E398" s="9" t="n"/>
      <c r="F398" s="9" t="n"/>
      <c r="G398" s="9" t="n"/>
      <c r="H398" s="26">
        <f>IF(COUNT(E398:G398)=0,"",SUM(E398:G398))</f>
        <v/>
      </c>
      <c r="I398" s="9" t="n"/>
      <c r="J398" s="9" t="n"/>
      <c r="K398" s="9" t="n"/>
      <c r="L398" s="9" t="n"/>
      <c r="M398" s="26">
        <f>IF(COUNT(I398:L398)=0,"",SUM(I398:L398))</f>
        <v/>
      </c>
      <c r="N398" s="6" t="n"/>
      <c r="O398" s="28" t="n"/>
      <c r="P398" s="28" t="n"/>
    </row>
    <row r="399">
      <c r="A399" s="25" t="n"/>
      <c r="B399" s="26">
        <f>IF(A399="","",CHOOSE(WEEKDAY(A399,2),"Mo","Di","Mi","Do","Fr","Sa","So"))</f>
        <v/>
      </c>
      <c r="C399" s="6" t="n"/>
      <c r="D399" s="27" t="n"/>
      <c r="E399" s="9" t="n"/>
      <c r="F399" s="9" t="n"/>
      <c r="G399" s="9" t="n"/>
      <c r="H399" s="26">
        <f>IF(COUNT(E399:G399)=0,"",SUM(E399:G399))</f>
        <v/>
      </c>
      <c r="I399" s="9" t="n"/>
      <c r="J399" s="9" t="n"/>
      <c r="K399" s="9" t="n"/>
      <c r="L399" s="9" t="n"/>
      <c r="M399" s="26">
        <f>IF(COUNT(I399:L399)=0,"",SUM(I399:L399))</f>
        <v/>
      </c>
      <c r="N399" s="6" t="n"/>
      <c r="O399" s="28" t="n"/>
      <c r="P399" s="28" t="n"/>
    </row>
    <row r="400">
      <c r="A400" s="25" t="n"/>
      <c r="B400" s="26">
        <f>IF(A400="","",CHOOSE(WEEKDAY(A400,2),"Mo","Di","Mi","Do","Fr","Sa","So"))</f>
        <v/>
      </c>
      <c r="C400" s="6" t="n"/>
      <c r="D400" s="27" t="n"/>
      <c r="E400" s="9" t="n"/>
      <c r="F400" s="9" t="n"/>
      <c r="G400" s="9" t="n"/>
      <c r="H400" s="26">
        <f>IF(COUNT(E400:G400)=0,"",SUM(E400:G400))</f>
        <v/>
      </c>
      <c r="I400" s="9" t="n"/>
      <c r="J400" s="9" t="n"/>
      <c r="K400" s="9" t="n"/>
      <c r="L400" s="9" t="n"/>
      <c r="M400" s="26">
        <f>IF(COUNT(I400:L400)=0,"",SUM(I400:L400))</f>
        <v/>
      </c>
      <c r="N400" s="6" t="n"/>
      <c r="O400" s="28" t="n"/>
      <c r="P400" s="28" t="n"/>
    </row>
    <row r="401">
      <c r="A401" s="25" t="n"/>
      <c r="B401" s="26">
        <f>IF(A401="","",CHOOSE(WEEKDAY(A401,2),"Mo","Di","Mi","Do","Fr","Sa","So"))</f>
        <v/>
      </c>
      <c r="C401" s="6" t="n"/>
      <c r="D401" s="27" t="n"/>
      <c r="E401" s="9" t="n"/>
      <c r="F401" s="9" t="n"/>
      <c r="G401" s="9" t="n"/>
      <c r="H401" s="26">
        <f>IF(COUNT(E401:G401)=0,"",SUM(E401:G401))</f>
        <v/>
      </c>
      <c r="I401" s="9" t="n"/>
      <c r="J401" s="9" t="n"/>
      <c r="K401" s="9" t="n"/>
      <c r="L401" s="9" t="n"/>
      <c r="M401" s="26">
        <f>IF(COUNT(I401:L401)=0,"",SUM(I401:L401))</f>
        <v/>
      </c>
      <c r="N401" s="6" t="n"/>
      <c r="O401" s="28" t="n"/>
      <c r="P401" s="28" t="n"/>
    </row>
    <row r="402">
      <c r="A402" s="25" t="n"/>
      <c r="B402" s="26">
        <f>IF(A402="","",CHOOSE(WEEKDAY(A402,2),"Mo","Di","Mi","Do","Fr","Sa","So"))</f>
        <v/>
      </c>
      <c r="C402" s="6" t="n"/>
      <c r="D402" s="27" t="n"/>
      <c r="E402" s="9" t="n"/>
      <c r="F402" s="9" t="n"/>
      <c r="G402" s="9" t="n"/>
      <c r="H402" s="26">
        <f>IF(COUNT(E402:G402)=0,"",SUM(E402:G402))</f>
        <v/>
      </c>
      <c r="I402" s="9" t="n"/>
      <c r="J402" s="9" t="n"/>
      <c r="K402" s="9" t="n"/>
      <c r="L402" s="9" t="n"/>
      <c r="M402" s="26">
        <f>IF(COUNT(I402:L402)=0,"",SUM(I402:L402))</f>
        <v/>
      </c>
      <c r="N402" s="6" t="n"/>
      <c r="O402" s="28" t="n"/>
      <c r="P402" s="28" t="n"/>
    </row>
    <row r="403">
      <c r="A403" s="25" t="n"/>
      <c r="B403" s="26">
        <f>IF(A403="","",CHOOSE(WEEKDAY(A403,2),"Mo","Di","Mi","Do","Fr","Sa","So"))</f>
        <v/>
      </c>
      <c r="C403" s="6" t="n"/>
      <c r="D403" s="27" t="n"/>
      <c r="E403" s="9" t="n"/>
      <c r="F403" s="9" t="n"/>
      <c r="G403" s="9" t="n"/>
      <c r="H403" s="26">
        <f>IF(COUNT(E403:G403)=0,"",SUM(E403:G403))</f>
        <v/>
      </c>
      <c r="I403" s="9" t="n"/>
      <c r="J403" s="9" t="n"/>
      <c r="K403" s="9" t="n"/>
      <c r="L403" s="9" t="n"/>
      <c r="M403" s="26">
        <f>IF(COUNT(I403:L403)=0,"",SUM(I403:L403))</f>
        <v/>
      </c>
      <c r="N403" s="6" t="n"/>
      <c r="O403" s="28" t="n"/>
      <c r="P403" s="28" t="n"/>
    </row>
    <row r="404">
      <c r="A404" s="25" t="n"/>
      <c r="B404" s="26">
        <f>IF(A404="","",CHOOSE(WEEKDAY(A404,2),"Mo","Di","Mi","Do","Fr","Sa","So"))</f>
        <v/>
      </c>
      <c r="C404" s="6" t="n"/>
      <c r="D404" s="27" t="n"/>
      <c r="E404" s="9" t="n"/>
      <c r="F404" s="9" t="n"/>
      <c r="G404" s="9" t="n"/>
      <c r="H404" s="26">
        <f>IF(COUNT(E404:G404)=0,"",SUM(E404:G404))</f>
        <v/>
      </c>
      <c r="I404" s="9" t="n"/>
      <c r="J404" s="9" t="n"/>
      <c r="K404" s="9" t="n"/>
      <c r="L404" s="9" t="n"/>
      <c r="M404" s="26">
        <f>IF(COUNT(I404:L404)=0,"",SUM(I404:L404))</f>
        <v/>
      </c>
      <c r="N404" s="6" t="n"/>
      <c r="O404" s="28" t="n"/>
      <c r="P404" s="28" t="n"/>
    </row>
    <row r="405">
      <c r="A405" s="25" t="n"/>
      <c r="B405" s="26">
        <f>IF(A405="","",CHOOSE(WEEKDAY(A405,2),"Mo","Di","Mi","Do","Fr","Sa","So"))</f>
        <v/>
      </c>
      <c r="C405" s="6" t="n"/>
      <c r="D405" s="27" t="n"/>
      <c r="E405" s="9" t="n"/>
      <c r="F405" s="9" t="n"/>
      <c r="G405" s="9" t="n"/>
      <c r="H405" s="26">
        <f>IF(COUNT(E405:G405)=0,"",SUM(E405:G405))</f>
        <v/>
      </c>
      <c r="I405" s="9" t="n"/>
      <c r="J405" s="9" t="n"/>
      <c r="K405" s="9" t="n"/>
      <c r="L405" s="9" t="n"/>
      <c r="M405" s="26">
        <f>IF(COUNT(I405:L405)=0,"",SUM(I405:L405))</f>
        <v/>
      </c>
      <c r="N405" s="6" t="n"/>
      <c r="O405" s="28" t="n"/>
      <c r="P405" s="28" t="n"/>
    </row>
  </sheetData>
  <autoFilter ref="A5:P405"/>
  <conditionalFormatting sqref="H6:H405">
    <cfRule type="expression" priority="1" dxfId="0">
      <formula>AND(ISNUMBER(M6),ISNUMBER(H6),M6&lt;&gt;H6)</formula>
    </cfRule>
  </conditionalFormatting>
  <conditionalFormatting sqref="M6:M405">
    <cfRule type="expression" priority="2" dxfId="0">
      <formula>AND(ISNUMBER(M6),ISNUMBER(H6),M6&lt;&gt;H6)</formula>
    </cfRule>
  </conditionalFormatting>
  <conditionalFormatting sqref="A6:A405">
    <cfRule type="expression" priority="3" dxfId="1">
      <formula>AND(ISNUMBER(A6),WEEKDAY(A6,2)&gt;5)</formula>
    </cfRule>
  </conditionalFormatting>
  <dataValidations count="5">
    <dataValidation sqref="A6:A405" showDropDown="0" showInputMessage="0" showErrorMessage="1" allowBlank="0" errorTitle="Datum" error="Bitte ein Datum im DEZEMBER eingeben (TT.MM.JJJJ)." type="date" operator="between">
      <formula1>DATE(LISTEN!$E$2,12,1)</formula1>
      <formula2>DATE(LISTEN!$E$2,12,31)</formula2>
    </dataValidation>
    <dataValidation sqref="C6:C405" showDropDown="0" showInputMessage="0" showErrorMessage="1" allowBlank="0" errorTitle="Angebot" error="Bitte ein Angebot aus der Liste wählen (neue Angebote im Blatt LISTEN ergänzen)." type="list">
      <formula1>LISTEN!$A$2:$A$31</formula1>
    </dataValidation>
    <dataValidation sqref="N6:N405" showDropDown="0" showInputMessage="0" showErrorMessage="0" allowBlank="0" type="list">
      <formula1>LISTEN!$C$2:$C$31</formula1>
    </dataValidation>
    <dataValidation sqref="E6:G405 I6:L405" showDropDown="0" showInputMessage="0" showErrorMessage="1" allowBlank="0" error="Bitte eine ganze Zahl ≥ 0 eingeben." type="whole" operator="greaterThanOrEqual">
      <formula1>0</formula1>
    </dataValidation>
    <dataValidation sqref="D6:D405" showDropDown="0" showInputMessage="0" showErrorMessage="1" allowBlank="0" error="Stunden zwischen 0 und 24." type="decimal" operator="between">
      <formula1>0</formula1>
      <formula2>24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3" max="3"/>
    <col width="10" customWidth="1" min="5" max="5"/>
  </cols>
  <sheetData>
    <row r="1">
      <c r="A1" s="5" t="inlineStr">
        <is>
          <t>Angebote</t>
        </is>
      </c>
      <c r="C1" s="5" t="inlineStr">
        <is>
          <t>Diensthabende</t>
        </is>
      </c>
      <c r="E1" s="5" t="inlineStr">
        <is>
          <t>Jahr</t>
        </is>
      </c>
    </row>
    <row r="2">
      <c r="A2" s="37" t="inlineStr">
        <is>
          <t>MITTAG</t>
        </is>
      </c>
      <c r="C2" s="37" t="n"/>
      <c r="E2" s="38" t="n">
        <v>2026</v>
      </c>
      <c r="G2" s="8" t="inlineStr">
        <is>
          <t>Gelbe Zellen anpassen. Neue Angebote einfach in freie Zeilen schreiben – sie erscheinen automatisch in Dropdown &amp; Auswertung.</t>
        </is>
      </c>
    </row>
    <row r="3">
      <c r="A3" s="37" t="inlineStr">
        <is>
          <t>JUGENDCAFE</t>
        </is>
      </c>
      <c r="C3" s="37" t="n"/>
    </row>
    <row r="4">
      <c r="A4" s="37" t="inlineStr">
        <is>
          <t>JUGENDCAFE NEXT</t>
        </is>
      </c>
      <c r="C4" s="37" t="n"/>
    </row>
    <row r="5">
      <c r="A5" s="37" t="inlineStr">
        <is>
          <t>OSA</t>
        </is>
      </c>
      <c r="C5" s="37" t="n"/>
    </row>
    <row r="6">
      <c r="A6" s="37" t="inlineStr">
        <is>
          <t>VERMIETUNGEN</t>
        </is>
      </c>
      <c r="C6" s="37" t="n"/>
    </row>
    <row r="7">
      <c r="A7" s="37" t="inlineStr">
        <is>
          <t>TRÄNKEWEG</t>
        </is>
      </c>
      <c r="C7" s="37" t="n"/>
    </row>
    <row r="8">
      <c r="A8" s="37" t="inlineStr">
        <is>
          <t>TANZEN</t>
        </is>
      </c>
      <c r="C8" s="37" t="n"/>
    </row>
    <row r="9">
      <c r="A9" s="37" t="inlineStr">
        <is>
          <t>KONZERTE</t>
        </is>
      </c>
      <c r="C9" s="37" t="n"/>
    </row>
    <row r="10">
      <c r="A10" s="37" t="inlineStr">
        <is>
          <t>JUNGS</t>
        </is>
      </c>
      <c r="C10" s="37" t="n"/>
    </row>
    <row r="11">
      <c r="A11" s="37" t="inlineStr">
        <is>
          <t>MÄDCHEN</t>
        </is>
      </c>
      <c r="C11" s="37" t="n"/>
    </row>
    <row r="12">
      <c r="A12" s="37" t="inlineStr">
        <is>
          <t>JSA</t>
        </is>
      </c>
      <c r="C12" s="37" t="n"/>
    </row>
    <row r="13">
      <c r="A13" s="37" t="inlineStr">
        <is>
          <t>RADIKALISIERUNG</t>
        </is>
      </c>
      <c r="C13" s="37" t="n"/>
    </row>
    <row r="14">
      <c r="A14" s="37" t="inlineStr">
        <is>
          <t>SCHULE</t>
        </is>
      </c>
      <c r="C14" s="37" t="n"/>
    </row>
    <row r="15">
      <c r="A15" s="37" t="inlineStr">
        <is>
          <t>WORKSHOPS</t>
        </is>
      </c>
      <c r="C15" s="37" t="n"/>
    </row>
    <row r="16">
      <c r="A16" s="37" t="inlineStr">
        <is>
          <t>CARITAS</t>
        </is>
      </c>
      <c r="C16" s="37" t="n"/>
    </row>
    <row r="17">
      <c r="A17" s="37" t="inlineStr">
        <is>
          <t>KINDERTHEATER</t>
        </is>
      </c>
      <c r="C17" s="37" t="n"/>
    </row>
    <row r="18">
      <c r="A18" s="37" t="inlineStr">
        <is>
          <t>WOODROCK</t>
        </is>
      </c>
      <c r="C18" s="37" t="n"/>
    </row>
    <row r="19">
      <c r="A19" s="37" t="inlineStr">
        <is>
          <t>KOOPERATIONEN</t>
        </is>
      </c>
      <c r="C19" s="37" t="n"/>
    </row>
    <row r="20">
      <c r="A20" s="37" t="inlineStr">
        <is>
          <t>ÖA</t>
        </is>
      </c>
      <c r="C20" s="37" t="n"/>
    </row>
    <row r="21">
      <c r="A21" s="37" t="inlineStr">
        <is>
          <t>OUTDOORFUN</t>
        </is>
      </c>
      <c r="C21" s="37" t="n"/>
    </row>
    <row r="22">
      <c r="A22" s="37" t="inlineStr">
        <is>
          <t>ONLINE</t>
        </is>
      </c>
      <c r="C22" s="37" t="n"/>
    </row>
    <row r="23">
      <c r="A23" s="37" t="inlineStr">
        <is>
          <t>MOJA</t>
        </is>
      </c>
      <c r="C23" s="37" t="n"/>
    </row>
    <row r="24">
      <c r="A24" s="37" t="inlineStr">
        <is>
          <t>SKATERPLATZ</t>
        </is>
      </c>
      <c r="C24" s="37" t="n"/>
    </row>
    <row r="25">
      <c r="A25" s="37" t="inlineStr">
        <is>
          <t>BERATUNG / TEL</t>
        </is>
      </c>
      <c r="C25" s="37" t="n"/>
    </row>
    <row r="26">
      <c r="A26" s="37" t="n"/>
      <c r="C26" s="37" t="n"/>
    </row>
    <row r="27">
      <c r="A27" s="37" t="n"/>
      <c r="C27" s="37" t="n"/>
    </row>
    <row r="28">
      <c r="A28" s="37" t="n"/>
      <c r="C28" s="37" t="n"/>
    </row>
    <row r="29">
      <c r="A29" s="37" t="n"/>
      <c r="C29" s="37" t="n"/>
    </row>
    <row r="30">
      <c r="A30" s="37" t="n"/>
      <c r="C30" s="37" t="n"/>
    </row>
    <row r="31">
      <c r="A31" s="37" t="n"/>
      <c r="C31" s="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2026-09-25T10:28:24Z</dcterms:created>
  <dcterms:modified xsi:type="dcterms:W3CDTF">2026-09-25T10:28:31Z</dcterms:modified>
</cp:coreProperties>
</file>